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Сметный отдел\ЗАПОРОЖЧЕНКО М.Е\290729-ПС-22 Феодосийская зу 7\Замечания\Сметы, договор для МКС\"/>
    </mc:Choice>
  </mc:AlternateContent>
  <xr:revisionPtr revIDLastSave="0" documentId="13_ncr:1_{7CB499D0-4DE3-4DFF-888F-71FC5DD1428C}" xr6:coauthVersionLast="47" xr6:coauthVersionMax="47" xr10:uidLastSave="{00000000-0000-0000-0000-000000000000}"/>
  <bookViews>
    <workbookView xWindow="1170" yWindow="1215" windowWidth="21600" windowHeight="11280" xr2:uid="{9D81C2D6-1F6E-4F6D-9E49-C6E3D2FEDF1C}"/>
  </bookViews>
  <sheets>
    <sheet name="Смета по ТСН-2001(с доп.43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доп.43'!$27:$27</definedName>
    <definedName name="_xlnm.Print_Area" localSheetId="0">'Смета по ТСН-2001(с доп.43'!$A$1:$K$199</definedName>
  </definedNames>
  <calcPr calcId="191029" iterate="1"/>
</workbook>
</file>

<file path=xl/calcChain.xml><?xml version="1.0" encoding="utf-8"?>
<calcChain xmlns="http://schemas.openxmlformats.org/spreadsheetml/2006/main">
  <c r="H197" i="7" l="1"/>
  <c r="H194" i="7"/>
  <c r="C197" i="7"/>
  <c r="C194" i="7"/>
  <c r="J22" i="7"/>
  <c r="J19" i="7"/>
  <c r="J18" i="7"/>
  <c r="J17" i="7"/>
  <c r="J16" i="7"/>
  <c r="J15" i="7"/>
  <c r="I22" i="7"/>
  <c r="I20" i="7"/>
  <c r="I19" i="7"/>
  <c r="I18" i="7"/>
  <c r="I17" i="7"/>
  <c r="I16" i="7"/>
  <c r="I15" i="7"/>
  <c r="I14" i="7" s="1"/>
  <c r="I190" i="7"/>
  <c r="J190" i="7"/>
  <c r="I189" i="7"/>
  <c r="J189" i="7"/>
  <c r="A188" i="7"/>
  <c r="I186" i="7"/>
  <c r="J186" i="7"/>
  <c r="I185" i="7"/>
  <c r="J185" i="7"/>
  <c r="I183" i="7"/>
  <c r="J183" i="7"/>
  <c r="I182" i="7"/>
  <c r="J182" i="7"/>
  <c r="A181" i="7"/>
  <c r="K177" i="7"/>
  <c r="J178" i="7" s="1"/>
  <c r="J177" i="7"/>
  <c r="I177" i="7"/>
  <c r="O178" i="7" s="1"/>
  <c r="H177" i="7"/>
  <c r="G177" i="7"/>
  <c r="F177" i="7"/>
  <c r="V177" i="7"/>
  <c r="T177" i="7"/>
  <c r="R177" i="7"/>
  <c r="U177" i="7"/>
  <c r="S177" i="7"/>
  <c r="Q177" i="7"/>
  <c r="E177" i="7"/>
  <c r="D177" i="7"/>
  <c r="C174" i="7"/>
  <c r="K173" i="7"/>
  <c r="P175" i="7" s="1"/>
  <c r="J173" i="7"/>
  <c r="I173" i="7"/>
  <c r="O175" i="7" s="1"/>
  <c r="H173" i="7"/>
  <c r="G173" i="7"/>
  <c r="F173" i="7"/>
  <c r="V173" i="7"/>
  <c r="T173" i="7"/>
  <c r="R173" i="7"/>
  <c r="U173" i="7"/>
  <c r="S173" i="7"/>
  <c r="Q173" i="7"/>
  <c r="E173" i="7"/>
  <c r="D173" i="7"/>
  <c r="C170" i="7"/>
  <c r="K169" i="7"/>
  <c r="P171" i="7" s="1"/>
  <c r="J169" i="7"/>
  <c r="I169" i="7"/>
  <c r="H171" i="7" s="1"/>
  <c r="H169" i="7"/>
  <c r="G169" i="7"/>
  <c r="F169" i="7"/>
  <c r="V169" i="7"/>
  <c r="T169" i="7"/>
  <c r="R169" i="7"/>
  <c r="U169" i="7"/>
  <c r="S169" i="7"/>
  <c r="Q169" i="7"/>
  <c r="E169" i="7"/>
  <c r="D169" i="7"/>
  <c r="A168" i="7"/>
  <c r="I166" i="7"/>
  <c r="J166" i="7"/>
  <c r="I165" i="7"/>
  <c r="J165" i="7"/>
  <c r="A164" i="7"/>
  <c r="I160" i="7"/>
  <c r="H160" i="7"/>
  <c r="G160" i="7"/>
  <c r="E160" i="7"/>
  <c r="J159" i="7"/>
  <c r="E159" i="7"/>
  <c r="J158" i="7"/>
  <c r="I158" i="7"/>
  <c r="E158" i="7"/>
  <c r="J157" i="7"/>
  <c r="I157" i="7"/>
  <c r="E157" i="7"/>
  <c r="K156" i="7"/>
  <c r="J156" i="7"/>
  <c r="I156" i="7"/>
  <c r="H156" i="7"/>
  <c r="G156" i="7"/>
  <c r="F156" i="7"/>
  <c r="K155" i="7"/>
  <c r="J155" i="7"/>
  <c r="I155" i="7"/>
  <c r="H155" i="7"/>
  <c r="G155" i="7"/>
  <c r="F155" i="7"/>
  <c r="K154" i="7"/>
  <c r="J154" i="7"/>
  <c r="I154" i="7"/>
  <c r="H154" i="7"/>
  <c r="G154" i="7"/>
  <c r="F154" i="7"/>
  <c r="K153" i="7"/>
  <c r="J153" i="7"/>
  <c r="I153" i="7"/>
  <c r="H153" i="7"/>
  <c r="G153" i="7"/>
  <c r="F153" i="7"/>
  <c r="C152" i="7"/>
  <c r="V151" i="7"/>
  <c r="K159" i="7" s="1"/>
  <c r="T151" i="7"/>
  <c r="K158" i="7" s="1"/>
  <c r="R151" i="7"/>
  <c r="K157" i="7" s="1"/>
  <c r="U151" i="7"/>
  <c r="I159" i="7" s="1"/>
  <c r="S151" i="7"/>
  <c r="Q151" i="7"/>
  <c r="E151" i="7"/>
  <c r="D151" i="7"/>
  <c r="I148" i="7"/>
  <c r="H148" i="7"/>
  <c r="G148" i="7"/>
  <c r="E148" i="7"/>
  <c r="J147" i="7"/>
  <c r="E147" i="7"/>
  <c r="K146" i="7"/>
  <c r="J146" i="7"/>
  <c r="E146" i="7"/>
  <c r="K145" i="7"/>
  <c r="J145" i="7"/>
  <c r="I145" i="7"/>
  <c r="E145" i="7"/>
  <c r="K144" i="7"/>
  <c r="J144" i="7"/>
  <c r="I144" i="7"/>
  <c r="H144" i="7"/>
  <c r="G144" i="7"/>
  <c r="F144" i="7"/>
  <c r="K143" i="7"/>
  <c r="J143" i="7"/>
  <c r="I143" i="7"/>
  <c r="H143" i="7"/>
  <c r="G143" i="7"/>
  <c r="F143" i="7"/>
  <c r="K142" i="7"/>
  <c r="J142" i="7"/>
  <c r="I142" i="7"/>
  <c r="H142" i="7"/>
  <c r="G142" i="7"/>
  <c r="F142" i="7"/>
  <c r="K141" i="7"/>
  <c r="J141" i="7"/>
  <c r="I141" i="7"/>
  <c r="H141" i="7"/>
  <c r="G141" i="7"/>
  <c r="F141" i="7"/>
  <c r="C140" i="7"/>
  <c r="V139" i="7"/>
  <c r="K147" i="7" s="1"/>
  <c r="T139" i="7"/>
  <c r="R139" i="7"/>
  <c r="U139" i="7"/>
  <c r="I147" i="7" s="1"/>
  <c r="S139" i="7"/>
  <c r="I146" i="7" s="1"/>
  <c r="Q139" i="7"/>
  <c r="E139" i="7"/>
  <c r="D139" i="7"/>
  <c r="I136" i="7"/>
  <c r="H136" i="7"/>
  <c r="G136" i="7"/>
  <c r="E136" i="7"/>
  <c r="J135" i="7"/>
  <c r="E135" i="7"/>
  <c r="J134" i="7"/>
  <c r="I134" i="7"/>
  <c r="E134" i="7"/>
  <c r="J133" i="7"/>
  <c r="E133" i="7"/>
  <c r="K132" i="7"/>
  <c r="J132" i="7"/>
  <c r="I132" i="7"/>
  <c r="H132" i="7"/>
  <c r="G132" i="7"/>
  <c r="F132" i="7"/>
  <c r="K131" i="7"/>
  <c r="J131" i="7"/>
  <c r="I131" i="7"/>
  <c r="H131" i="7"/>
  <c r="G131" i="7"/>
  <c r="F131" i="7"/>
  <c r="K130" i="7"/>
  <c r="J130" i="7"/>
  <c r="I130" i="7"/>
  <c r="H130" i="7"/>
  <c r="G130" i="7"/>
  <c r="F130" i="7"/>
  <c r="K129" i="7"/>
  <c r="J129" i="7"/>
  <c r="I129" i="7"/>
  <c r="H129" i="7"/>
  <c r="G129" i="7"/>
  <c r="F129" i="7"/>
  <c r="C128" i="7"/>
  <c r="V127" i="7"/>
  <c r="K135" i="7" s="1"/>
  <c r="T127" i="7"/>
  <c r="K134" i="7" s="1"/>
  <c r="R127" i="7"/>
  <c r="K133" i="7" s="1"/>
  <c r="U127" i="7"/>
  <c r="I135" i="7" s="1"/>
  <c r="S127" i="7"/>
  <c r="Q127" i="7"/>
  <c r="I133" i="7" s="1"/>
  <c r="E127" i="7"/>
  <c r="D127" i="7"/>
  <c r="A126" i="7"/>
  <c r="I124" i="7"/>
  <c r="J124" i="7"/>
  <c r="I123" i="7"/>
  <c r="J123" i="7"/>
  <c r="A122" i="7"/>
  <c r="K118" i="7"/>
  <c r="P119" i="7" s="1"/>
  <c r="J118" i="7"/>
  <c r="I118" i="7"/>
  <c r="O119" i="7" s="1"/>
  <c r="H118" i="7"/>
  <c r="G118" i="7"/>
  <c r="F118" i="7"/>
  <c r="V118" i="7"/>
  <c r="T118" i="7"/>
  <c r="R118" i="7"/>
  <c r="U118" i="7"/>
  <c r="S118" i="7"/>
  <c r="Q118" i="7"/>
  <c r="E118" i="7"/>
  <c r="D118" i="7"/>
  <c r="K115" i="7"/>
  <c r="J116" i="7" s="1"/>
  <c r="J115" i="7"/>
  <c r="I115" i="7"/>
  <c r="O116" i="7" s="1"/>
  <c r="H115" i="7"/>
  <c r="G115" i="7"/>
  <c r="F115" i="7"/>
  <c r="V115" i="7"/>
  <c r="T115" i="7"/>
  <c r="R115" i="7"/>
  <c r="U115" i="7"/>
  <c r="S115" i="7"/>
  <c r="Q115" i="7"/>
  <c r="E115" i="7"/>
  <c r="D115" i="7"/>
  <c r="K112" i="7"/>
  <c r="P113" i="7" s="1"/>
  <c r="J112" i="7"/>
  <c r="I112" i="7"/>
  <c r="O113" i="7" s="1"/>
  <c r="H112" i="7"/>
  <c r="G112" i="7"/>
  <c r="F112" i="7"/>
  <c r="V112" i="7"/>
  <c r="T112" i="7"/>
  <c r="R112" i="7"/>
  <c r="U112" i="7"/>
  <c r="S112" i="7"/>
  <c r="Q112" i="7"/>
  <c r="E112" i="7"/>
  <c r="D112" i="7"/>
  <c r="I109" i="7"/>
  <c r="H109" i="7"/>
  <c r="G109" i="7"/>
  <c r="E109" i="7"/>
  <c r="J108" i="7"/>
  <c r="E108" i="7"/>
  <c r="J107" i="7"/>
  <c r="E107" i="7"/>
  <c r="J106" i="7"/>
  <c r="E106" i="7"/>
  <c r="K105" i="7"/>
  <c r="J105" i="7"/>
  <c r="I105" i="7"/>
  <c r="H105" i="7"/>
  <c r="G105" i="7"/>
  <c r="F105" i="7"/>
  <c r="K104" i="7"/>
  <c r="J104" i="7"/>
  <c r="I104" i="7"/>
  <c r="H104" i="7"/>
  <c r="G104" i="7"/>
  <c r="F104" i="7"/>
  <c r="K103" i="7"/>
  <c r="J103" i="7"/>
  <c r="I103" i="7"/>
  <c r="H103" i="7"/>
  <c r="G103" i="7"/>
  <c r="F103" i="7"/>
  <c r="C102" i="7"/>
  <c r="V101" i="7"/>
  <c r="K108" i="7" s="1"/>
  <c r="T101" i="7"/>
  <c r="K107" i="7" s="1"/>
  <c r="R101" i="7"/>
  <c r="K106" i="7" s="1"/>
  <c r="U101" i="7"/>
  <c r="I108" i="7" s="1"/>
  <c r="S101" i="7"/>
  <c r="I107" i="7" s="1"/>
  <c r="Q101" i="7"/>
  <c r="I106" i="7" s="1"/>
  <c r="E101" i="7"/>
  <c r="D101" i="7"/>
  <c r="I98" i="7"/>
  <c r="H98" i="7"/>
  <c r="G98" i="7"/>
  <c r="E98" i="7"/>
  <c r="J97" i="7"/>
  <c r="E97" i="7"/>
  <c r="J96" i="7"/>
  <c r="E96" i="7"/>
  <c r="J95" i="7"/>
  <c r="E95" i="7"/>
  <c r="K94" i="7"/>
  <c r="J94" i="7"/>
  <c r="I94" i="7"/>
  <c r="H94" i="7"/>
  <c r="G94" i="7"/>
  <c r="F94" i="7"/>
  <c r="K93" i="7"/>
  <c r="J93" i="7"/>
  <c r="I93" i="7"/>
  <c r="H93" i="7"/>
  <c r="G93" i="7"/>
  <c r="F93" i="7"/>
  <c r="K92" i="7"/>
  <c r="J92" i="7"/>
  <c r="I92" i="7"/>
  <c r="H92" i="7"/>
  <c r="G92" i="7"/>
  <c r="F92" i="7"/>
  <c r="C91" i="7"/>
  <c r="V90" i="7"/>
  <c r="K97" i="7" s="1"/>
  <c r="T90" i="7"/>
  <c r="K96" i="7" s="1"/>
  <c r="R90" i="7"/>
  <c r="K95" i="7" s="1"/>
  <c r="U90" i="7"/>
  <c r="I97" i="7" s="1"/>
  <c r="S90" i="7"/>
  <c r="I96" i="7" s="1"/>
  <c r="Q90" i="7"/>
  <c r="I95" i="7" s="1"/>
  <c r="E90" i="7"/>
  <c r="D90" i="7"/>
  <c r="I87" i="7"/>
  <c r="H87" i="7"/>
  <c r="G87" i="7"/>
  <c r="E87" i="7"/>
  <c r="K86" i="7"/>
  <c r="J86" i="7"/>
  <c r="E86" i="7"/>
  <c r="J85" i="7"/>
  <c r="E85" i="7"/>
  <c r="K84" i="7"/>
  <c r="J84" i="7"/>
  <c r="I84" i="7"/>
  <c r="H84" i="7"/>
  <c r="G84" i="7"/>
  <c r="F84" i="7"/>
  <c r="K83" i="7"/>
  <c r="J83" i="7"/>
  <c r="I83" i="7"/>
  <c r="H83" i="7"/>
  <c r="G83" i="7"/>
  <c r="F83" i="7"/>
  <c r="C82" i="7"/>
  <c r="V81" i="7"/>
  <c r="T81" i="7"/>
  <c r="R81" i="7"/>
  <c r="K85" i="7" s="1"/>
  <c r="U81" i="7"/>
  <c r="S81" i="7"/>
  <c r="I86" i="7" s="1"/>
  <c r="Q81" i="7"/>
  <c r="I85" i="7" s="1"/>
  <c r="E81" i="7"/>
  <c r="D81" i="7"/>
  <c r="I78" i="7"/>
  <c r="H78" i="7"/>
  <c r="G78" i="7"/>
  <c r="E78" i="7"/>
  <c r="J77" i="7"/>
  <c r="E77" i="7"/>
  <c r="J76" i="7"/>
  <c r="E76" i="7"/>
  <c r="J75" i="7"/>
  <c r="E75" i="7"/>
  <c r="K74" i="7"/>
  <c r="J74" i="7"/>
  <c r="I74" i="7"/>
  <c r="H74" i="7"/>
  <c r="G74" i="7"/>
  <c r="F74" i="7"/>
  <c r="K73" i="7"/>
  <c r="J73" i="7"/>
  <c r="I73" i="7"/>
  <c r="H73" i="7"/>
  <c r="G73" i="7"/>
  <c r="F73" i="7"/>
  <c r="K72" i="7"/>
  <c r="J72" i="7"/>
  <c r="I72" i="7"/>
  <c r="H72" i="7"/>
  <c r="G72" i="7"/>
  <c r="F72" i="7"/>
  <c r="C71" i="7"/>
  <c r="V70" i="7"/>
  <c r="K77" i="7" s="1"/>
  <c r="T70" i="7"/>
  <c r="K76" i="7" s="1"/>
  <c r="R70" i="7"/>
  <c r="K75" i="7" s="1"/>
  <c r="U70" i="7"/>
  <c r="I77" i="7" s="1"/>
  <c r="S70" i="7"/>
  <c r="I76" i="7" s="1"/>
  <c r="Q70" i="7"/>
  <c r="I75" i="7" s="1"/>
  <c r="E70" i="7"/>
  <c r="D70" i="7"/>
  <c r="I67" i="7"/>
  <c r="H67" i="7"/>
  <c r="G67" i="7"/>
  <c r="E67" i="7"/>
  <c r="J66" i="7"/>
  <c r="E66" i="7"/>
  <c r="J65" i="7"/>
  <c r="E65" i="7"/>
  <c r="K64" i="7"/>
  <c r="J64" i="7"/>
  <c r="I64" i="7"/>
  <c r="H64" i="7"/>
  <c r="G64" i="7"/>
  <c r="F64" i="7"/>
  <c r="C63" i="7"/>
  <c r="V62" i="7"/>
  <c r="T62" i="7"/>
  <c r="K66" i="7" s="1"/>
  <c r="R62" i="7"/>
  <c r="K65" i="7" s="1"/>
  <c r="U62" i="7"/>
  <c r="S62" i="7"/>
  <c r="I66" i="7" s="1"/>
  <c r="Q62" i="7"/>
  <c r="I65" i="7" s="1"/>
  <c r="E62" i="7"/>
  <c r="D62" i="7"/>
  <c r="I59" i="7"/>
  <c r="H59" i="7"/>
  <c r="G59" i="7"/>
  <c r="E59" i="7"/>
  <c r="J58" i="7"/>
  <c r="E58" i="7"/>
  <c r="J57" i="7"/>
  <c r="I57" i="7"/>
  <c r="E57" i="7"/>
  <c r="J56" i="7"/>
  <c r="E56" i="7"/>
  <c r="K55" i="7"/>
  <c r="J55" i="7"/>
  <c r="I55" i="7"/>
  <c r="H55" i="7"/>
  <c r="G55" i="7"/>
  <c r="F55" i="7"/>
  <c r="K54" i="7"/>
  <c r="J54" i="7"/>
  <c r="I54" i="7"/>
  <c r="H54" i="7"/>
  <c r="G54" i="7"/>
  <c r="F54" i="7"/>
  <c r="K53" i="7"/>
  <c r="J53" i="7"/>
  <c r="I53" i="7"/>
  <c r="H53" i="7"/>
  <c r="G53" i="7"/>
  <c r="F53" i="7"/>
  <c r="C52" i="7"/>
  <c r="V51" i="7"/>
  <c r="K58" i="7" s="1"/>
  <c r="T51" i="7"/>
  <c r="K57" i="7" s="1"/>
  <c r="R51" i="7"/>
  <c r="K56" i="7" s="1"/>
  <c r="U51" i="7"/>
  <c r="I58" i="7" s="1"/>
  <c r="S51" i="7"/>
  <c r="Q51" i="7"/>
  <c r="I56" i="7" s="1"/>
  <c r="E51" i="7"/>
  <c r="D51" i="7"/>
  <c r="I48" i="7"/>
  <c r="H48" i="7"/>
  <c r="G48" i="7"/>
  <c r="E48" i="7"/>
  <c r="J47" i="7"/>
  <c r="I47" i="7"/>
  <c r="E47" i="7"/>
  <c r="J46" i="7"/>
  <c r="E46" i="7"/>
  <c r="J45" i="7"/>
  <c r="E45" i="7"/>
  <c r="K44" i="7"/>
  <c r="J44" i="7"/>
  <c r="I44" i="7"/>
  <c r="H44" i="7"/>
  <c r="G44" i="7"/>
  <c r="F44" i="7"/>
  <c r="K43" i="7"/>
  <c r="J43" i="7"/>
  <c r="I43" i="7"/>
  <c r="H43" i="7"/>
  <c r="G43" i="7"/>
  <c r="F43" i="7"/>
  <c r="K42" i="7"/>
  <c r="J42" i="7"/>
  <c r="I42" i="7"/>
  <c r="H42" i="7"/>
  <c r="G42" i="7"/>
  <c r="F42" i="7"/>
  <c r="C41" i="7"/>
  <c r="V40" i="7"/>
  <c r="K47" i="7" s="1"/>
  <c r="T40" i="7"/>
  <c r="K46" i="7" s="1"/>
  <c r="R40" i="7"/>
  <c r="K45" i="7" s="1"/>
  <c r="U40" i="7"/>
  <c r="S40" i="7"/>
  <c r="I46" i="7" s="1"/>
  <c r="Q40" i="7"/>
  <c r="I45" i="7" s="1"/>
  <c r="E40" i="7"/>
  <c r="D40" i="7"/>
  <c r="I37" i="7"/>
  <c r="H37" i="7"/>
  <c r="G37" i="7"/>
  <c r="E37" i="7"/>
  <c r="J36" i="7"/>
  <c r="E36" i="7"/>
  <c r="J35" i="7"/>
  <c r="E35" i="7"/>
  <c r="K34" i="7"/>
  <c r="J34" i="7"/>
  <c r="I34" i="7"/>
  <c r="H34" i="7"/>
  <c r="G34" i="7"/>
  <c r="F34" i="7"/>
  <c r="C33" i="7"/>
  <c r="V32" i="7"/>
  <c r="T32" i="7"/>
  <c r="K36" i="7" s="1"/>
  <c r="R32" i="7"/>
  <c r="K35" i="7" s="1"/>
  <c r="U32" i="7"/>
  <c r="S32" i="7"/>
  <c r="I36" i="7" s="1"/>
  <c r="Q32" i="7"/>
  <c r="I35" i="7" s="1"/>
  <c r="E32" i="7"/>
  <c r="D32" i="7"/>
  <c r="A31" i="7"/>
  <c r="A29" i="7"/>
  <c r="A11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" i="3"/>
  <c r="Y1" i="3"/>
  <c r="CX1" i="3" s="1"/>
  <c r="CU1" i="3"/>
  <c r="CV1" i="3"/>
  <c r="CY1" i="3"/>
  <c r="CZ1" i="3"/>
  <c r="DA1" i="3"/>
  <c r="DB1" i="3"/>
  <c r="DC1" i="3"/>
  <c r="A2" i="3"/>
  <c r="Y2" i="3"/>
  <c r="CY2" i="3"/>
  <c r="CZ2" i="3"/>
  <c r="DA2" i="3"/>
  <c r="DB2" i="3"/>
  <c r="DC2" i="3"/>
  <c r="A3" i="3"/>
  <c r="Y3" i="3"/>
  <c r="CY3" i="3"/>
  <c r="CZ3" i="3"/>
  <c r="DA3" i="3"/>
  <c r="DB3" i="3"/>
  <c r="DC3" i="3"/>
  <c r="A4" i="3"/>
  <c r="Y4" i="3"/>
  <c r="CY4" i="3"/>
  <c r="CZ4" i="3"/>
  <c r="DA4" i="3"/>
  <c r="DB4" i="3"/>
  <c r="DC4" i="3"/>
  <c r="A5" i="3"/>
  <c r="Y5" i="3"/>
  <c r="CY5" i="3"/>
  <c r="CZ5" i="3"/>
  <c r="DA5" i="3"/>
  <c r="DB5" i="3"/>
  <c r="DC5" i="3"/>
  <c r="A6" i="3"/>
  <c r="Y6" i="3"/>
  <c r="CY6" i="3"/>
  <c r="CZ6" i="3"/>
  <c r="DA6" i="3"/>
  <c r="DB6" i="3"/>
  <c r="DC6" i="3"/>
  <c r="A7" i="3"/>
  <c r="Y7" i="3"/>
  <c r="CV7" i="3" s="1"/>
  <c r="CY7" i="3"/>
  <c r="CZ7" i="3"/>
  <c r="DB7" i="3" s="1"/>
  <c r="DA7" i="3"/>
  <c r="DC7" i="3"/>
  <c r="A8" i="3"/>
  <c r="Y8" i="3"/>
  <c r="CY8" i="3"/>
  <c r="CZ8" i="3"/>
  <c r="DA8" i="3"/>
  <c r="DB8" i="3"/>
  <c r="DC8" i="3"/>
  <c r="A9" i="3"/>
  <c r="Y9" i="3"/>
  <c r="CY9" i="3"/>
  <c r="CZ9" i="3"/>
  <c r="DA9" i="3"/>
  <c r="DB9" i="3"/>
  <c r="DC9" i="3"/>
  <c r="A10" i="3"/>
  <c r="Y10" i="3"/>
  <c r="CW10" i="3" s="1"/>
  <c r="CX10" i="3"/>
  <c r="CY10" i="3"/>
  <c r="CZ10" i="3"/>
  <c r="DB10" i="3" s="1"/>
  <c r="DA10" i="3"/>
  <c r="DC10" i="3"/>
  <c r="A11" i="3"/>
  <c r="Y11" i="3"/>
  <c r="CY11" i="3"/>
  <c r="CZ11" i="3"/>
  <c r="DB11" i="3" s="1"/>
  <c r="DA11" i="3"/>
  <c r="DC11" i="3"/>
  <c r="A12" i="3"/>
  <c r="Y12" i="3"/>
  <c r="CY12" i="3"/>
  <c r="CZ12" i="3"/>
  <c r="DB12" i="3" s="1"/>
  <c r="DA12" i="3"/>
  <c r="DC12" i="3"/>
  <c r="A13" i="3"/>
  <c r="Y13" i="3"/>
  <c r="CY13" i="3"/>
  <c r="CZ13" i="3"/>
  <c r="DB13" i="3" s="1"/>
  <c r="DA13" i="3"/>
  <c r="DC13" i="3"/>
  <c r="A14" i="3"/>
  <c r="Y14" i="3"/>
  <c r="CY14" i="3"/>
  <c r="CZ14" i="3"/>
  <c r="DB14" i="3" s="1"/>
  <c r="DA14" i="3"/>
  <c r="DC14" i="3"/>
  <c r="A15" i="3"/>
  <c r="Y15" i="3"/>
  <c r="CY15" i="3"/>
  <c r="CZ15" i="3"/>
  <c r="DA15" i="3"/>
  <c r="DB15" i="3"/>
  <c r="DC15" i="3"/>
  <c r="A16" i="3"/>
  <c r="Y16" i="3"/>
  <c r="CY16" i="3"/>
  <c r="CZ16" i="3"/>
  <c r="DA16" i="3"/>
  <c r="DB16" i="3"/>
  <c r="DC16" i="3"/>
  <c r="A17" i="3"/>
  <c r="Y17" i="3"/>
  <c r="CY17" i="3"/>
  <c r="CZ17" i="3"/>
  <c r="DA17" i="3"/>
  <c r="DB17" i="3"/>
  <c r="DC17" i="3"/>
  <c r="A18" i="3"/>
  <c r="Y18" i="3"/>
  <c r="CW18" i="3"/>
  <c r="CY18" i="3"/>
  <c r="CZ18" i="3"/>
  <c r="DA18" i="3"/>
  <c r="DB18" i="3"/>
  <c r="DC18" i="3"/>
  <c r="A19" i="3"/>
  <c r="Y19" i="3"/>
  <c r="CU19" i="3"/>
  <c r="CY19" i="3"/>
  <c r="CZ19" i="3"/>
  <c r="DA19" i="3"/>
  <c r="DB19" i="3"/>
  <c r="DC19" i="3"/>
  <c r="A20" i="3"/>
  <c r="Y20" i="3"/>
  <c r="CY20" i="3"/>
  <c r="CZ20" i="3"/>
  <c r="DA20" i="3"/>
  <c r="DB20" i="3"/>
  <c r="DC20" i="3"/>
  <c r="A21" i="3"/>
  <c r="Y21" i="3"/>
  <c r="CU21" i="3"/>
  <c r="CY21" i="3"/>
  <c r="CZ21" i="3"/>
  <c r="DB21" i="3" s="1"/>
  <c r="DA21" i="3"/>
  <c r="DC21" i="3"/>
  <c r="A22" i="3"/>
  <c r="Y22" i="3"/>
  <c r="CX22" i="3" s="1"/>
  <c r="CY22" i="3"/>
  <c r="CZ22" i="3"/>
  <c r="DA22" i="3"/>
  <c r="DB22" i="3"/>
  <c r="DC22" i="3"/>
  <c r="A23" i="3"/>
  <c r="Y23" i="3"/>
  <c r="CX23" i="3" s="1"/>
  <c r="CY23" i="3"/>
  <c r="CZ23" i="3"/>
  <c r="DA23" i="3"/>
  <c r="DB23" i="3"/>
  <c r="DC23" i="3"/>
  <c r="DF23" i="3"/>
  <c r="DJ23" i="3" s="1"/>
  <c r="DH23" i="3"/>
  <c r="A24" i="3"/>
  <c r="Y24" i="3"/>
  <c r="CX24" i="3" s="1"/>
  <c r="CY24" i="3"/>
  <c r="CZ24" i="3"/>
  <c r="DA24" i="3"/>
  <c r="DB24" i="3"/>
  <c r="DC24" i="3"/>
  <c r="DG24" i="3"/>
  <c r="DH24" i="3"/>
  <c r="A25" i="3"/>
  <c r="Y25" i="3"/>
  <c r="CY25" i="3"/>
  <c r="CZ25" i="3"/>
  <c r="DA25" i="3"/>
  <c r="DB25" i="3"/>
  <c r="DC25" i="3"/>
  <c r="A26" i="3"/>
  <c r="Y26" i="3"/>
  <c r="CY26" i="3"/>
  <c r="CZ26" i="3"/>
  <c r="DA26" i="3"/>
  <c r="DB26" i="3"/>
  <c r="DC26" i="3"/>
  <c r="A27" i="3"/>
  <c r="Y27" i="3"/>
  <c r="CY27" i="3"/>
  <c r="CZ27" i="3"/>
  <c r="DA27" i="3"/>
  <c r="DB27" i="3"/>
  <c r="DC27" i="3"/>
  <c r="A28" i="3"/>
  <c r="Y28" i="3"/>
  <c r="CY28" i="3"/>
  <c r="CZ28" i="3"/>
  <c r="DB28" i="3" s="1"/>
  <c r="DA28" i="3"/>
  <c r="DC28" i="3"/>
  <c r="A29" i="3"/>
  <c r="Y29" i="3"/>
  <c r="CV29" i="3"/>
  <c r="CY29" i="3"/>
  <c r="CZ29" i="3"/>
  <c r="DB29" i="3" s="1"/>
  <c r="DA29" i="3"/>
  <c r="DC29" i="3"/>
  <c r="A30" i="3"/>
  <c r="Y30" i="3"/>
  <c r="CY30" i="3"/>
  <c r="CZ30" i="3"/>
  <c r="DB30" i="3" s="1"/>
  <c r="DA30" i="3"/>
  <c r="DC30" i="3"/>
  <c r="A31" i="3"/>
  <c r="Y31" i="3"/>
  <c r="CY31" i="3"/>
  <c r="CZ31" i="3"/>
  <c r="DA31" i="3"/>
  <c r="DB31" i="3"/>
  <c r="DC31" i="3"/>
  <c r="A32" i="3"/>
  <c r="Y32" i="3"/>
  <c r="CY32" i="3"/>
  <c r="CZ32" i="3"/>
  <c r="DB32" i="3" s="1"/>
  <c r="DA32" i="3"/>
  <c r="DC32" i="3"/>
  <c r="A33" i="3"/>
  <c r="Y33" i="3"/>
  <c r="CU33" i="3"/>
  <c r="CV33" i="3"/>
  <c r="CY33" i="3"/>
  <c r="CZ33" i="3"/>
  <c r="DA33" i="3"/>
  <c r="DB33" i="3"/>
  <c r="DC33" i="3"/>
  <c r="A34" i="3"/>
  <c r="Y34" i="3"/>
  <c r="CW34" i="3" s="1"/>
  <c r="CX34" i="3"/>
  <c r="CY34" i="3"/>
  <c r="CZ34" i="3"/>
  <c r="DA34" i="3"/>
  <c r="DB34" i="3"/>
  <c r="DC34" i="3"/>
  <c r="A35" i="3"/>
  <c r="Y35" i="3"/>
  <c r="CY35" i="3"/>
  <c r="CZ35" i="3"/>
  <c r="DA35" i="3"/>
  <c r="DB35" i="3"/>
  <c r="DC35" i="3"/>
  <c r="A36" i="3"/>
  <c r="Y36" i="3"/>
  <c r="CW36" i="3" s="1"/>
  <c r="CX36" i="3"/>
  <c r="CY36" i="3"/>
  <c r="CZ36" i="3"/>
  <c r="DB36" i="3" s="1"/>
  <c r="DA36" i="3"/>
  <c r="DC36" i="3"/>
  <c r="DH36" i="3"/>
  <c r="A37" i="3"/>
  <c r="Y37" i="3"/>
  <c r="CX37" i="3" s="1"/>
  <c r="CU37" i="3"/>
  <c r="CV37" i="3"/>
  <c r="CY37" i="3"/>
  <c r="CZ37" i="3"/>
  <c r="DA37" i="3"/>
  <c r="DB37" i="3"/>
  <c r="DC37" i="3"/>
  <c r="DF37" i="3"/>
  <c r="DH37" i="3"/>
  <c r="A38" i="3"/>
  <c r="Y38" i="3"/>
  <c r="CW38" i="3"/>
  <c r="CX38" i="3"/>
  <c r="CY38" i="3"/>
  <c r="CZ38" i="3"/>
  <c r="DA38" i="3"/>
  <c r="DB38" i="3"/>
  <c r="DC38" i="3"/>
  <c r="DF38" i="3"/>
  <c r="A39" i="3"/>
  <c r="Y39" i="3"/>
  <c r="CW39" i="3" s="1"/>
  <c r="CX39" i="3"/>
  <c r="CY39" i="3"/>
  <c r="CZ39" i="3"/>
  <c r="DB39" i="3" s="1"/>
  <c r="DA39" i="3"/>
  <c r="DC39" i="3"/>
  <c r="A40" i="3"/>
  <c r="Y40" i="3"/>
  <c r="CW40" i="3"/>
  <c r="CX40" i="3"/>
  <c r="CY40" i="3"/>
  <c r="CZ40" i="3"/>
  <c r="DB40" i="3" s="1"/>
  <c r="DA40" i="3"/>
  <c r="DC40" i="3"/>
  <c r="A41" i="3"/>
  <c r="Y41" i="3"/>
  <c r="CU41" i="3"/>
  <c r="CV41" i="3"/>
  <c r="CX41" i="3"/>
  <c r="CY41" i="3"/>
  <c r="CZ41" i="3"/>
  <c r="DB41" i="3" s="1"/>
  <c r="DA41" i="3"/>
  <c r="DC41" i="3"/>
  <c r="DF41" i="3"/>
  <c r="A42" i="3"/>
  <c r="Y42" i="3"/>
  <c r="CW42" i="3" s="1"/>
  <c r="CX42" i="3"/>
  <c r="CY42" i="3"/>
  <c r="CZ42" i="3"/>
  <c r="DB42" i="3" s="1"/>
  <c r="DA42" i="3"/>
  <c r="DC42" i="3"/>
  <c r="DG42" i="3"/>
  <c r="DH42" i="3"/>
  <c r="DJ42" i="3"/>
  <c r="A43" i="3"/>
  <c r="Y43" i="3"/>
  <c r="CW43" i="3" s="1"/>
  <c r="CX43" i="3"/>
  <c r="DI43" i="3" s="1"/>
  <c r="CY43" i="3"/>
  <c r="CZ43" i="3"/>
  <c r="DB43" i="3" s="1"/>
  <c r="DA43" i="3"/>
  <c r="DC43" i="3"/>
  <c r="DF43" i="3"/>
  <c r="DG43" i="3"/>
  <c r="DJ43" i="3" s="1"/>
  <c r="DH43" i="3"/>
  <c r="A44" i="3"/>
  <c r="Y44" i="3"/>
  <c r="CY44" i="3"/>
  <c r="CZ44" i="3"/>
  <c r="DB44" i="3" s="1"/>
  <c r="DA44" i="3"/>
  <c r="DC44" i="3"/>
  <c r="A45" i="3"/>
  <c r="Y45" i="3"/>
  <c r="CY45" i="3"/>
  <c r="CZ45" i="3"/>
  <c r="DB45" i="3" s="1"/>
  <c r="DA45" i="3"/>
  <c r="DC45" i="3"/>
  <c r="A46" i="3"/>
  <c r="Y46" i="3"/>
  <c r="CY46" i="3"/>
  <c r="CZ46" i="3"/>
  <c r="DB46" i="3" s="1"/>
  <c r="DA46" i="3"/>
  <c r="DC46" i="3"/>
  <c r="A47" i="3"/>
  <c r="Y47" i="3"/>
  <c r="CY47" i="3"/>
  <c r="CZ47" i="3"/>
  <c r="DA47" i="3"/>
  <c r="DB47" i="3"/>
  <c r="DC47" i="3"/>
  <c r="A48" i="3"/>
  <c r="Y48" i="3"/>
  <c r="CY48" i="3"/>
  <c r="CZ48" i="3"/>
  <c r="DA48" i="3"/>
  <c r="DB48" i="3"/>
  <c r="DC48" i="3"/>
  <c r="A49" i="3"/>
  <c r="Y49" i="3"/>
  <c r="CY49" i="3"/>
  <c r="CZ49" i="3"/>
  <c r="DA49" i="3"/>
  <c r="DB49" i="3"/>
  <c r="DC49" i="3"/>
  <c r="A50" i="3"/>
  <c r="Y50" i="3"/>
  <c r="CY50" i="3"/>
  <c r="CZ50" i="3"/>
  <c r="DB50" i="3" s="1"/>
  <c r="DA50" i="3"/>
  <c r="DC50" i="3"/>
  <c r="A51" i="3"/>
  <c r="Y51" i="3"/>
  <c r="CW51" i="3" s="1"/>
  <c r="CY51" i="3"/>
  <c r="CZ51" i="3"/>
  <c r="DA51" i="3"/>
  <c r="DB51" i="3"/>
  <c r="DC51" i="3"/>
  <c r="A52" i="3"/>
  <c r="Y52" i="3"/>
  <c r="CY52" i="3"/>
  <c r="CZ52" i="3"/>
  <c r="DA52" i="3"/>
  <c r="DB52" i="3"/>
  <c r="DC52" i="3"/>
  <c r="A53" i="3"/>
  <c r="Y53" i="3"/>
  <c r="CX53" i="3"/>
  <c r="CY53" i="3"/>
  <c r="CZ53" i="3"/>
  <c r="DA53" i="3"/>
  <c r="DB53" i="3"/>
  <c r="DC53" i="3"/>
  <c r="A54" i="3"/>
  <c r="Y54" i="3"/>
  <c r="CY54" i="3"/>
  <c r="CZ54" i="3"/>
  <c r="DB54" i="3" s="1"/>
  <c r="DA54" i="3"/>
  <c r="DC54" i="3"/>
  <c r="DF54" i="3"/>
  <c r="DH54" i="3"/>
  <c r="A55" i="3"/>
  <c r="Y55" i="3"/>
  <c r="CU55" i="3"/>
  <c r="CY55" i="3"/>
  <c r="CZ55" i="3"/>
  <c r="DB55" i="3" s="1"/>
  <c r="DA55" i="3"/>
  <c r="DC55" i="3"/>
  <c r="A56" i="3"/>
  <c r="Y56" i="3"/>
  <c r="CW56" i="3"/>
  <c r="CX56" i="3"/>
  <c r="CY56" i="3"/>
  <c r="CZ56" i="3"/>
  <c r="DB56" i="3" s="1"/>
  <c r="DA56" i="3"/>
  <c r="DC56" i="3"/>
  <c r="A57" i="3"/>
  <c r="Y57" i="3"/>
  <c r="CW57" i="3" s="1"/>
  <c r="CX57" i="3"/>
  <c r="CY57" i="3"/>
  <c r="CZ57" i="3"/>
  <c r="DB57" i="3" s="1"/>
  <c r="DA57" i="3"/>
  <c r="DC57" i="3"/>
  <c r="A58" i="3"/>
  <c r="Y58" i="3"/>
  <c r="CY58" i="3"/>
  <c r="CZ58" i="3"/>
  <c r="DA58" i="3"/>
  <c r="DB58" i="3"/>
  <c r="DC58" i="3"/>
  <c r="A59" i="3"/>
  <c r="Y59" i="3"/>
  <c r="CX59" i="3" s="1"/>
  <c r="CW59" i="3"/>
  <c r="CY59" i="3"/>
  <c r="CZ59" i="3"/>
  <c r="DB59" i="3" s="1"/>
  <c r="DA59" i="3"/>
  <c r="DC59" i="3"/>
  <c r="DF59" i="3"/>
  <c r="DG59" i="3"/>
  <c r="DJ59" i="3" s="1"/>
  <c r="DH59" i="3"/>
  <c r="DI59" i="3"/>
  <c r="A60" i="3"/>
  <c r="Y60" i="3"/>
  <c r="CU60" i="3"/>
  <c r="CV60" i="3"/>
  <c r="CX60" i="3"/>
  <c r="CY60" i="3"/>
  <c r="CZ60" i="3"/>
  <c r="DA60" i="3"/>
  <c r="DB60" i="3"/>
  <c r="DC60" i="3"/>
  <c r="A61" i="3"/>
  <c r="Y61" i="3"/>
  <c r="CW61" i="3"/>
  <c r="CX61" i="3"/>
  <c r="CY61" i="3"/>
  <c r="CZ61" i="3"/>
  <c r="DA61" i="3"/>
  <c r="DB61" i="3"/>
  <c r="DC61" i="3"/>
  <c r="A62" i="3"/>
  <c r="Y62" i="3"/>
  <c r="CW62" i="3"/>
  <c r="CX62" i="3"/>
  <c r="CY62" i="3"/>
  <c r="CZ62" i="3"/>
  <c r="DB62" i="3" s="1"/>
  <c r="DA62" i="3"/>
  <c r="DC62" i="3"/>
  <c r="DF62" i="3"/>
  <c r="A63" i="3"/>
  <c r="Y63" i="3"/>
  <c r="CY63" i="3"/>
  <c r="CZ63" i="3"/>
  <c r="DB63" i="3" s="1"/>
  <c r="DA63" i="3"/>
  <c r="DC63" i="3"/>
  <c r="A64" i="3"/>
  <c r="Y64" i="3"/>
  <c r="CW64" i="3" s="1"/>
  <c r="CY64" i="3"/>
  <c r="CZ64" i="3"/>
  <c r="DA64" i="3"/>
  <c r="DB64" i="3"/>
  <c r="DC64" i="3"/>
  <c r="A65" i="3"/>
  <c r="Y65" i="3"/>
  <c r="CU65" i="3"/>
  <c r="CV65" i="3"/>
  <c r="CX65" i="3"/>
  <c r="CY65" i="3"/>
  <c r="CZ65" i="3"/>
  <c r="DA65" i="3"/>
  <c r="DB65" i="3"/>
  <c r="DC65" i="3"/>
  <c r="A66" i="3"/>
  <c r="Y66" i="3"/>
  <c r="CX66" i="3" s="1"/>
  <c r="CW66" i="3"/>
  <c r="CY66" i="3"/>
  <c r="CZ66" i="3"/>
  <c r="DB66" i="3" s="1"/>
  <c r="DA66" i="3"/>
  <c r="DC66" i="3"/>
  <c r="A67" i="3"/>
  <c r="Y67" i="3"/>
  <c r="CW67" i="3"/>
  <c r="CX67" i="3"/>
  <c r="CY67" i="3"/>
  <c r="CZ67" i="3"/>
  <c r="DB67" i="3" s="1"/>
  <c r="DA67" i="3"/>
  <c r="DC67" i="3"/>
  <c r="A68" i="3"/>
  <c r="Y68" i="3"/>
  <c r="CX68" i="3" s="1"/>
  <c r="DH68" i="3" s="1"/>
  <c r="CW68" i="3"/>
  <c r="CY68" i="3"/>
  <c r="CZ68" i="3"/>
  <c r="DB68" i="3" s="1"/>
  <c r="DA68" i="3"/>
  <c r="DC68" i="3"/>
  <c r="DF68" i="3"/>
  <c r="DG68" i="3"/>
  <c r="DJ68" i="3" s="1"/>
  <c r="DI68" i="3"/>
  <c r="A69" i="3"/>
  <c r="Y69" i="3"/>
  <c r="CY69" i="3"/>
  <c r="CZ69" i="3"/>
  <c r="DA69" i="3"/>
  <c r="DB69" i="3"/>
  <c r="DC69" i="3"/>
  <c r="A70" i="3"/>
  <c r="Y70" i="3"/>
  <c r="CX70" i="3" s="1"/>
  <c r="DF70" i="3" s="1"/>
  <c r="CW70" i="3"/>
  <c r="CY70" i="3"/>
  <c r="CZ70" i="3"/>
  <c r="DB70" i="3" s="1"/>
  <c r="DA70" i="3"/>
  <c r="DC70" i="3"/>
  <c r="DG70" i="3"/>
  <c r="DJ70" i="3" s="1"/>
  <c r="DH70" i="3"/>
  <c r="DI70" i="3"/>
  <c r="A71" i="3"/>
  <c r="Y71" i="3"/>
  <c r="CX71" i="3"/>
  <c r="CY71" i="3"/>
  <c r="CZ71" i="3"/>
  <c r="DB71" i="3" s="1"/>
  <c r="DA71" i="3"/>
  <c r="DC71" i="3"/>
  <c r="DH71" i="3"/>
  <c r="A72" i="3"/>
  <c r="Y72" i="3"/>
  <c r="CX72" i="3"/>
  <c r="CY72" i="3"/>
  <c r="CZ72" i="3"/>
  <c r="DB72" i="3" s="1"/>
  <c r="DA72" i="3"/>
  <c r="DC72" i="3"/>
  <c r="A73" i="3"/>
  <c r="Y73" i="3"/>
  <c r="CX73" i="3" s="1"/>
  <c r="CY73" i="3"/>
  <c r="CZ73" i="3"/>
  <c r="DA73" i="3"/>
  <c r="DB73" i="3"/>
  <c r="DC73" i="3"/>
  <c r="DF73" i="3"/>
  <c r="DJ73" i="3" s="1"/>
  <c r="A74" i="3"/>
  <c r="Y74" i="3"/>
  <c r="CU74" i="3"/>
  <c r="CY74" i="3"/>
  <c r="CZ74" i="3"/>
  <c r="DB74" i="3" s="1"/>
  <c r="DA74" i="3"/>
  <c r="DC74" i="3"/>
  <c r="A75" i="3"/>
  <c r="Y75" i="3"/>
  <c r="CY75" i="3"/>
  <c r="CZ75" i="3"/>
  <c r="DB75" i="3" s="1"/>
  <c r="DA75" i="3"/>
  <c r="DC75" i="3"/>
  <c r="A76" i="3"/>
  <c r="Y76" i="3"/>
  <c r="CY76" i="3"/>
  <c r="CZ76" i="3"/>
  <c r="DA76" i="3"/>
  <c r="DB76" i="3"/>
  <c r="DC76" i="3"/>
  <c r="A77" i="3"/>
  <c r="Y77" i="3"/>
  <c r="CX77" i="3" s="1"/>
  <c r="DI77" i="3" s="1"/>
  <c r="CW77" i="3"/>
  <c r="CY77" i="3"/>
  <c r="CZ77" i="3"/>
  <c r="DB77" i="3" s="1"/>
  <c r="DA77" i="3"/>
  <c r="DC77" i="3"/>
  <c r="DF77" i="3"/>
  <c r="DG77" i="3"/>
  <c r="DJ77" i="3" s="1"/>
  <c r="DH77" i="3"/>
  <c r="A78" i="3"/>
  <c r="Y78" i="3"/>
  <c r="CW78" i="3"/>
  <c r="CX78" i="3"/>
  <c r="CY78" i="3"/>
  <c r="CZ78" i="3"/>
  <c r="DB78" i="3" s="1"/>
  <c r="DA78" i="3"/>
  <c r="DC78" i="3"/>
  <c r="DG78" i="3"/>
  <c r="DJ78" i="3" s="1"/>
  <c r="DI78" i="3"/>
  <c r="A79" i="3"/>
  <c r="Y79" i="3"/>
  <c r="CY79" i="3"/>
  <c r="CZ79" i="3"/>
  <c r="DA79" i="3"/>
  <c r="DB79" i="3"/>
  <c r="DC79" i="3"/>
  <c r="A80" i="3"/>
  <c r="Y80" i="3"/>
  <c r="CX80" i="3" s="1"/>
  <c r="CY80" i="3"/>
  <c r="CZ80" i="3"/>
  <c r="DA80" i="3"/>
  <c r="DB80" i="3"/>
  <c r="DC80" i="3"/>
  <c r="A81" i="3"/>
  <c r="Y81" i="3"/>
  <c r="CX81" i="3"/>
  <c r="CY81" i="3"/>
  <c r="CZ81" i="3"/>
  <c r="DB81" i="3" s="1"/>
  <c r="DA81" i="3"/>
  <c r="DC81" i="3"/>
  <c r="A82" i="3"/>
  <c r="Y82" i="3"/>
  <c r="CX82" i="3"/>
  <c r="CY82" i="3"/>
  <c r="CZ82" i="3"/>
  <c r="DA82" i="3"/>
  <c r="DB82" i="3"/>
  <c r="DC82" i="3"/>
  <c r="DH82" i="3"/>
  <c r="A83" i="3"/>
  <c r="Y83" i="3"/>
  <c r="CU83" i="3"/>
  <c r="CY83" i="3"/>
  <c r="CZ83" i="3"/>
  <c r="DB83" i="3" s="1"/>
  <c r="DA83" i="3"/>
  <c r="DC83" i="3"/>
  <c r="A84" i="3"/>
  <c r="Y84" i="3"/>
  <c r="CU84" i="3"/>
  <c r="CV84" i="3"/>
  <c r="CX84" i="3"/>
  <c r="DI84" i="3" s="1"/>
  <c r="DJ84" i="3" s="1"/>
  <c r="CY84" i="3"/>
  <c r="CZ84" i="3"/>
  <c r="DB84" i="3" s="1"/>
  <c r="DA84" i="3"/>
  <c r="DC84" i="3"/>
  <c r="DF84" i="3"/>
  <c r="DG84" i="3"/>
  <c r="DH84" i="3"/>
  <c r="A85" i="3"/>
  <c r="Y85" i="3"/>
  <c r="CU85" i="3"/>
  <c r="CV85" i="3"/>
  <c r="CX85" i="3"/>
  <c r="CY85" i="3"/>
  <c r="CZ85" i="3"/>
  <c r="DA85" i="3"/>
  <c r="DB85" i="3"/>
  <c r="DC85" i="3"/>
  <c r="DG85" i="3"/>
  <c r="DI85" i="3"/>
  <c r="DJ85" i="3" s="1"/>
  <c r="A86" i="3"/>
  <c r="Y86" i="3"/>
  <c r="CU86" i="3"/>
  <c r="CV86" i="3"/>
  <c r="CX86" i="3"/>
  <c r="CY86" i="3"/>
  <c r="CZ86" i="3"/>
  <c r="DA86" i="3"/>
  <c r="DB86" i="3"/>
  <c r="DC86" i="3"/>
  <c r="DF86" i="3"/>
  <c r="DH86" i="3"/>
  <c r="A87" i="3"/>
  <c r="Y87" i="3"/>
  <c r="CU87" i="3"/>
  <c r="CY87" i="3"/>
  <c r="CZ87" i="3"/>
  <c r="DA87" i="3"/>
  <c r="DB87" i="3"/>
  <c r="DC87" i="3"/>
  <c r="A88" i="3"/>
  <c r="Y88" i="3"/>
  <c r="CU88" i="3"/>
  <c r="CV88" i="3"/>
  <c r="CX88" i="3"/>
  <c r="DI88" i="3" s="1"/>
  <c r="CY88" i="3"/>
  <c r="CZ88" i="3"/>
  <c r="DA88" i="3"/>
  <c r="DB88" i="3"/>
  <c r="DC88" i="3"/>
  <c r="DF88" i="3"/>
  <c r="DG88" i="3"/>
  <c r="DH88" i="3"/>
  <c r="DJ88" i="3"/>
  <c r="A89" i="3"/>
  <c r="Y89" i="3"/>
  <c r="CX89" i="3" s="1"/>
  <c r="DF89" i="3" s="1"/>
  <c r="CU89" i="3"/>
  <c r="CV89" i="3"/>
  <c r="CY89" i="3"/>
  <c r="CZ89" i="3"/>
  <c r="DB89" i="3" s="1"/>
  <c r="DA89" i="3"/>
  <c r="DC89" i="3"/>
  <c r="DG89" i="3"/>
  <c r="DH89" i="3"/>
  <c r="DI89" i="3"/>
  <c r="DJ89" i="3" s="1"/>
  <c r="A90" i="3"/>
  <c r="Y90" i="3"/>
  <c r="CU90" i="3"/>
  <c r="CV90" i="3"/>
  <c r="CX90" i="3"/>
  <c r="CY90" i="3"/>
  <c r="CZ90" i="3"/>
  <c r="DA90" i="3"/>
  <c r="DB90" i="3"/>
  <c r="DC90" i="3"/>
  <c r="A91" i="3"/>
  <c r="Y91" i="3"/>
  <c r="CX91" i="3" s="1"/>
  <c r="CU91" i="3"/>
  <c r="CV91" i="3"/>
  <c r="CY91" i="3"/>
  <c r="CZ91" i="3"/>
  <c r="DA91" i="3"/>
  <c r="DB91" i="3"/>
  <c r="DC91" i="3"/>
  <c r="DH91" i="3"/>
  <c r="DI91" i="3"/>
  <c r="DJ91" i="3" s="1"/>
  <c r="A92" i="3"/>
  <c r="Y92" i="3"/>
  <c r="CU92" i="3"/>
  <c r="CV92" i="3"/>
  <c r="CX92" i="3"/>
  <c r="CY92" i="3"/>
  <c r="CZ92" i="3"/>
  <c r="DA92" i="3"/>
  <c r="DB92" i="3"/>
  <c r="DC92" i="3"/>
  <c r="A93" i="3"/>
  <c r="Y93" i="3"/>
  <c r="CU93" i="3"/>
  <c r="CV93" i="3"/>
  <c r="CX93" i="3"/>
  <c r="CY93" i="3"/>
  <c r="CZ93" i="3"/>
  <c r="DB93" i="3" s="1"/>
  <c r="DA93" i="3"/>
  <c r="DC93" i="3"/>
  <c r="A94" i="3"/>
  <c r="Y94" i="3"/>
  <c r="CV94" i="3" s="1"/>
  <c r="CU94" i="3"/>
  <c r="CX94" i="3"/>
  <c r="CY94" i="3"/>
  <c r="CZ94" i="3"/>
  <c r="DB94" i="3" s="1"/>
  <c r="DA94" i="3"/>
  <c r="DC94" i="3"/>
  <c r="DH94" i="3"/>
  <c r="A95" i="3"/>
  <c r="Y95" i="3"/>
  <c r="CX95" i="3" s="1"/>
  <c r="CU95" i="3"/>
  <c r="CV95" i="3"/>
  <c r="CY95" i="3"/>
  <c r="CZ95" i="3"/>
  <c r="DA95" i="3"/>
  <c r="DB95" i="3"/>
  <c r="DC95" i="3"/>
  <c r="DF95" i="3"/>
  <c r="DH95" i="3"/>
  <c r="A96" i="3"/>
  <c r="Y96" i="3"/>
  <c r="CU96" i="3"/>
  <c r="CV96" i="3"/>
  <c r="CX96" i="3"/>
  <c r="CY96" i="3"/>
  <c r="CZ96" i="3"/>
  <c r="DA96" i="3"/>
  <c r="DB96" i="3"/>
  <c r="DC96" i="3"/>
  <c r="DG96" i="3"/>
  <c r="DH96" i="3"/>
  <c r="A97" i="3"/>
  <c r="Y97" i="3"/>
  <c r="CU97" i="3"/>
  <c r="CY97" i="3"/>
  <c r="CZ97" i="3"/>
  <c r="DB97" i="3" s="1"/>
  <c r="DA97" i="3"/>
  <c r="DC97" i="3"/>
  <c r="A98" i="3"/>
  <c r="Y98" i="3"/>
  <c r="CV98" i="3" s="1"/>
  <c r="CU98" i="3"/>
  <c r="CX98" i="3"/>
  <c r="DF98" i="3" s="1"/>
  <c r="CY98" i="3"/>
  <c r="CZ98" i="3"/>
  <c r="DA98" i="3"/>
  <c r="DB98" i="3"/>
  <c r="DC98" i="3"/>
  <c r="DG98" i="3"/>
  <c r="DH98" i="3"/>
  <c r="DI98" i="3"/>
  <c r="DJ98" i="3" s="1"/>
  <c r="A99" i="3"/>
  <c r="Y99" i="3"/>
  <c r="CU99" i="3"/>
  <c r="CY99" i="3"/>
  <c r="CZ99" i="3"/>
  <c r="DB99" i="3" s="1"/>
  <c r="DA99" i="3"/>
  <c r="DC99" i="3"/>
  <c r="A100" i="3"/>
  <c r="Y100" i="3"/>
  <c r="CU100" i="3"/>
  <c r="CV100" i="3"/>
  <c r="CX100" i="3"/>
  <c r="CY100" i="3"/>
  <c r="CZ100" i="3"/>
  <c r="DB100" i="3" s="1"/>
  <c r="DA100" i="3"/>
  <c r="DC100" i="3"/>
  <c r="DG100" i="3"/>
  <c r="DH100" i="3"/>
  <c r="A101" i="3"/>
  <c r="Y101" i="3"/>
  <c r="CU101" i="3"/>
  <c r="CV101" i="3"/>
  <c r="CX101" i="3"/>
  <c r="CY101" i="3"/>
  <c r="CZ101" i="3"/>
  <c r="DB101" i="3" s="1"/>
  <c r="DA101" i="3"/>
  <c r="DC101" i="3"/>
  <c r="A102" i="3"/>
  <c r="Y102" i="3"/>
  <c r="CU102" i="3"/>
  <c r="CY102" i="3"/>
  <c r="CZ102" i="3"/>
  <c r="DB102" i="3" s="1"/>
  <c r="DA102" i="3"/>
  <c r="DC102" i="3"/>
  <c r="A103" i="3"/>
  <c r="Y103" i="3"/>
  <c r="CU103" i="3"/>
  <c r="CY103" i="3"/>
  <c r="CZ103" i="3"/>
  <c r="DA103" i="3"/>
  <c r="DB103" i="3"/>
  <c r="DC103" i="3"/>
  <c r="A104" i="3"/>
  <c r="Y104" i="3"/>
  <c r="CU104" i="3"/>
  <c r="CV104" i="3"/>
  <c r="CX104" i="3"/>
  <c r="DI104" i="3" s="1"/>
  <c r="CY104" i="3"/>
  <c r="CZ104" i="3"/>
  <c r="DB104" i="3" s="1"/>
  <c r="DA104" i="3"/>
  <c r="DC104" i="3"/>
  <c r="DF104" i="3"/>
  <c r="DG104" i="3"/>
  <c r="DH104" i="3"/>
  <c r="DJ104" i="3"/>
  <c r="A105" i="3"/>
  <c r="Y105" i="3"/>
  <c r="CU105" i="3"/>
  <c r="CV105" i="3"/>
  <c r="CX105" i="3"/>
  <c r="DF105" i="3" s="1"/>
  <c r="CY105" i="3"/>
  <c r="CZ105" i="3"/>
  <c r="DA105" i="3"/>
  <c r="DB105" i="3"/>
  <c r="DC105" i="3"/>
  <c r="DG105" i="3"/>
  <c r="DH105" i="3"/>
  <c r="DI105" i="3"/>
  <c r="DJ105" i="3" s="1"/>
  <c r="A106" i="3"/>
  <c r="Y106" i="3"/>
  <c r="CU106" i="3"/>
  <c r="CY106" i="3"/>
  <c r="CZ106" i="3"/>
  <c r="DA106" i="3"/>
  <c r="DB106" i="3"/>
  <c r="DC106" i="3"/>
  <c r="A107" i="3"/>
  <c r="Y107" i="3"/>
  <c r="CU107" i="3"/>
  <c r="CY107" i="3"/>
  <c r="CZ107" i="3"/>
  <c r="DA107" i="3"/>
  <c r="DB107" i="3"/>
  <c r="DC107" i="3"/>
  <c r="A108" i="3"/>
  <c r="Y108" i="3"/>
  <c r="CU108" i="3"/>
  <c r="CV108" i="3"/>
  <c r="CX108" i="3"/>
  <c r="DI108" i="3" s="1"/>
  <c r="CY108" i="3"/>
  <c r="CZ108" i="3"/>
  <c r="DB108" i="3" s="1"/>
  <c r="DA108" i="3"/>
  <c r="DC108" i="3"/>
  <c r="DF108" i="3"/>
  <c r="DG108" i="3"/>
  <c r="DH108" i="3"/>
  <c r="DJ108" i="3"/>
  <c r="A109" i="3"/>
  <c r="Y109" i="3"/>
  <c r="CV109" i="3" s="1"/>
  <c r="CU109" i="3"/>
  <c r="CX109" i="3"/>
  <c r="DF109" i="3" s="1"/>
  <c r="CY109" i="3"/>
  <c r="CZ109" i="3"/>
  <c r="DA109" i="3"/>
  <c r="DB109" i="3"/>
  <c r="DC109" i="3"/>
  <c r="DG109" i="3"/>
  <c r="DH109" i="3"/>
  <c r="DI109" i="3"/>
  <c r="DJ109" i="3"/>
  <c r="A110" i="3"/>
  <c r="Y110" i="3"/>
  <c r="CV110" i="3" s="1"/>
  <c r="CU110" i="3"/>
  <c r="CX110" i="3"/>
  <c r="DI110" i="3" s="1"/>
  <c r="DJ110" i="3" s="1"/>
  <c r="CY110" i="3"/>
  <c r="CZ110" i="3"/>
  <c r="DA110" i="3"/>
  <c r="DB110" i="3"/>
  <c r="DC110" i="3"/>
  <c r="DF110" i="3"/>
  <c r="DG110" i="3"/>
  <c r="DH110" i="3"/>
  <c r="A111" i="3"/>
  <c r="Y111" i="3"/>
  <c r="CU111" i="3"/>
  <c r="CY111" i="3"/>
  <c r="CZ111" i="3"/>
  <c r="DA111" i="3"/>
  <c r="DB111" i="3"/>
  <c r="DC111" i="3"/>
  <c r="A112" i="3"/>
  <c r="Y112" i="3"/>
  <c r="CU112" i="3"/>
  <c r="CV112" i="3"/>
  <c r="CX112" i="3"/>
  <c r="CY112" i="3"/>
  <c r="CZ112" i="3"/>
  <c r="DA112" i="3"/>
  <c r="DB112" i="3"/>
  <c r="DC112" i="3"/>
  <c r="DH112" i="3"/>
  <c r="A113" i="3"/>
  <c r="Y113" i="3"/>
  <c r="CY113" i="3"/>
  <c r="CZ113" i="3"/>
  <c r="DB113" i="3" s="1"/>
  <c r="DA113" i="3"/>
  <c r="DC113" i="3"/>
  <c r="A114" i="3"/>
  <c r="Y114" i="3"/>
  <c r="CU114" i="3"/>
  <c r="CY114" i="3"/>
  <c r="CZ114" i="3"/>
  <c r="DA114" i="3"/>
  <c r="DB114" i="3"/>
  <c r="DC114" i="3"/>
  <c r="A115" i="3"/>
  <c r="Y115" i="3"/>
  <c r="CU115" i="3"/>
  <c r="CY115" i="3"/>
  <c r="CZ115" i="3"/>
  <c r="DA115" i="3"/>
  <c r="DB115" i="3"/>
  <c r="DC115" i="3"/>
  <c r="A116" i="3"/>
  <c r="Y116" i="3"/>
  <c r="CY116" i="3"/>
  <c r="CZ116" i="3"/>
  <c r="DA116" i="3"/>
  <c r="DB116" i="3"/>
  <c r="DC116" i="3"/>
  <c r="A117" i="3"/>
  <c r="Y117" i="3"/>
  <c r="CU117" i="3"/>
  <c r="CV117" i="3"/>
  <c r="CX117" i="3"/>
  <c r="CY117" i="3"/>
  <c r="CZ117" i="3"/>
  <c r="DA117" i="3"/>
  <c r="DB117" i="3"/>
  <c r="DC117" i="3"/>
  <c r="DI117" i="3"/>
  <c r="DJ117" i="3"/>
  <c r="A118" i="3"/>
  <c r="Y118" i="3"/>
  <c r="CX118" i="3" s="1"/>
  <c r="DG118" i="3" s="1"/>
  <c r="CU118" i="3"/>
  <c r="CV118" i="3"/>
  <c r="CY118" i="3"/>
  <c r="CZ118" i="3"/>
  <c r="DB118" i="3" s="1"/>
  <c r="DA118" i="3"/>
  <c r="DC118" i="3"/>
  <c r="DF118" i="3"/>
  <c r="DH118" i="3"/>
  <c r="DI118" i="3"/>
  <c r="DJ118" i="3"/>
  <c r="A119" i="3"/>
  <c r="Y119" i="3"/>
  <c r="CU119" i="3"/>
  <c r="CY119" i="3"/>
  <c r="CZ119" i="3"/>
  <c r="DA119" i="3"/>
  <c r="DB119" i="3"/>
  <c r="DC119" i="3"/>
  <c r="A120" i="3"/>
  <c r="Y120" i="3"/>
  <c r="CU120" i="3"/>
  <c r="CY120" i="3"/>
  <c r="CZ120" i="3"/>
  <c r="DA120" i="3"/>
  <c r="DB120" i="3"/>
  <c r="DC120" i="3"/>
  <c r="A121" i="3"/>
  <c r="Y121" i="3"/>
  <c r="CU121" i="3"/>
  <c r="CV121" i="3"/>
  <c r="CX121" i="3"/>
  <c r="CY121" i="3"/>
  <c r="CZ121" i="3"/>
  <c r="DB121" i="3" s="1"/>
  <c r="DA121" i="3"/>
  <c r="DC121" i="3"/>
  <c r="DG121" i="3"/>
  <c r="A122" i="3"/>
  <c r="Y122" i="3"/>
  <c r="CV122" i="3" s="1"/>
  <c r="CU122" i="3"/>
  <c r="CX122" i="3"/>
  <c r="CY122" i="3"/>
  <c r="CZ122" i="3"/>
  <c r="DB122" i="3" s="1"/>
  <c r="DA122" i="3"/>
  <c r="DC122" i="3"/>
  <c r="DI122" i="3"/>
  <c r="DJ122" i="3"/>
  <c r="A123" i="3"/>
  <c r="Y123" i="3"/>
  <c r="CU123" i="3"/>
  <c r="CY123" i="3"/>
  <c r="CZ123" i="3"/>
  <c r="DA123" i="3"/>
  <c r="DB123" i="3"/>
  <c r="DC123" i="3"/>
  <c r="A124" i="3"/>
  <c r="Y124" i="3"/>
  <c r="CU124" i="3"/>
  <c r="CY124" i="3"/>
  <c r="CZ124" i="3"/>
  <c r="DB124" i="3" s="1"/>
  <c r="DA124" i="3"/>
  <c r="DC124" i="3"/>
  <c r="A125" i="3"/>
  <c r="Y125" i="3"/>
  <c r="CU125" i="3"/>
  <c r="CV125" i="3"/>
  <c r="CX125" i="3"/>
  <c r="CY125" i="3"/>
  <c r="CZ125" i="3"/>
  <c r="DB125" i="3" s="1"/>
  <c r="DA125" i="3"/>
  <c r="DC125" i="3"/>
  <c r="DF125" i="3"/>
  <c r="A126" i="3"/>
  <c r="Y126" i="3"/>
  <c r="CX126" i="3" s="1"/>
  <c r="CU126" i="3"/>
  <c r="CV126" i="3"/>
  <c r="CY126" i="3"/>
  <c r="CZ126" i="3"/>
  <c r="DB126" i="3" s="1"/>
  <c r="DA126" i="3"/>
  <c r="DC126" i="3"/>
  <c r="DG126" i="3"/>
  <c r="DI126" i="3"/>
  <c r="DJ126" i="3" s="1"/>
  <c r="A127" i="3"/>
  <c r="Y127" i="3"/>
  <c r="CV127" i="3" s="1"/>
  <c r="CU127" i="3"/>
  <c r="CX127" i="3"/>
  <c r="CY127" i="3"/>
  <c r="CZ127" i="3"/>
  <c r="DB127" i="3" s="1"/>
  <c r="DA127" i="3"/>
  <c r="DC127" i="3"/>
  <c r="DI127" i="3"/>
  <c r="DJ127" i="3" s="1"/>
  <c r="A128" i="3"/>
  <c r="Y128" i="3"/>
  <c r="CX128" i="3" s="1"/>
  <c r="CU128" i="3"/>
  <c r="CV128" i="3"/>
  <c r="CY128" i="3"/>
  <c r="CZ128" i="3"/>
  <c r="DB128" i="3" s="1"/>
  <c r="DA128" i="3"/>
  <c r="DC128" i="3"/>
  <c r="DG128" i="3"/>
  <c r="DH128" i="3"/>
  <c r="A129" i="3"/>
  <c r="Y129" i="3"/>
  <c r="CU129" i="3"/>
  <c r="CV129" i="3"/>
  <c r="CX129" i="3"/>
  <c r="DI129" i="3" s="1"/>
  <c r="CY129" i="3"/>
  <c r="CZ129" i="3"/>
  <c r="DB129" i="3" s="1"/>
  <c r="DA129" i="3"/>
  <c r="DC129" i="3"/>
  <c r="DF129" i="3"/>
  <c r="DG129" i="3"/>
  <c r="DH129" i="3"/>
  <c r="DJ129" i="3"/>
  <c r="A130" i="3"/>
  <c r="Y130" i="3"/>
  <c r="CW130" i="3" s="1"/>
  <c r="CX130" i="3"/>
  <c r="CY130" i="3"/>
  <c r="CZ130" i="3"/>
  <c r="DB130" i="3" s="1"/>
  <c r="DA130" i="3"/>
  <c r="DC130" i="3"/>
  <c r="A131" i="3"/>
  <c r="Y131" i="3"/>
  <c r="CW131" i="3"/>
  <c r="CX131" i="3"/>
  <c r="CY131" i="3"/>
  <c r="CZ131" i="3"/>
  <c r="DB131" i="3" s="1"/>
  <c r="DA131" i="3"/>
  <c r="DC131" i="3"/>
  <c r="A132" i="3"/>
  <c r="Y132" i="3"/>
  <c r="CW132" i="3"/>
  <c r="CX132" i="3"/>
  <c r="CY132" i="3"/>
  <c r="CZ132" i="3"/>
  <c r="DB132" i="3" s="1"/>
  <c r="DA132" i="3"/>
  <c r="DC132" i="3"/>
  <c r="A133" i="3"/>
  <c r="Y133" i="3"/>
  <c r="CX133" i="3"/>
  <c r="DG133" i="3" s="1"/>
  <c r="CY133" i="3"/>
  <c r="CZ133" i="3"/>
  <c r="DA133" i="3"/>
  <c r="DB133" i="3"/>
  <c r="DC133" i="3"/>
  <c r="DF133" i="3"/>
  <c r="DJ133" i="3" s="1"/>
  <c r="DH133" i="3"/>
  <c r="DI133" i="3"/>
  <c r="A134" i="3"/>
  <c r="Y134" i="3"/>
  <c r="CX134" i="3"/>
  <c r="DF134" i="3" s="1"/>
  <c r="DJ134" i="3" s="1"/>
  <c r="CY134" i="3"/>
  <c r="CZ134" i="3"/>
  <c r="DB134" i="3" s="1"/>
  <c r="DA134" i="3"/>
  <c r="DC134" i="3"/>
  <c r="DG134" i="3"/>
  <c r="DH134" i="3"/>
  <c r="DI134" i="3"/>
  <c r="A135" i="3"/>
  <c r="Y135" i="3"/>
  <c r="CX135" i="3" s="1"/>
  <c r="CY135" i="3"/>
  <c r="CZ135" i="3"/>
  <c r="DA135" i="3"/>
  <c r="DB135" i="3"/>
  <c r="DC135" i="3"/>
  <c r="DH135" i="3"/>
  <c r="DI135" i="3"/>
  <c r="A136" i="3"/>
  <c r="Y136" i="3"/>
  <c r="CX136" i="3"/>
  <c r="DF136" i="3" s="1"/>
  <c r="CY136" i="3"/>
  <c r="CZ136" i="3"/>
  <c r="DA136" i="3"/>
  <c r="DB136" i="3"/>
  <c r="DC136" i="3"/>
  <c r="DG136" i="3"/>
  <c r="DH136" i="3"/>
  <c r="DI136" i="3"/>
  <c r="DJ136" i="3"/>
  <c r="A137" i="3"/>
  <c r="Y137" i="3"/>
  <c r="CX137" i="3" s="1"/>
  <c r="DF137" i="3" s="1"/>
  <c r="DJ137" i="3" s="1"/>
  <c r="CY137" i="3"/>
  <c r="CZ137" i="3"/>
  <c r="DB137" i="3" s="1"/>
  <c r="DA137" i="3"/>
  <c r="DC137" i="3"/>
  <c r="DG137" i="3"/>
  <c r="DH137" i="3"/>
  <c r="DI137" i="3"/>
  <c r="A138" i="3"/>
  <c r="Y138" i="3"/>
  <c r="CX138" i="3" s="1"/>
  <c r="CY138" i="3"/>
  <c r="CZ138" i="3"/>
  <c r="DB138" i="3" s="1"/>
  <c r="DA138" i="3"/>
  <c r="DC138" i="3"/>
  <c r="A139" i="3"/>
  <c r="Y139" i="3"/>
  <c r="CX139" i="3" s="1"/>
  <c r="CY139" i="3"/>
  <c r="CZ139" i="3"/>
  <c r="DB139" i="3" s="1"/>
  <c r="DA139" i="3"/>
  <c r="DC139" i="3"/>
  <c r="A140" i="3"/>
  <c r="Y140" i="3"/>
  <c r="CU140" i="3"/>
  <c r="CV140" i="3"/>
  <c r="CX140" i="3"/>
  <c r="CY140" i="3"/>
  <c r="CZ140" i="3"/>
  <c r="DA140" i="3"/>
  <c r="DB140" i="3"/>
  <c r="DC140" i="3"/>
  <c r="A141" i="3"/>
  <c r="Y141" i="3"/>
  <c r="CY141" i="3"/>
  <c r="CZ141" i="3"/>
  <c r="DB141" i="3" s="1"/>
  <c r="DA141" i="3"/>
  <c r="DC141" i="3"/>
  <c r="A142" i="3"/>
  <c r="Y142" i="3"/>
  <c r="CW142" i="3"/>
  <c r="CX142" i="3"/>
  <c r="CY142" i="3"/>
  <c r="CZ142" i="3"/>
  <c r="DA142" i="3"/>
  <c r="DB142" i="3"/>
  <c r="DC142" i="3"/>
  <c r="DI142" i="3"/>
  <c r="A143" i="3"/>
  <c r="Y143" i="3"/>
  <c r="CX143" i="3" s="1"/>
  <c r="CW143" i="3"/>
  <c r="CY143" i="3"/>
  <c r="CZ143" i="3"/>
  <c r="DA143" i="3"/>
  <c r="DB143" i="3"/>
  <c r="DC143" i="3"/>
  <c r="A144" i="3"/>
  <c r="Y144" i="3"/>
  <c r="CX144" i="3"/>
  <c r="CY144" i="3"/>
  <c r="CZ144" i="3"/>
  <c r="DB144" i="3" s="1"/>
  <c r="DA144" i="3"/>
  <c r="DC144" i="3"/>
  <c r="A145" i="3"/>
  <c r="Y145" i="3"/>
  <c r="CX145" i="3" s="1"/>
  <c r="CY145" i="3"/>
  <c r="CZ145" i="3"/>
  <c r="DB145" i="3" s="1"/>
  <c r="DA145" i="3"/>
  <c r="DC145" i="3"/>
  <c r="DI145" i="3"/>
  <c r="A146" i="3"/>
  <c r="Y146" i="3"/>
  <c r="CX146" i="3" s="1"/>
  <c r="CY146" i="3"/>
  <c r="CZ146" i="3"/>
  <c r="DA146" i="3"/>
  <c r="DB146" i="3"/>
  <c r="DC146" i="3"/>
  <c r="DI146" i="3"/>
  <c r="A147" i="3"/>
  <c r="Y147" i="3"/>
  <c r="CX147" i="3" s="1"/>
  <c r="CY147" i="3"/>
  <c r="CZ147" i="3"/>
  <c r="DB147" i="3" s="1"/>
  <c r="DA147" i="3"/>
  <c r="DC147" i="3"/>
  <c r="A148" i="3"/>
  <c r="Y148" i="3"/>
  <c r="CX148" i="3" s="1"/>
  <c r="DF148" i="3" s="1"/>
  <c r="DJ148" i="3" s="1"/>
  <c r="CY148" i="3"/>
  <c r="CZ148" i="3"/>
  <c r="DA148" i="3"/>
  <c r="DB148" i="3"/>
  <c r="DC148" i="3"/>
  <c r="DG148" i="3"/>
  <c r="DH148" i="3"/>
  <c r="DI148" i="3"/>
  <c r="A149" i="3"/>
  <c r="Y149" i="3"/>
  <c r="CX149" i="3"/>
  <c r="DI149" i="3" s="1"/>
  <c r="CY149" i="3"/>
  <c r="CZ149" i="3"/>
  <c r="DA149" i="3"/>
  <c r="DB149" i="3"/>
  <c r="DC149" i="3"/>
  <c r="DF149" i="3"/>
  <c r="DJ149" i="3" s="1"/>
  <c r="DG149" i="3"/>
  <c r="DH149" i="3"/>
  <c r="A150" i="3"/>
  <c r="Y150" i="3"/>
  <c r="CX150" i="3"/>
  <c r="DI150" i="3" s="1"/>
  <c r="CY150" i="3"/>
  <c r="CZ150" i="3"/>
  <c r="DB150" i="3" s="1"/>
  <c r="DA150" i="3"/>
  <c r="DC150" i="3"/>
  <c r="DF150" i="3"/>
  <c r="DJ150" i="3" s="1"/>
  <c r="DG150" i="3"/>
  <c r="DH150" i="3"/>
  <c r="A151" i="3"/>
  <c r="Y151" i="3"/>
  <c r="CU151" i="3"/>
  <c r="CY151" i="3"/>
  <c r="CZ151" i="3"/>
  <c r="DA151" i="3"/>
  <c r="DB151" i="3"/>
  <c r="DC151" i="3"/>
  <c r="A152" i="3"/>
  <c r="Y152" i="3"/>
  <c r="CY152" i="3"/>
  <c r="CZ152" i="3"/>
  <c r="DA152" i="3"/>
  <c r="DB152" i="3"/>
  <c r="DC152" i="3"/>
  <c r="A153" i="3"/>
  <c r="Y153" i="3"/>
  <c r="CX153" i="3" s="1"/>
  <c r="CW153" i="3"/>
  <c r="CY153" i="3"/>
  <c r="CZ153" i="3"/>
  <c r="DA153" i="3"/>
  <c r="DB153" i="3"/>
  <c r="DC153" i="3"/>
  <c r="A154" i="3"/>
  <c r="Y154" i="3"/>
  <c r="CX154" i="3" s="1"/>
  <c r="CY154" i="3"/>
  <c r="CZ154" i="3"/>
  <c r="DB154" i="3" s="1"/>
  <c r="DA154" i="3"/>
  <c r="DC154" i="3"/>
  <c r="DH154" i="3"/>
  <c r="A155" i="3"/>
  <c r="Y155" i="3"/>
  <c r="CX155" i="3"/>
  <c r="CY155" i="3"/>
  <c r="CZ155" i="3"/>
  <c r="DB155" i="3" s="1"/>
  <c r="DA155" i="3"/>
  <c r="DC155" i="3"/>
  <c r="A156" i="3"/>
  <c r="Y156" i="3"/>
  <c r="CX156" i="3" s="1"/>
  <c r="CY156" i="3"/>
  <c r="CZ156" i="3"/>
  <c r="DA156" i="3"/>
  <c r="DB156" i="3"/>
  <c r="DC156" i="3"/>
  <c r="A157" i="3"/>
  <c r="Y157" i="3"/>
  <c r="CX157" i="3" s="1"/>
  <c r="CY157" i="3"/>
  <c r="CZ157" i="3"/>
  <c r="DA157" i="3"/>
  <c r="DB157" i="3"/>
  <c r="DC157" i="3"/>
  <c r="A158" i="3"/>
  <c r="Y158" i="3"/>
  <c r="CX158" i="3" s="1"/>
  <c r="CY158" i="3"/>
  <c r="CZ158" i="3"/>
  <c r="DA158" i="3"/>
  <c r="DB158" i="3"/>
  <c r="DC158" i="3"/>
  <c r="DF158" i="3"/>
  <c r="DG158" i="3"/>
  <c r="DH158" i="3"/>
  <c r="DI158" i="3"/>
  <c r="DJ158" i="3"/>
  <c r="A159" i="3"/>
  <c r="Y159" i="3"/>
  <c r="CX159" i="3"/>
  <c r="CY159" i="3"/>
  <c r="CZ159" i="3"/>
  <c r="DA159" i="3"/>
  <c r="DB159" i="3"/>
  <c r="DC159" i="3"/>
  <c r="A160" i="3"/>
  <c r="Y160" i="3"/>
  <c r="CX160" i="3" s="1"/>
  <c r="CY160" i="3"/>
  <c r="CZ160" i="3"/>
  <c r="DA160" i="3"/>
  <c r="DB160" i="3"/>
  <c r="DC160" i="3"/>
  <c r="A161" i="3"/>
  <c r="Y161" i="3"/>
  <c r="CX161" i="3" s="1"/>
  <c r="DI161" i="3" s="1"/>
  <c r="CY161" i="3"/>
  <c r="CZ161" i="3"/>
  <c r="DA161" i="3"/>
  <c r="DB161" i="3"/>
  <c r="DC161" i="3"/>
  <c r="DF161" i="3"/>
  <c r="DG161" i="3"/>
  <c r="DH161" i="3"/>
  <c r="DJ161" i="3"/>
  <c r="A162" i="3"/>
  <c r="Y162" i="3"/>
  <c r="CU162" i="3"/>
  <c r="CV162" i="3"/>
  <c r="CX162" i="3"/>
  <c r="CY162" i="3"/>
  <c r="CZ162" i="3"/>
  <c r="DB162" i="3" s="1"/>
  <c r="DA162" i="3"/>
  <c r="DC162" i="3"/>
  <c r="DG162" i="3"/>
  <c r="DH162" i="3"/>
  <c r="A163" i="3"/>
  <c r="Y163" i="3"/>
  <c r="CW163" i="3"/>
  <c r="CX163" i="3"/>
  <c r="DH163" i="3" s="1"/>
  <c r="CY163" i="3"/>
  <c r="CZ163" i="3"/>
  <c r="DB163" i="3" s="1"/>
  <c r="DA163" i="3"/>
  <c r="DC163" i="3"/>
  <c r="DF163" i="3"/>
  <c r="DG163" i="3"/>
  <c r="DJ163" i="3" s="1"/>
  <c r="DI163" i="3"/>
  <c r="A164" i="3"/>
  <c r="Y164" i="3"/>
  <c r="CW164" i="3" s="1"/>
  <c r="CY164" i="3"/>
  <c r="CZ164" i="3"/>
  <c r="DA164" i="3"/>
  <c r="DB164" i="3"/>
  <c r="DC164" i="3"/>
  <c r="A165" i="3"/>
  <c r="Y165" i="3"/>
  <c r="CY165" i="3"/>
  <c r="CZ165" i="3"/>
  <c r="DB165" i="3" s="1"/>
  <c r="DA165" i="3"/>
  <c r="DC165" i="3"/>
  <c r="A166" i="3"/>
  <c r="Y166" i="3"/>
  <c r="CX166" i="3"/>
  <c r="CY166" i="3"/>
  <c r="CZ166" i="3"/>
  <c r="DB166" i="3" s="1"/>
  <c r="DA166" i="3"/>
  <c r="DC166" i="3"/>
  <c r="DF166" i="3"/>
  <c r="DJ166" i="3" s="1"/>
  <c r="A167" i="3"/>
  <c r="Y167" i="3"/>
  <c r="CX167" i="3"/>
  <c r="CY167" i="3"/>
  <c r="CZ167" i="3"/>
  <c r="DB167" i="3" s="1"/>
  <c r="DA167" i="3"/>
  <c r="DC167" i="3"/>
  <c r="A168" i="3"/>
  <c r="Y168" i="3"/>
  <c r="CX168" i="3"/>
  <c r="CY168" i="3"/>
  <c r="CZ168" i="3"/>
  <c r="DB168" i="3" s="1"/>
  <c r="DA168" i="3"/>
  <c r="DC168" i="3"/>
  <c r="DG168" i="3"/>
  <c r="A169" i="3"/>
  <c r="Y169" i="3"/>
  <c r="CX169" i="3"/>
  <c r="CY169" i="3"/>
  <c r="CZ169" i="3"/>
  <c r="DA169" i="3"/>
  <c r="DB169" i="3"/>
  <c r="DC169" i="3"/>
  <c r="A170" i="3"/>
  <c r="Y170" i="3"/>
  <c r="CX170" i="3"/>
  <c r="CY170" i="3"/>
  <c r="CZ170" i="3"/>
  <c r="DA170" i="3"/>
  <c r="DB170" i="3"/>
  <c r="DC170" i="3"/>
  <c r="A171" i="3"/>
  <c r="Y171" i="3"/>
  <c r="CX171" i="3"/>
  <c r="CY171" i="3"/>
  <c r="CZ171" i="3"/>
  <c r="DA171" i="3"/>
  <c r="DB171" i="3"/>
  <c r="DC171" i="3"/>
  <c r="DG171" i="3"/>
  <c r="DH171" i="3"/>
  <c r="A172" i="3"/>
  <c r="Y172" i="3"/>
  <c r="CX172" i="3"/>
  <c r="CY172" i="3"/>
  <c r="CZ172" i="3"/>
  <c r="DA172" i="3"/>
  <c r="DB172" i="3"/>
  <c r="DC172" i="3"/>
  <c r="DG172" i="3"/>
  <c r="DI172" i="3"/>
  <c r="A173" i="3"/>
  <c r="Y173" i="3"/>
  <c r="CV173" i="3" s="1"/>
  <c r="CU173" i="3"/>
  <c r="CX173" i="3"/>
  <c r="DH173" i="3" s="1"/>
  <c r="CY173" i="3"/>
  <c r="CZ173" i="3"/>
  <c r="DA173" i="3"/>
  <c r="DB173" i="3"/>
  <c r="DC173" i="3"/>
  <c r="DF173" i="3"/>
  <c r="DG173" i="3"/>
  <c r="DI173" i="3"/>
  <c r="DJ173" i="3" s="1"/>
  <c r="A174" i="3"/>
  <c r="Y174" i="3"/>
  <c r="CV174" i="3" s="1"/>
  <c r="CU174" i="3"/>
  <c r="CX174" i="3"/>
  <c r="CY174" i="3"/>
  <c r="CZ174" i="3"/>
  <c r="DA174" i="3"/>
  <c r="DB174" i="3"/>
  <c r="DC174" i="3"/>
  <c r="DG174" i="3"/>
  <c r="DH174" i="3"/>
  <c r="A175" i="3"/>
  <c r="Y175" i="3"/>
  <c r="CX175" i="3" s="1"/>
  <c r="CU175" i="3"/>
  <c r="CV175" i="3"/>
  <c r="CY175" i="3"/>
  <c r="CZ175" i="3"/>
  <c r="DB175" i="3" s="1"/>
  <c r="DA175" i="3"/>
  <c r="DC175" i="3"/>
  <c r="DF175" i="3"/>
  <c r="DG175" i="3"/>
  <c r="A176" i="3"/>
  <c r="Y176" i="3"/>
  <c r="CU176" i="3"/>
  <c r="CY176" i="3"/>
  <c r="CZ176" i="3"/>
  <c r="DA176" i="3"/>
  <c r="DB176" i="3"/>
  <c r="DC176" i="3"/>
  <c r="A177" i="3"/>
  <c r="Y177" i="3"/>
  <c r="CU177" i="3"/>
  <c r="CY177" i="3"/>
  <c r="CZ177" i="3"/>
  <c r="DA177" i="3"/>
  <c r="DB177" i="3"/>
  <c r="DC177" i="3"/>
  <c r="A178" i="3"/>
  <c r="Y178" i="3"/>
  <c r="CV178" i="3" s="1"/>
  <c r="CU178" i="3"/>
  <c r="CX178" i="3"/>
  <c r="CY178" i="3"/>
  <c r="CZ178" i="3"/>
  <c r="DB178" i="3" s="1"/>
  <c r="DA178" i="3"/>
  <c r="DC178" i="3"/>
  <c r="A179" i="3"/>
  <c r="Y179" i="3"/>
  <c r="CU179" i="3"/>
  <c r="CY179" i="3"/>
  <c r="CZ179" i="3"/>
  <c r="DA179" i="3"/>
  <c r="DB179" i="3"/>
  <c r="DC179" i="3"/>
  <c r="A180" i="3"/>
  <c r="Y180" i="3"/>
  <c r="CU180" i="3"/>
  <c r="CY180" i="3"/>
  <c r="CZ180" i="3"/>
  <c r="DB180" i="3" s="1"/>
  <c r="DA180" i="3"/>
  <c r="DC180" i="3"/>
  <c r="A181" i="3"/>
  <c r="Y181" i="3"/>
  <c r="CU181" i="3"/>
  <c r="CV181" i="3"/>
  <c r="CX181" i="3"/>
  <c r="CY181" i="3"/>
  <c r="CZ181" i="3"/>
  <c r="DA181" i="3"/>
  <c r="DB181" i="3"/>
  <c r="DC181" i="3"/>
  <c r="DH181" i="3"/>
  <c r="A182" i="3"/>
  <c r="Y182" i="3"/>
  <c r="CV182" i="3" s="1"/>
  <c r="CU182" i="3"/>
  <c r="CX182" i="3"/>
  <c r="CY182" i="3"/>
  <c r="CZ182" i="3"/>
  <c r="DB182" i="3" s="1"/>
  <c r="DA182" i="3"/>
  <c r="DC182" i="3"/>
  <c r="A183" i="3"/>
  <c r="Y183" i="3"/>
  <c r="CX183" i="3" s="1"/>
  <c r="CU183" i="3"/>
  <c r="CV183" i="3"/>
  <c r="CY183" i="3"/>
  <c r="CZ183" i="3"/>
  <c r="DB183" i="3" s="1"/>
  <c r="DA183" i="3"/>
  <c r="DC183" i="3"/>
  <c r="A184" i="3"/>
  <c r="Y184" i="3"/>
  <c r="CX184" i="3" s="1"/>
  <c r="CW184" i="3"/>
  <c r="CY184" i="3"/>
  <c r="CZ184" i="3"/>
  <c r="DA184" i="3"/>
  <c r="DB184" i="3"/>
  <c r="DC184" i="3"/>
  <c r="A185" i="3"/>
  <c r="Y185" i="3"/>
  <c r="CY185" i="3"/>
  <c r="CZ185" i="3"/>
  <c r="DB185" i="3" s="1"/>
  <c r="DA185" i="3"/>
  <c r="DC185" i="3"/>
  <c r="A186" i="3"/>
  <c r="Y186" i="3"/>
  <c r="CX186" i="3" s="1"/>
  <c r="CY186" i="3"/>
  <c r="CZ186" i="3"/>
  <c r="DA186" i="3"/>
  <c r="DB186" i="3"/>
  <c r="DC186" i="3"/>
  <c r="A187" i="3"/>
  <c r="Y187" i="3"/>
  <c r="CU187" i="3"/>
  <c r="CY187" i="3"/>
  <c r="CZ187" i="3"/>
  <c r="DA187" i="3"/>
  <c r="DB187" i="3"/>
  <c r="DC187" i="3"/>
  <c r="A188" i="3"/>
  <c r="Y188" i="3"/>
  <c r="CW188" i="3"/>
  <c r="CX188" i="3"/>
  <c r="DI188" i="3" s="1"/>
  <c r="CY188" i="3"/>
  <c r="CZ188" i="3"/>
  <c r="DB188" i="3" s="1"/>
  <c r="DA188" i="3"/>
  <c r="DC188" i="3"/>
  <c r="DF188" i="3"/>
  <c r="DG188" i="3"/>
  <c r="DJ188" i="3" s="1"/>
  <c r="DH188" i="3"/>
  <c r="A189" i="3"/>
  <c r="Y189" i="3"/>
  <c r="CW189" i="3" s="1"/>
  <c r="CY189" i="3"/>
  <c r="CZ189" i="3"/>
  <c r="DB189" i="3" s="1"/>
  <c r="DA189" i="3"/>
  <c r="DC189" i="3"/>
  <c r="A190" i="3"/>
  <c r="Y190" i="3"/>
  <c r="CX190" i="3" s="1"/>
  <c r="CY190" i="3"/>
  <c r="CZ190" i="3"/>
  <c r="DA190" i="3"/>
  <c r="DB190" i="3"/>
  <c r="DC190" i="3"/>
  <c r="DH190" i="3"/>
  <c r="DI190" i="3"/>
  <c r="A191" i="3"/>
  <c r="Y191" i="3"/>
  <c r="CX191" i="3" s="1"/>
  <c r="CY191" i="3"/>
  <c r="CZ191" i="3"/>
  <c r="DB191" i="3" s="1"/>
  <c r="DA191" i="3"/>
  <c r="DC191" i="3"/>
  <c r="A192" i="3"/>
  <c r="Y192" i="3"/>
  <c r="CX192" i="3"/>
  <c r="DI192" i="3" s="1"/>
  <c r="CY192" i="3"/>
  <c r="CZ192" i="3"/>
  <c r="DB192" i="3" s="1"/>
  <c r="DA192" i="3"/>
  <c r="DC192" i="3"/>
  <c r="DF192" i="3"/>
  <c r="DG192" i="3"/>
  <c r="DH192" i="3"/>
  <c r="DJ192" i="3"/>
  <c r="A193" i="3"/>
  <c r="Y193" i="3"/>
  <c r="CX193" i="3"/>
  <c r="CY193" i="3"/>
  <c r="CZ193" i="3"/>
  <c r="DB193" i="3" s="1"/>
  <c r="DA193" i="3"/>
  <c r="DC193" i="3"/>
  <c r="DH193" i="3"/>
  <c r="A194" i="3"/>
  <c r="Y194" i="3"/>
  <c r="CX194" i="3"/>
  <c r="CY194" i="3"/>
  <c r="CZ194" i="3"/>
  <c r="DB194" i="3" s="1"/>
  <c r="DA194" i="3"/>
  <c r="DC194" i="3"/>
  <c r="DH194" i="3"/>
  <c r="DI194" i="3"/>
  <c r="A195" i="3"/>
  <c r="Y195" i="3"/>
  <c r="CX195" i="3" s="1"/>
  <c r="CY195" i="3"/>
  <c r="CZ195" i="3"/>
  <c r="DA195" i="3"/>
  <c r="DB195" i="3"/>
  <c r="DC195" i="3"/>
  <c r="A196" i="3"/>
  <c r="Y196" i="3"/>
  <c r="CX196" i="3"/>
  <c r="CY196" i="3"/>
  <c r="CZ196" i="3"/>
  <c r="DB196" i="3" s="1"/>
  <c r="DA196" i="3"/>
  <c r="DC196" i="3"/>
  <c r="A197" i="3"/>
  <c r="Y197" i="3"/>
  <c r="CX197" i="3" s="1"/>
  <c r="CY197" i="3"/>
  <c r="CZ197" i="3"/>
  <c r="DB197" i="3" s="1"/>
  <c r="DA197" i="3"/>
  <c r="DC197" i="3"/>
  <c r="A198" i="3"/>
  <c r="Y198" i="3"/>
  <c r="CX198" i="3"/>
  <c r="CY198" i="3"/>
  <c r="CZ198" i="3"/>
  <c r="DB198" i="3" s="1"/>
  <c r="DA198" i="3"/>
  <c r="DC198" i="3"/>
  <c r="A199" i="3"/>
  <c r="Y199" i="3"/>
  <c r="CX199" i="3"/>
  <c r="CY199" i="3"/>
  <c r="CZ199" i="3"/>
  <c r="DA199" i="3"/>
  <c r="DB199" i="3"/>
  <c r="DC199" i="3"/>
  <c r="DI199" i="3"/>
  <c r="A200" i="3"/>
  <c r="Y200" i="3"/>
  <c r="CX200" i="3" s="1"/>
  <c r="CY200" i="3"/>
  <c r="CZ200" i="3"/>
  <c r="DA200" i="3"/>
  <c r="DB200" i="3"/>
  <c r="DC200" i="3"/>
  <c r="A201" i="3"/>
  <c r="Y201" i="3"/>
  <c r="CX201" i="3"/>
  <c r="CY201" i="3"/>
  <c r="CZ201" i="3"/>
  <c r="DB201" i="3" s="1"/>
  <c r="DA201" i="3"/>
  <c r="DC201" i="3"/>
  <c r="A202" i="3"/>
  <c r="Y202" i="3"/>
  <c r="CX202" i="3"/>
  <c r="CY202" i="3"/>
  <c r="CZ202" i="3"/>
  <c r="DA202" i="3"/>
  <c r="DB202" i="3"/>
  <c r="DC202" i="3"/>
  <c r="DF202" i="3"/>
  <c r="DJ202" i="3" s="1"/>
  <c r="DI202" i="3"/>
  <c r="A203" i="3"/>
  <c r="Y203" i="3"/>
  <c r="CX203" i="3" s="1"/>
  <c r="CY203" i="3"/>
  <c r="CZ203" i="3"/>
  <c r="DA203" i="3"/>
  <c r="DB203" i="3"/>
  <c r="DC203" i="3"/>
  <c r="DG203" i="3"/>
  <c r="DI203" i="3"/>
  <c r="A204" i="3"/>
  <c r="Y204" i="3"/>
  <c r="CX204" i="3"/>
  <c r="DG204" i="3" s="1"/>
  <c r="CY204" i="3"/>
  <c r="CZ204" i="3"/>
  <c r="DA204" i="3"/>
  <c r="DB204" i="3"/>
  <c r="DC204" i="3"/>
  <c r="DF204" i="3"/>
  <c r="DH204" i="3"/>
  <c r="DI204" i="3"/>
  <c r="DJ204" i="3"/>
  <c r="A205" i="3"/>
  <c r="Y205" i="3"/>
  <c r="CX205" i="3"/>
  <c r="DG205" i="3" s="1"/>
  <c r="CY205" i="3"/>
  <c r="CZ205" i="3"/>
  <c r="DB205" i="3" s="1"/>
  <c r="DA205" i="3"/>
  <c r="DC205" i="3"/>
  <c r="DF205" i="3"/>
  <c r="DH205" i="3"/>
  <c r="DI205" i="3"/>
  <c r="DJ205" i="3"/>
  <c r="A206" i="3"/>
  <c r="Y206" i="3"/>
  <c r="CX206" i="3"/>
  <c r="DF206" i="3" s="1"/>
  <c r="CY206" i="3"/>
  <c r="CZ206" i="3"/>
  <c r="DB206" i="3" s="1"/>
  <c r="DA206" i="3"/>
  <c r="DC206" i="3"/>
  <c r="DG206" i="3"/>
  <c r="DH206" i="3"/>
  <c r="DI206" i="3"/>
  <c r="DJ206" i="3"/>
  <c r="A207" i="3"/>
  <c r="Y207" i="3"/>
  <c r="CX207" i="3"/>
  <c r="CY207" i="3"/>
  <c r="CZ207" i="3"/>
  <c r="DA207" i="3"/>
  <c r="DB207" i="3"/>
  <c r="DC207" i="3"/>
  <c r="A208" i="3"/>
  <c r="Y208" i="3"/>
  <c r="CX208" i="3" s="1"/>
  <c r="CY208" i="3"/>
  <c r="CZ208" i="3"/>
  <c r="DB208" i="3" s="1"/>
  <c r="DA208" i="3"/>
  <c r="DC208" i="3"/>
  <c r="A209" i="3"/>
  <c r="Y209" i="3"/>
  <c r="CX209" i="3" s="1"/>
  <c r="CY209" i="3"/>
  <c r="CZ209" i="3"/>
  <c r="DB209" i="3" s="1"/>
  <c r="DA209" i="3"/>
  <c r="DC209" i="3"/>
  <c r="DH209" i="3"/>
  <c r="A210" i="3"/>
  <c r="Y210" i="3"/>
  <c r="CX210" i="3"/>
  <c r="CY210" i="3"/>
  <c r="CZ210" i="3"/>
  <c r="DB210" i="3" s="1"/>
  <c r="DA210" i="3"/>
  <c r="DC210" i="3"/>
  <c r="A211" i="3"/>
  <c r="Y211" i="3"/>
  <c r="CX211" i="3"/>
  <c r="CY211" i="3"/>
  <c r="CZ211" i="3"/>
  <c r="DA211" i="3"/>
  <c r="DB211" i="3"/>
  <c r="DC211" i="3"/>
  <c r="DH211" i="3"/>
  <c r="DI211" i="3"/>
  <c r="A212" i="3"/>
  <c r="Y212" i="3"/>
  <c r="CX212" i="3"/>
  <c r="CY212" i="3"/>
  <c r="CZ212" i="3"/>
  <c r="DA212" i="3"/>
  <c r="DB212" i="3"/>
  <c r="DC212" i="3"/>
  <c r="DH212" i="3"/>
  <c r="A213" i="3"/>
  <c r="Y213" i="3"/>
  <c r="CU213" i="3"/>
  <c r="CY213" i="3"/>
  <c r="CZ213" i="3"/>
  <c r="DA213" i="3"/>
  <c r="DB213" i="3"/>
  <c r="DC213" i="3"/>
  <c r="A214" i="3"/>
  <c r="Y214" i="3"/>
  <c r="CU214" i="3"/>
  <c r="CY214" i="3"/>
  <c r="CZ214" i="3"/>
  <c r="DA214" i="3"/>
  <c r="DB214" i="3"/>
  <c r="DC214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L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G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K28" i="1"/>
  <c r="Q28" i="1"/>
  <c r="S28" i="1"/>
  <c r="T28" i="1"/>
  <c r="V28" i="1"/>
  <c r="AC28" i="1"/>
  <c r="AD28" i="1"/>
  <c r="AE28" i="1"/>
  <c r="AF28" i="1"/>
  <c r="AG28" i="1"/>
  <c r="AH28" i="1"/>
  <c r="AI28" i="1"/>
  <c r="CW28" i="1" s="1"/>
  <c r="AJ28" i="1"/>
  <c r="CT28" i="1"/>
  <c r="CU28" i="1"/>
  <c r="CV28" i="1"/>
  <c r="U28" i="1" s="1"/>
  <c r="CX28" i="1"/>
  <c r="W28" i="1" s="1"/>
  <c r="CY28" i="1"/>
  <c r="X28" i="1" s="1"/>
  <c r="GL28" i="1"/>
  <c r="GO28" i="1"/>
  <c r="GP28" i="1"/>
  <c r="GV28" i="1"/>
  <c r="HC28" i="1" s="1"/>
  <c r="GX28" i="1"/>
  <c r="C29" i="1"/>
  <c r="D29" i="1"/>
  <c r="I29" i="1"/>
  <c r="K29" i="1"/>
  <c r="S29" i="1"/>
  <c r="T29" i="1"/>
  <c r="AC29" i="1"/>
  <c r="AE29" i="1"/>
  <c r="AF29" i="1"/>
  <c r="AG29" i="1"/>
  <c r="CU29" i="1" s="1"/>
  <c r="AH29" i="1"/>
  <c r="AI29" i="1"/>
  <c r="AJ29" i="1"/>
  <c r="CT29" i="1"/>
  <c r="CV29" i="1"/>
  <c r="U29" i="1" s="1"/>
  <c r="CW29" i="1"/>
  <c r="V29" i="1" s="1"/>
  <c r="CX29" i="1"/>
  <c r="W29" i="1" s="1"/>
  <c r="GL29" i="1"/>
  <c r="GO29" i="1"/>
  <c r="GP29" i="1"/>
  <c r="GV29" i="1"/>
  <c r="HC29" i="1"/>
  <c r="GX29" i="1" s="1"/>
  <c r="C30" i="1"/>
  <c r="D30" i="1"/>
  <c r="I30" i="1"/>
  <c r="K30" i="1"/>
  <c r="R30" i="1"/>
  <c r="GK30" i="1" s="1"/>
  <c r="AC30" i="1"/>
  <c r="AE30" i="1"/>
  <c r="AF30" i="1"/>
  <c r="AG30" i="1"/>
  <c r="CU30" i="1" s="1"/>
  <c r="AH30" i="1"/>
  <c r="CV30" i="1" s="1"/>
  <c r="AI30" i="1"/>
  <c r="AJ30" i="1"/>
  <c r="CW30" i="1"/>
  <c r="CX30" i="1"/>
  <c r="GL30" i="1"/>
  <c r="GO30" i="1"/>
  <c r="GP30" i="1"/>
  <c r="GV30" i="1"/>
  <c r="HC30" i="1" s="1"/>
  <c r="C31" i="1"/>
  <c r="D31" i="1"/>
  <c r="I31" i="1"/>
  <c r="K31" i="1"/>
  <c r="P31" i="1"/>
  <c r="Q31" i="1"/>
  <c r="U31" i="1"/>
  <c r="V31" i="1"/>
  <c r="AC31" i="1"/>
  <c r="AE31" i="1"/>
  <c r="AF31" i="1"/>
  <c r="AG31" i="1"/>
  <c r="CU31" i="1" s="1"/>
  <c r="T31" i="1" s="1"/>
  <c r="AH31" i="1"/>
  <c r="AI31" i="1"/>
  <c r="CW31" i="1" s="1"/>
  <c r="AJ31" i="1"/>
  <c r="CQ31" i="1"/>
  <c r="CR31" i="1"/>
  <c r="CS31" i="1"/>
  <c r="CT31" i="1"/>
  <c r="CV31" i="1"/>
  <c r="CX31" i="1"/>
  <c r="W31" i="1" s="1"/>
  <c r="GL31" i="1"/>
  <c r="GO31" i="1"/>
  <c r="GP31" i="1"/>
  <c r="GV31" i="1"/>
  <c r="HC31" i="1" s="1"/>
  <c r="GX31" i="1" s="1"/>
  <c r="C32" i="1"/>
  <c r="D32" i="1"/>
  <c r="AB32" i="1"/>
  <c r="AC32" i="1"/>
  <c r="AD32" i="1"/>
  <c r="AE32" i="1"/>
  <c r="AF32" i="1"/>
  <c r="AG32" i="1"/>
  <c r="AH32" i="1"/>
  <c r="CV32" i="1" s="1"/>
  <c r="AI32" i="1"/>
  <c r="CW32" i="1" s="1"/>
  <c r="AJ32" i="1"/>
  <c r="CQ32" i="1"/>
  <c r="CR32" i="1"/>
  <c r="CS32" i="1"/>
  <c r="CT32" i="1"/>
  <c r="CU32" i="1"/>
  <c r="CX32" i="1"/>
  <c r="GL32" i="1"/>
  <c r="GO32" i="1"/>
  <c r="GP32" i="1"/>
  <c r="GV32" i="1"/>
  <c r="HC32" i="1"/>
  <c r="C33" i="1"/>
  <c r="D33" i="1"/>
  <c r="AC33" i="1"/>
  <c r="AE33" i="1"/>
  <c r="CS33" i="1" s="1"/>
  <c r="AF33" i="1"/>
  <c r="AG33" i="1"/>
  <c r="AH33" i="1"/>
  <c r="CV33" i="1" s="1"/>
  <c r="AI33" i="1"/>
  <c r="CW33" i="1" s="1"/>
  <c r="AJ33" i="1"/>
  <c r="CX33" i="1" s="1"/>
  <c r="CQ33" i="1"/>
  <c r="CR33" i="1"/>
  <c r="CT33" i="1"/>
  <c r="CU33" i="1"/>
  <c r="GL33" i="1"/>
  <c r="GO33" i="1"/>
  <c r="GP33" i="1"/>
  <c r="GV33" i="1"/>
  <c r="HC33" i="1" s="1"/>
  <c r="C34" i="1"/>
  <c r="D34" i="1"/>
  <c r="I34" i="1"/>
  <c r="K34" i="1"/>
  <c r="T34" i="1"/>
  <c r="AC34" i="1"/>
  <c r="AE34" i="1"/>
  <c r="AF34" i="1"/>
  <c r="AG34" i="1"/>
  <c r="AH34" i="1"/>
  <c r="AI34" i="1"/>
  <c r="CW34" i="1" s="1"/>
  <c r="AJ34" i="1"/>
  <c r="CT34" i="1"/>
  <c r="CU34" i="1"/>
  <c r="CV34" i="1"/>
  <c r="U34" i="1" s="1"/>
  <c r="CX34" i="1"/>
  <c r="GL34" i="1"/>
  <c r="GO34" i="1"/>
  <c r="GP34" i="1"/>
  <c r="GV34" i="1"/>
  <c r="HC34" i="1" s="1"/>
  <c r="C35" i="1"/>
  <c r="D35" i="1"/>
  <c r="I35" i="1"/>
  <c r="K35" i="1"/>
  <c r="AC35" i="1"/>
  <c r="AD35" i="1"/>
  <c r="AE35" i="1"/>
  <c r="AF35" i="1"/>
  <c r="AG35" i="1"/>
  <c r="AH35" i="1"/>
  <c r="AI35" i="1"/>
  <c r="CW35" i="1" s="1"/>
  <c r="V35" i="1" s="1"/>
  <c r="AJ35" i="1"/>
  <c r="CQ35" i="1"/>
  <c r="CR35" i="1"/>
  <c r="CS35" i="1"/>
  <c r="CU35" i="1"/>
  <c r="CV35" i="1"/>
  <c r="CX35" i="1"/>
  <c r="GL35" i="1"/>
  <c r="GO35" i="1"/>
  <c r="GP35" i="1"/>
  <c r="GV35" i="1"/>
  <c r="HC35" i="1"/>
  <c r="GX35" i="1" s="1"/>
  <c r="C36" i="1"/>
  <c r="D36" i="1"/>
  <c r="I36" i="1"/>
  <c r="K36" i="1"/>
  <c r="P36" i="1"/>
  <c r="R36" i="1"/>
  <c r="GK36" i="1" s="1"/>
  <c r="U36" i="1"/>
  <c r="V36" i="1"/>
  <c r="AC36" i="1"/>
  <c r="AD36" i="1"/>
  <c r="AE36" i="1"/>
  <c r="AF36" i="1"/>
  <c r="AG36" i="1"/>
  <c r="AH36" i="1"/>
  <c r="CV36" i="1" s="1"/>
  <c r="AI36" i="1"/>
  <c r="CW36" i="1" s="1"/>
  <c r="AJ36" i="1"/>
  <c r="CX36" i="1" s="1"/>
  <c r="W36" i="1" s="1"/>
  <c r="CQ36" i="1"/>
  <c r="CU36" i="1"/>
  <c r="T36" i="1" s="1"/>
  <c r="GL36" i="1"/>
  <c r="GO36" i="1"/>
  <c r="GP36" i="1"/>
  <c r="GV36" i="1"/>
  <c r="HC36" i="1" s="1"/>
  <c r="GX36" i="1" s="1"/>
  <c r="C37" i="1"/>
  <c r="D37" i="1"/>
  <c r="I37" i="1"/>
  <c r="K37" i="1"/>
  <c r="P37" i="1"/>
  <c r="Q37" i="1"/>
  <c r="T37" i="1"/>
  <c r="U37" i="1"/>
  <c r="V37" i="1"/>
  <c r="W37" i="1"/>
  <c r="AB37" i="1"/>
  <c r="AC37" i="1"/>
  <c r="AD37" i="1"/>
  <c r="AE37" i="1"/>
  <c r="AF37" i="1"/>
  <c r="AG37" i="1"/>
  <c r="AH37" i="1"/>
  <c r="CV37" i="1" s="1"/>
  <c r="AI37" i="1"/>
  <c r="CW37" i="1" s="1"/>
  <c r="AJ37" i="1"/>
  <c r="CX37" i="1" s="1"/>
  <c r="CQ37" i="1"/>
  <c r="CS37" i="1"/>
  <c r="CT37" i="1"/>
  <c r="CU37" i="1"/>
  <c r="GL37" i="1"/>
  <c r="GO37" i="1"/>
  <c r="GP37" i="1"/>
  <c r="GV37" i="1"/>
  <c r="HC37" i="1" s="1"/>
  <c r="GX37" i="1"/>
  <c r="C38" i="1"/>
  <c r="D38" i="1"/>
  <c r="I38" i="1"/>
  <c r="K38" i="1"/>
  <c r="Q38" i="1"/>
  <c r="R38" i="1"/>
  <c r="GK38" i="1" s="1"/>
  <c r="S38" i="1"/>
  <c r="U38" i="1"/>
  <c r="W38" i="1"/>
  <c r="AC38" i="1"/>
  <c r="AE38" i="1"/>
  <c r="AF38" i="1"/>
  <c r="CT38" i="1" s="1"/>
  <c r="AG38" i="1"/>
  <c r="AH38" i="1"/>
  <c r="CV38" i="1" s="1"/>
  <c r="AI38" i="1"/>
  <c r="AJ38" i="1"/>
  <c r="CQ38" i="1"/>
  <c r="CR38" i="1"/>
  <c r="CU38" i="1"/>
  <c r="T38" i="1" s="1"/>
  <c r="CW38" i="1"/>
  <c r="V38" i="1" s="1"/>
  <c r="CX38" i="1"/>
  <c r="GL38" i="1"/>
  <c r="GO38" i="1"/>
  <c r="GP38" i="1"/>
  <c r="GV38" i="1"/>
  <c r="HC38" i="1" s="1"/>
  <c r="GX38" i="1" s="1"/>
  <c r="C39" i="1"/>
  <c r="D39" i="1"/>
  <c r="I39" i="1"/>
  <c r="K39" i="1"/>
  <c r="AC39" i="1"/>
  <c r="AE39" i="1"/>
  <c r="AF39" i="1"/>
  <c r="AG39" i="1"/>
  <c r="AH39" i="1"/>
  <c r="AI39" i="1"/>
  <c r="AJ39" i="1"/>
  <c r="CX39" i="1" s="1"/>
  <c r="CT39" i="1"/>
  <c r="CU39" i="1"/>
  <c r="CV39" i="1"/>
  <c r="CW39" i="1"/>
  <c r="GL39" i="1"/>
  <c r="GO39" i="1"/>
  <c r="GP39" i="1"/>
  <c r="GV39" i="1"/>
  <c r="HC39" i="1"/>
  <c r="S40" i="1"/>
  <c r="CY40" i="1" s="1"/>
  <c r="X40" i="1" s="1"/>
  <c r="T40" i="1"/>
  <c r="W40" i="1"/>
  <c r="AC40" i="1"/>
  <c r="AE40" i="1"/>
  <c r="AF40" i="1"/>
  <c r="AG40" i="1"/>
  <c r="CU40" i="1" s="1"/>
  <c r="AH40" i="1"/>
  <c r="CV40" i="1" s="1"/>
  <c r="U40" i="1" s="1"/>
  <c r="AI40" i="1"/>
  <c r="CW40" i="1" s="1"/>
  <c r="V40" i="1" s="1"/>
  <c r="AJ40" i="1"/>
  <c r="CQ40" i="1"/>
  <c r="CT40" i="1"/>
  <c r="CX40" i="1"/>
  <c r="CZ40" i="1"/>
  <c r="Y40" i="1" s="1"/>
  <c r="GL40" i="1"/>
  <c r="GO40" i="1"/>
  <c r="GP40" i="1"/>
  <c r="GV40" i="1"/>
  <c r="GX40" i="1"/>
  <c r="HC40" i="1"/>
  <c r="P41" i="1"/>
  <c r="S41" i="1"/>
  <c r="T41" i="1"/>
  <c r="U41" i="1"/>
  <c r="V41" i="1"/>
  <c r="AC41" i="1"/>
  <c r="AE41" i="1"/>
  <c r="AF41" i="1"/>
  <c r="AG41" i="1"/>
  <c r="CU41" i="1" s="1"/>
  <c r="AH41" i="1"/>
  <c r="CV41" i="1" s="1"/>
  <c r="AI41" i="1"/>
  <c r="CW41" i="1" s="1"/>
  <c r="AJ41" i="1"/>
  <c r="CX41" i="1" s="1"/>
  <c r="W41" i="1" s="1"/>
  <c r="CQ41" i="1"/>
  <c r="CT41" i="1"/>
  <c r="GL41" i="1"/>
  <c r="GO41" i="1"/>
  <c r="GP41" i="1"/>
  <c r="GV41" i="1"/>
  <c r="HC41" i="1" s="1"/>
  <c r="GX41" i="1" s="1"/>
  <c r="P42" i="1"/>
  <c r="T42" i="1"/>
  <c r="AC42" i="1"/>
  <c r="AE42" i="1"/>
  <c r="AF42" i="1"/>
  <c r="AG42" i="1"/>
  <c r="CU42" i="1" s="1"/>
  <c r="AH42" i="1"/>
  <c r="AI42" i="1"/>
  <c r="AJ42" i="1"/>
  <c r="CQ42" i="1"/>
  <c r="CV42" i="1"/>
  <c r="U42" i="1" s="1"/>
  <c r="CW42" i="1"/>
  <c r="V42" i="1" s="1"/>
  <c r="CX42" i="1"/>
  <c r="W42" i="1" s="1"/>
  <c r="GL42" i="1"/>
  <c r="GO42" i="1"/>
  <c r="GP42" i="1"/>
  <c r="GV42" i="1"/>
  <c r="HC42" i="1"/>
  <c r="GX42" i="1" s="1"/>
  <c r="X43" i="1"/>
  <c r="AC43" i="1"/>
  <c r="AE43" i="1"/>
  <c r="AF43" i="1"/>
  <c r="S43" i="1" s="1"/>
  <c r="CZ43" i="1" s="1"/>
  <c r="Y43" i="1" s="1"/>
  <c r="AG43" i="1"/>
  <c r="AH43" i="1"/>
  <c r="AI43" i="1"/>
  <c r="AJ43" i="1"/>
  <c r="CT43" i="1"/>
  <c r="CU43" i="1"/>
  <c r="T43" i="1" s="1"/>
  <c r="CV43" i="1"/>
  <c r="U43" i="1" s="1"/>
  <c r="CW43" i="1"/>
  <c r="V43" i="1" s="1"/>
  <c r="CX43" i="1"/>
  <c r="W43" i="1" s="1"/>
  <c r="CY43" i="1"/>
  <c r="GL43" i="1"/>
  <c r="GO43" i="1"/>
  <c r="GP43" i="1"/>
  <c r="GV43" i="1"/>
  <c r="HC43" i="1" s="1"/>
  <c r="GX43" i="1" s="1"/>
  <c r="C44" i="1"/>
  <c r="D44" i="1"/>
  <c r="I44" i="1"/>
  <c r="K44" i="1"/>
  <c r="W44" i="1"/>
  <c r="AC44" i="1"/>
  <c r="AE44" i="1"/>
  <c r="AF44" i="1"/>
  <c r="AG44" i="1"/>
  <c r="AH44" i="1"/>
  <c r="AI44" i="1"/>
  <c r="AJ44" i="1"/>
  <c r="CX44" i="1" s="1"/>
  <c r="CT44" i="1"/>
  <c r="CU44" i="1"/>
  <c r="CV44" i="1"/>
  <c r="U44" i="1" s="1"/>
  <c r="CW44" i="1"/>
  <c r="V44" i="1" s="1"/>
  <c r="GL44" i="1"/>
  <c r="GO44" i="1"/>
  <c r="GP44" i="1"/>
  <c r="GV44" i="1"/>
  <c r="HC44" i="1" s="1"/>
  <c r="C45" i="1"/>
  <c r="D45" i="1"/>
  <c r="I45" i="1"/>
  <c r="CX33" i="3" s="1"/>
  <c r="K45" i="1"/>
  <c r="P45" i="1"/>
  <c r="Q45" i="1"/>
  <c r="R45" i="1"/>
  <c r="GK45" i="1" s="1"/>
  <c r="T45" i="1"/>
  <c r="V45" i="1"/>
  <c r="AC45" i="1"/>
  <c r="AD45" i="1"/>
  <c r="AE45" i="1"/>
  <c r="AF45" i="1"/>
  <c r="AG45" i="1"/>
  <c r="CU45" i="1" s="1"/>
  <c r="AH45" i="1"/>
  <c r="AI45" i="1"/>
  <c r="CW45" i="1" s="1"/>
  <c r="AJ45" i="1"/>
  <c r="CQ45" i="1"/>
  <c r="CR45" i="1"/>
  <c r="CS45" i="1"/>
  <c r="CV45" i="1"/>
  <c r="U45" i="1" s="1"/>
  <c r="CX45" i="1"/>
  <c r="W45" i="1" s="1"/>
  <c r="GL45" i="1"/>
  <c r="GO45" i="1"/>
  <c r="GP45" i="1"/>
  <c r="GV45" i="1"/>
  <c r="GX45" i="1"/>
  <c r="HC45" i="1"/>
  <c r="C46" i="1"/>
  <c r="D46" i="1"/>
  <c r="R46" i="1"/>
  <c r="S46" i="1"/>
  <c r="T46" i="1"/>
  <c r="U46" i="1"/>
  <c r="V46" i="1"/>
  <c r="X46" i="1"/>
  <c r="AB46" i="1"/>
  <c r="AC46" i="1"/>
  <c r="P46" i="1" s="1"/>
  <c r="AD46" i="1"/>
  <c r="AE46" i="1"/>
  <c r="Q46" i="1" s="1"/>
  <c r="AF46" i="1"/>
  <c r="AG46" i="1"/>
  <c r="AH46" i="1"/>
  <c r="CV46" i="1" s="1"/>
  <c r="AI46" i="1"/>
  <c r="AJ46" i="1"/>
  <c r="CX46" i="1" s="1"/>
  <c r="W46" i="1" s="1"/>
  <c r="CQ46" i="1"/>
  <c r="CR46" i="1"/>
  <c r="CS46" i="1"/>
  <c r="CT46" i="1"/>
  <c r="CU46" i="1"/>
  <c r="CW46" i="1"/>
  <c r="CY46" i="1"/>
  <c r="CZ46" i="1"/>
  <c r="Y46" i="1" s="1"/>
  <c r="GK46" i="1"/>
  <c r="GL46" i="1"/>
  <c r="GO46" i="1"/>
  <c r="GP46" i="1"/>
  <c r="GV46" i="1"/>
  <c r="HC46" i="1"/>
  <c r="GX46" i="1" s="1"/>
  <c r="C47" i="1"/>
  <c r="D47" i="1"/>
  <c r="P47" i="1"/>
  <c r="AC47" i="1"/>
  <c r="AE47" i="1"/>
  <c r="AF47" i="1"/>
  <c r="AG47" i="1"/>
  <c r="CU47" i="1" s="1"/>
  <c r="T47" i="1" s="1"/>
  <c r="AH47" i="1"/>
  <c r="CV47" i="1" s="1"/>
  <c r="U47" i="1" s="1"/>
  <c r="AI47" i="1"/>
  <c r="AJ47" i="1"/>
  <c r="CQ47" i="1"/>
  <c r="CW47" i="1"/>
  <c r="V47" i="1" s="1"/>
  <c r="CX47" i="1"/>
  <c r="W47" i="1" s="1"/>
  <c r="GL47" i="1"/>
  <c r="GO47" i="1"/>
  <c r="GP47" i="1"/>
  <c r="GV47" i="1"/>
  <c r="GX47" i="1"/>
  <c r="HC47" i="1"/>
  <c r="C48" i="1"/>
  <c r="D48" i="1"/>
  <c r="I48" i="1"/>
  <c r="K48" i="1"/>
  <c r="Q48" i="1"/>
  <c r="AC48" i="1"/>
  <c r="AD48" i="1"/>
  <c r="AB48" i="1" s="1"/>
  <c r="AE48" i="1"/>
  <c r="AF48" i="1"/>
  <c r="AG48" i="1"/>
  <c r="AH48" i="1"/>
  <c r="AI48" i="1"/>
  <c r="AJ48" i="1"/>
  <c r="CQ48" i="1"/>
  <c r="CR48" i="1"/>
  <c r="CS48" i="1"/>
  <c r="CU48" i="1"/>
  <c r="CV48" i="1"/>
  <c r="CW48" i="1"/>
  <c r="CX48" i="1"/>
  <c r="GL48" i="1"/>
  <c r="GO48" i="1"/>
  <c r="GP48" i="1"/>
  <c r="GV48" i="1"/>
  <c r="HC48" i="1"/>
  <c r="GX48" i="1" s="1"/>
  <c r="C49" i="1"/>
  <c r="D49" i="1"/>
  <c r="I49" i="1"/>
  <c r="CX54" i="3" s="1"/>
  <c r="K49" i="1"/>
  <c r="P49" i="1"/>
  <c r="T49" i="1"/>
  <c r="W49" i="1"/>
  <c r="AC49" i="1"/>
  <c r="AE49" i="1"/>
  <c r="AF49" i="1"/>
  <c r="AG49" i="1"/>
  <c r="AH49" i="1"/>
  <c r="AI49" i="1"/>
  <c r="CW49" i="1" s="1"/>
  <c r="V49" i="1" s="1"/>
  <c r="AJ49" i="1"/>
  <c r="CX49" i="1" s="1"/>
  <c r="CQ49" i="1"/>
  <c r="CU49" i="1"/>
  <c r="CV49" i="1"/>
  <c r="U49" i="1" s="1"/>
  <c r="GL49" i="1"/>
  <c r="GO49" i="1"/>
  <c r="GP49" i="1"/>
  <c r="GV49" i="1"/>
  <c r="GX49" i="1"/>
  <c r="HC49" i="1"/>
  <c r="C50" i="1"/>
  <c r="D50" i="1"/>
  <c r="S50" i="1"/>
  <c r="CZ50" i="1" s="1"/>
  <c r="Y50" i="1" s="1"/>
  <c r="AC50" i="1"/>
  <c r="P50" i="1" s="1"/>
  <c r="AE50" i="1"/>
  <c r="AF50" i="1"/>
  <c r="AG50" i="1"/>
  <c r="AH50" i="1"/>
  <c r="AI50" i="1"/>
  <c r="AJ50" i="1"/>
  <c r="CT50" i="1"/>
  <c r="CU50" i="1"/>
  <c r="T50" i="1" s="1"/>
  <c r="CV50" i="1"/>
  <c r="U50" i="1" s="1"/>
  <c r="CW50" i="1"/>
  <c r="V50" i="1" s="1"/>
  <c r="CX50" i="1"/>
  <c r="W50" i="1" s="1"/>
  <c r="CY50" i="1"/>
  <c r="X50" i="1" s="1"/>
  <c r="GL50" i="1"/>
  <c r="GO50" i="1"/>
  <c r="GP50" i="1"/>
  <c r="GV50" i="1"/>
  <c r="HC50" i="1"/>
  <c r="GX50" i="1" s="1"/>
  <c r="C51" i="1"/>
  <c r="D51" i="1"/>
  <c r="P51" i="1"/>
  <c r="Q51" i="1"/>
  <c r="W51" i="1"/>
  <c r="AC51" i="1"/>
  <c r="AE51" i="1"/>
  <c r="AF51" i="1"/>
  <c r="AG51" i="1"/>
  <c r="AH51" i="1"/>
  <c r="AI51" i="1"/>
  <c r="CW51" i="1" s="1"/>
  <c r="V51" i="1" s="1"/>
  <c r="AJ51" i="1"/>
  <c r="CX51" i="1" s="1"/>
  <c r="CS51" i="1"/>
  <c r="CU51" i="1"/>
  <c r="T51" i="1" s="1"/>
  <c r="CV51" i="1"/>
  <c r="U51" i="1" s="1"/>
  <c r="GL51" i="1"/>
  <c r="GO51" i="1"/>
  <c r="GP51" i="1"/>
  <c r="GV51" i="1"/>
  <c r="HC51" i="1"/>
  <c r="GX51" i="1" s="1"/>
  <c r="P52" i="1"/>
  <c r="S52" i="1"/>
  <c r="W52" i="1"/>
  <c r="AC52" i="1"/>
  <c r="AE52" i="1"/>
  <c r="AF52" i="1"/>
  <c r="CT52" i="1" s="1"/>
  <c r="AG52" i="1"/>
  <c r="CU52" i="1" s="1"/>
  <c r="T52" i="1" s="1"/>
  <c r="AH52" i="1"/>
  <c r="CV52" i="1" s="1"/>
  <c r="U52" i="1" s="1"/>
  <c r="AI52" i="1"/>
  <c r="CW52" i="1" s="1"/>
  <c r="V52" i="1" s="1"/>
  <c r="AJ52" i="1"/>
  <c r="CX52" i="1" s="1"/>
  <c r="CQ52" i="1"/>
  <c r="GL52" i="1"/>
  <c r="GO52" i="1"/>
  <c r="GP52" i="1"/>
  <c r="GV52" i="1"/>
  <c r="HC52" i="1" s="1"/>
  <c r="GX52" i="1" s="1"/>
  <c r="S53" i="1"/>
  <c r="CZ53" i="1" s="1"/>
  <c r="Y53" i="1" s="1"/>
  <c r="AC53" i="1"/>
  <c r="AE53" i="1"/>
  <c r="AF53" i="1"/>
  <c r="AG53" i="1"/>
  <c r="AH53" i="1"/>
  <c r="CV53" i="1" s="1"/>
  <c r="U53" i="1" s="1"/>
  <c r="AI53" i="1"/>
  <c r="CW53" i="1" s="1"/>
  <c r="V53" i="1" s="1"/>
  <c r="AJ53" i="1"/>
  <c r="CT53" i="1"/>
  <c r="CU53" i="1"/>
  <c r="T53" i="1" s="1"/>
  <c r="CX53" i="1"/>
  <c r="W53" i="1" s="1"/>
  <c r="GL53" i="1"/>
  <c r="GO53" i="1"/>
  <c r="GP53" i="1"/>
  <c r="GV53" i="1"/>
  <c r="HC53" i="1" s="1"/>
  <c r="GX53" i="1" s="1"/>
  <c r="P54" i="1"/>
  <c r="T54" i="1"/>
  <c r="AC54" i="1"/>
  <c r="AE54" i="1"/>
  <c r="AF54" i="1"/>
  <c r="AG54" i="1"/>
  <c r="AH54" i="1"/>
  <c r="CV54" i="1" s="1"/>
  <c r="U54" i="1" s="1"/>
  <c r="AI54" i="1"/>
  <c r="AJ54" i="1"/>
  <c r="CX54" i="1" s="1"/>
  <c r="W54" i="1" s="1"/>
  <c r="CU54" i="1"/>
  <c r="CW54" i="1"/>
  <c r="V54" i="1" s="1"/>
  <c r="GL54" i="1"/>
  <c r="GO54" i="1"/>
  <c r="GP54" i="1"/>
  <c r="GV54" i="1"/>
  <c r="GX54" i="1"/>
  <c r="HC54" i="1"/>
  <c r="P55" i="1"/>
  <c r="Q55" i="1"/>
  <c r="CP55" i="1" s="1"/>
  <c r="O55" i="1" s="1"/>
  <c r="R55" i="1"/>
  <c r="S55" i="1"/>
  <c r="U55" i="1"/>
  <c r="AC55" i="1"/>
  <c r="AE55" i="1"/>
  <c r="CS55" i="1" s="1"/>
  <c r="AF55" i="1"/>
  <c r="CT55" i="1" s="1"/>
  <c r="AG55" i="1"/>
  <c r="CU55" i="1" s="1"/>
  <c r="T55" i="1" s="1"/>
  <c r="AH55" i="1"/>
  <c r="AI55" i="1"/>
  <c r="CW55" i="1" s="1"/>
  <c r="V55" i="1" s="1"/>
  <c r="AJ55" i="1"/>
  <c r="CX55" i="1" s="1"/>
  <c r="W55" i="1" s="1"/>
  <c r="CQ55" i="1"/>
  <c r="CR55" i="1"/>
  <c r="CV55" i="1"/>
  <c r="GK55" i="1"/>
  <c r="GL55" i="1"/>
  <c r="GO55" i="1"/>
  <c r="GP55" i="1"/>
  <c r="GV55" i="1"/>
  <c r="HC55" i="1"/>
  <c r="GX55" i="1" s="1"/>
  <c r="T56" i="1"/>
  <c r="AC56" i="1"/>
  <c r="AE56" i="1"/>
  <c r="AF56" i="1"/>
  <c r="AG56" i="1"/>
  <c r="AH56" i="1"/>
  <c r="AI56" i="1"/>
  <c r="AJ56" i="1"/>
  <c r="CU56" i="1"/>
  <c r="CV56" i="1"/>
  <c r="U56" i="1" s="1"/>
  <c r="CW56" i="1"/>
  <c r="V56" i="1" s="1"/>
  <c r="CX56" i="1"/>
  <c r="W56" i="1" s="1"/>
  <c r="GL56" i="1"/>
  <c r="GO56" i="1"/>
  <c r="CC63" i="1" s="1"/>
  <c r="GP56" i="1"/>
  <c r="GV56" i="1"/>
  <c r="HC56" i="1" s="1"/>
  <c r="GX56" i="1" s="1"/>
  <c r="AC57" i="1"/>
  <c r="AD57" i="1"/>
  <c r="AE57" i="1"/>
  <c r="AF57" i="1"/>
  <c r="AG57" i="1"/>
  <c r="AH57" i="1"/>
  <c r="AI57" i="1"/>
  <c r="CW57" i="1" s="1"/>
  <c r="V57" i="1" s="1"/>
  <c r="AJ57" i="1"/>
  <c r="CX57" i="1" s="1"/>
  <c r="W57" i="1" s="1"/>
  <c r="CU57" i="1"/>
  <c r="T57" i="1" s="1"/>
  <c r="CV57" i="1"/>
  <c r="U57" i="1" s="1"/>
  <c r="GL57" i="1"/>
  <c r="FR63" i="1" s="1"/>
  <c r="GO57" i="1"/>
  <c r="GP57" i="1"/>
  <c r="GV57" i="1"/>
  <c r="GX57" i="1"/>
  <c r="HC57" i="1"/>
  <c r="C58" i="1"/>
  <c r="D58" i="1"/>
  <c r="P58" i="1"/>
  <c r="Q58" i="1"/>
  <c r="CP58" i="1" s="1"/>
  <c r="O58" i="1" s="1"/>
  <c r="R58" i="1"/>
  <c r="GK58" i="1" s="1"/>
  <c r="S58" i="1"/>
  <c r="U58" i="1"/>
  <c r="W58" i="1"/>
  <c r="AC58" i="1"/>
  <c r="CQ58" i="1" s="1"/>
  <c r="AE58" i="1"/>
  <c r="AD58" i="1" s="1"/>
  <c r="AF58" i="1"/>
  <c r="AG58" i="1"/>
  <c r="CU58" i="1" s="1"/>
  <c r="T58" i="1" s="1"/>
  <c r="AH58" i="1"/>
  <c r="CV58" i="1" s="1"/>
  <c r="AI58" i="1"/>
  <c r="CW58" i="1" s="1"/>
  <c r="V58" i="1" s="1"/>
  <c r="AJ58" i="1"/>
  <c r="CR58" i="1"/>
  <c r="CS58" i="1"/>
  <c r="CT58" i="1"/>
  <c r="CX58" i="1"/>
  <c r="GL58" i="1"/>
  <c r="GO58" i="1"/>
  <c r="GP58" i="1"/>
  <c r="GV58" i="1"/>
  <c r="GX58" i="1"/>
  <c r="HC58" i="1"/>
  <c r="C59" i="1"/>
  <c r="D59" i="1"/>
  <c r="P59" i="1"/>
  <c r="CP59" i="1" s="1"/>
  <c r="O59" i="1" s="1"/>
  <c r="GM59" i="1" s="1"/>
  <c r="R59" i="1"/>
  <c r="GK59" i="1" s="1"/>
  <c r="U59" i="1"/>
  <c r="X59" i="1"/>
  <c r="Y59" i="1"/>
  <c r="AB59" i="1"/>
  <c r="AC59" i="1"/>
  <c r="AD59" i="1"/>
  <c r="AE59" i="1"/>
  <c r="Q59" i="1" s="1"/>
  <c r="AF59" i="1"/>
  <c r="S59" i="1" s="1"/>
  <c r="CY59" i="1" s="1"/>
  <c r="AG59" i="1"/>
  <c r="CU59" i="1" s="1"/>
  <c r="T59" i="1" s="1"/>
  <c r="AH59" i="1"/>
  <c r="AI59" i="1"/>
  <c r="CW59" i="1" s="1"/>
  <c r="V59" i="1" s="1"/>
  <c r="AJ59" i="1"/>
  <c r="CQ59" i="1"/>
  <c r="CR59" i="1"/>
  <c r="CS59" i="1"/>
  <c r="CT59" i="1"/>
  <c r="CV59" i="1"/>
  <c r="CX59" i="1"/>
  <c r="W59" i="1" s="1"/>
  <c r="CZ59" i="1"/>
  <c r="GL59" i="1"/>
  <c r="GN59" i="1"/>
  <c r="GO59" i="1"/>
  <c r="GP59" i="1"/>
  <c r="GV59" i="1"/>
  <c r="HC59" i="1" s="1"/>
  <c r="GX59" i="1"/>
  <c r="I60" i="1"/>
  <c r="K60" i="1"/>
  <c r="Q60" i="1"/>
  <c r="R60" i="1"/>
  <c r="GK60" i="1" s="1"/>
  <c r="S60" i="1"/>
  <c r="T60" i="1"/>
  <c r="V60" i="1"/>
  <c r="W60" i="1"/>
  <c r="AC60" i="1"/>
  <c r="AE60" i="1"/>
  <c r="AD60" i="1" s="1"/>
  <c r="AF60" i="1"/>
  <c r="CT60" i="1" s="1"/>
  <c r="AG60" i="1"/>
  <c r="CU60" i="1" s="1"/>
  <c r="AH60" i="1"/>
  <c r="AI60" i="1"/>
  <c r="CW60" i="1" s="1"/>
  <c r="AJ60" i="1"/>
  <c r="CX60" i="1" s="1"/>
  <c r="CQ60" i="1"/>
  <c r="CR60" i="1"/>
  <c r="CS60" i="1"/>
  <c r="CV60" i="1"/>
  <c r="U60" i="1" s="1"/>
  <c r="GL60" i="1"/>
  <c r="GO60" i="1"/>
  <c r="GP60" i="1"/>
  <c r="GV60" i="1"/>
  <c r="GX60" i="1"/>
  <c r="HC60" i="1"/>
  <c r="I61" i="1"/>
  <c r="K61" i="1"/>
  <c r="P61" i="1"/>
  <c r="Q61" i="1"/>
  <c r="R61" i="1"/>
  <c r="GK61" i="1" s="1"/>
  <c r="S61" i="1"/>
  <c r="CY61" i="1" s="1"/>
  <c r="X61" i="1" s="1"/>
  <c r="AC61" i="1"/>
  <c r="AE61" i="1"/>
  <c r="CR61" i="1" s="1"/>
  <c r="AF61" i="1"/>
  <c r="AG61" i="1"/>
  <c r="CU61" i="1" s="1"/>
  <c r="T61" i="1" s="1"/>
  <c r="AH61" i="1"/>
  <c r="CV61" i="1" s="1"/>
  <c r="U61" i="1" s="1"/>
  <c r="AI61" i="1"/>
  <c r="CW61" i="1" s="1"/>
  <c r="V61" i="1" s="1"/>
  <c r="AJ61" i="1"/>
  <c r="CQ61" i="1"/>
  <c r="CS61" i="1"/>
  <c r="CT61" i="1"/>
  <c r="CX61" i="1"/>
  <c r="W61" i="1" s="1"/>
  <c r="CZ61" i="1"/>
  <c r="Y61" i="1" s="1"/>
  <c r="GL61" i="1"/>
  <c r="GO61" i="1"/>
  <c r="GP61" i="1"/>
  <c r="GV61" i="1"/>
  <c r="HC61" i="1" s="1"/>
  <c r="GX61" i="1"/>
  <c r="B63" i="1"/>
  <c r="B26" i="1" s="1"/>
  <c r="C63" i="1"/>
  <c r="C26" i="1" s="1"/>
  <c r="D63" i="1"/>
  <c r="D26" i="1" s="1"/>
  <c r="F63" i="1"/>
  <c r="F26" i="1" s="1"/>
  <c r="G63" i="1"/>
  <c r="G26" i="1" s="1"/>
  <c r="AP63" i="1"/>
  <c r="AP26" i="1" s="1"/>
  <c r="BC63" i="1"/>
  <c r="BC26" i="1" s="1"/>
  <c r="BX63" i="1"/>
  <c r="BY63" i="1"/>
  <c r="BY26" i="1" s="1"/>
  <c r="CK63" i="1"/>
  <c r="CK26" i="1" s="1"/>
  <c r="CL63" i="1"/>
  <c r="CM63" i="1"/>
  <c r="CM26" i="1" s="1"/>
  <c r="EG63" i="1"/>
  <c r="P67" i="1" s="1"/>
  <c r="ET63" i="1"/>
  <c r="FP63" i="1"/>
  <c r="FQ63" i="1"/>
  <c r="GA63" i="1" s="1"/>
  <c r="GC63" i="1"/>
  <c r="GC26" i="1" s="1"/>
  <c r="GD63" i="1"/>
  <c r="GE63" i="1"/>
  <c r="GE26" i="1" s="1"/>
  <c r="F72" i="1"/>
  <c r="F79" i="1"/>
  <c r="D93" i="1"/>
  <c r="B95" i="1"/>
  <c r="D95" i="1"/>
  <c r="E95" i="1"/>
  <c r="F95" i="1"/>
  <c r="Z95" i="1"/>
  <c r="AA95" i="1"/>
  <c r="AM95" i="1"/>
  <c r="AN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CK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R95" i="1"/>
  <c r="DS95" i="1"/>
  <c r="EE95" i="1"/>
  <c r="EF95" i="1"/>
  <c r="ET95" i="1"/>
  <c r="EU95" i="1"/>
  <c r="EV95" i="1"/>
  <c r="EW95" i="1"/>
  <c r="EX95" i="1"/>
  <c r="EY95" i="1"/>
  <c r="EZ95" i="1"/>
  <c r="FA95" i="1"/>
  <c r="FB95" i="1"/>
  <c r="FC95" i="1"/>
  <c r="FD95" i="1"/>
  <c r="FE95" i="1"/>
  <c r="FF95" i="1"/>
  <c r="FG95" i="1"/>
  <c r="FH95" i="1"/>
  <c r="FI95" i="1"/>
  <c r="FJ95" i="1"/>
  <c r="FK95" i="1"/>
  <c r="FL95" i="1"/>
  <c r="FM95" i="1"/>
  <c r="FN95" i="1"/>
  <c r="FO95" i="1"/>
  <c r="FQ95" i="1"/>
  <c r="GD95" i="1"/>
  <c r="GE95" i="1"/>
  <c r="GF95" i="1"/>
  <c r="GG95" i="1"/>
  <c r="GH95" i="1"/>
  <c r="GI95" i="1"/>
  <c r="GJ95" i="1"/>
  <c r="GK95" i="1"/>
  <c r="GL95" i="1"/>
  <c r="GM95" i="1"/>
  <c r="GN95" i="1"/>
  <c r="GO95" i="1"/>
  <c r="GP95" i="1"/>
  <c r="GQ95" i="1"/>
  <c r="GR95" i="1"/>
  <c r="GS95" i="1"/>
  <c r="GT95" i="1"/>
  <c r="GU95" i="1"/>
  <c r="GV95" i="1"/>
  <c r="GW95" i="1"/>
  <c r="GX95" i="1"/>
  <c r="C97" i="1"/>
  <c r="D97" i="1"/>
  <c r="S97" i="1"/>
  <c r="CY97" i="1" s="1"/>
  <c r="X97" i="1"/>
  <c r="AC97" i="1"/>
  <c r="AE97" i="1"/>
  <c r="AF97" i="1"/>
  <c r="AG97" i="1"/>
  <c r="CU97" i="1" s="1"/>
  <c r="T97" i="1" s="1"/>
  <c r="AH97" i="1"/>
  <c r="AI97" i="1"/>
  <c r="AJ97" i="1"/>
  <c r="CX97" i="1" s="1"/>
  <c r="W97" i="1" s="1"/>
  <c r="CT97" i="1"/>
  <c r="CV97" i="1"/>
  <c r="U97" i="1" s="1"/>
  <c r="CW97" i="1"/>
  <c r="V97" i="1" s="1"/>
  <c r="CZ97" i="1"/>
  <c r="Y97" i="1" s="1"/>
  <c r="GL97" i="1"/>
  <c r="GN97" i="1"/>
  <c r="CB174" i="1" s="1"/>
  <c r="CB95" i="1" s="1"/>
  <c r="GP97" i="1"/>
  <c r="GV97" i="1"/>
  <c r="HC97" i="1"/>
  <c r="GX97" i="1" s="1"/>
  <c r="C98" i="1"/>
  <c r="D98" i="1"/>
  <c r="Q98" i="1"/>
  <c r="R98" i="1"/>
  <c r="S98" i="1"/>
  <c r="U98" i="1"/>
  <c r="AC98" i="1"/>
  <c r="AD98" i="1"/>
  <c r="AE98" i="1"/>
  <c r="CS98" i="1" s="1"/>
  <c r="AF98" i="1"/>
  <c r="AG98" i="1"/>
  <c r="AH98" i="1"/>
  <c r="CV98" i="1" s="1"/>
  <c r="AI98" i="1"/>
  <c r="CW98" i="1" s="1"/>
  <c r="V98" i="1" s="1"/>
  <c r="AJ98" i="1"/>
  <c r="CR98" i="1"/>
  <c r="CT98" i="1"/>
  <c r="CU98" i="1"/>
  <c r="T98" i="1" s="1"/>
  <c r="CX98" i="1"/>
  <c r="W98" i="1" s="1"/>
  <c r="GK98" i="1"/>
  <c r="GL98" i="1"/>
  <c r="GN98" i="1"/>
  <c r="GP98" i="1"/>
  <c r="GV98" i="1"/>
  <c r="HC98" i="1" s="1"/>
  <c r="GX98" i="1" s="1"/>
  <c r="C99" i="1"/>
  <c r="D99" i="1"/>
  <c r="P99" i="1"/>
  <c r="R99" i="1"/>
  <c r="GK99" i="1" s="1"/>
  <c r="S99" i="1"/>
  <c r="U99" i="1"/>
  <c r="V99" i="1"/>
  <c r="W99" i="1"/>
  <c r="AC99" i="1"/>
  <c r="AE99" i="1"/>
  <c r="AF99" i="1"/>
  <c r="AG99" i="1"/>
  <c r="CU99" i="1" s="1"/>
  <c r="T99" i="1" s="1"/>
  <c r="AH99" i="1"/>
  <c r="AI99" i="1"/>
  <c r="CW99" i="1" s="1"/>
  <c r="AJ99" i="1"/>
  <c r="CX99" i="1" s="1"/>
  <c r="CQ99" i="1"/>
  <c r="CR99" i="1"/>
  <c r="CT99" i="1"/>
  <c r="CV99" i="1"/>
  <c r="GL99" i="1"/>
  <c r="GN99" i="1"/>
  <c r="GP99" i="1"/>
  <c r="GV99" i="1"/>
  <c r="HC99" i="1"/>
  <c r="GX99" i="1" s="1"/>
  <c r="C100" i="1"/>
  <c r="D100" i="1"/>
  <c r="V100" i="1"/>
  <c r="AC100" i="1"/>
  <c r="AE100" i="1"/>
  <c r="AF100" i="1"/>
  <c r="S100" i="1" s="1"/>
  <c r="CZ100" i="1" s="1"/>
  <c r="Y100" i="1" s="1"/>
  <c r="AG100" i="1"/>
  <c r="AH100" i="1"/>
  <c r="AI100" i="1"/>
  <c r="AJ100" i="1"/>
  <c r="CR100" i="1"/>
  <c r="CT100" i="1"/>
  <c r="CU100" i="1"/>
  <c r="T100" i="1" s="1"/>
  <c r="CV100" i="1"/>
  <c r="U100" i="1" s="1"/>
  <c r="CW100" i="1"/>
  <c r="CX100" i="1"/>
  <c r="W100" i="1" s="1"/>
  <c r="GL100" i="1"/>
  <c r="GN100" i="1"/>
  <c r="GP100" i="1"/>
  <c r="GV100" i="1"/>
  <c r="HC100" i="1" s="1"/>
  <c r="GX100" i="1" s="1"/>
  <c r="C101" i="1"/>
  <c r="D101" i="1"/>
  <c r="AC101" i="1"/>
  <c r="AE101" i="1"/>
  <c r="AF101" i="1"/>
  <c r="AG101" i="1"/>
  <c r="AH101" i="1"/>
  <c r="AI101" i="1"/>
  <c r="AJ101" i="1"/>
  <c r="CX101" i="1" s="1"/>
  <c r="W101" i="1" s="1"/>
  <c r="CU101" i="1"/>
  <c r="T101" i="1" s="1"/>
  <c r="CV101" i="1"/>
  <c r="U101" i="1" s="1"/>
  <c r="CW101" i="1"/>
  <c r="V101" i="1" s="1"/>
  <c r="GL101" i="1"/>
  <c r="GN101" i="1"/>
  <c r="GP101" i="1"/>
  <c r="GV101" i="1"/>
  <c r="GX101" i="1"/>
  <c r="HC101" i="1"/>
  <c r="C102" i="1"/>
  <c r="D102" i="1"/>
  <c r="P102" i="1"/>
  <c r="Q102" i="1"/>
  <c r="R102" i="1"/>
  <c r="S102" i="1"/>
  <c r="CY102" i="1" s="1"/>
  <c r="X102" i="1" s="1"/>
  <c r="T102" i="1"/>
  <c r="U102" i="1"/>
  <c r="AC102" i="1"/>
  <c r="AD102" i="1"/>
  <c r="AE102" i="1"/>
  <c r="CS102" i="1" s="1"/>
  <c r="AF102" i="1"/>
  <c r="CT102" i="1" s="1"/>
  <c r="AG102" i="1"/>
  <c r="CU102" i="1" s="1"/>
  <c r="AH102" i="1"/>
  <c r="AI102" i="1"/>
  <c r="CW102" i="1" s="1"/>
  <c r="V102" i="1" s="1"/>
  <c r="AJ102" i="1"/>
  <c r="CQ102" i="1"/>
  <c r="CR102" i="1"/>
  <c r="CV102" i="1"/>
  <c r="CX102" i="1"/>
  <c r="W102" i="1" s="1"/>
  <c r="CZ102" i="1"/>
  <c r="Y102" i="1" s="1"/>
  <c r="GK102" i="1"/>
  <c r="GL102" i="1"/>
  <c r="GN102" i="1"/>
  <c r="GP102" i="1"/>
  <c r="GV102" i="1"/>
  <c r="HC102" i="1"/>
  <c r="GX102" i="1" s="1"/>
  <c r="C103" i="1"/>
  <c r="D103" i="1"/>
  <c r="Q103" i="1"/>
  <c r="S103" i="1"/>
  <c r="U103" i="1"/>
  <c r="V103" i="1"/>
  <c r="AC103" i="1"/>
  <c r="AE103" i="1"/>
  <c r="AF103" i="1"/>
  <c r="AG103" i="1"/>
  <c r="AH103" i="1"/>
  <c r="AI103" i="1"/>
  <c r="AJ103" i="1"/>
  <c r="CX103" i="1" s="1"/>
  <c r="W103" i="1" s="1"/>
  <c r="CR103" i="1"/>
  <c r="CT103" i="1"/>
  <c r="CU103" i="1"/>
  <c r="T103" i="1" s="1"/>
  <c r="CV103" i="1"/>
  <c r="CW103" i="1"/>
  <c r="GL103" i="1"/>
  <c r="GN103" i="1"/>
  <c r="GP103" i="1"/>
  <c r="GV103" i="1"/>
  <c r="HC103" i="1"/>
  <c r="GX103" i="1" s="1"/>
  <c r="C104" i="1"/>
  <c r="D104" i="1"/>
  <c r="AC104" i="1"/>
  <c r="AE104" i="1"/>
  <c r="AF104" i="1"/>
  <c r="AG104" i="1"/>
  <c r="AH104" i="1"/>
  <c r="AI104" i="1"/>
  <c r="AJ104" i="1"/>
  <c r="CQ104" i="1"/>
  <c r="CU104" i="1"/>
  <c r="T104" i="1" s="1"/>
  <c r="CV104" i="1"/>
  <c r="U104" i="1" s="1"/>
  <c r="CW104" i="1"/>
  <c r="V104" i="1" s="1"/>
  <c r="CX104" i="1"/>
  <c r="W104" i="1" s="1"/>
  <c r="GL104" i="1"/>
  <c r="GN104" i="1"/>
  <c r="GP104" i="1"/>
  <c r="GV104" i="1"/>
  <c r="HC104" i="1" s="1"/>
  <c r="GX104" i="1"/>
  <c r="C105" i="1"/>
  <c r="D105" i="1"/>
  <c r="O105" i="1"/>
  <c r="Q105" i="1"/>
  <c r="R105" i="1"/>
  <c r="S105" i="1"/>
  <c r="CY105" i="1" s="1"/>
  <c r="U105" i="1"/>
  <c r="W105" i="1"/>
  <c r="X105" i="1"/>
  <c r="Y105" i="1"/>
  <c r="AB105" i="1"/>
  <c r="AC105" i="1"/>
  <c r="P105" i="1" s="1"/>
  <c r="CP105" i="1" s="1"/>
  <c r="AD105" i="1"/>
  <c r="AE105" i="1"/>
  <c r="AF105" i="1"/>
  <c r="AG105" i="1"/>
  <c r="AH105" i="1"/>
  <c r="AI105" i="1"/>
  <c r="CW105" i="1" s="1"/>
  <c r="V105" i="1" s="1"/>
  <c r="AJ105" i="1"/>
  <c r="CX105" i="1" s="1"/>
  <c r="CQ105" i="1"/>
  <c r="CR105" i="1"/>
  <c r="CS105" i="1"/>
  <c r="CT105" i="1"/>
  <c r="CU105" i="1"/>
  <c r="T105" i="1" s="1"/>
  <c r="CV105" i="1"/>
  <c r="CZ105" i="1"/>
  <c r="GK105" i="1"/>
  <c r="GL105" i="1"/>
  <c r="GN105" i="1"/>
  <c r="GP105" i="1"/>
  <c r="GV105" i="1"/>
  <c r="HC105" i="1" s="1"/>
  <c r="GX105" i="1"/>
  <c r="C106" i="1"/>
  <c r="D106" i="1"/>
  <c r="P106" i="1"/>
  <c r="Q106" i="1"/>
  <c r="R106" i="1"/>
  <c r="GK106" i="1" s="1"/>
  <c r="T106" i="1"/>
  <c r="AC106" i="1"/>
  <c r="AD106" i="1"/>
  <c r="AE106" i="1"/>
  <c r="AF106" i="1"/>
  <c r="AG106" i="1"/>
  <c r="CU106" i="1" s="1"/>
  <c r="AH106" i="1"/>
  <c r="CV106" i="1" s="1"/>
  <c r="U106" i="1" s="1"/>
  <c r="AI106" i="1"/>
  <c r="AJ106" i="1"/>
  <c r="CQ106" i="1"/>
  <c r="CW106" i="1"/>
  <c r="V106" i="1" s="1"/>
  <c r="CX106" i="1"/>
  <c r="W106" i="1" s="1"/>
  <c r="GL106" i="1"/>
  <c r="GN106" i="1"/>
  <c r="GP106" i="1"/>
  <c r="GV106" i="1"/>
  <c r="HC106" i="1" s="1"/>
  <c r="GX106" i="1" s="1"/>
  <c r="C107" i="1"/>
  <c r="D107" i="1"/>
  <c r="Q107" i="1"/>
  <c r="S107" i="1"/>
  <c r="U107" i="1"/>
  <c r="W107" i="1"/>
  <c r="AB107" i="1"/>
  <c r="AC107" i="1"/>
  <c r="AD107" i="1"/>
  <c r="AE107" i="1"/>
  <c r="R107" i="1" s="1"/>
  <c r="AF107" i="1"/>
  <c r="AG107" i="1"/>
  <c r="AH107" i="1"/>
  <c r="AI107" i="1"/>
  <c r="AJ107" i="1"/>
  <c r="CR107" i="1"/>
  <c r="CS107" i="1"/>
  <c r="CT107" i="1"/>
  <c r="CU107" i="1"/>
  <c r="T107" i="1" s="1"/>
  <c r="CV107" i="1"/>
  <c r="CW107" i="1"/>
  <c r="V107" i="1" s="1"/>
  <c r="CX107" i="1"/>
  <c r="GK107" i="1"/>
  <c r="GL107" i="1"/>
  <c r="GN107" i="1"/>
  <c r="GP107" i="1"/>
  <c r="GV107" i="1"/>
  <c r="HC107" i="1" s="1"/>
  <c r="GX107" i="1"/>
  <c r="C108" i="1"/>
  <c r="D108" i="1"/>
  <c r="P108" i="1"/>
  <c r="R108" i="1"/>
  <c r="S108" i="1"/>
  <c r="T108" i="1"/>
  <c r="U108" i="1"/>
  <c r="V108" i="1"/>
  <c r="W108" i="1"/>
  <c r="X108" i="1"/>
  <c r="Y108" i="1"/>
  <c r="AC108" i="1"/>
  <c r="AD108" i="1"/>
  <c r="AE108" i="1"/>
  <c r="AF108" i="1"/>
  <c r="AG108" i="1"/>
  <c r="AH108" i="1"/>
  <c r="AI108" i="1"/>
  <c r="CW108" i="1" s="1"/>
  <c r="AJ108" i="1"/>
  <c r="CX108" i="1" s="1"/>
  <c r="CQ108" i="1"/>
  <c r="CR108" i="1"/>
  <c r="CT108" i="1"/>
  <c r="CU108" i="1"/>
  <c r="CV108" i="1"/>
  <c r="CY108" i="1"/>
  <c r="CZ108" i="1"/>
  <c r="GK108" i="1"/>
  <c r="GL108" i="1"/>
  <c r="GN108" i="1"/>
  <c r="GP108" i="1"/>
  <c r="GV108" i="1"/>
  <c r="HC108" i="1"/>
  <c r="GX108" i="1" s="1"/>
  <c r="C109" i="1"/>
  <c r="D109" i="1"/>
  <c r="Q109" i="1"/>
  <c r="R109" i="1"/>
  <c r="GK109" i="1" s="1"/>
  <c r="S109" i="1"/>
  <c r="T109" i="1"/>
  <c r="V109" i="1"/>
  <c r="W109" i="1"/>
  <c r="AC109" i="1"/>
  <c r="AE109" i="1"/>
  <c r="AF109" i="1"/>
  <c r="AG109" i="1"/>
  <c r="CU109" i="1" s="1"/>
  <c r="AH109" i="1"/>
  <c r="CV109" i="1" s="1"/>
  <c r="U109" i="1" s="1"/>
  <c r="AI109" i="1"/>
  <c r="CW109" i="1" s="1"/>
  <c r="AJ109" i="1"/>
  <c r="CX109" i="1" s="1"/>
  <c r="CQ109" i="1"/>
  <c r="CR109" i="1"/>
  <c r="CT109" i="1"/>
  <c r="GL109" i="1"/>
  <c r="GN109" i="1"/>
  <c r="GP109" i="1"/>
  <c r="GV109" i="1"/>
  <c r="HC109" i="1"/>
  <c r="GX109" i="1" s="1"/>
  <c r="C110" i="1"/>
  <c r="D110" i="1"/>
  <c r="S110" i="1"/>
  <c r="CY110" i="1" s="1"/>
  <c r="X110" i="1"/>
  <c r="Y110" i="1"/>
  <c r="AC110" i="1"/>
  <c r="P110" i="1" s="1"/>
  <c r="AE110" i="1"/>
  <c r="AF110" i="1"/>
  <c r="AG110" i="1"/>
  <c r="CU110" i="1" s="1"/>
  <c r="T110" i="1" s="1"/>
  <c r="AH110" i="1"/>
  <c r="AI110" i="1"/>
  <c r="CW110" i="1" s="1"/>
  <c r="V110" i="1" s="1"/>
  <c r="AJ110" i="1"/>
  <c r="CT110" i="1"/>
  <c r="CV110" i="1"/>
  <c r="U110" i="1" s="1"/>
  <c r="CX110" i="1"/>
  <c r="W110" i="1" s="1"/>
  <c r="CZ110" i="1"/>
  <c r="GL110" i="1"/>
  <c r="GN110" i="1"/>
  <c r="GP110" i="1"/>
  <c r="GV110" i="1"/>
  <c r="HC110" i="1" s="1"/>
  <c r="GX110" i="1"/>
  <c r="C111" i="1"/>
  <c r="D111" i="1"/>
  <c r="Q111" i="1"/>
  <c r="R111" i="1"/>
  <c r="GK111" i="1" s="1"/>
  <c r="W111" i="1"/>
  <c r="AC111" i="1"/>
  <c r="AE111" i="1"/>
  <c r="AF111" i="1"/>
  <c r="S111" i="1" s="1"/>
  <c r="CZ111" i="1" s="1"/>
  <c r="Y111" i="1" s="1"/>
  <c r="AG111" i="1"/>
  <c r="CU111" i="1" s="1"/>
  <c r="T111" i="1" s="1"/>
  <c r="AH111" i="1"/>
  <c r="CV111" i="1" s="1"/>
  <c r="U111" i="1" s="1"/>
  <c r="AI111" i="1"/>
  <c r="AJ111" i="1"/>
  <c r="CX111" i="1" s="1"/>
  <c r="CR111" i="1"/>
  <c r="CT111" i="1"/>
  <c r="CW111" i="1"/>
  <c r="V111" i="1" s="1"/>
  <c r="CY111" i="1"/>
  <c r="X111" i="1" s="1"/>
  <c r="GL111" i="1"/>
  <c r="GN111" i="1"/>
  <c r="GP111" i="1"/>
  <c r="GV111" i="1"/>
  <c r="GX111" i="1"/>
  <c r="HC111" i="1"/>
  <c r="C112" i="1"/>
  <c r="D112" i="1"/>
  <c r="P112" i="1"/>
  <c r="U112" i="1"/>
  <c r="AC112" i="1"/>
  <c r="AE112" i="1"/>
  <c r="AF112" i="1"/>
  <c r="AG112" i="1"/>
  <c r="CU112" i="1" s="1"/>
  <c r="T112" i="1" s="1"/>
  <c r="AH112" i="1"/>
  <c r="AI112" i="1"/>
  <c r="CW112" i="1" s="1"/>
  <c r="V112" i="1" s="1"/>
  <c r="AJ112" i="1"/>
  <c r="CQ112" i="1"/>
  <c r="CV112" i="1"/>
  <c r="CX112" i="1"/>
  <c r="W112" i="1" s="1"/>
  <c r="GL112" i="1"/>
  <c r="GN112" i="1"/>
  <c r="GP112" i="1"/>
  <c r="GV112" i="1"/>
  <c r="GX112" i="1"/>
  <c r="HC112" i="1"/>
  <c r="C113" i="1"/>
  <c r="D113" i="1"/>
  <c r="Q113" i="1"/>
  <c r="R113" i="1"/>
  <c r="GK113" i="1" s="1"/>
  <c r="S113" i="1"/>
  <c r="T113" i="1"/>
  <c r="U113" i="1"/>
  <c r="AC113" i="1"/>
  <c r="AE113" i="1"/>
  <c r="AF113" i="1"/>
  <c r="AG113" i="1"/>
  <c r="CU113" i="1" s="1"/>
  <c r="AH113" i="1"/>
  <c r="CV113" i="1" s="1"/>
  <c r="AI113" i="1"/>
  <c r="AJ113" i="1"/>
  <c r="CQ113" i="1"/>
  <c r="CT113" i="1"/>
  <c r="CW113" i="1"/>
  <c r="V113" i="1" s="1"/>
  <c r="CX113" i="1"/>
  <c r="W113" i="1" s="1"/>
  <c r="GL113" i="1"/>
  <c r="GN113" i="1"/>
  <c r="GP113" i="1"/>
  <c r="GV113" i="1"/>
  <c r="GX113" i="1"/>
  <c r="HC113" i="1"/>
  <c r="C114" i="1"/>
  <c r="D114" i="1"/>
  <c r="S114" i="1"/>
  <c r="U114" i="1"/>
  <c r="W114" i="1"/>
  <c r="AC114" i="1"/>
  <c r="AD114" i="1"/>
  <c r="AE114" i="1"/>
  <c r="AF114" i="1"/>
  <c r="AG114" i="1"/>
  <c r="AH114" i="1"/>
  <c r="AI114" i="1"/>
  <c r="AJ114" i="1"/>
  <c r="CR114" i="1"/>
  <c r="CT114" i="1"/>
  <c r="CU114" i="1"/>
  <c r="T114" i="1" s="1"/>
  <c r="CV114" i="1"/>
  <c r="CW114" i="1"/>
  <c r="V114" i="1" s="1"/>
  <c r="CX114" i="1"/>
  <c r="GL114" i="1"/>
  <c r="GN114" i="1"/>
  <c r="GP114" i="1"/>
  <c r="GV114" i="1"/>
  <c r="HC114" i="1"/>
  <c r="GX114" i="1" s="1"/>
  <c r="D115" i="1"/>
  <c r="P115" i="1"/>
  <c r="R115" i="1"/>
  <c r="AC115" i="1"/>
  <c r="AD115" i="1"/>
  <c r="AE115" i="1"/>
  <c r="Q115" i="1" s="1"/>
  <c r="AF115" i="1"/>
  <c r="AG115" i="1"/>
  <c r="CU115" i="1" s="1"/>
  <c r="T115" i="1" s="1"/>
  <c r="AH115" i="1"/>
  <c r="CV115" i="1" s="1"/>
  <c r="U115" i="1" s="1"/>
  <c r="AI115" i="1"/>
  <c r="CW115" i="1" s="1"/>
  <c r="V115" i="1" s="1"/>
  <c r="AJ115" i="1"/>
  <c r="CX115" i="1" s="1"/>
  <c r="W115" i="1" s="1"/>
  <c r="CQ115" i="1"/>
  <c r="CR115" i="1"/>
  <c r="CS115" i="1"/>
  <c r="GK115" i="1"/>
  <c r="GL115" i="1"/>
  <c r="GN115" i="1"/>
  <c r="GP115" i="1"/>
  <c r="GV115" i="1"/>
  <c r="HC115" i="1"/>
  <c r="GX115" i="1" s="1"/>
  <c r="D116" i="1"/>
  <c r="P116" i="1"/>
  <c r="Q116" i="1"/>
  <c r="R116" i="1"/>
  <c r="GK116" i="1" s="1"/>
  <c r="T116" i="1"/>
  <c r="W116" i="1"/>
  <c r="AC116" i="1"/>
  <c r="CQ116" i="1" s="1"/>
  <c r="AE116" i="1"/>
  <c r="CS116" i="1" s="1"/>
  <c r="AF116" i="1"/>
  <c r="CT116" i="1" s="1"/>
  <c r="AG116" i="1"/>
  <c r="AH116" i="1"/>
  <c r="CV116" i="1" s="1"/>
  <c r="U116" i="1" s="1"/>
  <c r="AI116" i="1"/>
  <c r="CW116" i="1" s="1"/>
  <c r="V116" i="1" s="1"/>
  <c r="AJ116" i="1"/>
  <c r="CR116" i="1"/>
  <c r="CU116" i="1"/>
  <c r="CX116" i="1"/>
  <c r="GL116" i="1"/>
  <c r="GN116" i="1"/>
  <c r="GP116" i="1"/>
  <c r="GV116" i="1"/>
  <c r="GX116" i="1"/>
  <c r="HC116" i="1"/>
  <c r="C117" i="1"/>
  <c r="D117" i="1"/>
  <c r="S117" i="1"/>
  <c r="T117" i="1"/>
  <c r="Y117" i="1"/>
  <c r="AC117" i="1"/>
  <c r="P117" i="1" s="1"/>
  <c r="AE117" i="1"/>
  <c r="AF117" i="1"/>
  <c r="AG117" i="1"/>
  <c r="CU117" i="1" s="1"/>
  <c r="AH117" i="1"/>
  <c r="AI117" i="1"/>
  <c r="CW117" i="1" s="1"/>
  <c r="V117" i="1" s="1"/>
  <c r="AJ117" i="1"/>
  <c r="CS117" i="1"/>
  <c r="CT117" i="1"/>
  <c r="CV117" i="1"/>
  <c r="U117" i="1" s="1"/>
  <c r="CX117" i="1"/>
  <c r="W117" i="1" s="1"/>
  <c r="CY117" i="1"/>
  <c r="X117" i="1" s="1"/>
  <c r="CZ117" i="1"/>
  <c r="GL117" i="1"/>
  <c r="GN117" i="1"/>
  <c r="GP117" i="1"/>
  <c r="GV117" i="1"/>
  <c r="GX117" i="1"/>
  <c r="HC117" i="1"/>
  <c r="C118" i="1"/>
  <c r="D118" i="1"/>
  <c r="P118" i="1"/>
  <c r="AC118" i="1"/>
  <c r="CQ118" i="1" s="1"/>
  <c r="AE118" i="1"/>
  <c r="AD118" i="1" s="1"/>
  <c r="AB118" i="1" s="1"/>
  <c r="AF118" i="1"/>
  <c r="S118" i="1" s="1"/>
  <c r="CZ118" i="1" s="1"/>
  <c r="Y118" i="1" s="1"/>
  <c r="AG118" i="1"/>
  <c r="AH118" i="1"/>
  <c r="CV118" i="1" s="1"/>
  <c r="U118" i="1" s="1"/>
  <c r="AI118" i="1"/>
  <c r="AJ118" i="1"/>
  <c r="CT118" i="1"/>
  <c r="CU118" i="1"/>
  <c r="T118" i="1" s="1"/>
  <c r="CW118" i="1"/>
  <c r="V118" i="1" s="1"/>
  <c r="CX118" i="1"/>
  <c r="W118" i="1" s="1"/>
  <c r="GL118" i="1"/>
  <c r="GN118" i="1"/>
  <c r="GP118" i="1"/>
  <c r="GV118" i="1"/>
  <c r="HC118" i="1"/>
  <c r="GX118" i="1" s="1"/>
  <c r="C119" i="1"/>
  <c r="D119" i="1"/>
  <c r="S119" i="1"/>
  <c r="V119" i="1"/>
  <c r="AC119" i="1"/>
  <c r="AE119" i="1"/>
  <c r="AF119" i="1"/>
  <c r="AG119" i="1"/>
  <c r="CU119" i="1" s="1"/>
  <c r="T119" i="1" s="1"/>
  <c r="AH119" i="1"/>
  <c r="CV119" i="1" s="1"/>
  <c r="U119" i="1" s="1"/>
  <c r="AI119" i="1"/>
  <c r="CW119" i="1" s="1"/>
  <c r="AJ119" i="1"/>
  <c r="CX119" i="1" s="1"/>
  <c r="W119" i="1" s="1"/>
  <c r="CT119" i="1"/>
  <c r="CY119" i="1"/>
  <c r="X119" i="1" s="1"/>
  <c r="CZ119" i="1"/>
  <c r="Y119" i="1" s="1"/>
  <c r="GL119" i="1"/>
  <c r="GN119" i="1"/>
  <c r="GP119" i="1"/>
  <c r="GV119" i="1"/>
  <c r="GX119" i="1"/>
  <c r="HC119" i="1"/>
  <c r="C120" i="1"/>
  <c r="D120" i="1"/>
  <c r="P120" i="1"/>
  <c r="T120" i="1"/>
  <c r="U120" i="1"/>
  <c r="W120" i="1"/>
  <c r="AC120" i="1"/>
  <c r="CQ120" i="1" s="1"/>
  <c r="AE120" i="1"/>
  <c r="AF120" i="1"/>
  <c r="AG120" i="1"/>
  <c r="AH120" i="1"/>
  <c r="CV120" i="1" s="1"/>
  <c r="AI120" i="1"/>
  <c r="AJ120" i="1"/>
  <c r="CU120" i="1"/>
  <c r="CW120" i="1"/>
  <c r="V120" i="1" s="1"/>
  <c r="CX120" i="1"/>
  <c r="GL120" i="1"/>
  <c r="GN120" i="1"/>
  <c r="GP120" i="1"/>
  <c r="GV120" i="1"/>
  <c r="HC120" i="1" s="1"/>
  <c r="GX120" i="1" s="1"/>
  <c r="C121" i="1"/>
  <c r="D121" i="1"/>
  <c r="S121" i="1"/>
  <c r="T121" i="1"/>
  <c r="V121" i="1"/>
  <c r="W121" i="1"/>
  <c r="AC121" i="1"/>
  <c r="P121" i="1" s="1"/>
  <c r="AE121" i="1"/>
  <c r="AF121" i="1"/>
  <c r="AG121" i="1"/>
  <c r="CU121" i="1" s="1"/>
  <c r="AH121" i="1"/>
  <c r="CV121" i="1" s="1"/>
  <c r="U121" i="1" s="1"/>
  <c r="AI121" i="1"/>
  <c r="CW121" i="1" s="1"/>
  <c r="AJ121" i="1"/>
  <c r="CX121" i="1" s="1"/>
  <c r="CQ121" i="1"/>
  <c r="CR121" i="1"/>
  <c r="CS121" i="1"/>
  <c r="CT121" i="1"/>
  <c r="GL121" i="1"/>
  <c r="GN121" i="1"/>
  <c r="GP121" i="1"/>
  <c r="GV121" i="1"/>
  <c r="GX121" i="1"/>
  <c r="HC121" i="1"/>
  <c r="C122" i="1"/>
  <c r="D122" i="1"/>
  <c r="P122" i="1"/>
  <c r="Q122" i="1"/>
  <c r="R122" i="1"/>
  <c r="GK122" i="1" s="1"/>
  <c r="S122" i="1"/>
  <c r="T122" i="1"/>
  <c r="U122" i="1"/>
  <c r="W122" i="1"/>
  <c r="AB122" i="1"/>
  <c r="AC122" i="1"/>
  <c r="CQ122" i="1" s="1"/>
  <c r="AD122" i="1"/>
  <c r="AE122" i="1"/>
  <c r="AF122" i="1"/>
  <c r="AG122" i="1"/>
  <c r="AH122" i="1"/>
  <c r="CV122" i="1" s="1"/>
  <c r="AI122" i="1"/>
  <c r="CW122" i="1" s="1"/>
  <c r="V122" i="1" s="1"/>
  <c r="AJ122" i="1"/>
  <c r="CP122" i="1"/>
  <c r="O122" i="1" s="1"/>
  <c r="CR122" i="1"/>
  <c r="CS122" i="1"/>
  <c r="CT122" i="1"/>
  <c r="CU122" i="1"/>
  <c r="CX122" i="1"/>
  <c r="GL122" i="1"/>
  <c r="GN122" i="1"/>
  <c r="GP122" i="1"/>
  <c r="GV122" i="1"/>
  <c r="HC122" i="1"/>
  <c r="GX122" i="1" s="1"/>
  <c r="C123" i="1"/>
  <c r="D123" i="1"/>
  <c r="Q123" i="1"/>
  <c r="S123" i="1"/>
  <c r="CZ123" i="1" s="1"/>
  <c r="T123" i="1"/>
  <c r="W123" i="1"/>
  <c r="Y123" i="1"/>
  <c r="AC123" i="1"/>
  <c r="AE123" i="1"/>
  <c r="AF123" i="1"/>
  <c r="AG123" i="1"/>
  <c r="CU123" i="1" s="1"/>
  <c r="AH123" i="1"/>
  <c r="AI123" i="1"/>
  <c r="CW123" i="1" s="1"/>
  <c r="V123" i="1" s="1"/>
  <c r="AJ123" i="1"/>
  <c r="CX123" i="1" s="1"/>
  <c r="CR123" i="1"/>
  <c r="CS123" i="1"/>
  <c r="CT123" i="1"/>
  <c r="CV123" i="1"/>
  <c r="U123" i="1" s="1"/>
  <c r="GL123" i="1"/>
  <c r="GN123" i="1"/>
  <c r="GP123" i="1"/>
  <c r="GV123" i="1"/>
  <c r="GX123" i="1"/>
  <c r="HC123" i="1"/>
  <c r="C124" i="1"/>
  <c r="D124" i="1"/>
  <c r="P124" i="1"/>
  <c r="Q124" i="1"/>
  <c r="R124" i="1"/>
  <c r="GK124" i="1" s="1"/>
  <c r="S124" i="1"/>
  <c r="CZ124" i="1" s="1"/>
  <c r="T124" i="1"/>
  <c r="U124" i="1"/>
  <c r="W124" i="1"/>
  <c r="Y124" i="1"/>
  <c r="AC124" i="1"/>
  <c r="CQ124" i="1" s="1"/>
  <c r="AD124" i="1"/>
  <c r="AB124" i="1" s="1"/>
  <c r="AE124" i="1"/>
  <c r="AF124" i="1"/>
  <c r="AG124" i="1"/>
  <c r="CU124" i="1" s="1"/>
  <c r="AH124" i="1"/>
  <c r="AI124" i="1"/>
  <c r="CW124" i="1" s="1"/>
  <c r="V124" i="1" s="1"/>
  <c r="AJ124" i="1"/>
  <c r="CP124" i="1"/>
  <c r="O124" i="1" s="1"/>
  <c r="CR124" i="1"/>
  <c r="CS124" i="1"/>
  <c r="CT124" i="1"/>
  <c r="CV124" i="1"/>
  <c r="CX124" i="1"/>
  <c r="CY124" i="1"/>
  <c r="X124" i="1" s="1"/>
  <c r="GL124" i="1"/>
  <c r="GN124" i="1"/>
  <c r="GP124" i="1"/>
  <c r="GV124" i="1"/>
  <c r="HC124" i="1" s="1"/>
  <c r="GX124" i="1" s="1"/>
  <c r="C125" i="1"/>
  <c r="D125" i="1"/>
  <c r="Q125" i="1"/>
  <c r="S125" i="1"/>
  <c r="W125" i="1"/>
  <c r="AC125" i="1"/>
  <c r="AE125" i="1"/>
  <c r="AF125" i="1"/>
  <c r="AG125" i="1"/>
  <c r="CU125" i="1" s="1"/>
  <c r="T125" i="1" s="1"/>
  <c r="AH125" i="1"/>
  <c r="CV125" i="1" s="1"/>
  <c r="U125" i="1" s="1"/>
  <c r="AI125" i="1"/>
  <c r="CW125" i="1" s="1"/>
  <c r="V125" i="1" s="1"/>
  <c r="AJ125" i="1"/>
  <c r="CX125" i="1" s="1"/>
  <c r="CR125" i="1"/>
  <c r="CS125" i="1"/>
  <c r="CT125" i="1"/>
  <c r="CY125" i="1"/>
  <c r="X125" i="1" s="1"/>
  <c r="CZ125" i="1"/>
  <c r="Y125" i="1" s="1"/>
  <c r="GL125" i="1"/>
  <c r="GN125" i="1"/>
  <c r="GP125" i="1"/>
  <c r="GV125" i="1"/>
  <c r="GX125" i="1"/>
  <c r="HC125" i="1"/>
  <c r="C126" i="1"/>
  <c r="D126" i="1"/>
  <c r="P126" i="1"/>
  <c r="Q126" i="1"/>
  <c r="R126" i="1"/>
  <c r="GK126" i="1" s="1"/>
  <c r="AC126" i="1"/>
  <c r="CQ126" i="1" s="1"/>
  <c r="AE126" i="1"/>
  <c r="AF126" i="1"/>
  <c r="AG126" i="1"/>
  <c r="CU126" i="1" s="1"/>
  <c r="T126" i="1" s="1"/>
  <c r="AH126" i="1"/>
  <c r="AI126" i="1"/>
  <c r="AJ126" i="1"/>
  <c r="CV126" i="1"/>
  <c r="U126" i="1" s="1"/>
  <c r="CW126" i="1"/>
  <c r="V126" i="1" s="1"/>
  <c r="CX126" i="1"/>
  <c r="W126" i="1" s="1"/>
  <c r="GL126" i="1"/>
  <c r="GN126" i="1"/>
  <c r="GP126" i="1"/>
  <c r="GV126" i="1"/>
  <c r="GX126" i="1"/>
  <c r="HC126" i="1"/>
  <c r="D127" i="1"/>
  <c r="P127" i="1"/>
  <c r="R127" i="1"/>
  <c r="GK127" i="1" s="1"/>
  <c r="T127" i="1"/>
  <c r="U127" i="1"/>
  <c r="AC127" i="1"/>
  <c r="AD127" i="1"/>
  <c r="AE127" i="1"/>
  <c r="Q127" i="1" s="1"/>
  <c r="AF127" i="1"/>
  <c r="AG127" i="1"/>
  <c r="AH127" i="1"/>
  <c r="CV127" i="1" s="1"/>
  <c r="AI127" i="1"/>
  <c r="CW127" i="1" s="1"/>
  <c r="V127" i="1" s="1"/>
  <c r="AJ127" i="1"/>
  <c r="CX127" i="1" s="1"/>
  <c r="W127" i="1" s="1"/>
  <c r="CQ127" i="1"/>
  <c r="CR127" i="1"/>
  <c r="CS127" i="1"/>
  <c r="CU127" i="1"/>
  <c r="GL127" i="1"/>
  <c r="GN127" i="1"/>
  <c r="GP127" i="1"/>
  <c r="GV127" i="1"/>
  <c r="HC127" i="1" s="1"/>
  <c r="GX127" i="1" s="1"/>
  <c r="D128" i="1"/>
  <c r="P128" i="1"/>
  <c r="Q128" i="1"/>
  <c r="R128" i="1"/>
  <c r="GK128" i="1" s="1"/>
  <c r="S128" i="1"/>
  <c r="U128" i="1"/>
  <c r="AC128" i="1"/>
  <c r="AE128" i="1"/>
  <c r="CS128" i="1" s="1"/>
  <c r="AF128" i="1"/>
  <c r="CT128" i="1" s="1"/>
  <c r="AG128" i="1"/>
  <c r="AH128" i="1"/>
  <c r="CV128" i="1" s="1"/>
  <c r="AI128" i="1"/>
  <c r="AJ128" i="1"/>
  <c r="CP128" i="1"/>
  <c r="O128" i="1" s="1"/>
  <c r="CR128" i="1"/>
  <c r="CU128" i="1"/>
  <c r="T128" i="1" s="1"/>
  <c r="CW128" i="1"/>
  <c r="V128" i="1" s="1"/>
  <c r="CX128" i="1"/>
  <c r="W128" i="1" s="1"/>
  <c r="GL128" i="1"/>
  <c r="GN128" i="1"/>
  <c r="GP128" i="1"/>
  <c r="GV128" i="1"/>
  <c r="HC128" i="1" s="1"/>
  <c r="GX128" i="1" s="1"/>
  <c r="C129" i="1"/>
  <c r="D129" i="1"/>
  <c r="P129" i="1"/>
  <c r="S129" i="1"/>
  <c r="CY129" i="1" s="1"/>
  <c r="V129" i="1"/>
  <c r="X129" i="1"/>
  <c r="AC129" i="1"/>
  <c r="AD129" i="1"/>
  <c r="AB129" i="1" s="1"/>
  <c r="AE129" i="1"/>
  <c r="AF129" i="1"/>
  <c r="AG129" i="1"/>
  <c r="AH129" i="1"/>
  <c r="AI129" i="1"/>
  <c r="CW129" i="1" s="1"/>
  <c r="AJ129" i="1"/>
  <c r="CQ129" i="1"/>
  <c r="CS129" i="1"/>
  <c r="CT129" i="1"/>
  <c r="CU129" i="1"/>
  <c r="T129" i="1" s="1"/>
  <c r="CV129" i="1"/>
  <c r="U129" i="1" s="1"/>
  <c r="CX129" i="1"/>
  <c r="W129" i="1" s="1"/>
  <c r="CZ129" i="1"/>
  <c r="Y129" i="1" s="1"/>
  <c r="GL129" i="1"/>
  <c r="GN129" i="1"/>
  <c r="GP129" i="1"/>
  <c r="GV129" i="1"/>
  <c r="HC129" i="1" s="1"/>
  <c r="GX129" i="1" s="1"/>
  <c r="C130" i="1"/>
  <c r="D130" i="1"/>
  <c r="P130" i="1"/>
  <c r="Q130" i="1"/>
  <c r="R130" i="1"/>
  <c r="GK130" i="1" s="1"/>
  <c r="AC130" i="1"/>
  <c r="AD130" i="1"/>
  <c r="AE130" i="1"/>
  <c r="AF130" i="1"/>
  <c r="AG130" i="1"/>
  <c r="CU130" i="1" s="1"/>
  <c r="T130" i="1" s="1"/>
  <c r="AH130" i="1"/>
  <c r="CV130" i="1" s="1"/>
  <c r="U130" i="1" s="1"/>
  <c r="AI130" i="1"/>
  <c r="CW130" i="1" s="1"/>
  <c r="V130" i="1" s="1"/>
  <c r="AJ130" i="1"/>
  <c r="CX130" i="1" s="1"/>
  <c r="W130" i="1" s="1"/>
  <c r="GL130" i="1"/>
  <c r="GN130" i="1"/>
  <c r="GP130" i="1"/>
  <c r="GV130" i="1"/>
  <c r="GX130" i="1"/>
  <c r="HC130" i="1"/>
  <c r="C131" i="1"/>
  <c r="D131" i="1"/>
  <c r="I131" i="1"/>
  <c r="K131" i="1"/>
  <c r="AC131" i="1"/>
  <c r="AE131" i="1"/>
  <c r="AF131" i="1"/>
  <c r="AG131" i="1"/>
  <c r="CU131" i="1" s="1"/>
  <c r="T131" i="1" s="1"/>
  <c r="AH131" i="1"/>
  <c r="CV131" i="1" s="1"/>
  <c r="U131" i="1" s="1"/>
  <c r="AI131" i="1"/>
  <c r="CW131" i="1" s="1"/>
  <c r="V131" i="1" s="1"/>
  <c r="AJ131" i="1"/>
  <c r="CX131" i="1" s="1"/>
  <c r="W131" i="1" s="1"/>
  <c r="CQ131" i="1"/>
  <c r="CT131" i="1"/>
  <c r="GL131" i="1"/>
  <c r="GN131" i="1"/>
  <c r="GP131" i="1"/>
  <c r="GV131" i="1"/>
  <c r="GX131" i="1"/>
  <c r="HC131" i="1"/>
  <c r="C132" i="1"/>
  <c r="D132" i="1"/>
  <c r="I132" i="1"/>
  <c r="K132" i="1"/>
  <c r="P132" i="1"/>
  <c r="R132" i="1"/>
  <c r="GK132" i="1" s="1"/>
  <c r="W132" i="1"/>
  <c r="AC132" i="1"/>
  <c r="AE132" i="1"/>
  <c r="AF132" i="1"/>
  <c r="AG132" i="1"/>
  <c r="AH132" i="1"/>
  <c r="AI132" i="1"/>
  <c r="AJ132" i="1"/>
  <c r="CQ132" i="1"/>
  <c r="CR132" i="1"/>
  <c r="CU132" i="1"/>
  <c r="CV132" i="1"/>
  <c r="U132" i="1" s="1"/>
  <c r="CW132" i="1"/>
  <c r="CX132" i="1"/>
  <c r="GL132" i="1"/>
  <c r="GN132" i="1"/>
  <c r="GP132" i="1"/>
  <c r="GV132" i="1"/>
  <c r="HC132" i="1"/>
  <c r="C133" i="1"/>
  <c r="D133" i="1"/>
  <c r="I133" i="1"/>
  <c r="K133" i="1"/>
  <c r="P133" i="1"/>
  <c r="Q133" i="1"/>
  <c r="R133" i="1"/>
  <c r="T133" i="1"/>
  <c r="AC133" i="1"/>
  <c r="AD133" i="1"/>
  <c r="AE133" i="1"/>
  <c r="CS133" i="1" s="1"/>
  <c r="AF133" i="1"/>
  <c r="AG133" i="1"/>
  <c r="AH133" i="1"/>
  <c r="CV133" i="1" s="1"/>
  <c r="U133" i="1" s="1"/>
  <c r="AI133" i="1"/>
  <c r="AJ133" i="1"/>
  <c r="CX133" i="1" s="1"/>
  <c r="W133" i="1" s="1"/>
  <c r="CR133" i="1"/>
  <c r="CU133" i="1"/>
  <c r="CW133" i="1"/>
  <c r="V133" i="1" s="1"/>
  <c r="GK133" i="1"/>
  <c r="GL133" i="1"/>
  <c r="GN133" i="1"/>
  <c r="GP133" i="1"/>
  <c r="GV133" i="1"/>
  <c r="HC133" i="1" s="1"/>
  <c r="GX133" i="1" s="1"/>
  <c r="C134" i="1"/>
  <c r="D134" i="1"/>
  <c r="I134" i="1"/>
  <c r="K134" i="1"/>
  <c r="Q134" i="1"/>
  <c r="CP134" i="1" s="1"/>
  <c r="O134" i="1" s="1"/>
  <c r="S134" i="1"/>
  <c r="CY134" i="1" s="1"/>
  <c r="X134" i="1" s="1"/>
  <c r="T134" i="1"/>
  <c r="U134" i="1"/>
  <c r="V134" i="1"/>
  <c r="AC134" i="1"/>
  <c r="P134" i="1" s="1"/>
  <c r="AE134" i="1"/>
  <c r="AF134" i="1"/>
  <c r="AG134" i="1"/>
  <c r="CU134" i="1" s="1"/>
  <c r="AH134" i="1"/>
  <c r="CV134" i="1" s="1"/>
  <c r="AI134" i="1"/>
  <c r="CW134" i="1" s="1"/>
  <c r="AJ134" i="1"/>
  <c r="CX134" i="1" s="1"/>
  <c r="W134" i="1" s="1"/>
  <c r="CQ134" i="1"/>
  <c r="CT134" i="1"/>
  <c r="CZ134" i="1"/>
  <c r="Y134" i="1" s="1"/>
  <c r="GL134" i="1"/>
  <c r="GN134" i="1"/>
  <c r="GP134" i="1"/>
  <c r="GV134" i="1"/>
  <c r="GX134" i="1"/>
  <c r="HC134" i="1"/>
  <c r="D135" i="1"/>
  <c r="P135" i="1"/>
  <c r="Q135" i="1"/>
  <c r="R135" i="1"/>
  <c r="U135" i="1"/>
  <c r="AC135" i="1"/>
  <c r="AD135" i="1"/>
  <c r="AE135" i="1"/>
  <c r="CR135" i="1" s="1"/>
  <c r="AF135" i="1"/>
  <c r="AB135" i="1" s="1"/>
  <c r="AG135" i="1"/>
  <c r="CU135" i="1" s="1"/>
  <c r="T135" i="1" s="1"/>
  <c r="AH135" i="1"/>
  <c r="CV135" i="1" s="1"/>
  <c r="AI135" i="1"/>
  <c r="AJ135" i="1"/>
  <c r="CX135" i="1" s="1"/>
  <c r="W135" i="1" s="1"/>
  <c r="CQ135" i="1"/>
  <c r="CS135" i="1"/>
  <c r="CW135" i="1"/>
  <c r="V135" i="1" s="1"/>
  <c r="GK135" i="1"/>
  <c r="GL135" i="1"/>
  <c r="GN135" i="1"/>
  <c r="GP135" i="1"/>
  <c r="GV135" i="1"/>
  <c r="HC135" i="1" s="1"/>
  <c r="GX135" i="1" s="1"/>
  <c r="D136" i="1"/>
  <c r="S136" i="1"/>
  <c r="CY136" i="1" s="1"/>
  <c r="X136" i="1" s="1"/>
  <c r="V136" i="1"/>
  <c r="AC136" i="1"/>
  <c r="AE136" i="1"/>
  <c r="AD136" i="1" s="1"/>
  <c r="AF136" i="1"/>
  <c r="AG136" i="1"/>
  <c r="AH136" i="1"/>
  <c r="AI136" i="1"/>
  <c r="CW136" i="1" s="1"/>
  <c r="AJ136" i="1"/>
  <c r="CT136" i="1"/>
  <c r="CU136" i="1"/>
  <c r="T136" i="1" s="1"/>
  <c r="CV136" i="1"/>
  <c r="U136" i="1" s="1"/>
  <c r="CX136" i="1"/>
  <c r="W136" i="1" s="1"/>
  <c r="CZ136" i="1"/>
  <c r="Y136" i="1" s="1"/>
  <c r="GL136" i="1"/>
  <c r="GN136" i="1"/>
  <c r="GP136" i="1"/>
  <c r="GV136" i="1"/>
  <c r="HC136" i="1" s="1"/>
  <c r="GX136" i="1"/>
  <c r="C137" i="1"/>
  <c r="D137" i="1"/>
  <c r="P137" i="1"/>
  <c r="Q137" i="1"/>
  <c r="R137" i="1"/>
  <c r="GK137" i="1" s="1"/>
  <c r="AC137" i="1"/>
  <c r="AE137" i="1"/>
  <c r="AF137" i="1"/>
  <c r="AG137" i="1"/>
  <c r="CU137" i="1" s="1"/>
  <c r="T137" i="1" s="1"/>
  <c r="AH137" i="1"/>
  <c r="CV137" i="1" s="1"/>
  <c r="U137" i="1" s="1"/>
  <c r="AI137" i="1"/>
  <c r="CW137" i="1" s="1"/>
  <c r="V137" i="1" s="1"/>
  <c r="AJ137" i="1"/>
  <c r="CX137" i="1" s="1"/>
  <c r="W137" i="1" s="1"/>
  <c r="GL137" i="1"/>
  <c r="GN137" i="1"/>
  <c r="GP137" i="1"/>
  <c r="GV137" i="1"/>
  <c r="HC137" i="1" s="1"/>
  <c r="GX137" i="1" s="1"/>
  <c r="C138" i="1"/>
  <c r="D138" i="1"/>
  <c r="P138" i="1"/>
  <c r="Q138" i="1"/>
  <c r="S138" i="1"/>
  <c r="AC138" i="1"/>
  <c r="AE138" i="1"/>
  <c r="AF138" i="1"/>
  <c r="AG138" i="1"/>
  <c r="CU138" i="1" s="1"/>
  <c r="T138" i="1" s="1"/>
  <c r="AH138" i="1"/>
  <c r="AI138" i="1"/>
  <c r="CW138" i="1" s="1"/>
  <c r="V138" i="1" s="1"/>
  <c r="AJ138" i="1"/>
  <c r="CX138" i="1" s="1"/>
  <c r="W138" i="1" s="1"/>
  <c r="CQ138" i="1"/>
  <c r="CS138" i="1"/>
  <c r="CT138" i="1"/>
  <c r="CV138" i="1"/>
  <c r="U138" i="1" s="1"/>
  <c r="GL138" i="1"/>
  <c r="GN138" i="1"/>
  <c r="GP138" i="1"/>
  <c r="GV138" i="1"/>
  <c r="HC138" i="1" s="1"/>
  <c r="GX138" i="1"/>
  <c r="C139" i="1"/>
  <c r="D139" i="1"/>
  <c r="AC139" i="1"/>
  <c r="AE139" i="1"/>
  <c r="AF139" i="1"/>
  <c r="AG139" i="1"/>
  <c r="AH139" i="1"/>
  <c r="AI139" i="1"/>
  <c r="AJ139" i="1"/>
  <c r="CU139" i="1"/>
  <c r="T139" i="1" s="1"/>
  <c r="CV139" i="1"/>
  <c r="U139" i="1" s="1"/>
  <c r="CW139" i="1"/>
  <c r="V139" i="1" s="1"/>
  <c r="CX139" i="1"/>
  <c r="W139" i="1" s="1"/>
  <c r="GL139" i="1"/>
  <c r="GN139" i="1"/>
  <c r="GP139" i="1"/>
  <c r="GV139" i="1"/>
  <c r="HC139" i="1"/>
  <c r="GX139" i="1" s="1"/>
  <c r="C140" i="1"/>
  <c r="D140" i="1"/>
  <c r="P140" i="1"/>
  <c r="Q140" i="1"/>
  <c r="S140" i="1"/>
  <c r="CY140" i="1" s="1"/>
  <c r="X140" i="1" s="1"/>
  <c r="Y140" i="1"/>
  <c r="AB140" i="1"/>
  <c r="AC140" i="1"/>
  <c r="CQ140" i="1" s="1"/>
  <c r="AD140" i="1"/>
  <c r="AE140" i="1"/>
  <c r="AF140" i="1"/>
  <c r="AG140" i="1"/>
  <c r="AH140" i="1"/>
  <c r="AI140" i="1"/>
  <c r="CW140" i="1" s="1"/>
  <c r="V140" i="1" s="1"/>
  <c r="AJ140" i="1"/>
  <c r="CS140" i="1"/>
  <c r="CT140" i="1"/>
  <c r="CU140" i="1"/>
  <c r="T140" i="1" s="1"/>
  <c r="CV140" i="1"/>
  <c r="U140" i="1" s="1"/>
  <c r="CX140" i="1"/>
  <c r="W140" i="1" s="1"/>
  <c r="CZ140" i="1"/>
  <c r="GL140" i="1"/>
  <c r="GN140" i="1"/>
  <c r="GP140" i="1"/>
  <c r="GV140" i="1"/>
  <c r="HC140" i="1" s="1"/>
  <c r="GX140" i="1" s="1"/>
  <c r="C141" i="1"/>
  <c r="D141" i="1"/>
  <c r="P141" i="1"/>
  <c r="Q141" i="1"/>
  <c r="V141" i="1"/>
  <c r="AC141" i="1"/>
  <c r="AE141" i="1"/>
  <c r="AF141" i="1"/>
  <c r="AG141" i="1"/>
  <c r="CU141" i="1" s="1"/>
  <c r="T141" i="1" s="1"/>
  <c r="AH141" i="1"/>
  <c r="CV141" i="1" s="1"/>
  <c r="U141" i="1" s="1"/>
  <c r="AI141" i="1"/>
  <c r="AJ141" i="1"/>
  <c r="CX141" i="1" s="1"/>
  <c r="W141" i="1" s="1"/>
  <c r="CR141" i="1"/>
  <c r="CW141" i="1"/>
  <c r="GL141" i="1"/>
  <c r="GN141" i="1"/>
  <c r="GP141" i="1"/>
  <c r="GV141" i="1"/>
  <c r="HC141" i="1" s="1"/>
  <c r="GX141" i="1" s="1"/>
  <c r="C142" i="1"/>
  <c r="D142" i="1"/>
  <c r="Q142" i="1"/>
  <c r="S142" i="1"/>
  <c r="V142" i="1"/>
  <c r="AC142" i="1"/>
  <c r="AD142" i="1"/>
  <c r="AE142" i="1"/>
  <c r="R142" i="1" s="1"/>
  <c r="AF142" i="1"/>
  <c r="AG142" i="1"/>
  <c r="AH142" i="1"/>
  <c r="AI142" i="1"/>
  <c r="CW142" i="1" s="1"/>
  <c r="AJ142" i="1"/>
  <c r="CX142" i="1" s="1"/>
  <c r="W142" i="1" s="1"/>
  <c r="CR142" i="1"/>
  <c r="CS142" i="1"/>
  <c r="CT142" i="1"/>
  <c r="CU142" i="1"/>
  <c r="T142" i="1" s="1"/>
  <c r="CV142" i="1"/>
  <c r="U142" i="1" s="1"/>
  <c r="GK142" i="1"/>
  <c r="GL142" i="1"/>
  <c r="GN142" i="1"/>
  <c r="GP142" i="1"/>
  <c r="GV142" i="1"/>
  <c r="HC142" i="1" s="1"/>
  <c r="GX142" i="1"/>
  <c r="C143" i="1"/>
  <c r="D143" i="1"/>
  <c r="S143" i="1"/>
  <c r="U143" i="1"/>
  <c r="V143" i="1"/>
  <c r="AC143" i="1"/>
  <c r="AE143" i="1"/>
  <c r="AF143" i="1"/>
  <c r="CT143" i="1" s="1"/>
  <c r="AG143" i="1"/>
  <c r="AH143" i="1"/>
  <c r="AI143" i="1"/>
  <c r="AJ143" i="1"/>
  <c r="CR143" i="1"/>
  <c r="CU143" i="1"/>
  <c r="T143" i="1" s="1"/>
  <c r="CV143" i="1"/>
  <c r="CW143" i="1"/>
  <c r="CX143" i="1"/>
  <c r="W143" i="1" s="1"/>
  <c r="GL143" i="1"/>
  <c r="GN143" i="1"/>
  <c r="GP143" i="1"/>
  <c r="GV143" i="1"/>
  <c r="HC143" i="1"/>
  <c r="GX143" i="1" s="1"/>
  <c r="C144" i="1"/>
  <c r="D144" i="1"/>
  <c r="S144" i="1"/>
  <c r="CY144" i="1" s="1"/>
  <c r="X144" i="1"/>
  <c r="Y144" i="1"/>
  <c r="AC144" i="1"/>
  <c r="AE144" i="1"/>
  <c r="AF144" i="1"/>
  <c r="AG144" i="1"/>
  <c r="AH144" i="1"/>
  <c r="AI144" i="1"/>
  <c r="CW144" i="1" s="1"/>
  <c r="V144" i="1" s="1"/>
  <c r="AJ144" i="1"/>
  <c r="CR144" i="1"/>
  <c r="CS144" i="1"/>
  <c r="CT144" i="1"/>
  <c r="CU144" i="1"/>
  <c r="T144" i="1" s="1"/>
  <c r="CV144" i="1"/>
  <c r="U144" i="1" s="1"/>
  <c r="CX144" i="1"/>
  <c r="W144" i="1" s="1"/>
  <c r="CZ144" i="1"/>
  <c r="GL144" i="1"/>
  <c r="GN144" i="1"/>
  <c r="GP144" i="1"/>
  <c r="GV144" i="1"/>
  <c r="HC144" i="1" s="1"/>
  <c r="GX144" i="1"/>
  <c r="C145" i="1"/>
  <c r="D145" i="1"/>
  <c r="P145" i="1"/>
  <c r="R145" i="1"/>
  <c r="GK145" i="1" s="1"/>
  <c r="T145" i="1"/>
  <c r="AC145" i="1"/>
  <c r="AE145" i="1"/>
  <c r="AF145" i="1"/>
  <c r="AG145" i="1"/>
  <c r="AH145" i="1"/>
  <c r="AI145" i="1"/>
  <c r="AJ145" i="1"/>
  <c r="CX145" i="1" s="1"/>
  <c r="W145" i="1" s="1"/>
  <c r="CU145" i="1"/>
  <c r="CV145" i="1"/>
  <c r="U145" i="1" s="1"/>
  <c r="CW145" i="1"/>
  <c r="V145" i="1" s="1"/>
  <c r="GL145" i="1"/>
  <c r="GN145" i="1"/>
  <c r="GP145" i="1"/>
  <c r="GV145" i="1"/>
  <c r="HC145" i="1" s="1"/>
  <c r="GX145" i="1" s="1"/>
  <c r="C146" i="1"/>
  <c r="D146" i="1"/>
  <c r="P146" i="1"/>
  <c r="S146" i="1"/>
  <c r="V146" i="1"/>
  <c r="AB146" i="1"/>
  <c r="AC146" i="1"/>
  <c r="AD146" i="1"/>
  <c r="AE146" i="1"/>
  <c r="AF146" i="1"/>
  <c r="AG146" i="1"/>
  <c r="AH146" i="1"/>
  <c r="AI146" i="1"/>
  <c r="CW146" i="1" s="1"/>
  <c r="AJ146" i="1"/>
  <c r="CQ146" i="1"/>
  <c r="CR146" i="1"/>
  <c r="CS146" i="1"/>
  <c r="CT146" i="1"/>
  <c r="CU146" i="1"/>
  <c r="T146" i="1" s="1"/>
  <c r="CV146" i="1"/>
  <c r="U146" i="1" s="1"/>
  <c r="CX146" i="1"/>
  <c r="W146" i="1" s="1"/>
  <c r="GL146" i="1"/>
  <c r="GN146" i="1"/>
  <c r="GP146" i="1"/>
  <c r="GV146" i="1"/>
  <c r="HC146" i="1" s="1"/>
  <c r="GX146" i="1"/>
  <c r="C147" i="1"/>
  <c r="D147" i="1"/>
  <c r="Q147" i="1"/>
  <c r="S147" i="1"/>
  <c r="T147" i="1"/>
  <c r="U147" i="1"/>
  <c r="AC147" i="1"/>
  <c r="AD147" i="1"/>
  <c r="AE147" i="1"/>
  <c r="AF147" i="1"/>
  <c r="AG147" i="1"/>
  <c r="AH147" i="1"/>
  <c r="AI147" i="1"/>
  <c r="CW147" i="1" s="1"/>
  <c r="V147" i="1" s="1"/>
  <c r="AJ147" i="1"/>
  <c r="CX147" i="1" s="1"/>
  <c r="W147" i="1" s="1"/>
  <c r="CR147" i="1"/>
  <c r="CT147" i="1"/>
  <c r="CU147" i="1"/>
  <c r="CV147" i="1"/>
  <c r="GL147" i="1"/>
  <c r="GN147" i="1"/>
  <c r="GP147" i="1"/>
  <c r="GV147" i="1"/>
  <c r="HC147" i="1"/>
  <c r="GX147" i="1" s="1"/>
  <c r="C148" i="1"/>
  <c r="D148" i="1"/>
  <c r="S148" i="1"/>
  <c r="CY148" i="1" s="1"/>
  <c r="W148" i="1"/>
  <c r="X148" i="1"/>
  <c r="AC148" i="1"/>
  <c r="AE148" i="1"/>
  <c r="AD148" i="1" s="1"/>
  <c r="AF148" i="1"/>
  <c r="AG148" i="1"/>
  <c r="AH148" i="1"/>
  <c r="AI148" i="1"/>
  <c r="CW148" i="1" s="1"/>
  <c r="V148" i="1" s="1"/>
  <c r="AJ148" i="1"/>
  <c r="CX148" i="1" s="1"/>
  <c r="CT148" i="1"/>
  <c r="CU148" i="1"/>
  <c r="T148" i="1" s="1"/>
  <c r="CV148" i="1"/>
  <c r="U148" i="1" s="1"/>
  <c r="CZ148" i="1"/>
  <c r="Y148" i="1" s="1"/>
  <c r="GL148" i="1"/>
  <c r="GN148" i="1"/>
  <c r="GP148" i="1"/>
  <c r="GV148" i="1"/>
  <c r="HC148" i="1" s="1"/>
  <c r="GX148" i="1"/>
  <c r="C149" i="1"/>
  <c r="D149" i="1"/>
  <c r="P149" i="1"/>
  <c r="Q149" i="1"/>
  <c r="R149" i="1"/>
  <c r="GK149" i="1" s="1"/>
  <c r="S149" i="1"/>
  <c r="W149" i="1"/>
  <c r="AC149" i="1"/>
  <c r="AD149" i="1"/>
  <c r="AE149" i="1"/>
  <c r="CS149" i="1" s="1"/>
  <c r="AF149" i="1"/>
  <c r="AG149" i="1"/>
  <c r="AH149" i="1"/>
  <c r="CV149" i="1" s="1"/>
  <c r="U149" i="1" s="1"/>
  <c r="AI149" i="1"/>
  <c r="CW149" i="1" s="1"/>
  <c r="V149" i="1" s="1"/>
  <c r="AJ149" i="1"/>
  <c r="CX149" i="1" s="1"/>
  <c r="CR149" i="1"/>
  <c r="CT149" i="1"/>
  <c r="CU149" i="1"/>
  <c r="T149" i="1" s="1"/>
  <c r="GL149" i="1"/>
  <c r="GN149" i="1"/>
  <c r="GP149" i="1"/>
  <c r="GV149" i="1"/>
  <c r="GX149" i="1"/>
  <c r="HC149" i="1"/>
  <c r="C150" i="1"/>
  <c r="D150" i="1"/>
  <c r="P150" i="1"/>
  <c r="Q150" i="1"/>
  <c r="S150" i="1"/>
  <c r="U150" i="1"/>
  <c r="V150" i="1"/>
  <c r="AC150" i="1"/>
  <c r="AD150" i="1"/>
  <c r="AB150" i="1" s="1"/>
  <c r="AE150" i="1"/>
  <c r="R150" i="1" s="1"/>
  <c r="AF150" i="1"/>
  <c r="AG150" i="1"/>
  <c r="AH150" i="1"/>
  <c r="AI150" i="1"/>
  <c r="CW150" i="1" s="1"/>
  <c r="AJ150" i="1"/>
  <c r="CP150" i="1"/>
  <c r="O150" i="1" s="1"/>
  <c r="CQ150" i="1"/>
  <c r="CR150" i="1"/>
  <c r="CS150" i="1"/>
  <c r="CT150" i="1"/>
  <c r="CU150" i="1"/>
  <c r="T150" i="1" s="1"/>
  <c r="CV150" i="1"/>
  <c r="CX150" i="1"/>
  <c r="W150" i="1" s="1"/>
  <c r="GK150" i="1"/>
  <c r="GL150" i="1"/>
  <c r="GN150" i="1"/>
  <c r="GP150" i="1"/>
  <c r="GV150" i="1"/>
  <c r="HC150" i="1" s="1"/>
  <c r="GX150" i="1"/>
  <c r="C151" i="1"/>
  <c r="D151" i="1"/>
  <c r="Q151" i="1"/>
  <c r="R151" i="1"/>
  <c r="GK151" i="1" s="1"/>
  <c r="S151" i="1"/>
  <c r="AC151" i="1"/>
  <c r="AE151" i="1"/>
  <c r="AF151" i="1"/>
  <c r="AG151" i="1"/>
  <c r="CU151" i="1" s="1"/>
  <c r="T151" i="1" s="1"/>
  <c r="AH151" i="1"/>
  <c r="CV151" i="1" s="1"/>
  <c r="U151" i="1" s="1"/>
  <c r="AI151" i="1"/>
  <c r="CW151" i="1" s="1"/>
  <c r="V151" i="1" s="1"/>
  <c r="AJ151" i="1"/>
  <c r="CX151" i="1" s="1"/>
  <c r="W151" i="1" s="1"/>
  <c r="CR151" i="1"/>
  <c r="CT151" i="1"/>
  <c r="GL151" i="1"/>
  <c r="GN151" i="1"/>
  <c r="GP151" i="1"/>
  <c r="GV151" i="1"/>
  <c r="HC151" i="1" s="1"/>
  <c r="GX151" i="1" s="1"/>
  <c r="C152" i="1"/>
  <c r="D152" i="1"/>
  <c r="S152" i="1"/>
  <c r="CY152" i="1" s="1"/>
  <c r="V152" i="1"/>
  <c r="W152" i="1"/>
  <c r="X152" i="1"/>
  <c r="AC152" i="1"/>
  <c r="AE152" i="1"/>
  <c r="AF152" i="1"/>
  <c r="AG152" i="1"/>
  <c r="CU152" i="1" s="1"/>
  <c r="T152" i="1" s="1"/>
  <c r="AH152" i="1"/>
  <c r="AI152" i="1"/>
  <c r="CW152" i="1" s="1"/>
  <c r="AJ152" i="1"/>
  <c r="CX152" i="1" s="1"/>
  <c r="CT152" i="1"/>
  <c r="CV152" i="1"/>
  <c r="U152" i="1" s="1"/>
  <c r="CZ152" i="1"/>
  <c r="Y152" i="1" s="1"/>
  <c r="GL152" i="1"/>
  <c r="GN152" i="1"/>
  <c r="GP152" i="1"/>
  <c r="GV152" i="1"/>
  <c r="HC152" i="1" s="1"/>
  <c r="GX152" i="1"/>
  <c r="C153" i="1"/>
  <c r="D153" i="1"/>
  <c r="P153" i="1"/>
  <c r="Q153" i="1"/>
  <c r="R153" i="1"/>
  <c r="GK153" i="1" s="1"/>
  <c r="V153" i="1"/>
  <c r="W153" i="1"/>
  <c r="AC153" i="1"/>
  <c r="AD153" i="1"/>
  <c r="AE153" i="1"/>
  <c r="CS153" i="1" s="1"/>
  <c r="AF153" i="1"/>
  <c r="S153" i="1" s="1"/>
  <c r="CY153" i="1" s="1"/>
  <c r="X153" i="1" s="1"/>
  <c r="AG153" i="1"/>
  <c r="AH153" i="1"/>
  <c r="CV153" i="1" s="1"/>
  <c r="U153" i="1" s="1"/>
  <c r="AI153" i="1"/>
  <c r="AJ153" i="1"/>
  <c r="CX153" i="1" s="1"/>
  <c r="CR153" i="1"/>
  <c r="CT153" i="1"/>
  <c r="CU153" i="1"/>
  <c r="T153" i="1" s="1"/>
  <c r="CW153" i="1"/>
  <c r="GL153" i="1"/>
  <c r="GN153" i="1"/>
  <c r="GP153" i="1"/>
  <c r="GV153" i="1"/>
  <c r="HC153" i="1"/>
  <c r="GX153" i="1" s="1"/>
  <c r="C154" i="1"/>
  <c r="D154" i="1"/>
  <c r="P154" i="1"/>
  <c r="CP154" i="1" s="1"/>
  <c r="O154" i="1" s="1"/>
  <c r="GM154" i="1" s="1"/>
  <c r="GO154" i="1" s="1"/>
  <c r="Q154" i="1"/>
  <c r="S154" i="1"/>
  <c r="CY154" i="1" s="1"/>
  <c r="X154" i="1" s="1"/>
  <c r="U154" i="1"/>
  <c r="AC154" i="1"/>
  <c r="AD154" i="1"/>
  <c r="AB154" i="1" s="1"/>
  <c r="AE154" i="1"/>
  <c r="R154" i="1" s="1"/>
  <c r="AF154" i="1"/>
  <c r="AG154" i="1"/>
  <c r="AH154" i="1"/>
  <c r="AI154" i="1"/>
  <c r="CW154" i="1" s="1"/>
  <c r="V154" i="1" s="1"/>
  <c r="AJ154" i="1"/>
  <c r="CQ154" i="1"/>
  <c r="CR154" i="1"/>
  <c r="CS154" i="1"/>
  <c r="CT154" i="1"/>
  <c r="CU154" i="1"/>
  <c r="T154" i="1" s="1"/>
  <c r="CV154" i="1"/>
  <c r="CX154" i="1"/>
  <c r="W154" i="1" s="1"/>
  <c r="CZ154" i="1"/>
  <c r="Y154" i="1" s="1"/>
  <c r="GK154" i="1"/>
  <c r="GL154" i="1"/>
  <c r="GN154" i="1"/>
  <c r="GP154" i="1"/>
  <c r="GV154" i="1"/>
  <c r="HC154" i="1" s="1"/>
  <c r="GX154" i="1" s="1"/>
  <c r="C155" i="1"/>
  <c r="D155" i="1"/>
  <c r="P155" i="1"/>
  <c r="Q155" i="1"/>
  <c r="CP155" i="1" s="1"/>
  <c r="O155" i="1" s="1"/>
  <c r="GM155" i="1" s="1"/>
  <c r="GO155" i="1" s="1"/>
  <c r="R155" i="1"/>
  <c r="GK155" i="1" s="1"/>
  <c r="S155" i="1"/>
  <c r="CY155" i="1" s="1"/>
  <c r="X155" i="1" s="1"/>
  <c r="T155" i="1"/>
  <c r="AC155" i="1"/>
  <c r="AE155" i="1"/>
  <c r="AF155" i="1"/>
  <c r="AG155" i="1"/>
  <c r="CU155" i="1" s="1"/>
  <c r="AH155" i="1"/>
  <c r="CV155" i="1" s="1"/>
  <c r="U155" i="1" s="1"/>
  <c r="AI155" i="1"/>
  <c r="CW155" i="1" s="1"/>
  <c r="V155" i="1" s="1"/>
  <c r="AJ155" i="1"/>
  <c r="CX155" i="1" s="1"/>
  <c r="W155" i="1" s="1"/>
  <c r="CR155" i="1"/>
  <c r="CT155" i="1"/>
  <c r="CZ155" i="1"/>
  <c r="Y155" i="1" s="1"/>
  <c r="GL155" i="1"/>
  <c r="GN155" i="1"/>
  <c r="GP155" i="1"/>
  <c r="GV155" i="1"/>
  <c r="HC155" i="1" s="1"/>
  <c r="GX155" i="1"/>
  <c r="C156" i="1"/>
  <c r="D156" i="1"/>
  <c r="S156" i="1"/>
  <c r="U156" i="1"/>
  <c r="V156" i="1"/>
  <c r="W156" i="1"/>
  <c r="AC156" i="1"/>
  <c r="AE156" i="1"/>
  <c r="AF156" i="1"/>
  <c r="AG156" i="1"/>
  <c r="CU156" i="1" s="1"/>
  <c r="T156" i="1" s="1"/>
  <c r="AH156" i="1"/>
  <c r="AI156" i="1"/>
  <c r="CW156" i="1" s="1"/>
  <c r="AJ156" i="1"/>
  <c r="CX156" i="1" s="1"/>
  <c r="CQ156" i="1"/>
  <c r="CR156" i="1"/>
  <c r="CT156" i="1"/>
  <c r="CV156" i="1"/>
  <c r="GL156" i="1"/>
  <c r="GN156" i="1"/>
  <c r="GP156" i="1"/>
  <c r="GV156" i="1"/>
  <c r="HC156" i="1" s="1"/>
  <c r="GX156" i="1"/>
  <c r="C157" i="1"/>
  <c r="D157" i="1"/>
  <c r="P157" i="1"/>
  <c r="U157" i="1"/>
  <c r="AC157" i="1"/>
  <c r="AE157" i="1"/>
  <c r="AF157" i="1"/>
  <c r="AG157" i="1"/>
  <c r="CU157" i="1" s="1"/>
  <c r="T157" i="1" s="1"/>
  <c r="AH157" i="1"/>
  <c r="CV157" i="1" s="1"/>
  <c r="AI157" i="1"/>
  <c r="AJ157" i="1"/>
  <c r="CW157" i="1"/>
  <c r="V157" i="1" s="1"/>
  <c r="CX157" i="1"/>
  <c r="W157" i="1" s="1"/>
  <c r="GL157" i="1"/>
  <c r="GN157" i="1"/>
  <c r="GP157" i="1"/>
  <c r="GV157" i="1"/>
  <c r="HC157" i="1" s="1"/>
  <c r="GX157" i="1" s="1"/>
  <c r="C158" i="1"/>
  <c r="D158" i="1"/>
  <c r="P158" i="1"/>
  <c r="Q158" i="1"/>
  <c r="S158" i="1"/>
  <c r="V158" i="1"/>
  <c r="W158" i="1"/>
  <c r="AC158" i="1"/>
  <c r="AE158" i="1"/>
  <c r="AF158" i="1"/>
  <c r="AG158" i="1"/>
  <c r="CU158" i="1" s="1"/>
  <c r="T158" i="1" s="1"/>
  <c r="AH158" i="1"/>
  <c r="AI158" i="1"/>
  <c r="CW158" i="1" s="1"/>
  <c r="AJ158" i="1"/>
  <c r="CQ158" i="1"/>
  <c r="CT158" i="1"/>
  <c r="CV158" i="1"/>
  <c r="U158" i="1" s="1"/>
  <c r="CX158" i="1"/>
  <c r="GL158" i="1"/>
  <c r="GN158" i="1"/>
  <c r="GP158" i="1"/>
  <c r="GV158" i="1"/>
  <c r="HC158" i="1" s="1"/>
  <c r="GX158" i="1" s="1"/>
  <c r="C159" i="1"/>
  <c r="D159" i="1"/>
  <c r="Q159" i="1"/>
  <c r="R159" i="1"/>
  <c r="GK159" i="1" s="1"/>
  <c r="S159" i="1"/>
  <c r="AC159" i="1"/>
  <c r="AE159" i="1"/>
  <c r="AF159" i="1"/>
  <c r="AG159" i="1"/>
  <c r="CU159" i="1" s="1"/>
  <c r="T159" i="1" s="1"/>
  <c r="AH159" i="1"/>
  <c r="CV159" i="1" s="1"/>
  <c r="U159" i="1" s="1"/>
  <c r="AI159" i="1"/>
  <c r="CW159" i="1" s="1"/>
  <c r="V159" i="1" s="1"/>
  <c r="AJ159" i="1"/>
  <c r="CT159" i="1"/>
  <c r="CX159" i="1"/>
  <c r="W159" i="1" s="1"/>
  <c r="GL159" i="1"/>
  <c r="GN159" i="1"/>
  <c r="GP159" i="1"/>
  <c r="GV159" i="1"/>
  <c r="GX159" i="1"/>
  <c r="HC159" i="1"/>
  <c r="C160" i="1"/>
  <c r="D160" i="1"/>
  <c r="S160" i="1"/>
  <c r="CY160" i="1" s="1"/>
  <c r="X160" i="1" s="1"/>
  <c r="V160" i="1"/>
  <c r="AC160" i="1"/>
  <c r="AE160" i="1"/>
  <c r="AF160" i="1"/>
  <c r="AG160" i="1"/>
  <c r="AH160" i="1"/>
  <c r="AI160" i="1"/>
  <c r="CW160" i="1" s="1"/>
  <c r="AJ160" i="1"/>
  <c r="CT160" i="1"/>
  <c r="CU160" i="1"/>
  <c r="T160" i="1" s="1"/>
  <c r="CV160" i="1"/>
  <c r="U160" i="1" s="1"/>
  <c r="CX160" i="1"/>
  <c r="W160" i="1" s="1"/>
  <c r="CZ160" i="1"/>
  <c r="Y160" i="1" s="1"/>
  <c r="GL160" i="1"/>
  <c r="GN160" i="1"/>
  <c r="GP160" i="1"/>
  <c r="GV160" i="1"/>
  <c r="HC160" i="1" s="1"/>
  <c r="GX160" i="1"/>
  <c r="C161" i="1"/>
  <c r="D161" i="1"/>
  <c r="P161" i="1"/>
  <c r="Q161" i="1"/>
  <c r="R161" i="1"/>
  <c r="GK161" i="1" s="1"/>
  <c r="S161" i="1"/>
  <c r="CY161" i="1" s="1"/>
  <c r="X161" i="1" s="1"/>
  <c r="AC161" i="1"/>
  <c r="AD161" i="1"/>
  <c r="AE161" i="1"/>
  <c r="CS161" i="1" s="1"/>
  <c r="AF161" i="1"/>
  <c r="CT161" i="1" s="1"/>
  <c r="AG161" i="1"/>
  <c r="CU161" i="1" s="1"/>
  <c r="T161" i="1" s="1"/>
  <c r="AH161" i="1"/>
  <c r="CV161" i="1" s="1"/>
  <c r="U161" i="1" s="1"/>
  <c r="AI161" i="1"/>
  <c r="CW161" i="1" s="1"/>
  <c r="V161" i="1" s="1"/>
  <c r="AJ161" i="1"/>
  <c r="CR161" i="1"/>
  <c r="CX161" i="1"/>
  <c r="W161" i="1" s="1"/>
  <c r="CZ161" i="1"/>
  <c r="Y161" i="1" s="1"/>
  <c r="GL161" i="1"/>
  <c r="GN161" i="1"/>
  <c r="GP161" i="1"/>
  <c r="GV161" i="1"/>
  <c r="HC161" i="1"/>
  <c r="GX161" i="1" s="1"/>
  <c r="C162" i="1"/>
  <c r="D162" i="1"/>
  <c r="P162" i="1"/>
  <c r="Q162" i="1"/>
  <c r="S162" i="1"/>
  <c r="U162" i="1"/>
  <c r="AC162" i="1"/>
  <c r="AB162" i="1" s="1"/>
  <c r="AD162" i="1"/>
  <c r="AE162" i="1"/>
  <c r="AF162" i="1"/>
  <c r="AG162" i="1"/>
  <c r="AH162" i="1"/>
  <c r="AI162" i="1"/>
  <c r="CW162" i="1" s="1"/>
  <c r="V162" i="1" s="1"/>
  <c r="AJ162" i="1"/>
  <c r="CX162" i="1" s="1"/>
  <c r="W162" i="1" s="1"/>
  <c r="CQ162" i="1"/>
  <c r="CS162" i="1"/>
  <c r="CT162" i="1"/>
  <c r="CU162" i="1"/>
  <c r="T162" i="1" s="1"/>
  <c r="CV162" i="1"/>
  <c r="GL162" i="1"/>
  <c r="GN162" i="1"/>
  <c r="GP162" i="1"/>
  <c r="GV162" i="1"/>
  <c r="HC162" i="1" s="1"/>
  <c r="GX162" i="1"/>
  <c r="D163" i="1"/>
  <c r="I163" i="1"/>
  <c r="K163" i="1"/>
  <c r="AC163" i="1"/>
  <c r="AD163" i="1"/>
  <c r="AE163" i="1"/>
  <c r="AF163" i="1"/>
  <c r="AG163" i="1"/>
  <c r="AH163" i="1"/>
  <c r="AI163" i="1"/>
  <c r="AJ163" i="1"/>
  <c r="CU163" i="1"/>
  <c r="T163" i="1" s="1"/>
  <c r="CV163" i="1"/>
  <c r="U163" i="1" s="1"/>
  <c r="CW163" i="1"/>
  <c r="V163" i="1" s="1"/>
  <c r="CX163" i="1"/>
  <c r="W163" i="1" s="1"/>
  <c r="GL163" i="1"/>
  <c r="GN163" i="1"/>
  <c r="GP163" i="1"/>
  <c r="GV163" i="1"/>
  <c r="HC163" i="1"/>
  <c r="GX163" i="1" s="1"/>
  <c r="D164" i="1"/>
  <c r="I164" i="1"/>
  <c r="K164" i="1"/>
  <c r="V164" i="1"/>
  <c r="W164" i="1"/>
  <c r="AC164" i="1"/>
  <c r="AE164" i="1"/>
  <c r="AF164" i="1"/>
  <c r="AG164" i="1"/>
  <c r="CU164" i="1" s="1"/>
  <c r="AH164" i="1"/>
  <c r="AI164" i="1"/>
  <c r="CW164" i="1" s="1"/>
  <c r="AJ164" i="1"/>
  <c r="CQ164" i="1"/>
  <c r="CT164" i="1"/>
  <c r="CV164" i="1"/>
  <c r="CX164" i="1"/>
  <c r="GL164" i="1"/>
  <c r="GN164" i="1"/>
  <c r="GP164" i="1"/>
  <c r="GV164" i="1"/>
  <c r="HC164" i="1"/>
  <c r="D165" i="1"/>
  <c r="S165" i="1"/>
  <c r="CY165" i="1" s="1"/>
  <c r="X165" i="1"/>
  <c r="AC165" i="1"/>
  <c r="AE165" i="1"/>
  <c r="AF165" i="1"/>
  <c r="AG165" i="1"/>
  <c r="AH165" i="1"/>
  <c r="AI165" i="1"/>
  <c r="AJ165" i="1"/>
  <c r="CT165" i="1"/>
  <c r="CU165" i="1"/>
  <c r="T165" i="1" s="1"/>
  <c r="CV165" i="1"/>
  <c r="U165" i="1" s="1"/>
  <c r="CW165" i="1"/>
  <c r="V165" i="1" s="1"/>
  <c r="CX165" i="1"/>
  <c r="W165" i="1" s="1"/>
  <c r="CZ165" i="1"/>
  <c r="Y165" i="1" s="1"/>
  <c r="GL165" i="1"/>
  <c r="GN165" i="1"/>
  <c r="GP165" i="1"/>
  <c r="GV165" i="1"/>
  <c r="HC165" i="1"/>
  <c r="GX165" i="1" s="1"/>
  <c r="D166" i="1"/>
  <c r="P166" i="1"/>
  <c r="Q166" i="1"/>
  <c r="S166" i="1"/>
  <c r="U166" i="1"/>
  <c r="V166" i="1"/>
  <c r="W166" i="1"/>
  <c r="AC166" i="1"/>
  <c r="AD166" i="1"/>
  <c r="AE166" i="1"/>
  <c r="R166" i="1" s="1"/>
  <c r="AF166" i="1"/>
  <c r="AG166" i="1"/>
  <c r="AH166" i="1"/>
  <c r="AI166" i="1"/>
  <c r="CW166" i="1" s="1"/>
  <c r="AJ166" i="1"/>
  <c r="CX166" i="1" s="1"/>
  <c r="CR166" i="1"/>
  <c r="CS166" i="1"/>
  <c r="CT166" i="1"/>
  <c r="CU166" i="1"/>
  <c r="T166" i="1" s="1"/>
  <c r="CV166" i="1"/>
  <c r="GK166" i="1"/>
  <c r="GL166" i="1"/>
  <c r="GN166" i="1"/>
  <c r="GP166" i="1"/>
  <c r="GV166" i="1"/>
  <c r="HC166" i="1" s="1"/>
  <c r="GX166" i="1" s="1"/>
  <c r="D167" i="1"/>
  <c r="P167" i="1"/>
  <c r="Q167" i="1"/>
  <c r="R167" i="1"/>
  <c r="T167" i="1"/>
  <c r="U167" i="1"/>
  <c r="W167" i="1"/>
  <c r="AC167" i="1"/>
  <c r="AD167" i="1"/>
  <c r="AE167" i="1"/>
  <c r="CR167" i="1" s="1"/>
  <c r="AF167" i="1"/>
  <c r="AG167" i="1"/>
  <c r="AH167" i="1"/>
  <c r="CV167" i="1" s="1"/>
  <c r="AI167" i="1"/>
  <c r="AJ167" i="1"/>
  <c r="CX167" i="1" s="1"/>
  <c r="CQ167" i="1"/>
  <c r="CS167" i="1"/>
  <c r="CU167" i="1"/>
  <c r="CW167" i="1"/>
  <c r="V167" i="1" s="1"/>
  <c r="GK167" i="1"/>
  <c r="GL167" i="1"/>
  <c r="GN167" i="1"/>
  <c r="GP167" i="1"/>
  <c r="GV167" i="1"/>
  <c r="HC167" i="1" s="1"/>
  <c r="GX167" i="1" s="1"/>
  <c r="D168" i="1"/>
  <c r="Q168" i="1"/>
  <c r="CP168" i="1" s="1"/>
  <c r="O168" i="1" s="1"/>
  <c r="R168" i="1"/>
  <c r="GK168" i="1" s="1"/>
  <c r="S168" i="1"/>
  <c r="U168" i="1"/>
  <c r="W168" i="1"/>
  <c r="AB168" i="1"/>
  <c r="AC168" i="1"/>
  <c r="P168" i="1" s="1"/>
  <c r="AE168" i="1"/>
  <c r="AD168" i="1" s="1"/>
  <c r="AF168" i="1"/>
  <c r="AG168" i="1"/>
  <c r="CU168" i="1" s="1"/>
  <c r="T168" i="1" s="1"/>
  <c r="AH168" i="1"/>
  <c r="AI168" i="1"/>
  <c r="CW168" i="1" s="1"/>
  <c r="V168" i="1" s="1"/>
  <c r="AJ168" i="1"/>
  <c r="CQ168" i="1"/>
  <c r="CR168" i="1"/>
  <c r="CS168" i="1"/>
  <c r="CT168" i="1"/>
  <c r="CV168" i="1"/>
  <c r="CX168" i="1"/>
  <c r="GL168" i="1"/>
  <c r="GN168" i="1"/>
  <c r="GP168" i="1"/>
  <c r="GV168" i="1"/>
  <c r="HC168" i="1" s="1"/>
  <c r="GX168" i="1"/>
  <c r="D169" i="1"/>
  <c r="P169" i="1"/>
  <c r="R169" i="1"/>
  <c r="S169" i="1"/>
  <c r="U169" i="1"/>
  <c r="W169" i="1"/>
  <c r="X169" i="1"/>
  <c r="Y169" i="1"/>
  <c r="AB169" i="1"/>
  <c r="AC169" i="1"/>
  <c r="AD169" i="1"/>
  <c r="AE169" i="1"/>
  <c r="Q169" i="1" s="1"/>
  <c r="AF169" i="1"/>
  <c r="CT169" i="1" s="1"/>
  <c r="AG169" i="1"/>
  <c r="CU169" i="1" s="1"/>
  <c r="T169" i="1" s="1"/>
  <c r="AH169" i="1"/>
  <c r="CV169" i="1" s="1"/>
  <c r="AI169" i="1"/>
  <c r="AJ169" i="1"/>
  <c r="CX169" i="1" s="1"/>
  <c r="CP169" i="1"/>
  <c r="O169" i="1" s="1"/>
  <c r="CQ169" i="1"/>
  <c r="CR169" i="1"/>
  <c r="CS169" i="1"/>
  <c r="CW169" i="1"/>
  <c r="V169" i="1" s="1"/>
  <c r="CY169" i="1"/>
  <c r="CZ169" i="1"/>
  <c r="GK169" i="1"/>
  <c r="GL169" i="1"/>
  <c r="GN169" i="1"/>
  <c r="GP169" i="1"/>
  <c r="GV169" i="1"/>
  <c r="HC169" i="1" s="1"/>
  <c r="GX169" i="1" s="1"/>
  <c r="D170" i="1"/>
  <c r="P170" i="1"/>
  <c r="Q170" i="1"/>
  <c r="R170" i="1"/>
  <c r="GK170" i="1" s="1"/>
  <c r="S170" i="1"/>
  <c r="AC170" i="1"/>
  <c r="CQ170" i="1" s="1"/>
  <c r="AD170" i="1"/>
  <c r="AB170" i="1" s="1"/>
  <c r="AE170" i="1"/>
  <c r="AF170" i="1"/>
  <c r="AG170" i="1"/>
  <c r="CU170" i="1" s="1"/>
  <c r="T170" i="1" s="1"/>
  <c r="AH170" i="1"/>
  <c r="CV170" i="1" s="1"/>
  <c r="U170" i="1" s="1"/>
  <c r="AI170" i="1"/>
  <c r="CW170" i="1" s="1"/>
  <c r="V170" i="1" s="1"/>
  <c r="AJ170" i="1"/>
  <c r="CR170" i="1"/>
  <c r="CS170" i="1"/>
  <c r="CT170" i="1"/>
  <c r="CX170" i="1"/>
  <c r="W170" i="1" s="1"/>
  <c r="GL170" i="1"/>
  <c r="GN170" i="1"/>
  <c r="GP170" i="1"/>
  <c r="GV170" i="1"/>
  <c r="HC170" i="1" s="1"/>
  <c r="GX170" i="1" s="1"/>
  <c r="C171" i="1"/>
  <c r="D171" i="1"/>
  <c r="Q171" i="1"/>
  <c r="S171" i="1"/>
  <c r="W171" i="1"/>
  <c r="AC171" i="1"/>
  <c r="AE171" i="1"/>
  <c r="AF171" i="1"/>
  <c r="AG171" i="1"/>
  <c r="CU171" i="1" s="1"/>
  <c r="T171" i="1" s="1"/>
  <c r="AH171" i="1"/>
  <c r="CV171" i="1" s="1"/>
  <c r="U171" i="1" s="1"/>
  <c r="AI171" i="1"/>
  <c r="CW171" i="1" s="1"/>
  <c r="V171" i="1" s="1"/>
  <c r="AJ171" i="1"/>
  <c r="CX171" i="1" s="1"/>
  <c r="CQ171" i="1"/>
  <c r="CR171" i="1"/>
  <c r="CS171" i="1"/>
  <c r="CT171" i="1"/>
  <c r="CY171" i="1"/>
  <c r="X171" i="1" s="1"/>
  <c r="CZ171" i="1"/>
  <c r="Y171" i="1" s="1"/>
  <c r="GL171" i="1"/>
  <c r="GN171" i="1"/>
  <c r="GP171" i="1"/>
  <c r="GV171" i="1"/>
  <c r="GX171" i="1"/>
  <c r="HC171" i="1"/>
  <c r="C172" i="1"/>
  <c r="D172" i="1"/>
  <c r="P172" i="1"/>
  <c r="Q172" i="1"/>
  <c r="CP172" i="1" s="1"/>
  <c r="O172" i="1" s="1"/>
  <c r="R172" i="1"/>
  <c r="GK172" i="1" s="1"/>
  <c r="S172" i="1"/>
  <c r="W172" i="1"/>
  <c r="AC172" i="1"/>
  <c r="CQ172" i="1" s="1"/>
  <c r="AE172" i="1"/>
  <c r="AF172" i="1"/>
  <c r="CT172" i="1" s="1"/>
  <c r="AG172" i="1"/>
  <c r="CU172" i="1" s="1"/>
  <c r="T172" i="1" s="1"/>
  <c r="AH172" i="1"/>
  <c r="CV172" i="1" s="1"/>
  <c r="U172" i="1" s="1"/>
  <c r="AI172" i="1"/>
  <c r="CW172" i="1" s="1"/>
  <c r="V172" i="1" s="1"/>
  <c r="AJ172" i="1"/>
  <c r="CR172" i="1"/>
  <c r="CX172" i="1"/>
  <c r="GL172" i="1"/>
  <c r="GN172" i="1"/>
  <c r="GP172" i="1"/>
  <c r="GV172" i="1"/>
  <c r="GX172" i="1"/>
  <c r="HC172" i="1"/>
  <c r="B174" i="1"/>
  <c r="C174" i="1"/>
  <c r="C95" i="1" s="1"/>
  <c r="D174" i="1"/>
  <c r="F174" i="1"/>
  <c r="G174" i="1"/>
  <c r="G95" i="1" s="1"/>
  <c r="AP174" i="1"/>
  <c r="BB174" i="1"/>
  <c r="BX174" i="1"/>
  <c r="BY174" i="1"/>
  <c r="CK174" i="1"/>
  <c r="CL174" i="1"/>
  <c r="CM174" i="1"/>
  <c r="BD174" i="1" s="1"/>
  <c r="ET174" i="1"/>
  <c r="EU174" i="1"/>
  <c r="FP174" i="1"/>
  <c r="FP95" i="1" s="1"/>
  <c r="FQ174" i="1"/>
  <c r="EH174" i="1" s="1"/>
  <c r="P183" i="1" s="1"/>
  <c r="GC174" i="1"/>
  <c r="GC95" i="1" s="1"/>
  <c r="GD174" i="1"/>
  <c r="GE174" i="1"/>
  <c r="EV174" i="1" s="1"/>
  <c r="P187" i="1"/>
  <c r="P190" i="1"/>
  <c r="P199" i="1"/>
  <c r="D204" i="1"/>
  <c r="B206" i="1"/>
  <c r="D206" i="1"/>
  <c r="E206" i="1"/>
  <c r="F206" i="1"/>
  <c r="Z206" i="1"/>
  <c r="AA206" i="1"/>
  <c r="AM206" i="1"/>
  <c r="AN206" i="1"/>
  <c r="AQ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BY206" i="1"/>
  <c r="BZ206" i="1"/>
  <c r="CN206" i="1"/>
  <c r="CO206" i="1"/>
  <c r="CP206" i="1"/>
  <c r="CQ206" i="1"/>
  <c r="CR206" i="1"/>
  <c r="CS206" i="1"/>
  <c r="CT206" i="1"/>
  <c r="CU206" i="1"/>
  <c r="CV206" i="1"/>
  <c r="CW206" i="1"/>
  <c r="CX206" i="1"/>
  <c r="CY206" i="1"/>
  <c r="CZ206" i="1"/>
  <c r="DA206" i="1"/>
  <c r="DB206" i="1"/>
  <c r="DC206" i="1"/>
  <c r="DD206" i="1"/>
  <c r="DE206" i="1"/>
  <c r="DF206" i="1"/>
  <c r="DR206" i="1"/>
  <c r="DS206" i="1"/>
  <c r="EE206" i="1"/>
  <c r="EF206" i="1"/>
  <c r="ET206" i="1"/>
  <c r="EW206" i="1"/>
  <c r="EX206" i="1"/>
  <c r="EY206" i="1"/>
  <c r="EZ206" i="1"/>
  <c r="FA206" i="1"/>
  <c r="FB206" i="1"/>
  <c r="FC206" i="1"/>
  <c r="FD206" i="1"/>
  <c r="FE206" i="1"/>
  <c r="FF206" i="1"/>
  <c r="FG206" i="1"/>
  <c r="FH206" i="1"/>
  <c r="FI206" i="1"/>
  <c r="FJ206" i="1"/>
  <c r="FK206" i="1"/>
  <c r="FL206" i="1"/>
  <c r="FM206" i="1"/>
  <c r="FN206" i="1"/>
  <c r="FO206" i="1"/>
  <c r="FP206" i="1"/>
  <c r="FQ206" i="1"/>
  <c r="GD206" i="1"/>
  <c r="GF206" i="1"/>
  <c r="GG206" i="1"/>
  <c r="GH206" i="1"/>
  <c r="GI206" i="1"/>
  <c r="GJ206" i="1"/>
  <c r="GK206" i="1"/>
  <c r="GL206" i="1"/>
  <c r="GM206" i="1"/>
  <c r="GN206" i="1"/>
  <c r="GO206" i="1"/>
  <c r="GP206" i="1"/>
  <c r="GQ206" i="1"/>
  <c r="GR206" i="1"/>
  <c r="GS206" i="1"/>
  <c r="GT206" i="1"/>
  <c r="GU206" i="1"/>
  <c r="GV206" i="1"/>
  <c r="GW206" i="1"/>
  <c r="GX206" i="1"/>
  <c r="P208" i="1"/>
  <c r="Q208" i="1"/>
  <c r="R208" i="1"/>
  <c r="GK208" i="1" s="1"/>
  <c r="S208" i="1"/>
  <c r="U208" i="1"/>
  <c r="V208" i="1"/>
  <c r="AC208" i="1"/>
  <c r="AD208" i="1"/>
  <c r="AE208" i="1"/>
  <c r="CS208" i="1" s="1"/>
  <c r="AF208" i="1"/>
  <c r="CT208" i="1" s="1"/>
  <c r="AG208" i="1"/>
  <c r="AH208" i="1"/>
  <c r="CV208" i="1" s="1"/>
  <c r="AI208" i="1"/>
  <c r="AJ208" i="1"/>
  <c r="CP208" i="1"/>
  <c r="O208" i="1" s="1"/>
  <c r="CR208" i="1"/>
  <c r="CU208" i="1"/>
  <c r="T208" i="1" s="1"/>
  <c r="CW208" i="1"/>
  <c r="CX208" i="1"/>
  <c r="W208" i="1" s="1"/>
  <c r="CY208" i="1"/>
  <c r="X208" i="1" s="1"/>
  <c r="GL208" i="1"/>
  <c r="GO208" i="1"/>
  <c r="GP208" i="1"/>
  <c r="GV208" i="1"/>
  <c r="GX208" i="1"/>
  <c r="HC208" i="1"/>
  <c r="P209" i="1"/>
  <c r="Q209" i="1"/>
  <c r="W209" i="1"/>
  <c r="X209" i="1"/>
  <c r="AC209" i="1"/>
  <c r="AE209" i="1"/>
  <c r="AF209" i="1"/>
  <c r="S209" i="1" s="1"/>
  <c r="CY209" i="1" s="1"/>
  <c r="AG209" i="1"/>
  <c r="CU209" i="1" s="1"/>
  <c r="T209" i="1" s="1"/>
  <c r="AH209" i="1"/>
  <c r="AI209" i="1"/>
  <c r="AJ209" i="1"/>
  <c r="CR209" i="1"/>
  <c r="CT209" i="1"/>
  <c r="CV209" i="1"/>
  <c r="U209" i="1" s="1"/>
  <c r="CW209" i="1"/>
  <c r="V209" i="1" s="1"/>
  <c r="CX209" i="1"/>
  <c r="GL209" i="1"/>
  <c r="GO209" i="1"/>
  <c r="GP209" i="1"/>
  <c r="GV209" i="1"/>
  <c r="GX209" i="1"/>
  <c r="HC209" i="1"/>
  <c r="I210" i="1"/>
  <c r="Q210" i="1" s="1"/>
  <c r="K210" i="1"/>
  <c r="AC210" i="1"/>
  <c r="AE210" i="1"/>
  <c r="AF210" i="1"/>
  <c r="AG210" i="1"/>
  <c r="CU210" i="1" s="1"/>
  <c r="AH210" i="1"/>
  <c r="CV210" i="1" s="1"/>
  <c r="AI210" i="1"/>
  <c r="CW210" i="1" s="1"/>
  <c r="AJ210" i="1"/>
  <c r="CX210" i="1" s="1"/>
  <c r="GL210" i="1"/>
  <c r="BZ229" i="1" s="1"/>
  <c r="AQ229" i="1" s="1"/>
  <c r="F239" i="1" s="1"/>
  <c r="GO210" i="1"/>
  <c r="GP210" i="1"/>
  <c r="GV210" i="1"/>
  <c r="HC210" i="1"/>
  <c r="I211" i="1"/>
  <c r="K211" i="1"/>
  <c r="Q211" i="1"/>
  <c r="R211" i="1"/>
  <c r="GK211" i="1" s="1"/>
  <c r="S211" i="1"/>
  <c r="AC211" i="1"/>
  <c r="AE211" i="1"/>
  <c r="CR211" i="1" s="1"/>
  <c r="AF211" i="1"/>
  <c r="AG211" i="1"/>
  <c r="AH211" i="1"/>
  <c r="AI211" i="1"/>
  <c r="CW211" i="1" s="1"/>
  <c r="V211" i="1" s="1"/>
  <c r="AJ211" i="1"/>
  <c r="CS211" i="1"/>
  <c r="CT211" i="1"/>
  <c r="CU211" i="1"/>
  <c r="T211" i="1" s="1"/>
  <c r="CV211" i="1"/>
  <c r="U211" i="1" s="1"/>
  <c r="CX211" i="1"/>
  <c r="W211" i="1" s="1"/>
  <c r="GL211" i="1"/>
  <c r="GO211" i="1"/>
  <c r="GP211" i="1"/>
  <c r="GV211" i="1"/>
  <c r="HC211" i="1"/>
  <c r="GX211" i="1" s="1"/>
  <c r="I212" i="1"/>
  <c r="Q212" i="1" s="1"/>
  <c r="K212" i="1"/>
  <c r="S212" i="1"/>
  <c r="W212" i="1"/>
  <c r="AC212" i="1"/>
  <c r="AE212" i="1"/>
  <c r="AF212" i="1"/>
  <c r="AG212" i="1"/>
  <c r="CU212" i="1" s="1"/>
  <c r="AH212" i="1"/>
  <c r="AI212" i="1"/>
  <c r="AJ212" i="1"/>
  <c r="CR212" i="1"/>
  <c r="CT212" i="1"/>
  <c r="CV212" i="1"/>
  <c r="U212" i="1" s="1"/>
  <c r="CW212" i="1"/>
  <c r="V212" i="1" s="1"/>
  <c r="CX212" i="1"/>
  <c r="GL212" i="1"/>
  <c r="GO212" i="1"/>
  <c r="GP212" i="1"/>
  <c r="GV212" i="1"/>
  <c r="HC212" i="1"/>
  <c r="GX212" i="1" s="1"/>
  <c r="I213" i="1"/>
  <c r="K213" i="1"/>
  <c r="AC213" i="1"/>
  <c r="CQ213" i="1" s="1"/>
  <c r="AE213" i="1"/>
  <c r="AD213" i="1" s="1"/>
  <c r="AF213" i="1"/>
  <c r="AG213" i="1"/>
  <c r="CU213" i="1" s="1"/>
  <c r="AH213" i="1"/>
  <c r="AI213" i="1"/>
  <c r="AJ213" i="1"/>
  <c r="CV213" i="1"/>
  <c r="CW213" i="1"/>
  <c r="CX213" i="1"/>
  <c r="W213" i="1" s="1"/>
  <c r="GL213" i="1"/>
  <c r="GO213" i="1"/>
  <c r="GP213" i="1"/>
  <c r="GV213" i="1"/>
  <c r="HC213" i="1"/>
  <c r="S214" i="1"/>
  <c r="U214" i="1"/>
  <c r="V214" i="1"/>
  <c r="W214" i="1"/>
  <c r="AC214" i="1"/>
  <c r="P214" i="1" s="1"/>
  <c r="AE214" i="1"/>
  <c r="CR214" i="1" s="1"/>
  <c r="AF214" i="1"/>
  <c r="AG214" i="1"/>
  <c r="CU214" i="1" s="1"/>
  <c r="T214" i="1" s="1"/>
  <c r="AH214" i="1"/>
  <c r="CV214" i="1" s="1"/>
  <c r="AI214" i="1"/>
  <c r="CW214" i="1" s="1"/>
  <c r="AJ214" i="1"/>
  <c r="CX214" i="1" s="1"/>
  <c r="CQ214" i="1"/>
  <c r="CT214" i="1"/>
  <c r="CY214" i="1"/>
  <c r="X214" i="1" s="1"/>
  <c r="CZ214" i="1"/>
  <c r="Y214" i="1" s="1"/>
  <c r="GL214" i="1"/>
  <c r="GO214" i="1"/>
  <c r="GP214" i="1"/>
  <c r="GV214" i="1"/>
  <c r="HC214" i="1" s="1"/>
  <c r="GX214" i="1"/>
  <c r="R215" i="1"/>
  <c r="GK215" i="1" s="1"/>
  <c r="S215" i="1"/>
  <c r="W215" i="1"/>
  <c r="AC215" i="1"/>
  <c r="AE215" i="1"/>
  <c r="AF215" i="1"/>
  <c r="AG215" i="1"/>
  <c r="AH215" i="1"/>
  <c r="AI215" i="1"/>
  <c r="AJ215" i="1"/>
  <c r="CT215" i="1"/>
  <c r="CU215" i="1"/>
  <c r="T215" i="1" s="1"/>
  <c r="CV215" i="1"/>
  <c r="U215" i="1" s="1"/>
  <c r="CW215" i="1"/>
  <c r="V215" i="1" s="1"/>
  <c r="CX215" i="1"/>
  <c r="GL215" i="1"/>
  <c r="GO215" i="1"/>
  <c r="GP215" i="1"/>
  <c r="GV215" i="1"/>
  <c r="HC215" i="1" s="1"/>
  <c r="GX215" i="1" s="1"/>
  <c r="P216" i="1"/>
  <c r="Q216" i="1"/>
  <c r="AC216" i="1"/>
  <c r="AE216" i="1"/>
  <c r="AF216" i="1"/>
  <c r="CT216" i="1" s="1"/>
  <c r="AG216" i="1"/>
  <c r="CU216" i="1" s="1"/>
  <c r="T216" i="1" s="1"/>
  <c r="AH216" i="1"/>
  <c r="AI216" i="1"/>
  <c r="CW216" i="1" s="1"/>
  <c r="V216" i="1" s="1"/>
  <c r="AJ216" i="1"/>
  <c r="CQ216" i="1"/>
  <c r="CV216" i="1"/>
  <c r="U216" i="1" s="1"/>
  <c r="CX216" i="1"/>
  <c r="W216" i="1" s="1"/>
  <c r="GL216" i="1"/>
  <c r="GO216" i="1"/>
  <c r="GP216" i="1"/>
  <c r="GV216" i="1"/>
  <c r="HC216" i="1" s="1"/>
  <c r="GX216" i="1" s="1"/>
  <c r="Q217" i="1"/>
  <c r="S217" i="1"/>
  <c r="T217" i="1"/>
  <c r="U217" i="1"/>
  <c r="AC217" i="1"/>
  <c r="P217" i="1" s="1"/>
  <c r="AD217" i="1"/>
  <c r="AE217" i="1"/>
  <c r="AF217" i="1"/>
  <c r="AG217" i="1"/>
  <c r="AH217" i="1"/>
  <c r="CV217" i="1" s="1"/>
  <c r="AI217" i="1"/>
  <c r="CW217" i="1" s="1"/>
  <c r="V217" i="1" s="1"/>
  <c r="AJ217" i="1"/>
  <c r="CX217" i="1" s="1"/>
  <c r="W217" i="1" s="1"/>
  <c r="CQ217" i="1"/>
  <c r="CS217" i="1"/>
  <c r="CT217" i="1"/>
  <c r="CU217" i="1"/>
  <c r="GL217" i="1"/>
  <c r="GO217" i="1"/>
  <c r="GP217" i="1"/>
  <c r="FV229" i="1" s="1"/>
  <c r="GV217" i="1"/>
  <c r="HC217" i="1" s="1"/>
  <c r="GX217" i="1"/>
  <c r="AC218" i="1"/>
  <c r="AE218" i="1"/>
  <c r="AF218" i="1"/>
  <c r="AG218" i="1"/>
  <c r="CU218" i="1" s="1"/>
  <c r="T218" i="1" s="1"/>
  <c r="AH218" i="1"/>
  <c r="CV218" i="1" s="1"/>
  <c r="U218" i="1" s="1"/>
  <c r="AI218" i="1"/>
  <c r="AJ218" i="1"/>
  <c r="CW218" i="1"/>
  <c r="V218" i="1" s="1"/>
  <c r="CX218" i="1"/>
  <c r="W218" i="1" s="1"/>
  <c r="GL218" i="1"/>
  <c r="GN218" i="1"/>
  <c r="GP218" i="1"/>
  <c r="GV218" i="1"/>
  <c r="HC218" i="1"/>
  <c r="GX218" i="1" s="1"/>
  <c r="Q219" i="1"/>
  <c r="S219" i="1"/>
  <c r="U219" i="1"/>
  <c r="AC219" i="1"/>
  <c r="AE219" i="1"/>
  <c r="R219" i="1" s="1"/>
  <c r="GK219" i="1" s="1"/>
  <c r="AF219" i="1"/>
  <c r="AG219" i="1"/>
  <c r="AH219" i="1"/>
  <c r="AI219" i="1"/>
  <c r="CW219" i="1" s="1"/>
  <c r="V219" i="1" s="1"/>
  <c r="AJ219" i="1"/>
  <c r="CR219" i="1"/>
  <c r="CS219" i="1"/>
  <c r="CT219" i="1"/>
  <c r="CU219" i="1"/>
  <c r="T219" i="1" s="1"/>
  <c r="CV219" i="1"/>
  <c r="CX219" i="1"/>
  <c r="W219" i="1" s="1"/>
  <c r="GL219" i="1"/>
  <c r="GN219" i="1"/>
  <c r="GP219" i="1"/>
  <c r="GV219" i="1"/>
  <c r="HC219" i="1" s="1"/>
  <c r="GX219" i="1"/>
  <c r="Q220" i="1"/>
  <c r="R220" i="1"/>
  <c r="GK220" i="1" s="1"/>
  <c r="S220" i="1"/>
  <c r="AC220" i="1"/>
  <c r="AE220" i="1"/>
  <c r="AF220" i="1"/>
  <c r="CT220" i="1" s="1"/>
  <c r="AG220" i="1"/>
  <c r="CU220" i="1" s="1"/>
  <c r="T220" i="1" s="1"/>
  <c r="AH220" i="1"/>
  <c r="AI220" i="1"/>
  <c r="CW220" i="1" s="1"/>
  <c r="V220" i="1" s="1"/>
  <c r="AJ220" i="1"/>
  <c r="CX220" i="1" s="1"/>
  <c r="W220" i="1" s="1"/>
  <c r="CV220" i="1"/>
  <c r="U220" i="1" s="1"/>
  <c r="GL220" i="1"/>
  <c r="GN220" i="1"/>
  <c r="GP220" i="1"/>
  <c r="GV220" i="1"/>
  <c r="HC220" i="1"/>
  <c r="GX220" i="1" s="1"/>
  <c r="P221" i="1"/>
  <c r="W221" i="1"/>
  <c r="AC221" i="1"/>
  <c r="CQ221" i="1" s="1"/>
  <c r="AE221" i="1"/>
  <c r="AD221" i="1" s="1"/>
  <c r="AB221" i="1" s="1"/>
  <c r="AF221" i="1"/>
  <c r="AG221" i="1"/>
  <c r="CU221" i="1" s="1"/>
  <c r="T221" i="1" s="1"/>
  <c r="AH221" i="1"/>
  <c r="AI221" i="1"/>
  <c r="AJ221" i="1"/>
  <c r="CV221" i="1"/>
  <c r="U221" i="1" s="1"/>
  <c r="CW221" i="1"/>
  <c r="V221" i="1" s="1"/>
  <c r="CX221" i="1"/>
  <c r="GL221" i="1"/>
  <c r="GN221" i="1"/>
  <c r="GP221" i="1"/>
  <c r="GV221" i="1"/>
  <c r="GX221" i="1"/>
  <c r="HC221" i="1"/>
  <c r="P222" i="1"/>
  <c r="Q222" i="1"/>
  <c r="S222" i="1"/>
  <c r="CP222" i="1" s="1"/>
  <c r="O222" i="1" s="1"/>
  <c r="U222" i="1"/>
  <c r="V222" i="1"/>
  <c r="W222" i="1"/>
  <c r="AC222" i="1"/>
  <c r="AE222" i="1"/>
  <c r="AF222" i="1"/>
  <c r="AG222" i="1"/>
  <c r="CU222" i="1" s="1"/>
  <c r="T222" i="1" s="1"/>
  <c r="AH222" i="1"/>
  <c r="AI222" i="1"/>
  <c r="CW222" i="1" s="1"/>
  <c r="AJ222" i="1"/>
  <c r="CX222" i="1" s="1"/>
  <c r="CQ222" i="1"/>
  <c r="CR222" i="1"/>
  <c r="CT222" i="1"/>
  <c r="CV222" i="1"/>
  <c r="GL222" i="1"/>
  <c r="GN222" i="1"/>
  <c r="GP222" i="1"/>
  <c r="GV222" i="1"/>
  <c r="HC222" i="1" s="1"/>
  <c r="GX222" i="1"/>
  <c r="Q223" i="1"/>
  <c r="R223" i="1"/>
  <c r="S223" i="1"/>
  <c r="CY223" i="1" s="1"/>
  <c r="T223" i="1"/>
  <c r="V223" i="1"/>
  <c r="W223" i="1"/>
  <c r="X223" i="1"/>
  <c r="AC223" i="1"/>
  <c r="AE223" i="1"/>
  <c r="AF223" i="1"/>
  <c r="AG223" i="1"/>
  <c r="CU223" i="1" s="1"/>
  <c r="AH223" i="1"/>
  <c r="AI223" i="1"/>
  <c r="CW223" i="1" s="1"/>
  <c r="AJ223" i="1"/>
  <c r="CX223" i="1" s="1"/>
  <c r="CQ223" i="1"/>
  <c r="CR223" i="1"/>
  <c r="CT223" i="1"/>
  <c r="CV223" i="1"/>
  <c r="U223" i="1" s="1"/>
  <c r="CZ223" i="1"/>
  <c r="Y223" i="1" s="1"/>
  <c r="GK223" i="1"/>
  <c r="GL223" i="1"/>
  <c r="GN223" i="1"/>
  <c r="GP223" i="1"/>
  <c r="GV223" i="1"/>
  <c r="HC223" i="1"/>
  <c r="GX223" i="1" s="1"/>
  <c r="Q224" i="1"/>
  <c r="R224" i="1"/>
  <c r="GK224" i="1" s="1"/>
  <c r="S224" i="1"/>
  <c r="T224" i="1"/>
  <c r="U224" i="1"/>
  <c r="W224" i="1"/>
  <c r="AC224" i="1"/>
  <c r="AD224" i="1"/>
  <c r="AB224" i="1" s="1"/>
  <c r="AE224" i="1"/>
  <c r="AF224" i="1"/>
  <c r="AG224" i="1"/>
  <c r="AH224" i="1"/>
  <c r="CV224" i="1" s="1"/>
  <c r="AI224" i="1"/>
  <c r="CW224" i="1" s="1"/>
  <c r="V224" i="1" s="1"/>
  <c r="AJ224" i="1"/>
  <c r="CR224" i="1"/>
  <c r="CS224" i="1"/>
  <c r="CT224" i="1"/>
  <c r="CU224" i="1"/>
  <c r="CX224" i="1"/>
  <c r="GL224" i="1"/>
  <c r="GN224" i="1"/>
  <c r="GP224" i="1"/>
  <c r="GV224" i="1"/>
  <c r="HC224" i="1" s="1"/>
  <c r="GX224" i="1"/>
  <c r="S225" i="1"/>
  <c r="CY225" i="1" s="1"/>
  <c r="V225" i="1"/>
  <c r="W225" i="1"/>
  <c r="X225" i="1"/>
  <c r="Y225" i="1"/>
  <c r="AC225" i="1"/>
  <c r="P225" i="1" s="1"/>
  <c r="AE225" i="1"/>
  <c r="AF225" i="1"/>
  <c r="AG225" i="1"/>
  <c r="AH225" i="1"/>
  <c r="AI225" i="1"/>
  <c r="CW225" i="1" s="1"/>
  <c r="AJ225" i="1"/>
  <c r="CX225" i="1" s="1"/>
  <c r="CQ225" i="1"/>
  <c r="CR225" i="1"/>
  <c r="CS225" i="1"/>
  <c r="CT225" i="1"/>
  <c r="CU225" i="1"/>
  <c r="T225" i="1" s="1"/>
  <c r="CV225" i="1"/>
  <c r="U225" i="1" s="1"/>
  <c r="CZ225" i="1"/>
  <c r="GL225" i="1"/>
  <c r="GN225" i="1"/>
  <c r="GP225" i="1"/>
  <c r="GV225" i="1"/>
  <c r="HC225" i="1" s="1"/>
  <c r="GX225" i="1"/>
  <c r="Q226" i="1"/>
  <c r="U226" i="1"/>
  <c r="V226" i="1"/>
  <c r="AC226" i="1"/>
  <c r="AE226" i="1"/>
  <c r="AF226" i="1"/>
  <c r="S226" i="1" s="1"/>
  <c r="CY226" i="1" s="1"/>
  <c r="X226" i="1" s="1"/>
  <c r="AG226" i="1"/>
  <c r="CU226" i="1" s="1"/>
  <c r="T226" i="1" s="1"/>
  <c r="AH226" i="1"/>
  <c r="AI226" i="1"/>
  <c r="AJ226" i="1"/>
  <c r="CQ226" i="1"/>
  <c r="CV226" i="1"/>
  <c r="CW226" i="1"/>
  <c r="CX226" i="1"/>
  <c r="W226" i="1" s="1"/>
  <c r="CZ226" i="1"/>
  <c r="Y226" i="1" s="1"/>
  <c r="GL226" i="1"/>
  <c r="GN226" i="1"/>
  <c r="GP226" i="1"/>
  <c r="GV226" i="1"/>
  <c r="GX226" i="1"/>
  <c r="HC226" i="1"/>
  <c r="Y227" i="1"/>
  <c r="AC227" i="1"/>
  <c r="AD227" i="1"/>
  <c r="AE227" i="1"/>
  <c r="AF227" i="1"/>
  <c r="S227" i="1" s="1"/>
  <c r="CZ227" i="1" s="1"/>
  <c r="AG227" i="1"/>
  <c r="AH227" i="1"/>
  <c r="AI227" i="1"/>
  <c r="AJ227" i="1"/>
  <c r="CT227" i="1"/>
  <c r="CU227" i="1"/>
  <c r="T227" i="1" s="1"/>
  <c r="CV227" i="1"/>
  <c r="U227" i="1" s="1"/>
  <c r="CW227" i="1"/>
  <c r="V227" i="1" s="1"/>
  <c r="CX227" i="1"/>
  <c r="W227" i="1" s="1"/>
  <c r="CY227" i="1"/>
  <c r="X227" i="1" s="1"/>
  <c r="GL227" i="1"/>
  <c r="GN227" i="1"/>
  <c r="GP227" i="1"/>
  <c r="GV227" i="1"/>
  <c r="HC227" i="1"/>
  <c r="GX227" i="1" s="1"/>
  <c r="B229" i="1"/>
  <c r="C229" i="1"/>
  <c r="C206" i="1" s="1"/>
  <c r="D229" i="1"/>
  <c r="F229" i="1"/>
  <c r="G229" i="1"/>
  <c r="G206" i="1" s="1"/>
  <c r="BD229" i="1"/>
  <c r="BX229" i="1"/>
  <c r="BY229" i="1"/>
  <c r="CK229" i="1"/>
  <c r="CK206" i="1" s="1"/>
  <c r="CL229" i="1"/>
  <c r="CM229" i="1"/>
  <c r="CM206" i="1" s="1"/>
  <c r="EG229" i="1"/>
  <c r="EG206" i="1" s="1"/>
  <c r="EH229" i="1"/>
  <c r="EU229" i="1"/>
  <c r="EV229" i="1"/>
  <c r="FP229" i="1"/>
  <c r="FQ229" i="1"/>
  <c r="GC229" i="1"/>
  <c r="ET229" i="1" s="1"/>
  <c r="P242" i="1" s="1"/>
  <c r="GD229" i="1"/>
  <c r="GE229" i="1"/>
  <c r="GE206" i="1" s="1"/>
  <c r="P233" i="1"/>
  <c r="D259" i="1"/>
  <c r="D261" i="1"/>
  <c r="E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BE261" i="1"/>
  <c r="BF261" i="1"/>
  <c r="BG261" i="1"/>
  <c r="BH261" i="1"/>
  <c r="BI261" i="1"/>
  <c r="BJ261" i="1"/>
  <c r="BK261" i="1"/>
  <c r="BL261" i="1"/>
  <c r="BM261" i="1"/>
  <c r="BN261" i="1"/>
  <c r="BO261" i="1"/>
  <c r="BP261" i="1"/>
  <c r="BQ261" i="1"/>
  <c r="BR261" i="1"/>
  <c r="BS261" i="1"/>
  <c r="BT261" i="1"/>
  <c r="BU261" i="1"/>
  <c r="BV261" i="1"/>
  <c r="BW261" i="1"/>
  <c r="BX261" i="1"/>
  <c r="BY261" i="1"/>
  <c r="BZ261" i="1"/>
  <c r="CA261" i="1"/>
  <c r="CB261" i="1"/>
  <c r="CC261" i="1"/>
  <c r="CD261" i="1"/>
  <c r="CE261" i="1"/>
  <c r="CF261" i="1"/>
  <c r="CG261" i="1"/>
  <c r="CH261" i="1"/>
  <c r="CI261" i="1"/>
  <c r="CJ261" i="1"/>
  <c r="CK261" i="1"/>
  <c r="CL261" i="1"/>
  <c r="CM261" i="1"/>
  <c r="CN261" i="1"/>
  <c r="CO261" i="1"/>
  <c r="CP261" i="1"/>
  <c r="CQ261" i="1"/>
  <c r="CR261" i="1"/>
  <c r="CS261" i="1"/>
  <c r="CT261" i="1"/>
  <c r="CU261" i="1"/>
  <c r="CV261" i="1"/>
  <c r="CW261" i="1"/>
  <c r="CX261" i="1"/>
  <c r="CY261" i="1"/>
  <c r="CZ261" i="1"/>
  <c r="DA261" i="1"/>
  <c r="DB261" i="1"/>
  <c r="DC261" i="1"/>
  <c r="DD261" i="1"/>
  <c r="DE261" i="1"/>
  <c r="DF261" i="1"/>
  <c r="DR261" i="1"/>
  <c r="DS261" i="1"/>
  <c r="DT261" i="1"/>
  <c r="DU261" i="1"/>
  <c r="DV261" i="1"/>
  <c r="DW261" i="1"/>
  <c r="DX261" i="1"/>
  <c r="DY261" i="1"/>
  <c r="DZ261" i="1"/>
  <c r="EA261" i="1"/>
  <c r="EB261" i="1"/>
  <c r="EC261" i="1"/>
  <c r="ED261" i="1"/>
  <c r="EE261" i="1"/>
  <c r="EF261" i="1"/>
  <c r="EW261" i="1"/>
  <c r="EX261" i="1"/>
  <c r="EY261" i="1"/>
  <c r="EZ261" i="1"/>
  <c r="FA261" i="1"/>
  <c r="FB261" i="1"/>
  <c r="FC261" i="1"/>
  <c r="FD261" i="1"/>
  <c r="FE261" i="1"/>
  <c r="FF261" i="1"/>
  <c r="FG261" i="1"/>
  <c r="FH261" i="1"/>
  <c r="FI261" i="1"/>
  <c r="FJ261" i="1"/>
  <c r="FK261" i="1"/>
  <c r="FL261" i="1"/>
  <c r="FM261" i="1"/>
  <c r="FN261" i="1"/>
  <c r="FO261" i="1"/>
  <c r="FP261" i="1"/>
  <c r="FQ261" i="1"/>
  <c r="FR261" i="1"/>
  <c r="FS261" i="1"/>
  <c r="FT261" i="1"/>
  <c r="FU261" i="1"/>
  <c r="FV261" i="1"/>
  <c r="FW261" i="1"/>
  <c r="FX261" i="1"/>
  <c r="FY261" i="1"/>
  <c r="FZ261" i="1"/>
  <c r="GA261" i="1"/>
  <c r="GB261" i="1"/>
  <c r="GC261" i="1"/>
  <c r="GD261" i="1"/>
  <c r="GE261" i="1"/>
  <c r="GF261" i="1"/>
  <c r="GG261" i="1"/>
  <c r="GH261" i="1"/>
  <c r="GI261" i="1"/>
  <c r="GJ261" i="1"/>
  <c r="GK261" i="1"/>
  <c r="GL261" i="1"/>
  <c r="GM261" i="1"/>
  <c r="GN261" i="1"/>
  <c r="GO261" i="1"/>
  <c r="GP261" i="1"/>
  <c r="GQ261" i="1"/>
  <c r="GR261" i="1"/>
  <c r="GS261" i="1"/>
  <c r="GT261" i="1"/>
  <c r="GU261" i="1"/>
  <c r="GV261" i="1"/>
  <c r="GW261" i="1"/>
  <c r="GX261" i="1"/>
  <c r="D263" i="1"/>
  <c r="B265" i="1"/>
  <c r="C265" i="1"/>
  <c r="D265" i="1"/>
  <c r="E265" i="1"/>
  <c r="F265" i="1"/>
  <c r="G265" i="1"/>
  <c r="Z265" i="1"/>
  <c r="AA265" i="1"/>
  <c r="AM265" i="1"/>
  <c r="AN265" i="1"/>
  <c r="BD265" i="1"/>
  <c r="BE265" i="1"/>
  <c r="BF265" i="1"/>
  <c r="BG265" i="1"/>
  <c r="BH265" i="1"/>
  <c r="BI265" i="1"/>
  <c r="BJ265" i="1"/>
  <c r="BK265" i="1"/>
  <c r="BL265" i="1"/>
  <c r="BM265" i="1"/>
  <c r="BN265" i="1"/>
  <c r="BO265" i="1"/>
  <c r="BP265" i="1"/>
  <c r="BQ265" i="1"/>
  <c r="BR265" i="1"/>
  <c r="BS265" i="1"/>
  <c r="BT265" i="1"/>
  <c r="BU265" i="1"/>
  <c r="BV265" i="1"/>
  <c r="BW265" i="1"/>
  <c r="CN265" i="1"/>
  <c r="CO265" i="1"/>
  <c r="CP265" i="1"/>
  <c r="CQ265" i="1"/>
  <c r="CR265" i="1"/>
  <c r="CS265" i="1"/>
  <c r="CT265" i="1"/>
  <c r="CU265" i="1"/>
  <c r="CV265" i="1"/>
  <c r="CW265" i="1"/>
  <c r="CX265" i="1"/>
  <c r="CY265" i="1"/>
  <c r="CZ265" i="1"/>
  <c r="DA265" i="1"/>
  <c r="DB265" i="1"/>
  <c r="DC265" i="1"/>
  <c r="DD265" i="1"/>
  <c r="DE265" i="1"/>
  <c r="DF265" i="1"/>
  <c r="DR265" i="1"/>
  <c r="DS265" i="1"/>
  <c r="EE265" i="1"/>
  <c r="EF265" i="1"/>
  <c r="ET265" i="1"/>
  <c r="EV265" i="1"/>
  <c r="EW265" i="1"/>
  <c r="EX265" i="1"/>
  <c r="EY265" i="1"/>
  <c r="EZ265" i="1"/>
  <c r="FA265" i="1"/>
  <c r="FB265" i="1"/>
  <c r="FC265" i="1"/>
  <c r="FD265" i="1"/>
  <c r="FE265" i="1"/>
  <c r="FF265" i="1"/>
  <c r="FG265" i="1"/>
  <c r="FH265" i="1"/>
  <c r="FI265" i="1"/>
  <c r="FJ265" i="1"/>
  <c r="FK265" i="1"/>
  <c r="FL265" i="1"/>
  <c r="FM265" i="1"/>
  <c r="FN265" i="1"/>
  <c r="FO265" i="1"/>
  <c r="FP265" i="1"/>
  <c r="GD265" i="1"/>
  <c r="GF265" i="1"/>
  <c r="GG265" i="1"/>
  <c r="GH265" i="1"/>
  <c r="GI265" i="1"/>
  <c r="GJ265" i="1"/>
  <c r="GK265" i="1"/>
  <c r="GL265" i="1"/>
  <c r="GM265" i="1"/>
  <c r="GN265" i="1"/>
  <c r="GO265" i="1"/>
  <c r="GP265" i="1"/>
  <c r="GQ265" i="1"/>
  <c r="GR265" i="1"/>
  <c r="GS265" i="1"/>
  <c r="GT265" i="1"/>
  <c r="GU265" i="1"/>
  <c r="GV265" i="1"/>
  <c r="GW265" i="1"/>
  <c r="GX265" i="1"/>
  <c r="D267" i="1"/>
  <c r="S267" i="1"/>
  <c r="CY267" i="1" s="1"/>
  <c r="X267" i="1" s="1"/>
  <c r="T267" i="1"/>
  <c r="V267" i="1"/>
  <c r="Y267" i="1"/>
  <c r="AC267" i="1"/>
  <c r="AE267" i="1"/>
  <c r="AF267" i="1"/>
  <c r="AG267" i="1"/>
  <c r="CU267" i="1" s="1"/>
  <c r="AH267" i="1"/>
  <c r="AI267" i="1"/>
  <c r="CW267" i="1" s="1"/>
  <c r="AJ267" i="1"/>
  <c r="CT267" i="1"/>
  <c r="CV267" i="1"/>
  <c r="U267" i="1" s="1"/>
  <c r="CX267" i="1"/>
  <c r="W267" i="1" s="1"/>
  <c r="CZ267" i="1"/>
  <c r="GL267" i="1"/>
  <c r="GO267" i="1"/>
  <c r="GP267" i="1"/>
  <c r="GV267" i="1"/>
  <c r="GX267" i="1"/>
  <c r="HC267" i="1"/>
  <c r="D268" i="1"/>
  <c r="Q268" i="1"/>
  <c r="R268" i="1"/>
  <c r="GK268" i="1" s="1"/>
  <c r="S268" i="1"/>
  <c r="T268" i="1"/>
  <c r="AC268" i="1"/>
  <c r="P268" i="1" s="1"/>
  <c r="AD268" i="1"/>
  <c r="AE268" i="1"/>
  <c r="CR268" i="1" s="1"/>
  <c r="AF268" i="1"/>
  <c r="AG268" i="1"/>
  <c r="AH268" i="1"/>
  <c r="CV268" i="1" s="1"/>
  <c r="U268" i="1" s="1"/>
  <c r="AI268" i="1"/>
  <c r="CW268" i="1" s="1"/>
  <c r="V268" i="1" s="1"/>
  <c r="AJ268" i="1"/>
  <c r="CX268" i="1" s="1"/>
  <c r="W268" i="1" s="1"/>
  <c r="CQ268" i="1"/>
  <c r="CS268" i="1"/>
  <c r="CT268" i="1"/>
  <c r="CU268" i="1"/>
  <c r="GL268" i="1"/>
  <c r="GO268" i="1"/>
  <c r="GP268" i="1"/>
  <c r="GV268" i="1"/>
  <c r="HC268" i="1" s="1"/>
  <c r="GX268" i="1"/>
  <c r="D269" i="1"/>
  <c r="Q269" i="1"/>
  <c r="S269" i="1"/>
  <c r="U269" i="1"/>
  <c r="V269" i="1"/>
  <c r="W269" i="1"/>
  <c r="AC269" i="1"/>
  <c r="P269" i="1" s="1"/>
  <c r="CP269" i="1" s="1"/>
  <c r="O269" i="1" s="1"/>
  <c r="AD269" i="1"/>
  <c r="AE269" i="1"/>
  <c r="R269" i="1" s="1"/>
  <c r="AF269" i="1"/>
  <c r="AG269" i="1"/>
  <c r="AH269" i="1"/>
  <c r="AI269" i="1"/>
  <c r="CW269" i="1" s="1"/>
  <c r="AJ269" i="1"/>
  <c r="CX269" i="1" s="1"/>
  <c r="CR269" i="1"/>
  <c r="CS269" i="1"/>
  <c r="CT269" i="1"/>
  <c r="CU269" i="1"/>
  <c r="T269" i="1" s="1"/>
  <c r="CV269" i="1"/>
  <c r="GK269" i="1"/>
  <c r="GL269" i="1"/>
  <c r="GO269" i="1"/>
  <c r="CC302" i="1" s="1"/>
  <c r="AT302" i="1" s="1"/>
  <c r="GP269" i="1"/>
  <c r="GV269" i="1"/>
  <c r="HC269" i="1" s="1"/>
  <c r="GX269" i="1" s="1"/>
  <c r="D270" i="1"/>
  <c r="P270" i="1"/>
  <c r="Q270" i="1"/>
  <c r="R270" i="1"/>
  <c r="S270" i="1"/>
  <c r="W270" i="1"/>
  <c r="AB270" i="1"/>
  <c r="AC270" i="1"/>
  <c r="AD270" i="1"/>
  <c r="AE270" i="1"/>
  <c r="CR270" i="1" s="1"/>
  <c r="AF270" i="1"/>
  <c r="CT270" i="1" s="1"/>
  <c r="AG270" i="1"/>
  <c r="AH270" i="1"/>
  <c r="AI270" i="1"/>
  <c r="AJ270" i="1"/>
  <c r="CX270" i="1" s="1"/>
  <c r="CP270" i="1"/>
  <c r="O270" i="1" s="1"/>
  <c r="CQ270" i="1"/>
  <c r="CS270" i="1"/>
  <c r="CU270" i="1"/>
  <c r="T270" i="1" s="1"/>
  <c r="CV270" i="1"/>
  <c r="U270" i="1" s="1"/>
  <c r="CW270" i="1"/>
  <c r="V270" i="1" s="1"/>
  <c r="GK270" i="1"/>
  <c r="GL270" i="1"/>
  <c r="GO270" i="1"/>
  <c r="GP270" i="1"/>
  <c r="GV270" i="1"/>
  <c r="HC270" i="1"/>
  <c r="GX270" i="1" s="1"/>
  <c r="D271" i="1"/>
  <c r="I271" i="1"/>
  <c r="K271" i="1"/>
  <c r="P271" i="1"/>
  <c r="Q271" i="1"/>
  <c r="S271" i="1"/>
  <c r="U271" i="1"/>
  <c r="V271" i="1"/>
  <c r="AB271" i="1"/>
  <c r="AC271" i="1"/>
  <c r="AD271" i="1"/>
  <c r="AE271" i="1"/>
  <c r="R271" i="1" s="1"/>
  <c r="AF271" i="1"/>
  <c r="AG271" i="1"/>
  <c r="CU271" i="1" s="1"/>
  <c r="T271" i="1" s="1"/>
  <c r="AH271" i="1"/>
  <c r="AI271" i="1"/>
  <c r="CW271" i="1" s="1"/>
  <c r="AJ271" i="1"/>
  <c r="CQ271" i="1"/>
  <c r="CR271" i="1"/>
  <c r="CS271" i="1"/>
  <c r="CT271" i="1"/>
  <c r="CV271" i="1"/>
  <c r="CX271" i="1"/>
  <c r="W271" i="1" s="1"/>
  <c r="CZ271" i="1"/>
  <c r="Y271" i="1" s="1"/>
  <c r="GK271" i="1"/>
  <c r="GL271" i="1"/>
  <c r="GO271" i="1"/>
  <c r="GP271" i="1"/>
  <c r="GV271" i="1"/>
  <c r="HC271" i="1" s="1"/>
  <c r="GX271" i="1" s="1"/>
  <c r="D272" i="1"/>
  <c r="I272" i="1"/>
  <c r="K272" i="1"/>
  <c r="P272" i="1"/>
  <c r="AC272" i="1"/>
  <c r="AE272" i="1"/>
  <c r="AF272" i="1"/>
  <c r="AG272" i="1"/>
  <c r="CU272" i="1" s="1"/>
  <c r="T272" i="1" s="1"/>
  <c r="AH272" i="1"/>
  <c r="CV272" i="1" s="1"/>
  <c r="U272" i="1" s="1"/>
  <c r="AI272" i="1"/>
  <c r="CW272" i="1" s="1"/>
  <c r="V272" i="1" s="1"/>
  <c r="AJ272" i="1"/>
  <c r="CX272" i="1" s="1"/>
  <c r="W272" i="1" s="1"/>
  <c r="CQ272" i="1"/>
  <c r="GL272" i="1"/>
  <c r="GO272" i="1"/>
  <c r="GP272" i="1"/>
  <c r="GV272" i="1"/>
  <c r="GX272" i="1"/>
  <c r="HC272" i="1"/>
  <c r="C273" i="1"/>
  <c r="D273" i="1"/>
  <c r="R273" i="1"/>
  <c r="GK273" i="1" s="1"/>
  <c r="U273" i="1"/>
  <c r="V273" i="1"/>
  <c r="W273" i="1"/>
  <c r="AC273" i="1"/>
  <c r="AD273" i="1"/>
  <c r="AE273" i="1"/>
  <c r="Q273" i="1" s="1"/>
  <c r="AF273" i="1"/>
  <c r="S273" i="1" s="1"/>
  <c r="AG273" i="1"/>
  <c r="AH273" i="1"/>
  <c r="CV273" i="1" s="1"/>
  <c r="AI273" i="1"/>
  <c r="CW273" i="1" s="1"/>
  <c r="AJ273" i="1"/>
  <c r="CX273" i="1" s="1"/>
  <c r="CR273" i="1"/>
  <c r="CS273" i="1"/>
  <c r="CT273" i="1"/>
  <c r="CU273" i="1"/>
  <c r="T273" i="1" s="1"/>
  <c r="CY273" i="1"/>
  <c r="X273" i="1" s="1"/>
  <c r="CZ273" i="1"/>
  <c r="Y273" i="1" s="1"/>
  <c r="GL273" i="1"/>
  <c r="GO273" i="1"/>
  <c r="GP273" i="1"/>
  <c r="GV273" i="1"/>
  <c r="HC273" i="1"/>
  <c r="GX273" i="1" s="1"/>
  <c r="C274" i="1"/>
  <c r="D274" i="1"/>
  <c r="T274" i="1"/>
  <c r="AC274" i="1"/>
  <c r="AE274" i="1"/>
  <c r="AF274" i="1"/>
  <c r="AG274" i="1"/>
  <c r="AH274" i="1"/>
  <c r="AI274" i="1"/>
  <c r="AJ274" i="1"/>
  <c r="CU274" i="1"/>
  <c r="CV274" i="1"/>
  <c r="U274" i="1" s="1"/>
  <c r="CW274" i="1"/>
  <c r="V274" i="1" s="1"/>
  <c r="CX274" i="1"/>
  <c r="W274" i="1" s="1"/>
  <c r="GL274" i="1"/>
  <c r="GO274" i="1"/>
  <c r="GP274" i="1"/>
  <c r="GV274" i="1"/>
  <c r="HC274" i="1"/>
  <c r="GX274" i="1" s="1"/>
  <c r="I275" i="1"/>
  <c r="P275" i="1"/>
  <c r="Q275" i="1"/>
  <c r="S275" i="1"/>
  <c r="U275" i="1"/>
  <c r="AC275" i="1"/>
  <c r="CQ275" i="1" s="1"/>
  <c r="AE275" i="1"/>
  <c r="AF275" i="1"/>
  <c r="AG275" i="1"/>
  <c r="CU275" i="1" s="1"/>
  <c r="AH275" i="1"/>
  <c r="AI275" i="1"/>
  <c r="CW275" i="1" s="1"/>
  <c r="AJ275" i="1"/>
  <c r="CX275" i="1" s="1"/>
  <c r="W275" i="1" s="1"/>
  <c r="CS275" i="1"/>
  <c r="CT275" i="1"/>
  <c r="CV275" i="1"/>
  <c r="GL275" i="1"/>
  <c r="GO275" i="1"/>
  <c r="GP275" i="1"/>
  <c r="GV275" i="1"/>
  <c r="HC275" i="1" s="1"/>
  <c r="GX275" i="1" s="1"/>
  <c r="I276" i="1"/>
  <c r="AC276" i="1"/>
  <c r="AE276" i="1"/>
  <c r="AD276" i="1" s="1"/>
  <c r="AB276" i="1" s="1"/>
  <c r="AF276" i="1"/>
  <c r="AG276" i="1"/>
  <c r="CU276" i="1" s="1"/>
  <c r="T276" i="1" s="1"/>
  <c r="AH276" i="1"/>
  <c r="AI276" i="1"/>
  <c r="AJ276" i="1"/>
  <c r="CQ276" i="1"/>
  <c r="CV276" i="1"/>
  <c r="CW276" i="1"/>
  <c r="V276" i="1" s="1"/>
  <c r="CX276" i="1"/>
  <c r="GL276" i="1"/>
  <c r="GO276" i="1"/>
  <c r="GP276" i="1"/>
  <c r="GV276" i="1"/>
  <c r="HC276" i="1"/>
  <c r="GX276" i="1" s="1"/>
  <c r="C277" i="1"/>
  <c r="D277" i="1"/>
  <c r="P277" i="1"/>
  <c r="W277" i="1"/>
  <c r="AC277" i="1"/>
  <c r="CQ277" i="1" s="1"/>
  <c r="AE277" i="1"/>
  <c r="Q277" i="1" s="1"/>
  <c r="AF277" i="1"/>
  <c r="AG277" i="1"/>
  <c r="AH277" i="1"/>
  <c r="CV277" i="1" s="1"/>
  <c r="U277" i="1" s="1"/>
  <c r="AI277" i="1"/>
  <c r="AJ277" i="1"/>
  <c r="CX277" i="1" s="1"/>
  <c r="CU277" i="1"/>
  <c r="T277" i="1" s="1"/>
  <c r="CW277" i="1"/>
  <c r="V277" i="1" s="1"/>
  <c r="GL277" i="1"/>
  <c r="GO277" i="1"/>
  <c r="GP277" i="1"/>
  <c r="GV277" i="1"/>
  <c r="HC277" i="1" s="1"/>
  <c r="GX277" i="1" s="1"/>
  <c r="C278" i="1"/>
  <c r="D278" i="1"/>
  <c r="P278" i="1"/>
  <c r="Q278" i="1"/>
  <c r="R278" i="1"/>
  <c r="GK278" i="1" s="1"/>
  <c r="V278" i="1"/>
  <c r="W278" i="1"/>
  <c r="AC278" i="1"/>
  <c r="AE278" i="1"/>
  <c r="CR278" i="1" s="1"/>
  <c r="AF278" i="1"/>
  <c r="AG278" i="1"/>
  <c r="AH278" i="1"/>
  <c r="AI278" i="1"/>
  <c r="AJ278" i="1"/>
  <c r="CQ278" i="1"/>
  <c r="CS278" i="1"/>
  <c r="CU278" i="1"/>
  <c r="T278" i="1" s="1"/>
  <c r="CV278" i="1"/>
  <c r="U278" i="1" s="1"/>
  <c r="CW278" i="1"/>
  <c r="CX278" i="1"/>
  <c r="GL278" i="1"/>
  <c r="GO278" i="1"/>
  <c r="GP278" i="1"/>
  <c r="GV278" i="1"/>
  <c r="HC278" i="1" s="1"/>
  <c r="GX278" i="1" s="1"/>
  <c r="I279" i="1"/>
  <c r="AC279" i="1"/>
  <c r="AE279" i="1"/>
  <c r="AF279" i="1"/>
  <c r="S279" i="1" s="1"/>
  <c r="AG279" i="1"/>
  <c r="CU279" i="1" s="1"/>
  <c r="T279" i="1" s="1"/>
  <c r="AH279" i="1"/>
  <c r="AI279" i="1"/>
  <c r="AJ279" i="1"/>
  <c r="CV279" i="1"/>
  <c r="U279" i="1" s="1"/>
  <c r="CW279" i="1"/>
  <c r="V279" i="1" s="1"/>
  <c r="CX279" i="1"/>
  <c r="W279" i="1" s="1"/>
  <c r="GL279" i="1"/>
  <c r="GO279" i="1"/>
  <c r="GP279" i="1"/>
  <c r="GV279" i="1"/>
  <c r="HC279" i="1"/>
  <c r="GX279" i="1" s="1"/>
  <c r="I280" i="1"/>
  <c r="Q280" i="1" s="1"/>
  <c r="P280" i="1"/>
  <c r="AC280" i="1"/>
  <c r="AD280" i="1"/>
  <c r="AB280" i="1" s="1"/>
  <c r="AE280" i="1"/>
  <c r="AF280" i="1"/>
  <c r="AG280" i="1"/>
  <c r="AH280" i="1"/>
  <c r="CV280" i="1" s="1"/>
  <c r="AI280" i="1"/>
  <c r="AJ280" i="1"/>
  <c r="CX280" i="1" s="1"/>
  <c r="W280" i="1" s="1"/>
  <c r="CQ280" i="1"/>
  <c r="CR280" i="1"/>
  <c r="CS280" i="1"/>
  <c r="CU280" i="1"/>
  <c r="CW280" i="1"/>
  <c r="GL280" i="1"/>
  <c r="GO280" i="1"/>
  <c r="FU302" i="1" s="1"/>
  <c r="GP280" i="1"/>
  <c r="GV280" i="1"/>
  <c r="HC280" i="1" s="1"/>
  <c r="GX280" i="1" s="1"/>
  <c r="C281" i="1"/>
  <c r="D281" i="1"/>
  <c r="S281" i="1"/>
  <c r="V281" i="1"/>
  <c r="AC281" i="1"/>
  <c r="P281" i="1" s="1"/>
  <c r="AD281" i="1"/>
  <c r="AE281" i="1"/>
  <c r="AF281" i="1"/>
  <c r="AG281" i="1"/>
  <c r="AH281" i="1"/>
  <c r="AI281" i="1"/>
  <c r="AJ281" i="1"/>
  <c r="CX281" i="1" s="1"/>
  <c r="W281" i="1" s="1"/>
  <c r="CR281" i="1"/>
  <c r="CS281" i="1"/>
  <c r="CT281" i="1"/>
  <c r="CU281" i="1"/>
  <c r="T281" i="1" s="1"/>
  <c r="CV281" i="1"/>
  <c r="U281" i="1" s="1"/>
  <c r="CW281" i="1"/>
  <c r="GL281" i="1"/>
  <c r="GO281" i="1"/>
  <c r="GP281" i="1"/>
  <c r="GV281" i="1"/>
  <c r="HC281" i="1"/>
  <c r="GX281" i="1" s="1"/>
  <c r="C282" i="1"/>
  <c r="D282" i="1"/>
  <c r="P282" i="1"/>
  <c r="R282" i="1"/>
  <c r="S282" i="1"/>
  <c r="CY282" i="1" s="1"/>
  <c r="U282" i="1"/>
  <c r="V282" i="1"/>
  <c r="W282" i="1"/>
  <c r="X282" i="1"/>
  <c r="AB282" i="1"/>
  <c r="AC282" i="1"/>
  <c r="AD282" i="1"/>
  <c r="AE282" i="1"/>
  <c r="Q282" i="1" s="1"/>
  <c r="AF282" i="1"/>
  <c r="CT282" i="1" s="1"/>
  <c r="AG282" i="1"/>
  <c r="AH282" i="1"/>
  <c r="CV282" i="1" s="1"/>
  <c r="AI282" i="1"/>
  <c r="CW282" i="1" s="1"/>
  <c r="AJ282" i="1"/>
  <c r="CX282" i="1" s="1"/>
  <c r="CP282" i="1"/>
  <c r="O282" i="1" s="1"/>
  <c r="CQ282" i="1"/>
  <c r="CR282" i="1"/>
  <c r="CS282" i="1"/>
  <c r="CU282" i="1"/>
  <c r="T282" i="1" s="1"/>
  <c r="CZ282" i="1"/>
  <c r="Y282" i="1" s="1"/>
  <c r="GK282" i="1"/>
  <c r="GL282" i="1"/>
  <c r="GO282" i="1"/>
  <c r="GP282" i="1"/>
  <c r="GV282" i="1"/>
  <c r="HC282" i="1"/>
  <c r="GX282" i="1" s="1"/>
  <c r="I283" i="1"/>
  <c r="Q283" i="1"/>
  <c r="R283" i="1"/>
  <c r="GK283" i="1" s="1"/>
  <c r="S283" i="1"/>
  <c r="CY283" i="1" s="1"/>
  <c r="X283" i="1" s="1"/>
  <c r="W283" i="1"/>
  <c r="AC283" i="1"/>
  <c r="AE283" i="1"/>
  <c r="AD283" i="1" s="1"/>
  <c r="AF283" i="1"/>
  <c r="AG283" i="1"/>
  <c r="CU283" i="1" s="1"/>
  <c r="T283" i="1" s="1"/>
  <c r="AH283" i="1"/>
  <c r="CV283" i="1" s="1"/>
  <c r="U283" i="1" s="1"/>
  <c r="AI283" i="1"/>
  <c r="CW283" i="1" s="1"/>
  <c r="V283" i="1" s="1"/>
  <c r="AJ283" i="1"/>
  <c r="CR283" i="1"/>
  <c r="CS283" i="1"/>
  <c r="CT283" i="1"/>
  <c r="CX283" i="1"/>
  <c r="CZ283" i="1"/>
  <c r="Y283" i="1" s="1"/>
  <c r="GL283" i="1"/>
  <c r="GO283" i="1"/>
  <c r="GP283" i="1"/>
  <c r="GV283" i="1"/>
  <c r="HC283" i="1" s="1"/>
  <c r="GX283" i="1" s="1"/>
  <c r="I284" i="1"/>
  <c r="Q284" i="1" s="1"/>
  <c r="R284" i="1"/>
  <c r="GK284" i="1" s="1"/>
  <c r="T284" i="1"/>
  <c r="U284" i="1"/>
  <c r="V284" i="1"/>
  <c r="W284" i="1"/>
  <c r="X284" i="1"/>
  <c r="Y284" i="1"/>
  <c r="AC284" i="1"/>
  <c r="P284" i="1" s="1"/>
  <c r="CP284" i="1" s="1"/>
  <c r="O284" i="1" s="1"/>
  <c r="GM284" i="1" s="1"/>
  <c r="GN284" i="1" s="1"/>
  <c r="AD284" i="1"/>
  <c r="AE284" i="1"/>
  <c r="AF284" i="1"/>
  <c r="S284" i="1" s="1"/>
  <c r="AG284" i="1"/>
  <c r="AH284" i="1"/>
  <c r="CV284" i="1" s="1"/>
  <c r="AI284" i="1"/>
  <c r="CW284" i="1" s="1"/>
  <c r="AJ284" i="1"/>
  <c r="CX284" i="1" s="1"/>
  <c r="CR284" i="1"/>
  <c r="CS284" i="1"/>
  <c r="CT284" i="1"/>
  <c r="CU284" i="1"/>
  <c r="CY284" i="1"/>
  <c r="CZ284" i="1"/>
  <c r="GL284" i="1"/>
  <c r="GO284" i="1"/>
  <c r="GP284" i="1"/>
  <c r="GV284" i="1"/>
  <c r="HC284" i="1"/>
  <c r="GX284" i="1" s="1"/>
  <c r="C285" i="1"/>
  <c r="D285" i="1"/>
  <c r="P285" i="1"/>
  <c r="Q285" i="1"/>
  <c r="R285" i="1"/>
  <c r="GK285" i="1" s="1"/>
  <c r="S285" i="1"/>
  <c r="U285" i="1"/>
  <c r="V285" i="1"/>
  <c r="AB285" i="1"/>
  <c r="AC285" i="1"/>
  <c r="AD285" i="1"/>
  <c r="AE285" i="1"/>
  <c r="CR285" i="1" s="1"/>
  <c r="AF285" i="1"/>
  <c r="AG285" i="1"/>
  <c r="AH285" i="1"/>
  <c r="CV285" i="1" s="1"/>
  <c r="AI285" i="1"/>
  <c r="CW285" i="1" s="1"/>
  <c r="AJ285" i="1"/>
  <c r="CX285" i="1" s="1"/>
  <c r="W285" i="1" s="1"/>
  <c r="CQ285" i="1"/>
  <c r="CS285" i="1"/>
  <c r="CT285" i="1"/>
  <c r="CU285" i="1"/>
  <c r="T285" i="1" s="1"/>
  <c r="CY285" i="1"/>
  <c r="X285" i="1" s="1"/>
  <c r="CZ285" i="1"/>
  <c r="Y285" i="1" s="1"/>
  <c r="GL285" i="1"/>
  <c r="GO285" i="1"/>
  <c r="GP285" i="1"/>
  <c r="GV285" i="1"/>
  <c r="HC285" i="1" s="1"/>
  <c r="GX285" i="1"/>
  <c r="C286" i="1"/>
  <c r="D286" i="1"/>
  <c r="P286" i="1"/>
  <c r="R286" i="1"/>
  <c r="T286" i="1"/>
  <c r="W286" i="1"/>
  <c r="AC286" i="1"/>
  <c r="AD286" i="1"/>
  <c r="AE286" i="1"/>
  <c r="Q286" i="1" s="1"/>
  <c r="AF286" i="1"/>
  <c r="AG286" i="1"/>
  <c r="AH286" i="1"/>
  <c r="CV286" i="1" s="1"/>
  <c r="U286" i="1" s="1"/>
  <c r="AI286" i="1"/>
  <c r="AJ286" i="1"/>
  <c r="CX286" i="1" s="1"/>
  <c r="CQ286" i="1"/>
  <c r="CR286" i="1"/>
  <c r="CS286" i="1"/>
  <c r="CU286" i="1"/>
  <c r="CW286" i="1"/>
  <c r="V286" i="1" s="1"/>
  <c r="GK286" i="1"/>
  <c r="GL286" i="1"/>
  <c r="GO286" i="1"/>
  <c r="GP286" i="1"/>
  <c r="GV286" i="1"/>
  <c r="HC286" i="1"/>
  <c r="GX286" i="1" s="1"/>
  <c r="I287" i="1"/>
  <c r="P287" i="1"/>
  <c r="Q287" i="1"/>
  <c r="R287" i="1"/>
  <c r="GK287" i="1" s="1"/>
  <c r="AC287" i="1"/>
  <c r="AE287" i="1"/>
  <c r="AF287" i="1"/>
  <c r="CT287" i="1" s="1"/>
  <c r="AG287" i="1"/>
  <c r="CU287" i="1" s="1"/>
  <c r="T287" i="1" s="1"/>
  <c r="AH287" i="1"/>
  <c r="CV287" i="1" s="1"/>
  <c r="U287" i="1" s="1"/>
  <c r="AI287" i="1"/>
  <c r="CW287" i="1" s="1"/>
  <c r="V287" i="1" s="1"/>
  <c r="AJ287" i="1"/>
  <c r="CX287" i="1" s="1"/>
  <c r="W287" i="1" s="1"/>
  <c r="GL287" i="1"/>
  <c r="GO287" i="1"/>
  <c r="GP287" i="1"/>
  <c r="GV287" i="1"/>
  <c r="HC287" i="1" s="1"/>
  <c r="GX287" i="1" s="1"/>
  <c r="I288" i="1"/>
  <c r="P288" i="1"/>
  <c r="T288" i="1"/>
  <c r="W288" i="1"/>
  <c r="AC288" i="1"/>
  <c r="AE288" i="1"/>
  <c r="AF288" i="1"/>
  <c r="AG288" i="1"/>
  <c r="AH288" i="1"/>
  <c r="AI288" i="1"/>
  <c r="AJ288" i="1"/>
  <c r="CX288" i="1" s="1"/>
  <c r="CQ288" i="1"/>
  <c r="CU288" i="1"/>
  <c r="CV288" i="1"/>
  <c r="U288" i="1" s="1"/>
  <c r="CW288" i="1"/>
  <c r="V288" i="1" s="1"/>
  <c r="GL288" i="1"/>
  <c r="GO288" i="1"/>
  <c r="GP288" i="1"/>
  <c r="GV288" i="1"/>
  <c r="GX288" i="1"/>
  <c r="HC288" i="1"/>
  <c r="C289" i="1"/>
  <c r="D289" i="1"/>
  <c r="P289" i="1"/>
  <c r="AC289" i="1"/>
  <c r="AE289" i="1"/>
  <c r="AF289" i="1"/>
  <c r="AG289" i="1"/>
  <c r="CU289" i="1" s="1"/>
  <c r="T289" i="1" s="1"/>
  <c r="AH289" i="1"/>
  <c r="CV289" i="1" s="1"/>
  <c r="U289" i="1" s="1"/>
  <c r="AI289" i="1"/>
  <c r="CW289" i="1" s="1"/>
  <c r="V289" i="1" s="1"/>
  <c r="AJ289" i="1"/>
  <c r="CQ289" i="1"/>
  <c r="CX289" i="1"/>
  <c r="W289" i="1" s="1"/>
  <c r="GL289" i="1"/>
  <c r="GO289" i="1"/>
  <c r="GP289" i="1"/>
  <c r="GV289" i="1"/>
  <c r="HC289" i="1"/>
  <c r="GX289" i="1" s="1"/>
  <c r="C290" i="1"/>
  <c r="D290" i="1"/>
  <c r="P290" i="1"/>
  <c r="CP290" i="1" s="1"/>
  <c r="O290" i="1" s="1"/>
  <c r="Q290" i="1"/>
  <c r="R290" i="1"/>
  <c r="GK290" i="1" s="1"/>
  <c r="V290" i="1"/>
  <c r="AB290" i="1"/>
  <c r="AC290" i="1"/>
  <c r="CQ290" i="1" s="1"/>
  <c r="AD290" i="1"/>
  <c r="AE290" i="1"/>
  <c r="CR290" i="1" s="1"/>
  <c r="AF290" i="1"/>
  <c r="S290" i="1" s="1"/>
  <c r="CZ290" i="1" s="1"/>
  <c r="Y290" i="1" s="1"/>
  <c r="AG290" i="1"/>
  <c r="AH290" i="1"/>
  <c r="AI290" i="1"/>
  <c r="AJ290" i="1"/>
  <c r="CX290" i="1" s="1"/>
  <c r="W290" i="1" s="1"/>
  <c r="CS290" i="1"/>
  <c r="CT290" i="1"/>
  <c r="CU290" i="1"/>
  <c r="T290" i="1" s="1"/>
  <c r="CV290" i="1"/>
  <c r="U290" i="1" s="1"/>
  <c r="CW290" i="1"/>
  <c r="GL290" i="1"/>
  <c r="GO290" i="1"/>
  <c r="GP290" i="1"/>
  <c r="GV290" i="1"/>
  <c r="HC290" i="1" s="1"/>
  <c r="GX290" i="1" s="1"/>
  <c r="I291" i="1"/>
  <c r="AC291" i="1"/>
  <c r="AE291" i="1"/>
  <c r="AF291" i="1"/>
  <c r="AG291" i="1"/>
  <c r="CU291" i="1" s="1"/>
  <c r="T291" i="1" s="1"/>
  <c r="AH291" i="1"/>
  <c r="CV291" i="1" s="1"/>
  <c r="U291" i="1" s="1"/>
  <c r="AI291" i="1"/>
  <c r="CW291" i="1" s="1"/>
  <c r="V291" i="1" s="1"/>
  <c r="AJ291" i="1"/>
  <c r="CX291" i="1"/>
  <c r="W291" i="1" s="1"/>
  <c r="GL291" i="1"/>
  <c r="GO291" i="1"/>
  <c r="GP291" i="1"/>
  <c r="GV291" i="1"/>
  <c r="GX291" i="1"/>
  <c r="HC291" i="1"/>
  <c r="I292" i="1"/>
  <c r="P292" i="1"/>
  <c r="Q292" i="1"/>
  <c r="R292" i="1"/>
  <c r="GK292" i="1" s="1"/>
  <c r="S292" i="1"/>
  <c r="AB292" i="1"/>
  <c r="AC292" i="1"/>
  <c r="AD292" i="1"/>
  <c r="AE292" i="1"/>
  <c r="AF292" i="1"/>
  <c r="AG292" i="1"/>
  <c r="CU292" i="1" s="1"/>
  <c r="T292" i="1" s="1"/>
  <c r="AH292" i="1"/>
  <c r="CV292" i="1" s="1"/>
  <c r="U292" i="1" s="1"/>
  <c r="AI292" i="1"/>
  <c r="AJ292" i="1"/>
  <c r="CQ292" i="1"/>
  <c r="CR292" i="1"/>
  <c r="CS292" i="1"/>
  <c r="CT292" i="1"/>
  <c r="CW292" i="1"/>
  <c r="CX292" i="1"/>
  <c r="W292" i="1" s="1"/>
  <c r="GL292" i="1"/>
  <c r="GO292" i="1"/>
  <c r="GP292" i="1"/>
  <c r="FV302" i="1" s="1"/>
  <c r="GV292" i="1"/>
  <c r="HC292" i="1" s="1"/>
  <c r="GX292" i="1" s="1"/>
  <c r="C293" i="1"/>
  <c r="D293" i="1"/>
  <c r="P293" i="1"/>
  <c r="R293" i="1"/>
  <c r="V293" i="1"/>
  <c r="W293" i="1"/>
  <c r="AB293" i="1"/>
  <c r="AC293" i="1"/>
  <c r="AD293" i="1"/>
  <c r="AE293" i="1"/>
  <c r="Q293" i="1" s="1"/>
  <c r="AF293" i="1"/>
  <c r="CT293" i="1" s="1"/>
  <c r="AG293" i="1"/>
  <c r="AH293" i="1"/>
  <c r="CV293" i="1" s="1"/>
  <c r="U293" i="1" s="1"/>
  <c r="AI293" i="1"/>
  <c r="CW293" i="1" s="1"/>
  <c r="AJ293" i="1"/>
  <c r="CX293" i="1" s="1"/>
  <c r="CQ293" i="1"/>
  <c r="CR293" i="1"/>
  <c r="CS293" i="1"/>
  <c r="CU293" i="1"/>
  <c r="T293" i="1" s="1"/>
  <c r="GK293" i="1"/>
  <c r="GL293" i="1"/>
  <c r="GO293" i="1"/>
  <c r="GP293" i="1"/>
  <c r="GV293" i="1"/>
  <c r="HC293" i="1" s="1"/>
  <c r="GX293" i="1"/>
  <c r="C294" i="1"/>
  <c r="D294" i="1"/>
  <c r="P294" i="1"/>
  <c r="S294" i="1"/>
  <c r="CZ294" i="1" s="1"/>
  <c r="Y294" i="1" s="1"/>
  <c r="V294" i="1"/>
  <c r="W294" i="1"/>
  <c r="X294" i="1"/>
  <c r="AC294" i="1"/>
  <c r="AE294" i="1"/>
  <c r="AF294" i="1"/>
  <c r="CT294" i="1" s="1"/>
  <c r="AG294" i="1"/>
  <c r="AH294" i="1"/>
  <c r="AI294" i="1"/>
  <c r="AJ294" i="1"/>
  <c r="CQ294" i="1"/>
  <c r="CU294" i="1"/>
  <c r="T294" i="1" s="1"/>
  <c r="CV294" i="1"/>
  <c r="U294" i="1" s="1"/>
  <c r="CW294" i="1"/>
  <c r="CX294" i="1"/>
  <c r="CY294" i="1"/>
  <c r="GL294" i="1"/>
  <c r="GO294" i="1"/>
  <c r="GP294" i="1"/>
  <c r="GV294" i="1"/>
  <c r="HC294" i="1"/>
  <c r="GX294" i="1" s="1"/>
  <c r="I295" i="1"/>
  <c r="GX295" i="1" s="1"/>
  <c r="Q295" i="1"/>
  <c r="AC295" i="1"/>
  <c r="AE295" i="1"/>
  <c r="AF295" i="1"/>
  <c r="AG295" i="1"/>
  <c r="CU295" i="1" s="1"/>
  <c r="AH295" i="1"/>
  <c r="CV295" i="1" s="1"/>
  <c r="AI295" i="1"/>
  <c r="CW295" i="1" s="1"/>
  <c r="AJ295" i="1"/>
  <c r="CX295" i="1"/>
  <c r="GL295" i="1"/>
  <c r="GO295" i="1"/>
  <c r="GP295" i="1"/>
  <c r="GV295" i="1"/>
  <c r="HC295" i="1"/>
  <c r="I296" i="1"/>
  <c r="P296" i="1"/>
  <c r="Q296" i="1"/>
  <c r="R296" i="1"/>
  <c r="GK296" i="1" s="1"/>
  <c r="V296" i="1"/>
  <c r="X296" i="1"/>
  <c r="Y296" i="1"/>
  <c r="AB296" i="1"/>
  <c r="AC296" i="1"/>
  <c r="AD296" i="1"/>
  <c r="AE296" i="1"/>
  <c r="AF296" i="1"/>
  <c r="S296" i="1" s="1"/>
  <c r="CZ296" i="1" s="1"/>
  <c r="AG296" i="1"/>
  <c r="CU296" i="1" s="1"/>
  <c r="T296" i="1" s="1"/>
  <c r="AH296" i="1"/>
  <c r="AI296" i="1"/>
  <c r="AJ296" i="1"/>
  <c r="CQ296" i="1"/>
  <c r="CR296" i="1"/>
  <c r="CS296" i="1"/>
  <c r="CT296" i="1"/>
  <c r="CV296" i="1"/>
  <c r="CW296" i="1"/>
  <c r="CX296" i="1"/>
  <c r="W296" i="1" s="1"/>
  <c r="CY296" i="1"/>
  <c r="GL296" i="1"/>
  <c r="GO296" i="1"/>
  <c r="GP296" i="1"/>
  <c r="GV296" i="1"/>
  <c r="HC296" i="1" s="1"/>
  <c r="GX296" i="1"/>
  <c r="C297" i="1"/>
  <c r="D297" i="1"/>
  <c r="R297" i="1"/>
  <c r="S297" i="1"/>
  <c r="CY297" i="1" s="1"/>
  <c r="T297" i="1"/>
  <c r="U297" i="1"/>
  <c r="V297" i="1"/>
  <c r="W297" i="1"/>
  <c r="X297" i="1"/>
  <c r="AB297" i="1"/>
  <c r="AC297" i="1"/>
  <c r="P297" i="1" s="1"/>
  <c r="AD297" i="1"/>
  <c r="AE297" i="1"/>
  <c r="Q297" i="1" s="1"/>
  <c r="AF297" i="1"/>
  <c r="AG297" i="1"/>
  <c r="CU297" i="1" s="1"/>
  <c r="AH297" i="1"/>
  <c r="CV297" i="1" s="1"/>
  <c r="AI297" i="1"/>
  <c r="CW297" i="1" s="1"/>
  <c r="AJ297" i="1"/>
  <c r="CX297" i="1" s="1"/>
  <c r="CP297" i="1"/>
  <c r="O297" i="1" s="1"/>
  <c r="CQ297" i="1"/>
  <c r="CR297" i="1"/>
  <c r="CS297" i="1"/>
  <c r="CT297" i="1"/>
  <c r="GK297" i="1"/>
  <c r="GL297" i="1"/>
  <c r="GO297" i="1"/>
  <c r="GP297" i="1"/>
  <c r="GV297" i="1"/>
  <c r="HC297" i="1" s="1"/>
  <c r="GX297" i="1" s="1"/>
  <c r="C298" i="1"/>
  <c r="D298" i="1"/>
  <c r="P298" i="1"/>
  <c r="S298" i="1"/>
  <c r="T298" i="1"/>
  <c r="V298" i="1"/>
  <c r="X298" i="1"/>
  <c r="AC298" i="1"/>
  <c r="AE298" i="1"/>
  <c r="AF298" i="1"/>
  <c r="CT298" i="1" s="1"/>
  <c r="AG298" i="1"/>
  <c r="CU298" i="1" s="1"/>
  <c r="AH298" i="1"/>
  <c r="AI298" i="1"/>
  <c r="AJ298" i="1"/>
  <c r="CQ298" i="1"/>
  <c r="CR298" i="1"/>
  <c r="CV298" i="1"/>
  <c r="U298" i="1" s="1"/>
  <c r="CW298" i="1"/>
  <c r="CX298" i="1"/>
  <c r="W298" i="1" s="1"/>
  <c r="CY298" i="1"/>
  <c r="CZ298" i="1"/>
  <c r="Y298" i="1" s="1"/>
  <c r="GL298" i="1"/>
  <c r="GO298" i="1"/>
  <c r="GP298" i="1"/>
  <c r="GV298" i="1"/>
  <c r="HC298" i="1"/>
  <c r="GX298" i="1" s="1"/>
  <c r="I299" i="1"/>
  <c r="AC299" i="1"/>
  <c r="AE299" i="1"/>
  <c r="AF299" i="1"/>
  <c r="AG299" i="1"/>
  <c r="CU299" i="1" s="1"/>
  <c r="AH299" i="1"/>
  <c r="AI299" i="1"/>
  <c r="CW299" i="1" s="1"/>
  <c r="AJ299" i="1"/>
  <c r="CT299" i="1"/>
  <c r="CV299" i="1"/>
  <c r="U299" i="1" s="1"/>
  <c r="CX299" i="1"/>
  <c r="W299" i="1" s="1"/>
  <c r="GL299" i="1"/>
  <c r="GO299" i="1"/>
  <c r="GP299" i="1"/>
  <c r="GV299" i="1"/>
  <c r="HC299" i="1" s="1"/>
  <c r="I300" i="1"/>
  <c r="P300" i="1"/>
  <c r="Q300" i="1"/>
  <c r="CP300" i="1" s="1"/>
  <c r="O300" i="1" s="1"/>
  <c r="GM300" i="1" s="1"/>
  <c r="GN300" i="1" s="1"/>
  <c r="R300" i="1"/>
  <c r="GK300" i="1" s="1"/>
  <c r="V300" i="1"/>
  <c r="W300" i="1"/>
  <c r="X300" i="1"/>
  <c r="AC300" i="1"/>
  <c r="AE300" i="1"/>
  <c r="CR300" i="1" s="1"/>
  <c r="AF300" i="1"/>
  <c r="S300" i="1" s="1"/>
  <c r="CZ300" i="1" s="1"/>
  <c r="Y300" i="1" s="1"/>
  <c r="AG300" i="1"/>
  <c r="CU300" i="1" s="1"/>
  <c r="T300" i="1" s="1"/>
  <c r="AH300" i="1"/>
  <c r="AI300" i="1"/>
  <c r="AJ300" i="1"/>
  <c r="CQ300" i="1"/>
  <c r="CS300" i="1"/>
  <c r="CV300" i="1"/>
  <c r="CW300" i="1"/>
  <c r="CX300" i="1"/>
  <c r="CY300" i="1"/>
  <c r="GL300" i="1"/>
  <c r="GO300" i="1"/>
  <c r="GP300" i="1"/>
  <c r="GV300" i="1"/>
  <c r="HC300" i="1" s="1"/>
  <c r="GX300" i="1"/>
  <c r="B302" i="1"/>
  <c r="C302" i="1"/>
  <c r="D302" i="1"/>
  <c r="F302" i="1"/>
  <c r="G302" i="1"/>
  <c r="BD302" i="1"/>
  <c r="F327" i="1" s="1"/>
  <c r="BX302" i="1"/>
  <c r="BY302" i="1"/>
  <c r="CK302" i="1"/>
  <c r="CL302" i="1"/>
  <c r="CM302" i="1"/>
  <c r="CM265" i="1" s="1"/>
  <c r="ET302" i="1"/>
  <c r="P315" i="1" s="1"/>
  <c r="EU302" i="1"/>
  <c r="EU265" i="1" s="1"/>
  <c r="EV302" i="1"/>
  <c r="P327" i="1" s="1"/>
  <c r="FP302" i="1"/>
  <c r="EG302" i="1" s="1"/>
  <c r="EG265" i="1" s="1"/>
  <c r="FQ302" i="1"/>
  <c r="FQ265" i="1" s="1"/>
  <c r="GC302" i="1"/>
  <c r="GC265" i="1" s="1"/>
  <c r="GD302" i="1"/>
  <c r="GE302" i="1"/>
  <c r="GE265" i="1" s="1"/>
  <c r="P306" i="1"/>
  <c r="P318" i="1"/>
  <c r="D332" i="1"/>
  <c r="B334" i="1"/>
  <c r="C334" i="1"/>
  <c r="D334" i="1"/>
  <c r="E334" i="1"/>
  <c r="F334" i="1"/>
  <c r="Z334" i="1"/>
  <c r="AA334" i="1"/>
  <c r="AM334" i="1"/>
  <c r="AN334" i="1"/>
  <c r="BB334" i="1"/>
  <c r="BE334" i="1"/>
  <c r="BF334" i="1"/>
  <c r="BG334" i="1"/>
  <c r="BH334" i="1"/>
  <c r="BI334" i="1"/>
  <c r="BJ334" i="1"/>
  <c r="BK334" i="1"/>
  <c r="BL334" i="1"/>
  <c r="BM334" i="1"/>
  <c r="BN334" i="1"/>
  <c r="BO334" i="1"/>
  <c r="BP334" i="1"/>
  <c r="BQ334" i="1"/>
  <c r="BR334" i="1"/>
  <c r="BS334" i="1"/>
  <c r="BT334" i="1"/>
  <c r="BU334" i="1"/>
  <c r="BV334" i="1"/>
  <c r="BW334" i="1"/>
  <c r="BX334" i="1"/>
  <c r="BY334" i="1"/>
  <c r="CK334" i="1"/>
  <c r="CL334" i="1"/>
  <c r="CM334" i="1"/>
  <c r="CN334" i="1"/>
  <c r="CO334" i="1"/>
  <c r="CP334" i="1"/>
  <c r="CQ334" i="1"/>
  <c r="CR334" i="1"/>
  <c r="CS334" i="1"/>
  <c r="CT334" i="1"/>
  <c r="CU334" i="1"/>
  <c r="CV334" i="1"/>
  <c r="CW334" i="1"/>
  <c r="CX334" i="1"/>
  <c r="CY334" i="1"/>
  <c r="CZ334" i="1"/>
  <c r="DA334" i="1"/>
  <c r="DB334" i="1"/>
  <c r="DC334" i="1"/>
  <c r="DD334" i="1"/>
  <c r="DE334" i="1"/>
  <c r="DF334" i="1"/>
  <c r="DR334" i="1"/>
  <c r="DS334" i="1"/>
  <c r="EE334" i="1"/>
  <c r="EF334" i="1"/>
  <c r="EW334" i="1"/>
  <c r="EX334" i="1"/>
  <c r="EY334" i="1"/>
  <c r="EZ334" i="1"/>
  <c r="FA334" i="1"/>
  <c r="FB334" i="1"/>
  <c r="FC334" i="1"/>
  <c r="FD334" i="1"/>
  <c r="FE334" i="1"/>
  <c r="FF334" i="1"/>
  <c r="FG334" i="1"/>
  <c r="FH334" i="1"/>
  <c r="FI334" i="1"/>
  <c r="FJ334" i="1"/>
  <c r="FK334" i="1"/>
  <c r="FL334" i="1"/>
  <c r="FM334" i="1"/>
  <c r="FN334" i="1"/>
  <c r="FO334" i="1"/>
  <c r="FP334" i="1"/>
  <c r="FQ334" i="1"/>
  <c r="GC334" i="1"/>
  <c r="GD334" i="1"/>
  <c r="GF334" i="1"/>
  <c r="GG334" i="1"/>
  <c r="GH334" i="1"/>
  <c r="GI334" i="1"/>
  <c r="GJ334" i="1"/>
  <c r="GK334" i="1"/>
  <c r="GL334" i="1"/>
  <c r="GM334" i="1"/>
  <c r="GN334" i="1"/>
  <c r="GO334" i="1"/>
  <c r="GP334" i="1"/>
  <c r="GQ334" i="1"/>
  <c r="GR334" i="1"/>
  <c r="GS334" i="1"/>
  <c r="GT334" i="1"/>
  <c r="GU334" i="1"/>
  <c r="GV334" i="1"/>
  <c r="GW334" i="1"/>
  <c r="GX334" i="1"/>
  <c r="D336" i="1"/>
  <c r="P336" i="1"/>
  <c r="AC336" i="1"/>
  <c r="CQ336" i="1" s="1"/>
  <c r="AE336" i="1"/>
  <c r="AF336" i="1"/>
  <c r="CT336" i="1" s="1"/>
  <c r="AG336" i="1"/>
  <c r="CU336" i="1" s="1"/>
  <c r="T336" i="1" s="1"/>
  <c r="AH336" i="1"/>
  <c r="CV336" i="1" s="1"/>
  <c r="U336" i="1" s="1"/>
  <c r="AI336" i="1"/>
  <c r="CW336" i="1" s="1"/>
  <c r="V336" i="1" s="1"/>
  <c r="AJ336" i="1"/>
  <c r="CX336" i="1" s="1"/>
  <c r="W336" i="1" s="1"/>
  <c r="GL336" i="1"/>
  <c r="GO336" i="1"/>
  <c r="GP336" i="1"/>
  <c r="GV336" i="1"/>
  <c r="GX336" i="1"/>
  <c r="HC336" i="1"/>
  <c r="D337" i="1"/>
  <c r="P337" i="1"/>
  <c r="Q337" i="1"/>
  <c r="S337" i="1"/>
  <c r="CY337" i="1" s="1"/>
  <c r="U337" i="1"/>
  <c r="X337" i="1"/>
  <c r="AC337" i="1"/>
  <c r="AE337" i="1"/>
  <c r="R337" i="1" s="1"/>
  <c r="AF337" i="1"/>
  <c r="AG337" i="1"/>
  <c r="AH337" i="1"/>
  <c r="AI337" i="1"/>
  <c r="CW337" i="1" s="1"/>
  <c r="V337" i="1" s="1"/>
  <c r="AJ337" i="1"/>
  <c r="CX337" i="1" s="1"/>
  <c r="W337" i="1" s="1"/>
  <c r="CQ337" i="1"/>
  <c r="CT337" i="1"/>
  <c r="CU337" i="1"/>
  <c r="T337" i="1" s="1"/>
  <c r="CV337" i="1"/>
  <c r="CZ337" i="1"/>
  <c r="Y337" i="1" s="1"/>
  <c r="GK337" i="1"/>
  <c r="GL337" i="1"/>
  <c r="GO337" i="1"/>
  <c r="FU363" i="1" s="1"/>
  <c r="GP337" i="1"/>
  <c r="GV337" i="1"/>
  <c r="HC337" i="1" s="1"/>
  <c r="GX337" i="1"/>
  <c r="D338" i="1"/>
  <c r="P338" i="1"/>
  <c r="Q338" i="1"/>
  <c r="R338" i="1"/>
  <c r="GK338" i="1" s="1"/>
  <c r="S338" i="1"/>
  <c r="V338" i="1"/>
  <c r="W338" i="1"/>
  <c r="AC338" i="1"/>
  <c r="AD338" i="1"/>
  <c r="AE338" i="1"/>
  <c r="AF338" i="1"/>
  <c r="CT338" i="1" s="1"/>
  <c r="AG338" i="1"/>
  <c r="AH338" i="1"/>
  <c r="AI338" i="1"/>
  <c r="CW338" i="1" s="1"/>
  <c r="AJ338" i="1"/>
  <c r="CX338" i="1" s="1"/>
  <c r="CP338" i="1"/>
  <c r="O338" i="1" s="1"/>
  <c r="CQ338" i="1"/>
  <c r="CU338" i="1"/>
  <c r="T338" i="1" s="1"/>
  <c r="CV338" i="1"/>
  <c r="U338" i="1" s="1"/>
  <c r="GL338" i="1"/>
  <c r="GO338" i="1"/>
  <c r="GP338" i="1"/>
  <c r="GV338" i="1"/>
  <c r="HC338" i="1"/>
  <c r="GX338" i="1" s="1"/>
  <c r="D339" i="1"/>
  <c r="Q339" i="1"/>
  <c r="R339" i="1"/>
  <c r="GK339" i="1" s="1"/>
  <c r="S339" i="1"/>
  <c r="W339" i="1"/>
  <c r="AC339" i="1"/>
  <c r="P339" i="1" s="1"/>
  <c r="AD339" i="1"/>
  <c r="AE339" i="1"/>
  <c r="AF339" i="1"/>
  <c r="AG339" i="1"/>
  <c r="AH339" i="1"/>
  <c r="AI339" i="1"/>
  <c r="AJ339" i="1"/>
  <c r="CP339" i="1"/>
  <c r="O339" i="1" s="1"/>
  <c r="CR339" i="1"/>
  <c r="CS339" i="1"/>
  <c r="CT339" i="1"/>
  <c r="CU339" i="1"/>
  <c r="T339" i="1" s="1"/>
  <c r="CV339" i="1"/>
  <c r="U339" i="1" s="1"/>
  <c r="CW339" i="1"/>
  <c r="V339" i="1" s="1"/>
  <c r="CX339" i="1"/>
  <c r="GL339" i="1"/>
  <c r="GO339" i="1"/>
  <c r="GP339" i="1"/>
  <c r="GV339" i="1"/>
  <c r="HC339" i="1" s="1"/>
  <c r="GX339" i="1" s="1"/>
  <c r="D340" i="1"/>
  <c r="P340" i="1"/>
  <c r="R340" i="1"/>
  <c r="GK340" i="1" s="1"/>
  <c r="T340" i="1"/>
  <c r="U340" i="1"/>
  <c r="V340" i="1"/>
  <c r="AB340" i="1"/>
  <c r="AC340" i="1"/>
  <c r="AD340" i="1"/>
  <c r="AE340" i="1"/>
  <c r="Q340" i="1" s="1"/>
  <c r="AF340" i="1"/>
  <c r="CT340" i="1" s="1"/>
  <c r="AG340" i="1"/>
  <c r="CU340" i="1" s="1"/>
  <c r="AH340" i="1"/>
  <c r="CV340" i="1" s="1"/>
  <c r="AI340" i="1"/>
  <c r="AJ340" i="1"/>
  <c r="CX340" i="1" s="1"/>
  <c r="W340" i="1" s="1"/>
  <c r="CQ340" i="1"/>
  <c r="CR340" i="1"/>
  <c r="CS340" i="1"/>
  <c r="CW340" i="1"/>
  <c r="GL340" i="1"/>
  <c r="GO340" i="1"/>
  <c r="GP340" i="1"/>
  <c r="GV340" i="1"/>
  <c r="HC340" i="1"/>
  <c r="GX340" i="1" s="1"/>
  <c r="D341" i="1"/>
  <c r="U341" i="1"/>
  <c r="AC341" i="1"/>
  <c r="AE341" i="1"/>
  <c r="AF341" i="1"/>
  <c r="S341" i="1" s="1"/>
  <c r="CZ341" i="1" s="1"/>
  <c r="Y341" i="1" s="1"/>
  <c r="AG341" i="1"/>
  <c r="AH341" i="1"/>
  <c r="AI341" i="1"/>
  <c r="AJ341" i="1"/>
  <c r="CS341" i="1"/>
  <c r="CT341" i="1"/>
  <c r="CU341" i="1"/>
  <c r="T341" i="1" s="1"/>
  <c r="CV341" i="1"/>
  <c r="CW341" i="1"/>
  <c r="V341" i="1" s="1"/>
  <c r="CX341" i="1"/>
  <c r="W341" i="1" s="1"/>
  <c r="GL341" i="1"/>
  <c r="GO341" i="1"/>
  <c r="GP341" i="1"/>
  <c r="GV341" i="1"/>
  <c r="HC341" i="1"/>
  <c r="GX341" i="1" s="1"/>
  <c r="C342" i="1"/>
  <c r="D342" i="1"/>
  <c r="Q342" i="1"/>
  <c r="S342" i="1"/>
  <c r="U342" i="1"/>
  <c r="V342" i="1"/>
  <c r="AC342" i="1"/>
  <c r="AE342" i="1"/>
  <c r="AD342" i="1" s="1"/>
  <c r="AF342" i="1"/>
  <c r="AG342" i="1"/>
  <c r="CU342" i="1" s="1"/>
  <c r="T342" i="1" s="1"/>
  <c r="AH342" i="1"/>
  <c r="CV342" i="1" s="1"/>
  <c r="AI342" i="1"/>
  <c r="CW342" i="1" s="1"/>
  <c r="AJ342" i="1"/>
  <c r="CR342" i="1"/>
  <c r="CS342" i="1"/>
  <c r="CT342" i="1"/>
  <c r="CX342" i="1"/>
  <c r="W342" i="1" s="1"/>
  <c r="CY342" i="1"/>
  <c r="X342" i="1" s="1"/>
  <c r="CZ342" i="1"/>
  <c r="Y342" i="1" s="1"/>
  <c r="GL342" i="1"/>
  <c r="GO342" i="1"/>
  <c r="GP342" i="1"/>
  <c r="GV342" i="1"/>
  <c r="GX342" i="1"/>
  <c r="HC342" i="1"/>
  <c r="C343" i="1"/>
  <c r="D343" i="1"/>
  <c r="Y343" i="1"/>
  <c r="AC343" i="1"/>
  <c r="CQ343" i="1" s="1"/>
  <c r="AE343" i="1"/>
  <c r="AF343" i="1"/>
  <c r="S343" i="1" s="1"/>
  <c r="AG343" i="1"/>
  <c r="AH343" i="1"/>
  <c r="AI343" i="1"/>
  <c r="AJ343" i="1"/>
  <c r="CT343" i="1"/>
  <c r="CU343" i="1"/>
  <c r="T343" i="1" s="1"/>
  <c r="CV343" i="1"/>
  <c r="U343" i="1" s="1"/>
  <c r="CW343" i="1"/>
  <c r="V343" i="1" s="1"/>
  <c r="CX343" i="1"/>
  <c r="W343" i="1" s="1"/>
  <c r="CY343" i="1"/>
  <c r="X343" i="1" s="1"/>
  <c r="CZ343" i="1"/>
  <c r="GL343" i="1"/>
  <c r="GO343" i="1"/>
  <c r="GP343" i="1"/>
  <c r="GV343" i="1"/>
  <c r="HC343" i="1"/>
  <c r="GX343" i="1" s="1"/>
  <c r="I344" i="1"/>
  <c r="P344" i="1"/>
  <c r="T344" i="1"/>
  <c r="AC344" i="1"/>
  <c r="AD344" i="1"/>
  <c r="AE344" i="1"/>
  <c r="AF344" i="1"/>
  <c r="AG344" i="1"/>
  <c r="AH344" i="1"/>
  <c r="CV344" i="1" s="1"/>
  <c r="U344" i="1" s="1"/>
  <c r="AI344" i="1"/>
  <c r="CW344" i="1" s="1"/>
  <c r="AJ344" i="1"/>
  <c r="CX344" i="1" s="1"/>
  <c r="CR344" i="1"/>
  <c r="CS344" i="1"/>
  <c r="CT344" i="1"/>
  <c r="CU344" i="1"/>
  <c r="GL344" i="1"/>
  <c r="GO344" i="1"/>
  <c r="GP344" i="1"/>
  <c r="GV344" i="1"/>
  <c r="HC344" i="1" s="1"/>
  <c r="I345" i="1"/>
  <c r="P345" i="1"/>
  <c r="Q345" i="1"/>
  <c r="R345" i="1"/>
  <c r="AC345" i="1"/>
  <c r="AE345" i="1"/>
  <c r="AF345" i="1"/>
  <c r="CT345" i="1" s="1"/>
  <c r="AG345" i="1"/>
  <c r="CU345" i="1" s="1"/>
  <c r="T345" i="1" s="1"/>
  <c r="AH345" i="1"/>
  <c r="CV345" i="1" s="1"/>
  <c r="U345" i="1" s="1"/>
  <c r="AI345" i="1"/>
  <c r="CW345" i="1" s="1"/>
  <c r="V345" i="1" s="1"/>
  <c r="AJ345" i="1"/>
  <c r="CX345" i="1" s="1"/>
  <c r="W345" i="1" s="1"/>
  <c r="GK345" i="1"/>
  <c r="GL345" i="1"/>
  <c r="GO345" i="1"/>
  <c r="GP345" i="1"/>
  <c r="GV345" i="1"/>
  <c r="HC345" i="1" s="1"/>
  <c r="GX345" i="1"/>
  <c r="C346" i="1"/>
  <c r="D346" i="1"/>
  <c r="P346" i="1"/>
  <c r="Q346" i="1"/>
  <c r="CP346" i="1" s="1"/>
  <c r="O346" i="1" s="1"/>
  <c r="GM346" i="1" s="1"/>
  <c r="GN346" i="1" s="1"/>
  <c r="S346" i="1"/>
  <c r="CY346" i="1" s="1"/>
  <c r="U346" i="1"/>
  <c r="V346" i="1"/>
  <c r="W346" i="1"/>
  <c r="X346" i="1"/>
  <c r="Y346" i="1"/>
  <c r="AC346" i="1"/>
  <c r="AE346" i="1"/>
  <c r="R346" i="1" s="1"/>
  <c r="AF346" i="1"/>
  <c r="AG346" i="1"/>
  <c r="AH346" i="1"/>
  <c r="AI346" i="1"/>
  <c r="CW346" i="1" s="1"/>
  <c r="AJ346" i="1"/>
  <c r="CX346" i="1" s="1"/>
  <c r="CQ346" i="1"/>
  <c r="CR346" i="1"/>
  <c r="CT346" i="1"/>
  <c r="CU346" i="1"/>
  <c r="T346" i="1" s="1"/>
  <c r="CV346" i="1"/>
  <c r="CZ346" i="1"/>
  <c r="GK346" i="1"/>
  <c r="GL346" i="1"/>
  <c r="GO346" i="1"/>
  <c r="GP346" i="1"/>
  <c r="GV346" i="1"/>
  <c r="HC346" i="1" s="1"/>
  <c r="GX346" i="1" s="1"/>
  <c r="C347" i="1"/>
  <c r="D347" i="1"/>
  <c r="P347" i="1"/>
  <c r="Q347" i="1"/>
  <c r="R347" i="1"/>
  <c r="GK347" i="1" s="1"/>
  <c r="S347" i="1"/>
  <c r="T347" i="1"/>
  <c r="AC347" i="1"/>
  <c r="AD347" i="1"/>
  <c r="AE347" i="1"/>
  <c r="AF347" i="1"/>
  <c r="AG347" i="1"/>
  <c r="AH347" i="1"/>
  <c r="CV347" i="1" s="1"/>
  <c r="U347" i="1" s="1"/>
  <c r="AI347" i="1"/>
  <c r="CW347" i="1" s="1"/>
  <c r="V347" i="1" s="1"/>
  <c r="AJ347" i="1"/>
  <c r="CX347" i="1" s="1"/>
  <c r="W347" i="1" s="1"/>
  <c r="CP347" i="1"/>
  <c r="O347" i="1" s="1"/>
  <c r="CT347" i="1"/>
  <c r="CU347" i="1"/>
  <c r="GL347" i="1"/>
  <c r="GO347" i="1"/>
  <c r="GP347" i="1"/>
  <c r="GV347" i="1"/>
  <c r="HC347" i="1"/>
  <c r="GX347" i="1" s="1"/>
  <c r="I348" i="1"/>
  <c r="W348" i="1"/>
  <c r="AC348" i="1"/>
  <c r="AE348" i="1"/>
  <c r="AD348" i="1" s="1"/>
  <c r="AF348" i="1"/>
  <c r="AG348" i="1"/>
  <c r="AH348" i="1"/>
  <c r="AI348" i="1"/>
  <c r="AJ348" i="1"/>
  <c r="CX348" i="1" s="1"/>
  <c r="CQ348" i="1"/>
  <c r="CR348" i="1"/>
  <c r="CT348" i="1"/>
  <c r="CU348" i="1"/>
  <c r="CV348" i="1"/>
  <c r="CW348" i="1"/>
  <c r="GL348" i="1"/>
  <c r="GO348" i="1"/>
  <c r="GP348" i="1"/>
  <c r="GV348" i="1"/>
  <c r="HC348" i="1"/>
  <c r="GX348" i="1" s="1"/>
  <c r="I349" i="1"/>
  <c r="AC349" i="1"/>
  <c r="AE349" i="1"/>
  <c r="AF349" i="1"/>
  <c r="AG349" i="1"/>
  <c r="CU349" i="1" s="1"/>
  <c r="T349" i="1" s="1"/>
  <c r="AH349" i="1"/>
  <c r="AI349" i="1"/>
  <c r="AJ349" i="1"/>
  <c r="CQ349" i="1"/>
  <c r="CV349" i="1"/>
  <c r="U349" i="1" s="1"/>
  <c r="CW349" i="1"/>
  <c r="V349" i="1" s="1"/>
  <c r="CX349" i="1"/>
  <c r="W349" i="1" s="1"/>
  <c r="GL349" i="1"/>
  <c r="GO349" i="1"/>
  <c r="GP349" i="1"/>
  <c r="GV349" i="1"/>
  <c r="GX349" i="1"/>
  <c r="HC349" i="1"/>
  <c r="C350" i="1"/>
  <c r="D350" i="1"/>
  <c r="AC350" i="1"/>
  <c r="CQ350" i="1" s="1"/>
  <c r="AE350" i="1"/>
  <c r="CR350" i="1" s="1"/>
  <c r="AF350" i="1"/>
  <c r="S350" i="1" s="1"/>
  <c r="AG350" i="1"/>
  <c r="CU350" i="1" s="1"/>
  <c r="T350" i="1" s="1"/>
  <c r="AH350" i="1"/>
  <c r="AI350" i="1"/>
  <c r="AJ350" i="1"/>
  <c r="CV350" i="1"/>
  <c r="U350" i="1" s="1"/>
  <c r="CW350" i="1"/>
  <c r="V350" i="1" s="1"/>
  <c r="CX350" i="1"/>
  <c r="W350" i="1" s="1"/>
  <c r="GL350" i="1"/>
  <c r="GO350" i="1"/>
  <c r="GP350" i="1"/>
  <c r="GV350" i="1"/>
  <c r="HC350" i="1"/>
  <c r="GX350" i="1" s="1"/>
  <c r="C351" i="1"/>
  <c r="D351" i="1"/>
  <c r="AC351" i="1"/>
  <c r="AE351" i="1"/>
  <c r="Q351" i="1" s="1"/>
  <c r="AF351" i="1"/>
  <c r="AG351" i="1"/>
  <c r="CU351" i="1" s="1"/>
  <c r="T351" i="1" s="1"/>
  <c r="AH351" i="1"/>
  <c r="AI351" i="1"/>
  <c r="AJ351" i="1"/>
  <c r="CQ351" i="1"/>
  <c r="CV351" i="1"/>
  <c r="U351" i="1" s="1"/>
  <c r="CW351" i="1"/>
  <c r="V351" i="1" s="1"/>
  <c r="CX351" i="1"/>
  <c r="W351" i="1" s="1"/>
  <c r="GL351" i="1"/>
  <c r="GO351" i="1"/>
  <c r="GP351" i="1"/>
  <c r="GV351" i="1"/>
  <c r="HC351" i="1"/>
  <c r="GX351" i="1" s="1"/>
  <c r="I352" i="1"/>
  <c r="Q352" i="1"/>
  <c r="R352" i="1"/>
  <c r="GK352" i="1" s="1"/>
  <c r="AC352" i="1"/>
  <c r="AE352" i="1"/>
  <c r="AF352" i="1"/>
  <c r="AG352" i="1"/>
  <c r="AH352" i="1"/>
  <c r="AI352" i="1"/>
  <c r="AJ352" i="1"/>
  <c r="CU352" i="1"/>
  <c r="T352" i="1" s="1"/>
  <c r="CV352" i="1"/>
  <c r="U352" i="1" s="1"/>
  <c r="CW352" i="1"/>
  <c r="V352" i="1" s="1"/>
  <c r="CX352" i="1"/>
  <c r="W352" i="1" s="1"/>
  <c r="GL352" i="1"/>
  <c r="GO352" i="1"/>
  <c r="GP352" i="1"/>
  <c r="GV352" i="1"/>
  <c r="HC352" i="1"/>
  <c r="I353" i="1"/>
  <c r="S353" i="1"/>
  <c r="CZ353" i="1" s="1"/>
  <c r="Y353" i="1" s="1"/>
  <c r="T353" i="1"/>
  <c r="U353" i="1"/>
  <c r="V353" i="1"/>
  <c r="AC353" i="1"/>
  <c r="AE353" i="1"/>
  <c r="AD353" i="1" s="1"/>
  <c r="AF353" i="1"/>
  <c r="AG353" i="1"/>
  <c r="CU353" i="1" s="1"/>
  <c r="AH353" i="1"/>
  <c r="CV353" i="1" s="1"/>
  <c r="AI353" i="1"/>
  <c r="CW353" i="1" s="1"/>
  <c r="AJ353" i="1"/>
  <c r="CX353" i="1" s="1"/>
  <c r="W353" i="1" s="1"/>
  <c r="CR353" i="1"/>
  <c r="CS353" i="1"/>
  <c r="CT353" i="1"/>
  <c r="CY353" i="1"/>
  <c r="X353" i="1" s="1"/>
  <c r="GL353" i="1"/>
  <c r="GO353" i="1"/>
  <c r="GP353" i="1"/>
  <c r="GV353" i="1"/>
  <c r="HC353" i="1"/>
  <c r="C354" i="1"/>
  <c r="D354" i="1"/>
  <c r="P354" i="1"/>
  <c r="Q354" i="1"/>
  <c r="R354" i="1"/>
  <c r="GK354" i="1" s="1"/>
  <c r="AC354" i="1"/>
  <c r="CQ354" i="1" s="1"/>
  <c r="AE354" i="1"/>
  <c r="AD354" i="1" s="1"/>
  <c r="AF354" i="1"/>
  <c r="CT354" i="1" s="1"/>
  <c r="AG354" i="1"/>
  <c r="CU354" i="1" s="1"/>
  <c r="T354" i="1" s="1"/>
  <c r="AH354" i="1"/>
  <c r="CV354" i="1" s="1"/>
  <c r="U354" i="1" s="1"/>
  <c r="AI354" i="1"/>
  <c r="CW354" i="1" s="1"/>
  <c r="V354" i="1" s="1"/>
  <c r="AJ354" i="1"/>
  <c r="CR354" i="1"/>
  <c r="CS354" i="1"/>
  <c r="CX354" i="1"/>
  <c r="W354" i="1" s="1"/>
  <c r="GL354" i="1"/>
  <c r="GO354" i="1"/>
  <c r="GP354" i="1"/>
  <c r="GV354" i="1"/>
  <c r="HC354" i="1" s="1"/>
  <c r="GX354" i="1" s="1"/>
  <c r="C355" i="1"/>
  <c r="D355" i="1"/>
  <c r="S355" i="1"/>
  <c r="T355" i="1"/>
  <c r="U355" i="1"/>
  <c r="V355" i="1"/>
  <c r="W355" i="1"/>
  <c r="AC355" i="1"/>
  <c r="P355" i="1" s="1"/>
  <c r="AE355" i="1"/>
  <c r="AD355" i="1" s="1"/>
  <c r="AF355" i="1"/>
  <c r="AG355" i="1"/>
  <c r="CU355" i="1" s="1"/>
  <c r="AH355" i="1"/>
  <c r="CV355" i="1" s="1"/>
  <c r="AI355" i="1"/>
  <c r="CW355" i="1" s="1"/>
  <c r="AJ355" i="1"/>
  <c r="CX355" i="1" s="1"/>
  <c r="CQ355" i="1"/>
  <c r="CR355" i="1"/>
  <c r="CS355" i="1"/>
  <c r="CT355" i="1"/>
  <c r="GL355" i="1"/>
  <c r="GO355" i="1"/>
  <c r="GP355" i="1"/>
  <c r="GV355" i="1"/>
  <c r="GX355" i="1"/>
  <c r="HC355" i="1"/>
  <c r="I356" i="1"/>
  <c r="Q356" i="1"/>
  <c r="R356" i="1"/>
  <c r="GK356" i="1" s="1"/>
  <c r="S356" i="1"/>
  <c r="AC356" i="1"/>
  <c r="AE356" i="1"/>
  <c r="CR356" i="1" s="1"/>
  <c r="AF356" i="1"/>
  <c r="AG356" i="1"/>
  <c r="AH356" i="1"/>
  <c r="AI356" i="1"/>
  <c r="AJ356" i="1"/>
  <c r="CX356" i="1" s="1"/>
  <c r="W356" i="1" s="1"/>
  <c r="CS356" i="1"/>
  <c r="CT356" i="1"/>
  <c r="CU356" i="1"/>
  <c r="T356" i="1" s="1"/>
  <c r="CV356" i="1"/>
  <c r="U356" i="1" s="1"/>
  <c r="CW356" i="1"/>
  <c r="V356" i="1" s="1"/>
  <c r="GL356" i="1"/>
  <c r="GO356" i="1"/>
  <c r="GP356" i="1"/>
  <c r="GV356" i="1"/>
  <c r="HC356" i="1"/>
  <c r="GX356" i="1" s="1"/>
  <c r="I357" i="1"/>
  <c r="AC357" i="1"/>
  <c r="P357" i="1" s="1"/>
  <c r="AE357" i="1"/>
  <c r="AF357" i="1"/>
  <c r="AG357" i="1"/>
  <c r="AH357" i="1"/>
  <c r="AI357" i="1"/>
  <c r="CW357" i="1" s="1"/>
  <c r="AJ357" i="1"/>
  <c r="CX357" i="1" s="1"/>
  <c r="CR357" i="1"/>
  <c r="CS357" i="1"/>
  <c r="CT357" i="1"/>
  <c r="CU357" i="1"/>
  <c r="T357" i="1" s="1"/>
  <c r="CV357" i="1"/>
  <c r="GL357" i="1"/>
  <c r="GO357" i="1"/>
  <c r="GP357" i="1"/>
  <c r="GV357" i="1"/>
  <c r="HC357" i="1" s="1"/>
  <c r="GX357" i="1"/>
  <c r="C358" i="1"/>
  <c r="D358" i="1"/>
  <c r="P358" i="1"/>
  <c r="AC358" i="1"/>
  <c r="AE358" i="1"/>
  <c r="AF358" i="1"/>
  <c r="AG358" i="1"/>
  <c r="AH358" i="1"/>
  <c r="AI358" i="1"/>
  <c r="AJ358" i="1"/>
  <c r="CU358" i="1"/>
  <c r="T358" i="1" s="1"/>
  <c r="CV358" i="1"/>
  <c r="U358" i="1" s="1"/>
  <c r="CW358" i="1"/>
  <c r="V358" i="1" s="1"/>
  <c r="CX358" i="1"/>
  <c r="W358" i="1" s="1"/>
  <c r="GL358" i="1"/>
  <c r="GO358" i="1"/>
  <c r="GP358" i="1"/>
  <c r="GV358" i="1"/>
  <c r="HC358" i="1"/>
  <c r="GX358" i="1" s="1"/>
  <c r="C359" i="1"/>
  <c r="D359" i="1"/>
  <c r="S359" i="1"/>
  <c r="CY359" i="1" s="1"/>
  <c r="X359" i="1" s="1"/>
  <c r="V359" i="1"/>
  <c r="AC359" i="1"/>
  <c r="CQ359" i="1" s="1"/>
  <c r="AE359" i="1"/>
  <c r="AD359" i="1" s="1"/>
  <c r="AF359" i="1"/>
  <c r="AG359" i="1"/>
  <c r="AH359" i="1"/>
  <c r="AI359" i="1"/>
  <c r="CW359" i="1" s="1"/>
  <c r="AJ359" i="1"/>
  <c r="CX359" i="1" s="1"/>
  <c r="W359" i="1" s="1"/>
  <c r="CT359" i="1"/>
  <c r="CU359" i="1"/>
  <c r="T359" i="1" s="1"/>
  <c r="CV359" i="1"/>
  <c r="U359" i="1" s="1"/>
  <c r="CZ359" i="1"/>
  <c r="Y359" i="1" s="1"/>
  <c r="GL359" i="1"/>
  <c r="GO359" i="1"/>
  <c r="GP359" i="1"/>
  <c r="GV359" i="1"/>
  <c r="HC359" i="1" s="1"/>
  <c r="GX359" i="1"/>
  <c r="D360" i="1"/>
  <c r="P360" i="1"/>
  <c r="AC360" i="1"/>
  <c r="AE360" i="1"/>
  <c r="Q360" i="1" s="1"/>
  <c r="AF360" i="1"/>
  <c r="CT360" i="1" s="1"/>
  <c r="AG360" i="1"/>
  <c r="CU360" i="1" s="1"/>
  <c r="T360" i="1" s="1"/>
  <c r="AH360" i="1"/>
  <c r="CV360" i="1" s="1"/>
  <c r="U360" i="1" s="1"/>
  <c r="AI360" i="1"/>
  <c r="CW360" i="1" s="1"/>
  <c r="V360" i="1" s="1"/>
  <c r="AJ360" i="1"/>
  <c r="CQ360" i="1"/>
  <c r="CX360" i="1"/>
  <c r="W360" i="1" s="1"/>
  <c r="GL360" i="1"/>
  <c r="GO360" i="1"/>
  <c r="GP360" i="1"/>
  <c r="GV360" i="1"/>
  <c r="HC360" i="1"/>
  <c r="GX360" i="1" s="1"/>
  <c r="D361" i="1"/>
  <c r="P361" i="1"/>
  <c r="Q361" i="1"/>
  <c r="R361" i="1"/>
  <c r="GK361" i="1" s="1"/>
  <c r="AC361" i="1"/>
  <c r="AE361" i="1"/>
  <c r="CR361" i="1" s="1"/>
  <c r="AF361" i="1"/>
  <c r="CT361" i="1" s="1"/>
  <c r="AG361" i="1"/>
  <c r="CU361" i="1" s="1"/>
  <c r="T361" i="1" s="1"/>
  <c r="AH361" i="1"/>
  <c r="AI361" i="1"/>
  <c r="AJ361" i="1"/>
  <c r="CQ361" i="1"/>
  <c r="CV361" i="1"/>
  <c r="U361" i="1" s="1"/>
  <c r="CW361" i="1"/>
  <c r="V361" i="1" s="1"/>
  <c r="CX361" i="1"/>
  <c r="W361" i="1" s="1"/>
  <c r="GL361" i="1"/>
  <c r="GO361" i="1"/>
  <c r="GP361" i="1"/>
  <c r="GV361" i="1"/>
  <c r="GX361" i="1"/>
  <c r="HC361" i="1"/>
  <c r="B363" i="1"/>
  <c r="C363" i="1"/>
  <c r="D363" i="1"/>
  <c r="F363" i="1"/>
  <c r="G363" i="1"/>
  <c r="G334" i="1" s="1"/>
  <c r="AP363" i="1"/>
  <c r="AP334" i="1" s="1"/>
  <c r="AT363" i="1"/>
  <c r="F381" i="1" s="1"/>
  <c r="BB363" i="1"/>
  <c r="F376" i="1" s="1"/>
  <c r="BC363" i="1"/>
  <c r="BC334" i="1" s="1"/>
  <c r="BX363" i="1"/>
  <c r="AO363" i="1" s="1"/>
  <c r="AO334" i="1" s="1"/>
  <c r="BY363" i="1"/>
  <c r="CC363" i="1"/>
  <c r="CC334" i="1" s="1"/>
  <c r="CK363" i="1"/>
  <c r="CL363" i="1"/>
  <c r="CM363" i="1"/>
  <c r="BD363" i="1" s="1"/>
  <c r="EG363" i="1"/>
  <c r="EH363" i="1"/>
  <c r="EH334" i="1" s="1"/>
  <c r="ET363" i="1"/>
  <c r="ET334" i="1" s="1"/>
  <c r="EU363" i="1"/>
  <c r="EU334" i="1" s="1"/>
  <c r="EV363" i="1"/>
  <c r="EV334" i="1" s="1"/>
  <c r="FP363" i="1"/>
  <c r="FQ363" i="1"/>
  <c r="GC363" i="1"/>
  <c r="GD363" i="1"/>
  <c r="GE363" i="1"/>
  <c r="GE334" i="1" s="1"/>
  <c r="F367" i="1"/>
  <c r="F372" i="1"/>
  <c r="F379" i="1"/>
  <c r="P379" i="1"/>
  <c r="B393" i="1"/>
  <c r="B261" i="1" s="1"/>
  <c r="C393" i="1"/>
  <c r="C261" i="1" s="1"/>
  <c r="D393" i="1"/>
  <c r="F393" i="1"/>
  <c r="F261" i="1" s="1"/>
  <c r="G393" i="1"/>
  <c r="G261" i="1" s="1"/>
  <c r="EG393" i="1"/>
  <c r="P397" i="1" s="1"/>
  <c r="ET393" i="1"/>
  <c r="P406" i="1" s="1"/>
  <c r="B423" i="1"/>
  <c r="B22" i="1" s="1"/>
  <c r="C423" i="1"/>
  <c r="C22" i="1" s="1"/>
  <c r="D423" i="1"/>
  <c r="D22" i="1" s="1"/>
  <c r="F423" i="1"/>
  <c r="F22" i="1" s="1"/>
  <c r="G423" i="1"/>
  <c r="G22" i="1" s="1"/>
  <c r="ET423" i="1"/>
  <c r="B453" i="1"/>
  <c r="B18" i="1" s="1"/>
  <c r="C453" i="1"/>
  <c r="C18" i="1" s="1"/>
  <c r="D453" i="1"/>
  <c r="D18" i="1" s="1"/>
  <c r="F453" i="1"/>
  <c r="F18" i="1" s="1"/>
  <c r="G453" i="1"/>
  <c r="G18" i="1" s="1"/>
  <c r="F12" i="6"/>
  <c r="G12" i="6"/>
  <c r="J14" i="7" l="1"/>
  <c r="O79" i="7"/>
  <c r="O171" i="7"/>
  <c r="H181" i="7" s="1"/>
  <c r="O68" i="7"/>
  <c r="O88" i="7"/>
  <c r="H113" i="7"/>
  <c r="P99" i="7"/>
  <c r="P68" i="7"/>
  <c r="H161" i="7"/>
  <c r="J79" i="7"/>
  <c r="O149" i="7"/>
  <c r="J110" i="7"/>
  <c r="O161" i="7"/>
  <c r="H178" i="7"/>
  <c r="J49" i="7"/>
  <c r="P110" i="7"/>
  <c r="J137" i="7"/>
  <c r="J60" i="7"/>
  <c r="J171" i="7"/>
  <c r="O99" i="7"/>
  <c r="H119" i="7"/>
  <c r="O137" i="7"/>
  <c r="H137" i="7"/>
  <c r="J161" i="7"/>
  <c r="P88" i="7"/>
  <c r="O38" i="7"/>
  <c r="H38" i="7"/>
  <c r="J38" i="7"/>
  <c r="O110" i="7"/>
  <c r="O60" i="7"/>
  <c r="H60" i="7"/>
  <c r="P49" i="7"/>
  <c r="P60" i="7"/>
  <c r="J149" i="7"/>
  <c r="H99" i="7"/>
  <c r="P161" i="7"/>
  <c r="H49" i="7"/>
  <c r="O49" i="7"/>
  <c r="P149" i="7"/>
  <c r="H79" i="7"/>
  <c r="P38" i="7"/>
  <c r="P178" i="7"/>
  <c r="J181" i="7" s="1"/>
  <c r="J99" i="7"/>
  <c r="P116" i="7"/>
  <c r="J68" i="7"/>
  <c r="P79" i="7"/>
  <c r="J88" i="7"/>
  <c r="H110" i="7"/>
  <c r="H116" i="7"/>
  <c r="H149" i="7"/>
  <c r="J175" i="7"/>
  <c r="H68" i="7"/>
  <c r="H88" i="7"/>
  <c r="H175" i="7"/>
  <c r="P137" i="7"/>
  <c r="J113" i="7"/>
  <c r="J119" i="7"/>
  <c r="FU265" i="1"/>
  <c r="EL302" i="1"/>
  <c r="AG363" i="1"/>
  <c r="AB211" i="1"/>
  <c r="AJ229" i="1"/>
  <c r="EM302" i="1"/>
  <c r="FV265" i="1"/>
  <c r="EI63" i="1"/>
  <c r="FY63" i="1"/>
  <c r="FR26" i="1"/>
  <c r="CJ302" i="1"/>
  <c r="GM172" i="1"/>
  <c r="GO172" i="1" s="1"/>
  <c r="CP280" i="1"/>
  <c r="O280" i="1" s="1"/>
  <c r="DZ229" i="1"/>
  <c r="AB148" i="1"/>
  <c r="GA26" i="1"/>
  <c r="ER63" i="1"/>
  <c r="AH302" i="1"/>
  <c r="GM168" i="1"/>
  <c r="GO168" i="1" s="1"/>
  <c r="GM134" i="1"/>
  <c r="GO134" i="1" s="1"/>
  <c r="DZ174" i="1"/>
  <c r="EL363" i="1"/>
  <c r="FU334" i="1"/>
  <c r="CP132" i="1"/>
  <c r="O132" i="1" s="1"/>
  <c r="EB174" i="1"/>
  <c r="CC26" i="1"/>
  <c r="AT63" i="1"/>
  <c r="CQ352" i="1"/>
  <c r="AB352" i="1"/>
  <c r="GM282" i="1"/>
  <c r="GN282" i="1" s="1"/>
  <c r="AT265" i="1"/>
  <c r="AT393" i="1"/>
  <c r="EV206" i="1"/>
  <c r="P254" i="1"/>
  <c r="AG229" i="1"/>
  <c r="CY170" i="1"/>
  <c r="X170" i="1" s="1"/>
  <c r="CZ170" i="1"/>
  <c r="Y170" i="1" s="1"/>
  <c r="R152" i="1"/>
  <c r="GK152" i="1" s="1"/>
  <c r="AD152" i="1"/>
  <c r="AB152" i="1" s="1"/>
  <c r="Q152" i="1"/>
  <c r="CR152" i="1"/>
  <c r="CY147" i="1"/>
  <c r="X147" i="1" s="1"/>
  <c r="CZ147" i="1"/>
  <c r="Y147" i="1" s="1"/>
  <c r="S139" i="1"/>
  <c r="CT139" i="1"/>
  <c r="CQ97" i="1"/>
  <c r="P97" i="1"/>
  <c r="CT56" i="1"/>
  <c r="S56" i="1"/>
  <c r="AD53" i="1"/>
  <c r="CS53" i="1"/>
  <c r="R53" i="1"/>
  <c r="GK53" i="1" s="1"/>
  <c r="CR53" i="1"/>
  <c r="DF207" i="3"/>
  <c r="DJ207" i="3" s="1"/>
  <c r="DG207" i="3"/>
  <c r="DH207" i="3"/>
  <c r="DI207" i="3"/>
  <c r="CP358" i="1"/>
  <c r="O358" i="1" s="1"/>
  <c r="CY350" i="1"/>
  <c r="X350" i="1" s="1"/>
  <c r="CZ350" i="1"/>
  <c r="Y350" i="1" s="1"/>
  <c r="GM347" i="1"/>
  <c r="GN347" i="1" s="1"/>
  <c r="CY339" i="1"/>
  <c r="X339" i="1" s="1"/>
  <c r="GM339" i="1" s="1"/>
  <c r="GN339" i="1" s="1"/>
  <c r="CZ339" i="1"/>
  <c r="Y339" i="1" s="1"/>
  <c r="DX363" i="1"/>
  <c r="CT274" i="1"/>
  <c r="S274" i="1"/>
  <c r="AS174" i="1"/>
  <c r="CQ163" i="1"/>
  <c r="P163" i="1"/>
  <c r="R160" i="1"/>
  <c r="GK160" i="1" s="1"/>
  <c r="CS160" i="1"/>
  <c r="Q160" i="1"/>
  <c r="CR160" i="1"/>
  <c r="P152" i="1"/>
  <c r="CP152" i="1" s="1"/>
  <c r="O152" i="1" s="1"/>
  <c r="GM152" i="1" s="1"/>
  <c r="GO152" i="1" s="1"/>
  <c r="CQ152" i="1"/>
  <c r="P142" i="1"/>
  <c r="CP142" i="1" s="1"/>
  <c r="O142" i="1" s="1"/>
  <c r="GM142" i="1" s="1"/>
  <c r="GO142" i="1" s="1"/>
  <c r="CQ142" i="1"/>
  <c r="CP138" i="1"/>
  <c r="O138" i="1" s="1"/>
  <c r="CQ53" i="1"/>
  <c r="P53" i="1"/>
  <c r="AB53" i="1"/>
  <c r="CY38" i="1"/>
  <c r="X38" i="1" s="1"/>
  <c r="CZ38" i="1"/>
  <c r="Y38" i="1" s="1"/>
  <c r="CT36" i="1"/>
  <c r="S36" i="1"/>
  <c r="DH201" i="3"/>
  <c r="DG201" i="3"/>
  <c r="DI201" i="3"/>
  <c r="DF201" i="3"/>
  <c r="DJ201" i="3" s="1"/>
  <c r="P342" i="1"/>
  <c r="CP342" i="1" s="1"/>
  <c r="O342" i="1" s="1"/>
  <c r="GM342" i="1" s="1"/>
  <c r="GN342" i="1" s="1"/>
  <c r="CQ342" i="1"/>
  <c r="U280" i="1"/>
  <c r="CC265" i="1"/>
  <c r="AP229" i="1"/>
  <c r="CI229" i="1"/>
  <c r="P165" i="1"/>
  <c r="CP165" i="1" s="1"/>
  <c r="O165" i="1" s="1"/>
  <c r="GM165" i="1" s="1"/>
  <c r="GO165" i="1" s="1"/>
  <c r="CQ165" i="1"/>
  <c r="AB163" i="1"/>
  <c r="AD160" i="1"/>
  <c r="AB142" i="1"/>
  <c r="AH174" i="1"/>
  <c r="CX49" i="3"/>
  <c r="CX45" i="3"/>
  <c r="P48" i="1"/>
  <c r="CP48" i="1" s="1"/>
  <c r="O48" i="1" s="1"/>
  <c r="R48" i="1"/>
  <c r="GK48" i="1" s="1"/>
  <c r="V48" i="1"/>
  <c r="CU45" i="3"/>
  <c r="CW48" i="3"/>
  <c r="CW49" i="3"/>
  <c r="CX46" i="3"/>
  <c r="CX4" i="3"/>
  <c r="CU3" i="3"/>
  <c r="CW4" i="3"/>
  <c r="CV3" i="3"/>
  <c r="CX6" i="3"/>
  <c r="CW5" i="3"/>
  <c r="CX5" i="3"/>
  <c r="Q30" i="1"/>
  <c r="DF56" i="3"/>
  <c r="DG56" i="3"/>
  <c r="DJ56" i="3" s="1"/>
  <c r="DI56" i="3"/>
  <c r="DH56" i="3"/>
  <c r="Q344" i="1"/>
  <c r="R344" i="1"/>
  <c r="GK344" i="1" s="1"/>
  <c r="W344" i="1"/>
  <c r="BY265" i="1"/>
  <c r="AP302" i="1"/>
  <c r="S287" i="1"/>
  <c r="GB302" i="1"/>
  <c r="EH206" i="1"/>
  <c r="P238" i="1"/>
  <c r="CY166" i="1"/>
  <c r="X166" i="1" s="1"/>
  <c r="CZ166" i="1"/>
  <c r="Y166" i="1" s="1"/>
  <c r="CQ160" i="1"/>
  <c r="AB160" i="1"/>
  <c r="P160" i="1"/>
  <c r="CY158" i="1"/>
  <c r="X158" i="1" s="1"/>
  <c r="CZ158" i="1"/>
  <c r="Y158" i="1" s="1"/>
  <c r="CY156" i="1"/>
  <c r="X156" i="1" s="1"/>
  <c r="CZ156" i="1"/>
  <c r="Y156" i="1" s="1"/>
  <c r="CP141" i="1"/>
  <c r="O141" i="1" s="1"/>
  <c r="CQ139" i="1"/>
  <c r="P139" i="1"/>
  <c r="Q120" i="1"/>
  <c r="CS120" i="1"/>
  <c r="AD120" i="1"/>
  <c r="AB120" i="1" s="1"/>
  <c r="S104" i="1"/>
  <c r="CT104" i="1"/>
  <c r="S101" i="1"/>
  <c r="CT101" i="1"/>
  <c r="CY99" i="1"/>
  <c r="X99" i="1" s="1"/>
  <c r="CZ99" i="1"/>
  <c r="Y99" i="1" s="1"/>
  <c r="CY98" i="1"/>
  <c r="X98" i="1" s="1"/>
  <c r="CZ98" i="1"/>
  <c r="Y98" i="1" s="1"/>
  <c r="CY53" i="1"/>
  <c r="X53" i="1" s="1"/>
  <c r="DF210" i="3"/>
  <c r="DJ210" i="3" s="1"/>
  <c r="DG210" i="3"/>
  <c r="DH210" i="3"/>
  <c r="DI210" i="3"/>
  <c r="DG155" i="3"/>
  <c r="DH155" i="3"/>
  <c r="DF155" i="3"/>
  <c r="DJ155" i="3" s="1"/>
  <c r="DI155" i="3"/>
  <c r="DH81" i="3"/>
  <c r="DF81" i="3"/>
  <c r="DJ81" i="3" s="1"/>
  <c r="DI81" i="3"/>
  <c r="DG81" i="3"/>
  <c r="AB354" i="1"/>
  <c r="R351" i="1"/>
  <c r="GK351" i="1" s="1"/>
  <c r="V344" i="1"/>
  <c r="AI363" i="1" s="1"/>
  <c r="FR363" i="1"/>
  <c r="CT289" i="1"/>
  <c r="S289" i="1"/>
  <c r="AB284" i="1"/>
  <c r="CY275" i="1"/>
  <c r="X275" i="1" s="1"/>
  <c r="CZ275" i="1"/>
  <c r="Y275" i="1" s="1"/>
  <c r="CY224" i="1"/>
  <c r="X224" i="1" s="1"/>
  <c r="CZ224" i="1"/>
  <c r="Y224" i="1" s="1"/>
  <c r="R218" i="1"/>
  <c r="GK218" i="1" s="1"/>
  <c r="Q218" i="1"/>
  <c r="CR218" i="1"/>
  <c r="CS218" i="1"/>
  <c r="F199" i="1"/>
  <c r="BD95" i="1"/>
  <c r="CP158" i="1"/>
  <c r="O158" i="1" s="1"/>
  <c r="CZ143" i="1"/>
  <c r="Y143" i="1" s="1"/>
  <c r="CY143" i="1"/>
  <c r="X143" i="1" s="1"/>
  <c r="AD119" i="1"/>
  <c r="R119" i="1"/>
  <c r="GK119" i="1" s="1"/>
  <c r="CR119" i="1"/>
  <c r="CS119" i="1"/>
  <c r="Q119" i="1"/>
  <c r="AD110" i="1"/>
  <c r="AB110" i="1" s="1"/>
  <c r="Q110" i="1"/>
  <c r="CP110" i="1" s="1"/>
  <c r="O110" i="1" s="1"/>
  <c r="GM110" i="1" s="1"/>
  <c r="GO110" i="1" s="1"/>
  <c r="R110" i="1"/>
  <c r="GK110" i="1" s="1"/>
  <c r="CD174" i="1"/>
  <c r="U39" i="1"/>
  <c r="DH139" i="3"/>
  <c r="DG139" i="3"/>
  <c r="DI139" i="3"/>
  <c r="DF139" i="3"/>
  <c r="DJ139" i="3" s="1"/>
  <c r="S361" i="1"/>
  <c r="S357" i="1"/>
  <c r="Q357" i="1"/>
  <c r="V357" i="1"/>
  <c r="EA363" i="1" s="1"/>
  <c r="W357" i="1"/>
  <c r="EB363" i="1" s="1"/>
  <c r="Q353" i="1"/>
  <c r="GX353" i="1"/>
  <c r="CZ338" i="1"/>
  <c r="Y338" i="1" s="1"/>
  <c r="CY338" i="1"/>
  <c r="X338" i="1" s="1"/>
  <c r="GM338" i="1" s="1"/>
  <c r="GN338" i="1" s="1"/>
  <c r="CR336" i="1"/>
  <c r="CS336" i="1"/>
  <c r="AD336" i="1"/>
  <c r="AB336" i="1" s="1"/>
  <c r="CR289" i="1"/>
  <c r="CS289" i="1"/>
  <c r="R289" i="1"/>
  <c r="GK289" i="1" s="1"/>
  <c r="S288" i="1"/>
  <c r="CT288" i="1"/>
  <c r="AB286" i="1"/>
  <c r="AD218" i="1"/>
  <c r="CL95" i="1"/>
  <c r="BC174" i="1"/>
  <c r="CP140" i="1"/>
  <c r="O140" i="1" s="1"/>
  <c r="CS112" i="1"/>
  <c r="AD112" i="1"/>
  <c r="CR112" i="1"/>
  <c r="Q112" i="1"/>
  <c r="CP112" i="1" s="1"/>
  <c r="O112" i="1" s="1"/>
  <c r="R112" i="1"/>
  <c r="GK112" i="1" s="1"/>
  <c r="CY103" i="1"/>
  <c r="X103" i="1" s="1"/>
  <c r="CZ103" i="1"/>
  <c r="Y103" i="1" s="1"/>
  <c r="CS54" i="1"/>
  <c r="CR54" i="1"/>
  <c r="Q54" i="1"/>
  <c r="R54" i="1"/>
  <c r="GK54" i="1" s="1"/>
  <c r="R44" i="1"/>
  <c r="GK44" i="1" s="1"/>
  <c r="AD44" i="1"/>
  <c r="CR44" i="1"/>
  <c r="DF208" i="3"/>
  <c r="DJ208" i="3" s="1"/>
  <c r="DG208" i="3"/>
  <c r="DH208" i="3"/>
  <c r="DI208" i="3"/>
  <c r="DH90" i="3"/>
  <c r="DG90" i="3"/>
  <c r="DF90" i="3"/>
  <c r="DI90" i="3"/>
  <c r="DJ90" i="3" s="1"/>
  <c r="CW6" i="3"/>
  <c r="GX352" i="1"/>
  <c r="CJ363" i="1" s="1"/>
  <c r="CS349" i="1"/>
  <c r="AD349" i="1"/>
  <c r="AB349" i="1" s="1"/>
  <c r="R349" i="1"/>
  <c r="GK349" i="1" s="1"/>
  <c r="CD363" i="1"/>
  <c r="V295" i="1"/>
  <c r="CS291" i="1"/>
  <c r="AD291" i="1"/>
  <c r="AB291" i="1" s="1"/>
  <c r="CR291" i="1"/>
  <c r="Q291" i="1"/>
  <c r="R291" i="1"/>
  <c r="GK291" i="1" s="1"/>
  <c r="CS288" i="1"/>
  <c r="AD288" i="1"/>
  <c r="AB288" i="1" s="1"/>
  <c r="Q288" i="1"/>
  <c r="R288" i="1"/>
  <c r="GK288" i="1" s="1"/>
  <c r="CQ284" i="1"/>
  <c r="CP275" i="1"/>
  <c r="O275" i="1" s="1"/>
  <c r="GM275" i="1" s="1"/>
  <c r="GN275" i="1" s="1"/>
  <c r="V213" i="1"/>
  <c r="EA229" i="1" s="1"/>
  <c r="V210" i="1"/>
  <c r="AI229" i="1" s="1"/>
  <c r="CS152" i="1"/>
  <c r="AD131" i="1"/>
  <c r="AB131" i="1" s="1"/>
  <c r="R131" i="1"/>
  <c r="GK131" i="1" s="1"/>
  <c r="CR131" i="1"/>
  <c r="CS131" i="1"/>
  <c r="CQ117" i="1"/>
  <c r="AD54" i="1"/>
  <c r="CQ43" i="1"/>
  <c r="P43" i="1"/>
  <c r="DH169" i="3"/>
  <c r="DI169" i="3"/>
  <c r="DG169" i="3"/>
  <c r="DF169" i="3"/>
  <c r="DJ169" i="3" s="1"/>
  <c r="CT358" i="1"/>
  <c r="S358" i="1"/>
  <c r="CS350" i="1"/>
  <c r="P350" i="1"/>
  <c r="CY341" i="1"/>
  <c r="X341" i="1" s="1"/>
  <c r="P291" i="1"/>
  <c r="CP291" i="1" s="1"/>
  <c r="O291" i="1" s="1"/>
  <c r="CQ291" i="1"/>
  <c r="P279" i="1"/>
  <c r="CP279" i="1" s="1"/>
  <c r="O279" i="1" s="1"/>
  <c r="GM279" i="1" s="1"/>
  <c r="GN279" i="1" s="1"/>
  <c r="CQ279" i="1"/>
  <c r="R277" i="1"/>
  <c r="GK277" i="1" s="1"/>
  <c r="AD267" i="1"/>
  <c r="R267" i="1"/>
  <c r="Q267" i="1"/>
  <c r="CR267" i="1"/>
  <c r="CS267" i="1"/>
  <c r="CQ136" i="1"/>
  <c r="AB136" i="1"/>
  <c r="P136" i="1"/>
  <c r="CP136" i="1" s="1"/>
  <c r="O136" i="1" s="1"/>
  <c r="GM136" i="1" s="1"/>
  <c r="GO136" i="1" s="1"/>
  <c r="CY114" i="1"/>
  <c r="X114" i="1" s="1"/>
  <c r="CZ114" i="1"/>
  <c r="Y114" i="1" s="1"/>
  <c r="EU63" i="1"/>
  <c r="GD26" i="1"/>
  <c r="CU15" i="3"/>
  <c r="Q34" i="1"/>
  <c r="S34" i="1"/>
  <c r="GX34" i="1"/>
  <c r="V34" i="1"/>
  <c r="DF153" i="3"/>
  <c r="DH153" i="3"/>
  <c r="DG153" i="3"/>
  <c r="DJ153" i="3" s="1"/>
  <c r="DI153" i="3"/>
  <c r="F388" i="1"/>
  <c r="BD334" i="1"/>
  <c r="R360" i="1"/>
  <c r="GK360" i="1" s="1"/>
  <c r="CR358" i="1"/>
  <c r="CS358" i="1"/>
  <c r="Q358" i="1"/>
  <c r="R358" i="1"/>
  <c r="GK358" i="1" s="1"/>
  <c r="U348" i="1"/>
  <c r="AH363" i="1" s="1"/>
  <c r="R336" i="1"/>
  <c r="R299" i="1"/>
  <c r="GK299" i="1" s="1"/>
  <c r="CR299" i="1"/>
  <c r="CS299" i="1"/>
  <c r="CS298" i="1"/>
  <c r="Q298" i="1"/>
  <c r="R298" i="1"/>
  <c r="GK298" i="1" s="1"/>
  <c r="T295" i="1"/>
  <c r="CR294" i="1"/>
  <c r="CS294" i="1"/>
  <c r="R294" i="1"/>
  <c r="GK294" i="1" s="1"/>
  <c r="Q294" i="1"/>
  <c r="CP294" i="1" s="1"/>
  <c r="O294" i="1" s="1"/>
  <c r="GM294" i="1" s="1"/>
  <c r="GN294" i="1" s="1"/>
  <c r="Q289" i="1"/>
  <c r="CP289" i="1" s="1"/>
  <c r="O289" i="1" s="1"/>
  <c r="CQ281" i="1"/>
  <c r="CQ269" i="1"/>
  <c r="P267" i="1"/>
  <c r="CQ267" i="1"/>
  <c r="R225" i="1"/>
  <c r="GK225" i="1" s="1"/>
  <c r="Q225" i="1"/>
  <c r="CQ219" i="1"/>
  <c r="P219" i="1"/>
  <c r="CP219" i="1" s="1"/>
  <c r="O219" i="1" s="1"/>
  <c r="CS214" i="1"/>
  <c r="T210" i="1"/>
  <c r="EG174" i="1"/>
  <c r="AO174" i="1"/>
  <c r="CG174" i="1"/>
  <c r="BX95" i="1"/>
  <c r="CY172" i="1"/>
  <c r="X172" i="1" s="1"/>
  <c r="CZ172" i="1"/>
  <c r="Y172" i="1" s="1"/>
  <c r="CT133" i="1"/>
  <c r="S133" i="1"/>
  <c r="GM124" i="1"/>
  <c r="GO124" i="1" s="1"/>
  <c r="P123" i="1"/>
  <c r="CP123" i="1" s="1"/>
  <c r="O123" i="1" s="1"/>
  <c r="CQ123" i="1"/>
  <c r="AB123" i="1"/>
  <c r="R120" i="1"/>
  <c r="GK120" i="1" s="1"/>
  <c r="CY113" i="1"/>
  <c r="X113" i="1" s="1"/>
  <c r="CZ113" i="1"/>
  <c r="Y113" i="1" s="1"/>
  <c r="CS110" i="1"/>
  <c r="S51" i="1"/>
  <c r="CT51" i="1"/>
  <c r="CR50" i="1"/>
  <c r="CS50" i="1"/>
  <c r="Q50" i="1"/>
  <c r="CP50" i="1" s="1"/>
  <c r="O50" i="1" s="1"/>
  <c r="GM50" i="1" s="1"/>
  <c r="GN50" i="1" s="1"/>
  <c r="R50" i="1"/>
  <c r="GK50" i="1" s="1"/>
  <c r="CV114" i="3"/>
  <c r="CX114" i="3"/>
  <c r="EV393" i="1"/>
  <c r="P372" i="1"/>
  <c r="AD358" i="1"/>
  <c r="S352" i="1"/>
  <c r="CT352" i="1"/>
  <c r="T348" i="1"/>
  <c r="S345" i="1"/>
  <c r="CQ341" i="1"/>
  <c r="P341" i="1"/>
  <c r="AB339" i="1"/>
  <c r="Q336" i="1"/>
  <c r="AB300" i="1"/>
  <c r="AD299" i="1"/>
  <c r="AD298" i="1"/>
  <c r="AB298" i="1" s="1"/>
  <c r="S295" i="1"/>
  <c r="CT295" i="1"/>
  <c r="AD294" i="1"/>
  <c r="AB294" i="1" s="1"/>
  <c r="CP286" i="1"/>
  <c r="O286" i="1" s="1"/>
  <c r="Q279" i="1"/>
  <c r="CP277" i="1"/>
  <c r="O277" i="1" s="1"/>
  <c r="W276" i="1"/>
  <c r="EB302" i="1" s="1"/>
  <c r="V275" i="1"/>
  <c r="FR302" i="1"/>
  <c r="BZ302" i="1"/>
  <c r="AB267" i="1"/>
  <c r="ET261" i="1"/>
  <c r="AD225" i="1"/>
  <c r="CY215" i="1"/>
  <c r="X215" i="1" s="1"/>
  <c r="CZ215" i="1"/>
  <c r="Y215" i="1" s="1"/>
  <c r="CT210" i="1"/>
  <c r="S210" i="1"/>
  <c r="F187" i="1"/>
  <c r="BB95" i="1"/>
  <c r="CT157" i="1"/>
  <c r="S157" i="1"/>
  <c r="CZ121" i="1"/>
  <c r="Y121" i="1" s="1"/>
  <c r="CY121" i="1"/>
  <c r="X121" i="1" s="1"/>
  <c r="CR120" i="1"/>
  <c r="CR110" i="1"/>
  <c r="AG174" i="1"/>
  <c r="EH95" i="1"/>
  <c r="CP54" i="1"/>
  <c r="O54" i="1" s="1"/>
  <c r="AD50" i="1"/>
  <c r="T48" i="1"/>
  <c r="S47" i="1"/>
  <c r="CP47" i="1" s="1"/>
  <c r="O47" i="1" s="1"/>
  <c r="CT47" i="1"/>
  <c r="AB28" i="1"/>
  <c r="CQ28" i="1"/>
  <c r="P28" i="1"/>
  <c r="CY222" i="1"/>
  <c r="X222" i="1" s="1"/>
  <c r="CZ222" i="1"/>
  <c r="Y222" i="1" s="1"/>
  <c r="CP225" i="1"/>
  <c r="O225" i="1" s="1"/>
  <c r="GM225" i="1" s="1"/>
  <c r="GO225" i="1" s="1"/>
  <c r="R144" i="1"/>
  <c r="GK144" i="1" s="1"/>
  <c r="Q144" i="1"/>
  <c r="CU113" i="3"/>
  <c r="Q131" i="1"/>
  <c r="S131" i="1"/>
  <c r="CS126" i="1"/>
  <c r="CR126" i="1"/>
  <c r="CQ110" i="1"/>
  <c r="CY58" i="1"/>
  <c r="X58" i="1" s="1"/>
  <c r="GM58" i="1" s="1"/>
  <c r="GN58" i="1" s="1"/>
  <c r="CZ58" i="1"/>
  <c r="Y58" i="1" s="1"/>
  <c r="CQ57" i="1"/>
  <c r="P57" i="1"/>
  <c r="R47" i="1"/>
  <c r="GK47" i="1" s="1"/>
  <c r="Q47" i="1"/>
  <c r="CR47" i="1"/>
  <c r="CS47" i="1"/>
  <c r="CP45" i="1"/>
  <c r="O45" i="1" s="1"/>
  <c r="GX39" i="1"/>
  <c r="W35" i="1"/>
  <c r="Q35" i="1"/>
  <c r="CU16" i="3"/>
  <c r="T35" i="1"/>
  <c r="CW52" i="3"/>
  <c r="CX52" i="3"/>
  <c r="CW47" i="3"/>
  <c r="CP357" i="1"/>
  <c r="O357" i="1" s="1"/>
  <c r="CS351" i="1"/>
  <c r="AD351" i="1"/>
  <c r="AB351" i="1" s="1"/>
  <c r="CR351" i="1"/>
  <c r="FV363" i="1"/>
  <c r="AJ363" i="1"/>
  <c r="CK265" i="1"/>
  <c r="BB302" i="1"/>
  <c r="CL206" i="1"/>
  <c r="BC229" i="1"/>
  <c r="CY219" i="1"/>
  <c r="X219" i="1" s="1"/>
  <c r="CZ219" i="1"/>
  <c r="Y219" i="1" s="1"/>
  <c r="S213" i="1"/>
  <c r="CT213" i="1"/>
  <c r="CR165" i="1"/>
  <c r="R165" i="1"/>
  <c r="GK165" i="1" s="1"/>
  <c r="CS165" i="1"/>
  <c r="Q165" i="1"/>
  <c r="CQ159" i="1"/>
  <c r="AB159" i="1"/>
  <c r="CQ144" i="1"/>
  <c r="P144" i="1"/>
  <c r="CP144" i="1" s="1"/>
  <c r="O144" i="1" s="1"/>
  <c r="GM144" i="1" s="1"/>
  <c r="GO144" i="1" s="1"/>
  <c r="CT115" i="1"/>
  <c r="S115" i="1"/>
  <c r="AB98" i="1"/>
  <c r="P98" i="1"/>
  <c r="CQ98" i="1"/>
  <c r="FQ26" i="1"/>
  <c r="EH63" i="1"/>
  <c r="DH198" i="3"/>
  <c r="DF198" i="3"/>
  <c r="DJ198" i="3" s="1"/>
  <c r="DG198" i="3"/>
  <c r="DI198" i="3"/>
  <c r="Q299" i="1"/>
  <c r="S299" i="1"/>
  <c r="GX299" i="1"/>
  <c r="CP271" i="1"/>
  <c r="O271" i="1" s="1"/>
  <c r="EU206" i="1"/>
  <c r="P245" i="1"/>
  <c r="CQ227" i="1"/>
  <c r="P227" i="1"/>
  <c r="CT221" i="1"/>
  <c r="S221" i="1"/>
  <c r="R213" i="1"/>
  <c r="GK213" i="1" s="1"/>
  <c r="CR213" i="1"/>
  <c r="CS213" i="1"/>
  <c r="CQ211" i="1"/>
  <c r="P211" i="1"/>
  <c r="CP211" i="1" s="1"/>
  <c r="O211" i="1" s="1"/>
  <c r="CP209" i="1"/>
  <c r="O209" i="1" s="1"/>
  <c r="AD165" i="1"/>
  <c r="AB165" i="1" s="1"/>
  <c r="CS139" i="1"/>
  <c r="CR139" i="1"/>
  <c r="Q139" i="1"/>
  <c r="R139" i="1"/>
  <c r="GK139" i="1" s="1"/>
  <c r="BZ174" i="1"/>
  <c r="CI174" i="1" s="1"/>
  <c r="Q350" i="1"/>
  <c r="R350" i="1"/>
  <c r="GK350" i="1" s="1"/>
  <c r="CY347" i="1"/>
  <c r="X347" i="1" s="1"/>
  <c r="CZ347" i="1"/>
  <c r="Y347" i="1" s="1"/>
  <c r="S286" i="1"/>
  <c r="CT286" i="1"/>
  <c r="CR274" i="1"/>
  <c r="CS274" i="1"/>
  <c r="Q274" i="1"/>
  <c r="R274" i="1"/>
  <c r="GK274" i="1" s="1"/>
  <c r="CT272" i="1"/>
  <c r="S272" i="1"/>
  <c r="AB227" i="1"/>
  <c r="CS221" i="1"/>
  <c r="Q221" i="1"/>
  <c r="R221" i="1"/>
  <c r="GK221" i="1" s="1"/>
  <c r="CR221" i="1"/>
  <c r="AD139" i="1"/>
  <c r="AB139" i="1" s="1"/>
  <c r="R52" i="1"/>
  <c r="GK52" i="1" s="1"/>
  <c r="CS52" i="1"/>
  <c r="AD52" i="1"/>
  <c r="AB52" i="1" s="1"/>
  <c r="Q52" i="1"/>
  <c r="CR52" i="1"/>
  <c r="CW152" i="3"/>
  <c r="CX152" i="3"/>
  <c r="CW63" i="3"/>
  <c r="CX63" i="3"/>
  <c r="DH53" i="3"/>
  <c r="DI53" i="3"/>
  <c r="DG53" i="3"/>
  <c r="DJ53" i="3" s="1"/>
  <c r="DF53" i="3"/>
  <c r="CR360" i="1"/>
  <c r="CS360" i="1"/>
  <c r="P352" i="1"/>
  <c r="CP352" i="1" s="1"/>
  <c r="O352" i="1" s="1"/>
  <c r="AD350" i="1"/>
  <c r="AB350" i="1" s="1"/>
  <c r="V348" i="1"/>
  <c r="Q348" i="1"/>
  <c r="P343" i="1"/>
  <c r="AB342" i="1"/>
  <c r="S277" i="1"/>
  <c r="CT277" i="1"/>
  <c r="AD274" i="1"/>
  <c r="AB274" i="1" s="1"/>
  <c r="CR272" i="1"/>
  <c r="CS272" i="1"/>
  <c r="AD272" i="1"/>
  <c r="AB272" i="1" s="1"/>
  <c r="AO229" i="1"/>
  <c r="BX206" i="1"/>
  <c r="CG229" i="1"/>
  <c r="S218" i="1"/>
  <c r="CT218" i="1"/>
  <c r="CP170" i="1"/>
  <c r="O170" i="1" s="1"/>
  <c r="GM170" i="1" s="1"/>
  <c r="GO170" i="1" s="1"/>
  <c r="CP166" i="1"/>
  <c r="O166" i="1" s="1"/>
  <c r="GM166" i="1" s="1"/>
  <c r="GO166" i="1" s="1"/>
  <c r="CT135" i="1"/>
  <c r="S135" i="1"/>
  <c r="AI174" i="1"/>
  <c r="Q53" i="1"/>
  <c r="CP31" i="1"/>
  <c r="O31" i="1" s="1"/>
  <c r="DG131" i="3"/>
  <c r="DJ131" i="3" s="1"/>
  <c r="DH131" i="3"/>
  <c r="DI131" i="3"/>
  <c r="DF131" i="3"/>
  <c r="DG60" i="3"/>
  <c r="DI60" i="3"/>
  <c r="DJ60" i="3" s="1"/>
  <c r="DF60" i="3"/>
  <c r="DH60" i="3"/>
  <c r="ET22" i="1"/>
  <c r="ET453" i="1"/>
  <c r="P436" i="1"/>
  <c r="AD360" i="1"/>
  <c r="AB360" i="1" s="1"/>
  <c r="R359" i="1"/>
  <c r="GK359" i="1" s="1"/>
  <c r="CR359" i="1"/>
  <c r="CQ357" i="1"/>
  <c r="CY356" i="1"/>
  <c r="X356" i="1" s="1"/>
  <c r="CZ356" i="1"/>
  <c r="Y356" i="1" s="1"/>
  <c r="AO302" i="1"/>
  <c r="CY279" i="1"/>
  <c r="X279" i="1" s="1"/>
  <c r="CZ279" i="1"/>
  <c r="Y279" i="1" s="1"/>
  <c r="CR277" i="1"/>
  <c r="CS277" i="1"/>
  <c r="AD277" i="1"/>
  <c r="AB277" i="1" s="1"/>
  <c r="CQ274" i="1"/>
  <c r="P274" i="1"/>
  <c r="F254" i="1"/>
  <c r="BD206" i="1"/>
  <c r="CY217" i="1"/>
  <c r="X217" i="1" s="1"/>
  <c r="CZ217" i="1"/>
  <c r="Y217" i="1" s="1"/>
  <c r="AD214" i="1"/>
  <c r="AB214" i="1" s="1"/>
  <c r="R214" i="1"/>
  <c r="GK214" i="1" s="1"/>
  <c r="Q214" i="1"/>
  <c r="AD229" i="1" s="1"/>
  <c r="CY162" i="1"/>
  <c r="X162" i="1" s="1"/>
  <c r="CZ162" i="1"/>
  <c r="Y162" i="1" s="1"/>
  <c r="P159" i="1"/>
  <c r="CP159" i="1" s="1"/>
  <c r="O159" i="1" s="1"/>
  <c r="GM159" i="1" s="1"/>
  <c r="GO159" i="1" s="1"/>
  <c r="CT112" i="1"/>
  <c r="S112" i="1"/>
  <c r="R101" i="1"/>
  <c r="GK101" i="1" s="1"/>
  <c r="CR101" i="1"/>
  <c r="CS101" i="1"/>
  <c r="Q101" i="1"/>
  <c r="CP61" i="1"/>
  <c r="O61" i="1" s="1"/>
  <c r="GM61" i="1" s="1"/>
  <c r="GN61" i="1" s="1"/>
  <c r="S54" i="1"/>
  <c r="CT54" i="1"/>
  <c r="CU25" i="3"/>
  <c r="CX26" i="3"/>
  <c r="Q39" i="1"/>
  <c r="V39" i="1"/>
  <c r="P388" i="1"/>
  <c r="CT349" i="1"/>
  <c r="S349" i="1"/>
  <c r="F320" i="1"/>
  <c r="GM297" i="1"/>
  <c r="GN297" i="1" s="1"/>
  <c r="CT291" i="1"/>
  <c r="S291" i="1"/>
  <c r="AB281" i="1"/>
  <c r="R279" i="1"/>
  <c r="GK279" i="1" s="1"/>
  <c r="CR279" i="1"/>
  <c r="CS279" i="1"/>
  <c r="CT276" i="1"/>
  <c r="S276" i="1"/>
  <c r="CQ273" i="1"/>
  <c r="AB273" i="1"/>
  <c r="P273" i="1"/>
  <c r="CP273" i="1" s="1"/>
  <c r="O273" i="1" s="1"/>
  <c r="GM273" i="1" s="1"/>
  <c r="GN273" i="1" s="1"/>
  <c r="R272" i="1"/>
  <c r="GK272" i="1" s="1"/>
  <c r="BX265" i="1"/>
  <c r="BB229" i="1"/>
  <c r="CQ215" i="1"/>
  <c r="P215" i="1"/>
  <c r="CP215" i="1" s="1"/>
  <c r="O215" i="1" s="1"/>
  <c r="GM215" i="1" s="1"/>
  <c r="GN215" i="1" s="1"/>
  <c r="GX213" i="1"/>
  <c r="GB229" i="1" s="1"/>
  <c r="Q213" i="1"/>
  <c r="DV229" i="1" s="1"/>
  <c r="CY212" i="1"/>
  <c r="X212" i="1" s="1"/>
  <c r="CZ212" i="1"/>
  <c r="Y212" i="1" s="1"/>
  <c r="W210" i="1"/>
  <c r="CT167" i="1"/>
  <c r="S167" i="1"/>
  <c r="Q164" i="1"/>
  <c r="T164" i="1"/>
  <c r="S164" i="1"/>
  <c r="GX164" i="1"/>
  <c r="CP161" i="1"/>
  <c r="O161" i="1" s="1"/>
  <c r="GM161" i="1" s="1"/>
  <c r="GO161" i="1" s="1"/>
  <c r="R148" i="1"/>
  <c r="GK148" i="1" s="1"/>
  <c r="Q148" i="1"/>
  <c r="R136" i="1"/>
  <c r="GK136" i="1" s="1"/>
  <c r="CS136" i="1"/>
  <c r="Q136" i="1"/>
  <c r="S116" i="1"/>
  <c r="CP115" i="1"/>
  <c r="O115" i="1" s="1"/>
  <c r="AD101" i="1"/>
  <c r="AB101" i="1" s="1"/>
  <c r="CR43" i="1"/>
  <c r="R43" i="1"/>
  <c r="GK43" i="1" s="1"/>
  <c r="AD43" i="1"/>
  <c r="AB43" i="1" s="1"/>
  <c r="Q43" i="1"/>
  <c r="CS43" i="1"/>
  <c r="T39" i="1"/>
  <c r="K32" i="1"/>
  <c r="DG182" i="3"/>
  <c r="DF182" i="3"/>
  <c r="DH182" i="3"/>
  <c r="DI182" i="3"/>
  <c r="DJ182" i="3" s="1"/>
  <c r="CX87" i="3"/>
  <c r="CV87" i="3"/>
  <c r="CT350" i="1"/>
  <c r="T299" i="1"/>
  <c r="AD289" i="1"/>
  <c r="AB289" i="1" s="1"/>
  <c r="AD279" i="1"/>
  <c r="AB279" i="1" s="1"/>
  <c r="CR276" i="1"/>
  <c r="CS276" i="1"/>
  <c r="R276" i="1"/>
  <c r="GK276" i="1" s="1"/>
  <c r="Q272" i="1"/>
  <c r="CP272" i="1" s="1"/>
  <c r="O272" i="1" s="1"/>
  <c r="AB269" i="1"/>
  <c r="CP162" i="1"/>
  <c r="O162" i="1" s="1"/>
  <c r="CP153" i="1"/>
  <c r="O153" i="1" s="1"/>
  <c r="GM153" i="1" s="1"/>
  <c r="GO153" i="1" s="1"/>
  <c r="S106" i="1"/>
  <c r="CP106" i="1" s="1"/>
  <c r="O106" i="1" s="1"/>
  <c r="CT106" i="1"/>
  <c r="CP52" i="1"/>
  <c r="O52" i="1" s="1"/>
  <c r="GM52" i="1" s="1"/>
  <c r="GN52" i="1" s="1"/>
  <c r="AB44" i="1"/>
  <c r="P44" i="1"/>
  <c r="CQ44" i="1"/>
  <c r="CX214" i="3"/>
  <c r="CV214" i="3"/>
  <c r="S360" i="1"/>
  <c r="AB359" i="1"/>
  <c r="S344" i="1"/>
  <c r="Q341" i="1"/>
  <c r="DV363" i="1" s="1"/>
  <c r="R341" i="1"/>
  <c r="GK341" i="1" s="1"/>
  <c r="CR341" i="1"/>
  <c r="S336" i="1"/>
  <c r="CP336" i="1" s="1"/>
  <c r="O336" i="1" s="1"/>
  <c r="U295" i="1"/>
  <c r="U210" i="1"/>
  <c r="AH229" i="1" s="1"/>
  <c r="AB167" i="1"/>
  <c r="CZ149" i="1"/>
  <c r="Y149" i="1" s="1"/>
  <c r="CY149" i="1"/>
  <c r="X149" i="1" s="1"/>
  <c r="P148" i="1"/>
  <c r="CP148" i="1" s="1"/>
  <c r="O148" i="1" s="1"/>
  <c r="CQ148" i="1"/>
  <c r="CJ174" i="1"/>
  <c r="S354" i="1"/>
  <c r="R348" i="1"/>
  <c r="GK348" i="1" s="1"/>
  <c r="AD341" i="1"/>
  <c r="AB341" i="1" s="1"/>
  <c r="EU393" i="1"/>
  <c r="BD393" i="1"/>
  <c r="CS359" i="1"/>
  <c r="Q359" i="1"/>
  <c r="CQ358" i="1"/>
  <c r="AB358" i="1"/>
  <c r="R357" i="1"/>
  <c r="GK357" i="1" s="1"/>
  <c r="CZ355" i="1"/>
  <c r="Y355" i="1" s="1"/>
  <c r="CY355" i="1"/>
  <c r="X355" i="1" s="1"/>
  <c r="CR352" i="1"/>
  <c r="CS352" i="1"/>
  <c r="P348" i="1"/>
  <c r="AB344" i="1"/>
  <c r="CQ344" i="1"/>
  <c r="Q343" i="1"/>
  <c r="R343" i="1"/>
  <c r="GK343" i="1" s="1"/>
  <c r="CS343" i="1"/>
  <c r="CR343" i="1"/>
  <c r="AT334" i="1"/>
  <c r="CQ299" i="1"/>
  <c r="AB299" i="1"/>
  <c r="AD295" i="1"/>
  <c r="CR295" i="1"/>
  <c r="R295" i="1"/>
  <c r="GK295" i="1" s="1"/>
  <c r="CS295" i="1"/>
  <c r="CZ292" i="1"/>
  <c r="Y292" i="1" s="1"/>
  <c r="CY292" i="1"/>
  <c r="X292" i="1" s="1"/>
  <c r="GM290" i="1"/>
  <c r="GN290" i="1" s="1"/>
  <c r="V280" i="1"/>
  <c r="EA302" i="1" s="1"/>
  <c r="P276" i="1"/>
  <c r="Q276" i="1"/>
  <c r="DY302" i="1"/>
  <c r="GA229" i="1"/>
  <c r="EM229" i="1"/>
  <c r="FV206" i="1"/>
  <c r="CY168" i="1"/>
  <c r="X168" i="1" s="1"/>
  <c r="CZ168" i="1"/>
  <c r="Y168" i="1" s="1"/>
  <c r="S163" i="1"/>
  <c r="CT163" i="1"/>
  <c r="CS157" i="1"/>
  <c r="R157" i="1"/>
  <c r="GK157" i="1" s="1"/>
  <c r="Q157" i="1"/>
  <c r="CP157" i="1" s="1"/>
  <c r="O157" i="1" s="1"/>
  <c r="CR157" i="1"/>
  <c r="CP149" i="1"/>
  <c r="O149" i="1" s="1"/>
  <c r="CS148" i="1"/>
  <c r="S141" i="1"/>
  <c r="CT141" i="1"/>
  <c r="EG334" i="1"/>
  <c r="P367" i="1"/>
  <c r="P359" i="1"/>
  <c r="CP359" i="1" s="1"/>
  <c r="O359" i="1" s="1"/>
  <c r="U357" i="1"/>
  <c r="DZ363" i="1" s="1"/>
  <c r="AD357" i="1"/>
  <c r="AB357" i="1" s="1"/>
  <c r="CQ356" i="1"/>
  <c r="P356" i="1"/>
  <c r="CP356" i="1" s="1"/>
  <c r="O356" i="1" s="1"/>
  <c r="GM356" i="1" s="1"/>
  <c r="GN356" i="1" s="1"/>
  <c r="AD352" i="1"/>
  <c r="CT351" i="1"/>
  <c r="S351" i="1"/>
  <c r="CR349" i="1"/>
  <c r="Q349" i="1"/>
  <c r="CS348" i="1"/>
  <c r="AB348" i="1"/>
  <c r="AD343" i="1"/>
  <c r="AB343" i="1" s="1"/>
  <c r="CQ339" i="1"/>
  <c r="BZ363" i="1"/>
  <c r="CP337" i="1"/>
  <c r="O337" i="1" s="1"/>
  <c r="BC302" i="1"/>
  <c r="CL265" i="1"/>
  <c r="P299" i="1"/>
  <c r="P295" i="1"/>
  <c r="CP295" i="1" s="1"/>
  <c r="O295" i="1" s="1"/>
  <c r="CQ295" i="1"/>
  <c r="AB295" i="1"/>
  <c r="CR288" i="1"/>
  <c r="R280" i="1"/>
  <c r="GK280" i="1" s="1"/>
  <c r="CT279" i="1"/>
  <c r="U276" i="1"/>
  <c r="DZ302" i="1" s="1"/>
  <c r="T275" i="1"/>
  <c r="AG302" i="1" s="1"/>
  <c r="CY271" i="1"/>
  <c r="X271" i="1" s="1"/>
  <c r="CD302" i="1"/>
  <c r="CY268" i="1"/>
  <c r="X268" i="1" s="1"/>
  <c r="CZ268" i="1"/>
  <c r="Y268" i="1" s="1"/>
  <c r="EG261" i="1"/>
  <c r="FY229" i="1"/>
  <c r="Q227" i="1"/>
  <c r="CR227" i="1"/>
  <c r="R227" i="1"/>
  <c r="GK227" i="1" s="1"/>
  <c r="CS227" i="1"/>
  <c r="AB225" i="1"/>
  <c r="CY220" i="1"/>
  <c r="X220" i="1" s="1"/>
  <c r="CZ220" i="1"/>
  <c r="Y220" i="1" s="1"/>
  <c r="T213" i="1"/>
  <c r="EB229" i="1"/>
  <c r="CR163" i="1"/>
  <c r="Q163" i="1"/>
  <c r="CS163" i="1"/>
  <c r="R163" i="1"/>
  <c r="GK163" i="1" s="1"/>
  <c r="AD157" i="1"/>
  <c r="CR148" i="1"/>
  <c r="AD144" i="1"/>
  <c r="AB144" i="1" s="1"/>
  <c r="CY138" i="1"/>
  <c r="X138" i="1" s="1"/>
  <c r="CZ138" i="1"/>
  <c r="Y138" i="1" s="1"/>
  <c r="CR136" i="1"/>
  <c r="AD126" i="1"/>
  <c r="AB126" i="1" s="1"/>
  <c r="FR174" i="1"/>
  <c r="AD97" i="1"/>
  <c r="AB97" i="1" s="1"/>
  <c r="R97" i="1"/>
  <c r="CR97" i="1"/>
  <c r="CS97" i="1"/>
  <c r="Q97" i="1"/>
  <c r="AB57" i="1"/>
  <c r="W48" i="1"/>
  <c r="AJ63" i="1" s="1"/>
  <c r="AD47" i="1"/>
  <c r="AB47" i="1" s="1"/>
  <c r="CS44" i="1"/>
  <c r="CQ30" i="1"/>
  <c r="P30" i="1"/>
  <c r="CZ29" i="1"/>
  <c r="Y29" i="1" s="1"/>
  <c r="CY29" i="1"/>
  <c r="X29" i="1" s="1"/>
  <c r="CX55" i="3"/>
  <c r="CV55" i="3"/>
  <c r="W295" i="1"/>
  <c r="AJ302" i="1" s="1"/>
  <c r="CT280" i="1"/>
  <c r="S280" i="1"/>
  <c r="U213" i="1"/>
  <c r="CY211" i="1"/>
  <c r="X211" i="1" s="1"/>
  <c r="CZ211" i="1"/>
  <c r="Y211" i="1" s="1"/>
  <c r="CS210" i="1"/>
  <c r="AD210" i="1"/>
  <c r="AB210" i="1" s="1"/>
  <c r="CR210" i="1"/>
  <c r="GM169" i="1"/>
  <c r="GO169" i="1" s="1"/>
  <c r="CP126" i="1"/>
  <c r="O126" i="1" s="1"/>
  <c r="P125" i="1"/>
  <c r="CP125" i="1" s="1"/>
  <c r="O125" i="1" s="1"/>
  <c r="GM125" i="1" s="1"/>
  <c r="GO125" i="1" s="1"/>
  <c r="AB125" i="1"/>
  <c r="CQ125" i="1"/>
  <c r="P101" i="1"/>
  <c r="CQ101" i="1"/>
  <c r="CP51" i="1"/>
  <c r="O51" i="1" s="1"/>
  <c r="Q40" i="1"/>
  <c r="CS40" i="1"/>
  <c r="AD40" i="1"/>
  <c r="CS39" i="1"/>
  <c r="R39" i="1"/>
  <c r="GK39" i="1" s="1"/>
  <c r="AD39" i="1"/>
  <c r="DF156" i="3"/>
  <c r="DJ156" i="3" s="1"/>
  <c r="DH156" i="3"/>
  <c r="DG156" i="3"/>
  <c r="DI156" i="3"/>
  <c r="DG34" i="3"/>
  <c r="DJ34" i="3" s="1"/>
  <c r="DF34" i="3"/>
  <c r="DH34" i="3"/>
  <c r="DI34" i="3"/>
  <c r="R275" i="1"/>
  <c r="GK275" i="1" s="1"/>
  <c r="CR275" i="1"/>
  <c r="CS226" i="1"/>
  <c r="AD226" i="1"/>
  <c r="AB226" i="1" s="1"/>
  <c r="R226" i="1"/>
  <c r="GK226" i="1" s="1"/>
  <c r="CR216" i="1"/>
  <c r="CS216" i="1"/>
  <c r="AB213" i="1"/>
  <c r="P210" i="1"/>
  <c r="CZ208" i="1"/>
  <c r="Y208" i="1" s="1"/>
  <c r="CS172" i="1"/>
  <c r="AD172" i="1"/>
  <c r="AB172" i="1" s="1"/>
  <c r="S145" i="1"/>
  <c r="CT145" i="1"/>
  <c r="CS143" i="1"/>
  <c r="R143" i="1"/>
  <c r="GK143" i="1" s="1"/>
  <c r="Q143" i="1"/>
  <c r="CY142" i="1"/>
  <c r="X142" i="1" s="1"/>
  <c r="CZ142" i="1"/>
  <c r="Y142" i="1" s="1"/>
  <c r="AB115" i="1"/>
  <c r="CY107" i="1"/>
  <c r="X107" i="1" s="1"/>
  <c r="CZ107" i="1"/>
  <c r="Y107" i="1" s="1"/>
  <c r="CP102" i="1"/>
  <c r="O102" i="1" s="1"/>
  <c r="GM102" i="1" s="1"/>
  <c r="GO102" i="1" s="1"/>
  <c r="CS100" i="1"/>
  <c r="R100" i="1"/>
  <c r="Q100" i="1"/>
  <c r="AB39" i="1"/>
  <c r="P39" i="1"/>
  <c r="CQ39" i="1"/>
  <c r="DI92" i="3"/>
  <c r="DJ92" i="3" s="1"/>
  <c r="DG92" i="3"/>
  <c r="DF92" i="3"/>
  <c r="DH92" i="3"/>
  <c r="AD361" i="1"/>
  <c r="AB361" i="1" s="1"/>
  <c r="AD337" i="1"/>
  <c r="AB337" i="1" s="1"/>
  <c r="CP268" i="1"/>
  <c r="O268" i="1" s="1"/>
  <c r="T212" i="1"/>
  <c r="DY229" i="1"/>
  <c r="GC206" i="1"/>
  <c r="U164" i="1"/>
  <c r="P164" i="1"/>
  <c r="R156" i="1"/>
  <c r="GK156" i="1" s="1"/>
  <c r="CS156" i="1"/>
  <c r="AD156" i="1"/>
  <c r="Q156" i="1"/>
  <c r="CQ147" i="1"/>
  <c r="AB147" i="1"/>
  <c r="P147" i="1"/>
  <c r="CP147" i="1" s="1"/>
  <c r="O147" i="1" s="1"/>
  <c r="CS145" i="1"/>
  <c r="Q145" i="1"/>
  <c r="CP145" i="1" s="1"/>
  <c r="O145" i="1" s="1"/>
  <c r="CR145" i="1"/>
  <c r="AD143" i="1"/>
  <c r="CS137" i="1"/>
  <c r="CR137" i="1"/>
  <c r="Q132" i="1"/>
  <c r="GX132" i="1"/>
  <c r="GB174" i="1" s="1"/>
  <c r="S130" i="1"/>
  <c r="CT130" i="1"/>
  <c r="CY128" i="1"/>
  <c r="X128" i="1" s="1"/>
  <c r="GM128" i="1" s="1"/>
  <c r="GO128" i="1" s="1"/>
  <c r="CZ128" i="1"/>
  <c r="Y128" i="1" s="1"/>
  <c r="CY118" i="1"/>
  <c r="X118" i="1" s="1"/>
  <c r="CP116" i="1"/>
  <c r="O116" i="1" s="1"/>
  <c r="GM105" i="1"/>
  <c r="GO105" i="1" s="1"/>
  <c r="P104" i="1"/>
  <c r="AD100" i="1"/>
  <c r="P56" i="1"/>
  <c r="CP56" i="1" s="1"/>
  <c r="O56" i="1" s="1"/>
  <c r="CQ56" i="1"/>
  <c r="CY52" i="1"/>
  <c r="X52" i="1" s="1"/>
  <c r="CZ52" i="1"/>
  <c r="Y52" i="1" s="1"/>
  <c r="S45" i="1"/>
  <c r="CT45" i="1"/>
  <c r="CW32" i="3"/>
  <c r="Q44" i="1"/>
  <c r="T44" i="1"/>
  <c r="P38" i="1"/>
  <c r="CP38" i="1" s="1"/>
  <c r="O38" i="1" s="1"/>
  <c r="CQ34" i="1"/>
  <c r="P34" i="1"/>
  <c r="V32" i="1"/>
  <c r="FV63" i="1"/>
  <c r="DF194" i="3"/>
  <c r="DJ194" i="3" s="1"/>
  <c r="DG194" i="3"/>
  <c r="DH160" i="3"/>
  <c r="DI160" i="3"/>
  <c r="DF160" i="3"/>
  <c r="DJ160" i="3" s="1"/>
  <c r="DG160" i="3"/>
  <c r="DG82" i="3"/>
  <c r="DF82" i="3"/>
  <c r="DJ82" i="3" s="1"/>
  <c r="DI82" i="3"/>
  <c r="CU29" i="3"/>
  <c r="CR347" i="1"/>
  <c r="CS347" i="1"/>
  <c r="AD346" i="1"/>
  <c r="AB346" i="1" s="1"/>
  <c r="CQ345" i="1"/>
  <c r="AB345" i="1"/>
  <c r="S340" i="1"/>
  <c r="CR338" i="1"/>
  <c r="CS338" i="1"/>
  <c r="U300" i="1"/>
  <c r="AD300" i="1"/>
  <c r="CZ297" i="1"/>
  <c r="Y297" i="1" s="1"/>
  <c r="V292" i="1"/>
  <c r="T280" i="1"/>
  <c r="CT278" i="1"/>
  <c r="S278" i="1"/>
  <c r="AB268" i="1"/>
  <c r="CQ224" i="1"/>
  <c r="P224" i="1"/>
  <c r="CP224" i="1" s="1"/>
  <c r="O224" i="1" s="1"/>
  <c r="GM224" i="1" s="1"/>
  <c r="GO224" i="1" s="1"/>
  <c r="AB217" i="1"/>
  <c r="CD229" i="1"/>
  <c r="AB164" i="1"/>
  <c r="CY159" i="1"/>
  <c r="X159" i="1" s="1"/>
  <c r="CZ159" i="1"/>
  <c r="Y159" i="1" s="1"/>
  <c r="AB156" i="1"/>
  <c r="P156" i="1"/>
  <c r="CP156" i="1" s="1"/>
  <c r="O156" i="1" s="1"/>
  <c r="GM156" i="1" s="1"/>
  <c r="GO156" i="1" s="1"/>
  <c r="CS155" i="1"/>
  <c r="AD155" i="1"/>
  <c r="CZ153" i="1"/>
  <c r="Y153" i="1" s="1"/>
  <c r="CY150" i="1"/>
  <c r="X150" i="1" s="1"/>
  <c r="GM150" i="1" s="1"/>
  <c r="GO150" i="1" s="1"/>
  <c r="CZ150" i="1"/>
  <c r="Y150" i="1" s="1"/>
  <c r="AD145" i="1"/>
  <c r="AB145" i="1" s="1"/>
  <c r="CQ143" i="1"/>
  <c r="AB143" i="1"/>
  <c r="P143" i="1"/>
  <c r="CP143" i="1" s="1"/>
  <c r="O143" i="1" s="1"/>
  <c r="GM143" i="1" s="1"/>
  <c r="GO143" i="1" s="1"/>
  <c r="R140" i="1"/>
  <c r="GK140" i="1" s="1"/>
  <c r="CR140" i="1"/>
  <c r="AD137" i="1"/>
  <c r="AB137" i="1" s="1"/>
  <c r="CP133" i="1"/>
  <c r="O133" i="1" s="1"/>
  <c r="S132" i="1"/>
  <c r="CT132" i="1"/>
  <c r="CS130" i="1"/>
  <c r="CR130" i="1"/>
  <c r="AB127" i="1"/>
  <c r="CS114" i="1"/>
  <c r="Q114" i="1"/>
  <c r="R114" i="1"/>
  <c r="GK114" i="1" s="1"/>
  <c r="CQ103" i="1"/>
  <c r="P103" i="1"/>
  <c r="CP103" i="1" s="1"/>
  <c r="O103" i="1" s="1"/>
  <c r="AB100" i="1"/>
  <c r="CQ100" i="1"/>
  <c r="P100" i="1"/>
  <c r="FV174" i="1"/>
  <c r="GX44" i="1"/>
  <c r="W34" i="1"/>
  <c r="U32" i="1"/>
  <c r="FU63" i="1"/>
  <c r="CX213" i="3"/>
  <c r="CV213" i="3"/>
  <c r="DF209" i="3"/>
  <c r="DJ209" i="3" s="1"/>
  <c r="DG209" i="3"/>
  <c r="DI209" i="3"/>
  <c r="DF184" i="3"/>
  <c r="DG184" i="3"/>
  <c r="DJ184" i="3" s="1"/>
  <c r="DH184" i="3"/>
  <c r="DI184" i="3"/>
  <c r="CX165" i="3"/>
  <c r="CW165" i="3"/>
  <c r="CV123" i="3"/>
  <c r="CX123" i="3"/>
  <c r="CX76" i="3"/>
  <c r="CW76" i="3"/>
  <c r="CX29" i="3"/>
  <c r="AB338" i="1"/>
  <c r="R210" i="1"/>
  <c r="CQ145" i="1"/>
  <c r="AD134" i="1"/>
  <c r="AB134" i="1" s="1"/>
  <c r="R134" i="1"/>
  <c r="GK134" i="1" s="1"/>
  <c r="CS134" i="1"/>
  <c r="CR134" i="1"/>
  <c r="AB111" i="1"/>
  <c r="P111" i="1"/>
  <c r="CP111" i="1" s="1"/>
  <c r="O111" i="1" s="1"/>
  <c r="GM111" i="1" s="1"/>
  <c r="GO111" i="1" s="1"/>
  <c r="CQ111" i="1"/>
  <c r="FT174" i="1"/>
  <c r="S57" i="1"/>
  <c r="CT57" i="1"/>
  <c r="CQ50" i="1"/>
  <c r="AB45" i="1"/>
  <c r="CS42" i="1"/>
  <c r="Q42" i="1"/>
  <c r="CP42" i="1" s="1"/>
  <c r="O42" i="1" s="1"/>
  <c r="CR42" i="1"/>
  <c r="R42" i="1"/>
  <c r="GK42" i="1" s="1"/>
  <c r="CR40" i="1"/>
  <c r="DF191" i="3"/>
  <c r="DJ191" i="3" s="1"/>
  <c r="DG191" i="3"/>
  <c r="DI191" i="3"/>
  <c r="DH191" i="3"/>
  <c r="DG144" i="3"/>
  <c r="DH144" i="3"/>
  <c r="DF144" i="3"/>
  <c r="DJ144" i="3" s="1"/>
  <c r="DI144" i="3"/>
  <c r="DF39" i="3"/>
  <c r="DH39" i="3"/>
  <c r="DI39" i="3"/>
  <c r="DG39" i="3"/>
  <c r="DJ39" i="3" s="1"/>
  <c r="CP296" i="1"/>
  <c r="O296" i="1" s="1"/>
  <c r="GM296" i="1" s="1"/>
  <c r="GN296" i="1" s="1"/>
  <c r="CP292" i="1"/>
  <c r="O292" i="1" s="1"/>
  <c r="GM292" i="1" s="1"/>
  <c r="GN292" i="1" s="1"/>
  <c r="CS287" i="1"/>
  <c r="AD287" i="1"/>
  <c r="AB218" i="1"/>
  <c r="CQ218" i="1"/>
  <c r="CS141" i="1"/>
  <c r="AD141" i="1"/>
  <c r="P119" i="1"/>
  <c r="AB119" i="1"/>
  <c r="CS104" i="1"/>
  <c r="R104" i="1"/>
  <c r="GK104" i="1" s="1"/>
  <c r="Q104" i="1"/>
  <c r="CR56" i="1"/>
  <c r="Q56" i="1"/>
  <c r="CS56" i="1"/>
  <c r="R56" i="1"/>
  <c r="GK56" i="1" s="1"/>
  <c r="CS49" i="1"/>
  <c r="Q49" i="1"/>
  <c r="AD49" i="1"/>
  <c r="AB49" i="1" s="1"/>
  <c r="R49" i="1"/>
  <c r="GK49" i="1" s="1"/>
  <c r="CR49" i="1"/>
  <c r="R41" i="1"/>
  <c r="GK41" i="1" s="1"/>
  <c r="AD41" i="1"/>
  <c r="AB41" i="1" s="1"/>
  <c r="Q41" i="1"/>
  <c r="CP41" i="1" s="1"/>
  <c r="O41" i="1" s="1"/>
  <c r="GM41" i="1" s="1"/>
  <c r="GN41" i="1" s="1"/>
  <c r="CR41" i="1"/>
  <c r="CS41" i="1"/>
  <c r="DI212" i="3"/>
  <c r="DF212" i="3"/>
  <c r="DJ212" i="3" s="1"/>
  <c r="DG212" i="3"/>
  <c r="CV179" i="3"/>
  <c r="CX179" i="3"/>
  <c r="DH167" i="3"/>
  <c r="DF167" i="3"/>
  <c r="DJ167" i="3" s="1"/>
  <c r="DG167" i="3"/>
  <c r="DI167" i="3"/>
  <c r="P353" i="1"/>
  <c r="CP353" i="1" s="1"/>
  <c r="O353" i="1" s="1"/>
  <c r="CR345" i="1"/>
  <c r="CS345" i="1"/>
  <c r="EH302" i="1"/>
  <c r="CQ283" i="1"/>
  <c r="P283" i="1"/>
  <c r="CP283" i="1" s="1"/>
  <c r="O283" i="1" s="1"/>
  <c r="GM283" i="1" s="1"/>
  <c r="GN283" i="1" s="1"/>
  <c r="CZ281" i="1"/>
  <c r="Y281" i="1" s="1"/>
  <c r="CY281" i="1"/>
  <c r="X281" i="1" s="1"/>
  <c r="CS220" i="1"/>
  <c r="AD220" i="1"/>
  <c r="AB220" i="1" s="1"/>
  <c r="CR220" i="1"/>
  <c r="AP95" i="1"/>
  <c r="F183" i="1"/>
  <c r="AD164" i="1"/>
  <c r="R164" i="1"/>
  <c r="GK164" i="1" s="1"/>
  <c r="CT137" i="1"/>
  <c r="S137" i="1"/>
  <c r="CP129" i="1"/>
  <c r="O129" i="1" s="1"/>
  <c r="S127" i="1"/>
  <c r="CT127" i="1"/>
  <c r="CY122" i="1"/>
  <c r="X122" i="1" s="1"/>
  <c r="GM122" i="1" s="1"/>
  <c r="GO122" i="1" s="1"/>
  <c r="CZ122" i="1"/>
  <c r="Y122" i="1" s="1"/>
  <c r="Q118" i="1"/>
  <c r="CP118" i="1" s="1"/>
  <c r="O118" i="1" s="1"/>
  <c r="GM118" i="1" s="1"/>
  <c r="GO118" i="1" s="1"/>
  <c r="R118" i="1"/>
  <c r="GK118" i="1" s="1"/>
  <c r="CR118" i="1"/>
  <c r="CS118" i="1"/>
  <c r="AD104" i="1"/>
  <c r="AB104" i="1" s="1"/>
  <c r="CY100" i="1"/>
  <c r="X100" i="1" s="1"/>
  <c r="P76" i="1"/>
  <c r="ET26" i="1"/>
  <c r="AD56" i="1"/>
  <c r="AB56" i="1" s="1"/>
  <c r="AB50" i="1"/>
  <c r="DG190" i="3"/>
  <c r="DF190" i="3"/>
  <c r="DJ190" i="3" s="1"/>
  <c r="DG170" i="3"/>
  <c r="DI170" i="3"/>
  <c r="DH170" i="3"/>
  <c r="DF170" i="3"/>
  <c r="DJ170" i="3" s="1"/>
  <c r="CV102" i="3"/>
  <c r="CX102" i="3"/>
  <c r="DF67" i="3"/>
  <c r="DI67" i="3"/>
  <c r="DG67" i="3"/>
  <c r="DJ67" i="3" s="1"/>
  <c r="DH67" i="3"/>
  <c r="P376" i="1"/>
  <c r="AB353" i="1"/>
  <c r="AD345" i="1"/>
  <c r="GX344" i="1"/>
  <c r="DY363" i="1"/>
  <c r="AB283" i="1"/>
  <c r="AD275" i="1"/>
  <c r="AB275" i="1" s="1"/>
  <c r="CY269" i="1"/>
  <c r="X269" i="1" s="1"/>
  <c r="GM269" i="1" s="1"/>
  <c r="GN269" i="1" s="1"/>
  <c r="CZ269" i="1"/>
  <c r="Y269" i="1" s="1"/>
  <c r="P226" i="1"/>
  <c r="CP226" i="1" s="1"/>
  <c r="O226" i="1" s="1"/>
  <c r="R222" i="1"/>
  <c r="GK222" i="1" s="1"/>
  <c r="GM222" i="1" s="1"/>
  <c r="GO222" i="1" s="1"/>
  <c r="CS222" i="1"/>
  <c r="AD222" i="1"/>
  <c r="AB222" i="1" s="1"/>
  <c r="P220" i="1"/>
  <c r="CP220" i="1" s="1"/>
  <c r="O220" i="1" s="1"/>
  <c r="CQ220" i="1"/>
  <c r="CP217" i="1"/>
  <c r="O217" i="1" s="1"/>
  <c r="GM217" i="1" s="1"/>
  <c r="GN217" i="1" s="1"/>
  <c r="AD216" i="1"/>
  <c r="AB216" i="1" s="1"/>
  <c r="CS361" i="1"/>
  <c r="GB363" i="1"/>
  <c r="CS337" i="1"/>
  <c r="CP298" i="1"/>
  <c r="O298" i="1" s="1"/>
  <c r="GM298" i="1" s="1"/>
  <c r="GN298" i="1" s="1"/>
  <c r="U296" i="1"/>
  <c r="CY290" i="1"/>
  <c r="X290" i="1" s="1"/>
  <c r="CP285" i="1"/>
  <c r="O285" i="1" s="1"/>
  <c r="GM285" i="1" s="1"/>
  <c r="GN285" i="1" s="1"/>
  <c r="CY270" i="1"/>
  <c r="X270" i="1" s="1"/>
  <c r="CZ270" i="1"/>
  <c r="Y270" i="1" s="1"/>
  <c r="GM270" i="1" s="1"/>
  <c r="GN270" i="1" s="1"/>
  <c r="CT226" i="1"/>
  <c r="S216" i="1"/>
  <c r="CP216" i="1" s="1"/>
  <c r="O216" i="1" s="1"/>
  <c r="CS215" i="1"/>
  <c r="CR215" i="1"/>
  <c r="Q215" i="1"/>
  <c r="P213" i="1"/>
  <c r="CP213" i="1" s="1"/>
  <c r="O213" i="1" s="1"/>
  <c r="CS212" i="1"/>
  <c r="AD212" i="1"/>
  <c r="R212" i="1"/>
  <c r="GK212" i="1" s="1"/>
  <c r="FR229" i="1"/>
  <c r="CS209" i="1"/>
  <c r="AD209" i="1"/>
  <c r="R209" i="1"/>
  <c r="CS164" i="1"/>
  <c r="R158" i="1"/>
  <c r="GK158" i="1" s="1"/>
  <c r="CR158" i="1"/>
  <c r="CS158" i="1"/>
  <c r="CQ149" i="1"/>
  <c r="AB149" i="1"/>
  <c r="CQ137" i="1"/>
  <c r="CS132" i="1"/>
  <c r="AD132" i="1"/>
  <c r="AD356" i="1"/>
  <c r="AB356" i="1" s="1"/>
  <c r="AB355" i="1"/>
  <c r="CQ353" i="1"/>
  <c r="S348" i="1"/>
  <c r="CQ347" i="1"/>
  <c r="AB347" i="1"/>
  <c r="CS346" i="1"/>
  <c r="CR337" i="1"/>
  <c r="GA302" i="1"/>
  <c r="CT300" i="1"/>
  <c r="V299" i="1"/>
  <c r="CR287" i="1"/>
  <c r="Q281" i="1"/>
  <c r="CP281" i="1" s="1"/>
  <c r="O281" i="1" s="1"/>
  <c r="GM281" i="1" s="1"/>
  <c r="GN281" i="1" s="1"/>
  <c r="R281" i="1"/>
  <c r="GK281" i="1" s="1"/>
  <c r="AD278" i="1"/>
  <c r="AB278" i="1" s="1"/>
  <c r="CR226" i="1"/>
  <c r="AD219" i="1"/>
  <c r="AB219" i="1" s="1"/>
  <c r="P218" i="1"/>
  <c r="CP218" i="1" s="1"/>
  <c r="O218" i="1" s="1"/>
  <c r="R216" i="1"/>
  <c r="GK216" i="1" s="1"/>
  <c r="AD215" i="1"/>
  <c r="AB215" i="1" s="1"/>
  <c r="AB212" i="1"/>
  <c r="P212" i="1"/>
  <c r="CP212" i="1" s="1"/>
  <c r="O212" i="1" s="1"/>
  <c r="CQ212" i="1"/>
  <c r="CQ210" i="1"/>
  <c r="CZ209" i="1"/>
  <c r="Y209" i="1" s="1"/>
  <c r="AB209" i="1"/>
  <c r="CQ209" i="1"/>
  <c r="BY95" i="1"/>
  <c r="CQ166" i="1"/>
  <c r="AB166" i="1"/>
  <c r="CR164" i="1"/>
  <c r="CQ161" i="1"/>
  <c r="AB161" i="1"/>
  <c r="AD158" i="1"/>
  <c r="AB158" i="1" s="1"/>
  <c r="CY151" i="1"/>
  <c r="X151" i="1" s="1"/>
  <c r="CZ151" i="1"/>
  <c r="Y151" i="1" s="1"/>
  <c r="CY146" i="1"/>
  <c r="X146" i="1" s="1"/>
  <c r="CZ146" i="1"/>
  <c r="Y146" i="1" s="1"/>
  <c r="R141" i="1"/>
  <c r="GK141" i="1" s="1"/>
  <c r="V132" i="1"/>
  <c r="EA174" i="1" s="1"/>
  <c r="AB132" i="1"/>
  <c r="CQ130" i="1"/>
  <c r="AB130" i="1"/>
  <c r="R129" i="1"/>
  <c r="GK129" i="1" s="1"/>
  <c r="CR129" i="1"/>
  <c r="Q129" i="1"/>
  <c r="S126" i="1"/>
  <c r="CT126" i="1"/>
  <c r="S120" i="1"/>
  <c r="CT120" i="1"/>
  <c r="CQ119" i="1"/>
  <c r="AD117" i="1"/>
  <c r="AB117" i="1" s="1"/>
  <c r="R117" i="1"/>
  <c r="GK117" i="1" s="1"/>
  <c r="CR117" i="1"/>
  <c r="Q117" i="1"/>
  <c r="CP117" i="1" s="1"/>
  <c r="O117" i="1" s="1"/>
  <c r="GM117" i="1" s="1"/>
  <c r="GO117" i="1" s="1"/>
  <c r="CQ114" i="1"/>
  <c r="AB114" i="1"/>
  <c r="P114" i="1"/>
  <c r="CZ109" i="1"/>
  <c r="Y109" i="1" s="1"/>
  <c r="CY109" i="1"/>
  <c r="X109" i="1" s="1"/>
  <c r="CR104" i="1"/>
  <c r="CR57" i="1"/>
  <c r="CS57" i="1"/>
  <c r="Q57" i="1"/>
  <c r="R57" i="1"/>
  <c r="GK57" i="1" s="1"/>
  <c r="U48" i="1"/>
  <c r="AD42" i="1"/>
  <c r="AB42" i="1" s="1"/>
  <c r="R40" i="1"/>
  <c r="GK40" i="1" s="1"/>
  <c r="CR39" i="1"/>
  <c r="BZ63" i="1"/>
  <c r="DF195" i="3"/>
  <c r="DJ195" i="3" s="1"/>
  <c r="DG195" i="3"/>
  <c r="DH195" i="3"/>
  <c r="DI195" i="3"/>
  <c r="DF147" i="3"/>
  <c r="DJ147" i="3" s="1"/>
  <c r="DI147" i="3"/>
  <c r="DH147" i="3"/>
  <c r="DG147" i="3"/>
  <c r="DG130" i="3"/>
  <c r="DJ130" i="3" s="1"/>
  <c r="DF130" i="3"/>
  <c r="DH130" i="3"/>
  <c r="DI130" i="3"/>
  <c r="CX35" i="3"/>
  <c r="CW35" i="3"/>
  <c r="DF24" i="3"/>
  <c r="DJ24" i="3" s="1"/>
  <c r="DI24" i="3"/>
  <c r="AB112" i="1"/>
  <c r="CY55" i="1"/>
  <c r="X55" i="1" s="1"/>
  <c r="CZ55" i="1"/>
  <c r="Y55" i="1" s="1"/>
  <c r="AB54" i="1"/>
  <c r="CQ54" i="1"/>
  <c r="R51" i="1"/>
  <c r="GK51" i="1" s="1"/>
  <c r="CR51" i="1"/>
  <c r="AD51" i="1"/>
  <c r="GX30" i="1"/>
  <c r="T30" i="1"/>
  <c r="CX177" i="3"/>
  <c r="CV177" i="3"/>
  <c r="CX113" i="3"/>
  <c r="CV113" i="3"/>
  <c r="DI94" i="3"/>
  <c r="DJ94" i="3" s="1"/>
  <c r="DF94" i="3"/>
  <c r="DG94" i="3"/>
  <c r="CV74" i="3"/>
  <c r="CX74" i="3"/>
  <c r="DG61" i="3"/>
  <c r="DJ61" i="3" s="1"/>
  <c r="DF61" i="3"/>
  <c r="DH61" i="3"/>
  <c r="DI61" i="3"/>
  <c r="DF1" i="3"/>
  <c r="DH1" i="3"/>
  <c r="DG1" i="3"/>
  <c r="DI1" i="3"/>
  <c r="DJ1" i="3" s="1"/>
  <c r="R355" i="1"/>
  <c r="GK355" i="1" s="1"/>
  <c r="R353" i="1"/>
  <c r="GK353" i="1" s="1"/>
  <c r="P351" i="1"/>
  <c r="CP351" i="1" s="1"/>
  <c r="O351" i="1" s="1"/>
  <c r="P349" i="1"/>
  <c r="R342" i="1"/>
  <c r="GK342" i="1" s="1"/>
  <c r="S293" i="1"/>
  <c r="P171" i="1"/>
  <c r="CP171" i="1" s="1"/>
  <c r="O171" i="1" s="1"/>
  <c r="CQ155" i="1"/>
  <c r="AB155" i="1"/>
  <c r="CS151" i="1"/>
  <c r="AD151" i="1"/>
  <c r="AB151" i="1" s="1"/>
  <c r="R146" i="1"/>
  <c r="GK146" i="1" s="1"/>
  <c r="Q146" i="1"/>
  <c r="CP146" i="1" s="1"/>
  <c r="O146" i="1" s="1"/>
  <c r="GM146" i="1" s="1"/>
  <c r="GO146" i="1" s="1"/>
  <c r="T132" i="1"/>
  <c r="DY174" i="1" s="1"/>
  <c r="P131" i="1"/>
  <c r="AD121" i="1"/>
  <c r="AB121" i="1" s="1"/>
  <c r="R121" i="1"/>
  <c r="GK121" i="1" s="1"/>
  <c r="Q121" i="1"/>
  <c r="CP121" i="1" s="1"/>
  <c r="O121" i="1" s="1"/>
  <c r="GM121" i="1" s="1"/>
  <c r="GO121" i="1" s="1"/>
  <c r="AD116" i="1"/>
  <c r="AB116" i="1" s="1"/>
  <c r="CQ51" i="1"/>
  <c r="AB51" i="1"/>
  <c r="S35" i="1"/>
  <c r="AB35" i="1"/>
  <c r="CT35" i="1"/>
  <c r="CD63" i="1"/>
  <c r="S30" i="1"/>
  <c r="CT30" i="1"/>
  <c r="I32" i="1"/>
  <c r="DF178" i="3"/>
  <c r="DG178" i="3"/>
  <c r="DH178" i="3"/>
  <c r="DI178" i="3"/>
  <c r="DJ178" i="3" s="1"/>
  <c r="DH143" i="3"/>
  <c r="DG143" i="3"/>
  <c r="DJ143" i="3" s="1"/>
  <c r="DI143" i="3"/>
  <c r="DF143" i="3"/>
  <c r="DH80" i="3"/>
  <c r="DG80" i="3"/>
  <c r="DF80" i="3"/>
  <c r="DJ80" i="3" s="1"/>
  <c r="DI80" i="3"/>
  <c r="CX28" i="3"/>
  <c r="CS113" i="1"/>
  <c r="AD113" i="1"/>
  <c r="AB113" i="1" s="1"/>
  <c r="CR113" i="1"/>
  <c r="CS103" i="1"/>
  <c r="R103" i="1"/>
  <c r="GK103" i="1" s="1"/>
  <c r="CS99" i="1"/>
  <c r="AD99" i="1"/>
  <c r="Q99" i="1"/>
  <c r="CP99" i="1" s="1"/>
  <c r="O99" i="1" s="1"/>
  <c r="AO63" i="1"/>
  <c r="BX26" i="1"/>
  <c r="CT48" i="1"/>
  <c r="S48" i="1"/>
  <c r="CS30" i="1"/>
  <c r="CR30" i="1"/>
  <c r="DF211" i="3"/>
  <c r="DJ211" i="3" s="1"/>
  <c r="DG211" i="3"/>
  <c r="DG186" i="3"/>
  <c r="DH186" i="3"/>
  <c r="DI186" i="3"/>
  <c r="DF186" i="3"/>
  <c r="DJ186" i="3" s="1"/>
  <c r="DG146" i="3"/>
  <c r="DF146" i="3"/>
  <c r="DJ146" i="3" s="1"/>
  <c r="DH146" i="3"/>
  <c r="DH140" i="3"/>
  <c r="DG140" i="3"/>
  <c r="DI140" i="3"/>
  <c r="DJ140" i="3" s="1"/>
  <c r="DF140" i="3"/>
  <c r="DH132" i="3"/>
  <c r="DG132" i="3"/>
  <c r="DJ132" i="3" s="1"/>
  <c r="DF132" i="3"/>
  <c r="DI132" i="3"/>
  <c r="DH72" i="3"/>
  <c r="DF72" i="3"/>
  <c r="DJ72" i="3" s="1"/>
  <c r="DI72" i="3"/>
  <c r="DG72" i="3"/>
  <c r="DF57" i="3"/>
  <c r="DG57" i="3"/>
  <c r="DJ57" i="3" s="1"/>
  <c r="DH57" i="3"/>
  <c r="DI57" i="3"/>
  <c r="Q355" i="1"/>
  <c r="CP355" i="1" s="1"/>
  <c r="O355" i="1" s="1"/>
  <c r="GM355" i="1" s="1"/>
  <c r="GN355" i="1" s="1"/>
  <c r="CQ287" i="1"/>
  <c r="AB287" i="1"/>
  <c r="CS223" i="1"/>
  <c r="AD223" i="1"/>
  <c r="CS159" i="1"/>
  <c r="CR159" i="1"/>
  <c r="CQ151" i="1"/>
  <c r="P151" i="1"/>
  <c r="CP151" i="1" s="1"/>
  <c r="O151" i="1" s="1"/>
  <c r="GM151" i="1" s="1"/>
  <c r="GO151" i="1" s="1"/>
  <c r="CQ141" i="1"/>
  <c r="AB141" i="1"/>
  <c r="R138" i="1"/>
  <c r="GK138" i="1" s="1"/>
  <c r="CR138" i="1"/>
  <c r="AB223" i="1"/>
  <c r="P223" i="1"/>
  <c r="CP223" i="1" s="1"/>
  <c r="O223" i="1" s="1"/>
  <c r="GM223" i="1" s="1"/>
  <c r="GO223" i="1" s="1"/>
  <c r="R217" i="1"/>
  <c r="GK217" i="1" s="1"/>
  <c r="CR217" i="1"/>
  <c r="AD211" i="1"/>
  <c r="GX210" i="1"/>
  <c r="CJ229" i="1" s="1"/>
  <c r="R162" i="1"/>
  <c r="GK162" i="1" s="1"/>
  <c r="CR162" i="1"/>
  <c r="AD159" i="1"/>
  <c r="CS147" i="1"/>
  <c r="R147" i="1"/>
  <c r="GK147" i="1" s="1"/>
  <c r="AD138" i="1"/>
  <c r="AB138" i="1" s="1"/>
  <c r="AD128" i="1"/>
  <c r="AB128" i="1" s="1"/>
  <c r="CY123" i="1"/>
  <c r="X123" i="1" s="1"/>
  <c r="P113" i="1"/>
  <c r="CP113" i="1" s="1"/>
  <c r="O113" i="1" s="1"/>
  <c r="P109" i="1"/>
  <c r="CP109" i="1" s="1"/>
  <c r="O109" i="1" s="1"/>
  <c r="GM109" i="1" s="1"/>
  <c r="GO109" i="1" s="1"/>
  <c r="AB108" i="1"/>
  <c r="CQ107" i="1"/>
  <c r="P107" i="1"/>
  <c r="CP107" i="1" s="1"/>
  <c r="O107" i="1" s="1"/>
  <c r="GM107" i="1" s="1"/>
  <c r="GO107" i="1" s="1"/>
  <c r="AD103" i="1"/>
  <c r="AB103" i="1" s="1"/>
  <c r="AB99" i="1"/>
  <c r="AJ174" i="1"/>
  <c r="S44" i="1"/>
  <c r="R34" i="1"/>
  <c r="GK34" i="1" s="1"/>
  <c r="CR34" i="1"/>
  <c r="CS34" i="1"/>
  <c r="AD34" i="1"/>
  <c r="AB34" i="1" s="1"/>
  <c r="AD30" i="1"/>
  <c r="AB30" i="1" s="1"/>
  <c r="DH183" i="3"/>
  <c r="DF183" i="3"/>
  <c r="DG183" i="3"/>
  <c r="DI183" i="3"/>
  <c r="DJ183" i="3" s="1"/>
  <c r="CV151" i="3"/>
  <c r="CX151" i="3"/>
  <c r="DH22" i="3"/>
  <c r="DG22" i="3"/>
  <c r="DI22" i="3"/>
  <c r="DF22" i="3"/>
  <c r="DJ22" i="3" s="1"/>
  <c r="CQ208" i="1"/>
  <c r="AB208" i="1"/>
  <c r="AD171" i="1"/>
  <c r="AB171" i="1" s="1"/>
  <c r="R171" i="1"/>
  <c r="GK171" i="1" s="1"/>
  <c r="CQ157" i="1"/>
  <c r="AB157" i="1"/>
  <c r="CU116" i="3"/>
  <c r="CV116" i="3"/>
  <c r="CX116" i="3"/>
  <c r="CQ128" i="1"/>
  <c r="AD125" i="1"/>
  <c r="R125" i="1"/>
  <c r="GK125" i="1" s="1"/>
  <c r="CS111" i="1"/>
  <c r="AD111" i="1"/>
  <c r="EV63" i="1"/>
  <c r="BD63" i="1"/>
  <c r="K33" i="1"/>
  <c r="CU2" i="3"/>
  <c r="I33" i="1"/>
  <c r="CV2" i="3"/>
  <c r="CX2" i="3"/>
  <c r="Q29" i="1"/>
  <c r="DF193" i="3"/>
  <c r="DJ193" i="3" s="1"/>
  <c r="DG193" i="3"/>
  <c r="DI193" i="3"/>
  <c r="DF93" i="3"/>
  <c r="DG93" i="3"/>
  <c r="DH93" i="3"/>
  <c r="DI93" i="3"/>
  <c r="DJ93" i="3" s="1"/>
  <c r="CX75" i="3"/>
  <c r="CW75" i="3"/>
  <c r="DI200" i="3"/>
  <c r="DG200" i="3"/>
  <c r="DF200" i="3"/>
  <c r="DJ200" i="3" s="1"/>
  <c r="DH200" i="3"/>
  <c r="DI197" i="3"/>
  <c r="DF197" i="3"/>
  <c r="DJ197" i="3" s="1"/>
  <c r="DG197" i="3"/>
  <c r="DH197" i="3"/>
  <c r="CX180" i="3"/>
  <c r="CV180" i="3"/>
  <c r="DF157" i="3"/>
  <c r="DJ157" i="3" s="1"/>
  <c r="DI157" i="3"/>
  <c r="DG157" i="3"/>
  <c r="DH157" i="3"/>
  <c r="DG41" i="3"/>
  <c r="DH41" i="3"/>
  <c r="DI41" i="3"/>
  <c r="DJ41" i="3" s="1"/>
  <c r="DI36" i="3"/>
  <c r="DF36" i="3"/>
  <c r="DG36" i="3"/>
  <c r="DJ36" i="3" s="1"/>
  <c r="DI10" i="3"/>
  <c r="DH10" i="3"/>
  <c r="DG10" i="3"/>
  <c r="DJ10" i="3" s="1"/>
  <c r="DF10" i="3"/>
  <c r="CQ153" i="1"/>
  <c r="AB153" i="1"/>
  <c r="CQ133" i="1"/>
  <c r="AB133" i="1"/>
  <c r="AD123" i="1"/>
  <c r="R123" i="1"/>
  <c r="GK123" i="1" s="1"/>
  <c r="CS109" i="1"/>
  <c r="AD109" i="1"/>
  <c r="AB109" i="1" s="1"/>
  <c r="CS108" i="1"/>
  <c r="Q108" i="1"/>
  <c r="CP108" i="1" s="1"/>
  <c r="O108" i="1" s="1"/>
  <c r="GM108" i="1" s="1"/>
  <c r="GO108" i="1" s="1"/>
  <c r="CS106" i="1"/>
  <c r="CR106" i="1"/>
  <c r="BB63" i="1"/>
  <c r="CY60" i="1"/>
  <c r="X60" i="1" s="1"/>
  <c r="CZ60" i="1"/>
  <c r="Y60" i="1" s="1"/>
  <c r="CP46" i="1"/>
  <c r="O46" i="1" s="1"/>
  <c r="GM46" i="1" s="1"/>
  <c r="GN46" i="1" s="1"/>
  <c r="S42" i="1"/>
  <c r="CT42" i="1"/>
  <c r="U30" i="1"/>
  <c r="AH63" i="1" s="1"/>
  <c r="CZ28" i="1"/>
  <c r="Y28" i="1" s="1"/>
  <c r="DI181" i="3"/>
  <c r="DJ181" i="3" s="1"/>
  <c r="DF181" i="3"/>
  <c r="DG181" i="3"/>
  <c r="CV176" i="3"/>
  <c r="CX176" i="3"/>
  <c r="DI166" i="3"/>
  <c r="DH166" i="3"/>
  <c r="DG166" i="3"/>
  <c r="DI125" i="3"/>
  <c r="DJ125" i="3" s="1"/>
  <c r="DH125" i="3"/>
  <c r="DG125" i="3"/>
  <c r="CX107" i="3"/>
  <c r="CV107" i="3"/>
  <c r="CW79" i="3"/>
  <c r="CX79" i="3"/>
  <c r="CX48" i="3"/>
  <c r="CW30" i="3"/>
  <c r="AB106" i="1"/>
  <c r="CZ41" i="1"/>
  <c r="Y41" i="1" s="1"/>
  <c r="CY41" i="1"/>
  <c r="X41" i="1" s="1"/>
  <c r="P40" i="1"/>
  <c r="CP40" i="1" s="1"/>
  <c r="O40" i="1" s="1"/>
  <c r="AB40" i="1"/>
  <c r="W39" i="1"/>
  <c r="CU17" i="3"/>
  <c r="Q36" i="1"/>
  <c r="CP36" i="1" s="1"/>
  <c r="O36" i="1" s="1"/>
  <c r="R35" i="1"/>
  <c r="GK35" i="1" s="1"/>
  <c r="W30" i="1"/>
  <c r="CX185" i="3"/>
  <c r="CW185" i="3"/>
  <c r="DF171" i="3"/>
  <c r="DJ171" i="3" s="1"/>
  <c r="DI171" i="3"/>
  <c r="CW154" i="3"/>
  <c r="CX141" i="3"/>
  <c r="CW141" i="3"/>
  <c r="DH127" i="3"/>
  <c r="DF127" i="3"/>
  <c r="DG127" i="3"/>
  <c r="CX115" i="3"/>
  <c r="CV115" i="3"/>
  <c r="CX51" i="3"/>
  <c r="CV19" i="3"/>
  <c r="CX19" i="3"/>
  <c r="CW20" i="3"/>
  <c r="S37" i="1"/>
  <c r="U35" i="1"/>
  <c r="AB33" i="1"/>
  <c r="P33" i="1"/>
  <c r="V30" i="1"/>
  <c r="AI63" i="1" s="1"/>
  <c r="AD29" i="1"/>
  <c r="AB29" i="1" s="1"/>
  <c r="CR29" i="1"/>
  <c r="CS29" i="1"/>
  <c r="R29" i="1"/>
  <c r="DF203" i="3"/>
  <c r="DJ203" i="3" s="1"/>
  <c r="DH203" i="3"/>
  <c r="DI196" i="3"/>
  <c r="DF196" i="3"/>
  <c r="DJ196" i="3" s="1"/>
  <c r="DG196" i="3"/>
  <c r="DH196" i="3"/>
  <c r="DG154" i="3"/>
  <c r="DJ154" i="3" s="1"/>
  <c r="DF154" i="3"/>
  <c r="DI154" i="3"/>
  <c r="DF145" i="3"/>
  <c r="DJ145" i="3" s="1"/>
  <c r="DH145" i="3"/>
  <c r="DG145" i="3"/>
  <c r="DI138" i="3"/>
  <c r="DF138" i="3"/>
  <c r="DJ138" i="3" s="1"/>
  <c r="DH138" i="3"/>
  <c r="DG138" i="3"/>
  <c r="CX69" i="3"/>
  <c r="CW69" i="3"/>
  <c r="CX16" i="3"/>
  <c r="CV16" i="3"/>
  <c r="AB102" i="1"/>
  <c r="AD61" i="1"/>
  <c r="AB61" i="1" s="1"/>
  <c r="P60" i="1"/>
  <c r="CP60" i="1" s="1"/>
  <c r="O60" i="1" s="1"/>
  <c r="AB60" i="1"/>
  <c r="AB58" i="1"/>
  <c r="AD55" i="1"/>
  <c r="AB55" i="1" s="1"/>
  <c r="S49" i="1"/>
  <c r="CT49" i="1"/>
  <c r="CS38" i="1"/>
  <c r="AD38" i="1"/>
  <c r="AB38" i="1" s="1"/>
  <c r="AB36" i="1"/>
  <c r="P35" i="1"/>
  <c r="CP35" i="1" s="1"/>
  <c r="O35" i="1" s="1"/>
  <c r="CU7" i="3"/>
  <c r="CX9" i="3"/>
  <c r="S31" i="1"/>
  <c r="CQ29" i="1"/>
  <c r="P29" i="1"/>
  <c r="DF174" i="3"/>
  <c r="DI174" i="3"/>
  <c r="DJ174" i="3" s="1"/>
  <c r="DH159" i="3"/>
  <c r="DG159" i="3"/>
  <c r="DI159" i="3"/>
  <c r="DF159" i="3"/>
  <c r="DJ159" i="3" s="1"/>
  <c r="DF117" i="3"/>
  <c r="DH117" i="3"/>
  <c r="DG117" i="3"/>
  <c r="CV106" i="3"/>
  <c r="CX106" i="3"/>
  <c r="CX103" i="3"/>
  <c r="CV103" i="3"/>
  <c r="DG73" i="3"/>
  <c r="DI73" i="3"/>
  <c r="DH73" i="3"/>
  <c r="CX32" i="3"/>
  <c r="DG23" i="3"/>
  <c r="DI23" i="3"/>
  <c r="CX8" i="3"/>
  <c r="DI54" i="3"/>
  <c r="DG54" i="3"/>
  <c r="DJ54" i="3" s="1"/>
  <c r="R37" i="1"/>
  <c r="GK37" i="1" s="1"/>
  <c r="CR37" i="1"/>
  <c r="DI168" i="3"/>
  <c r="DH168" i="3"/>
  <c r="DF168" i="3"/>
  <c r="DJ168" i="3" s="1"/>
  <c r="DF162" i="3"/>
  <c r="DI162" i="3"/>
  <c r="DJ162" i="3" s="1"/>
  <c r="DI121" i="3"/>
  <c r="DJ121" i="3" s="1"/>
  <c r="DF121" i="3"/>
  <c r="DH121" i="3"/>
  <c r="DI62" i="3"/>
  <c r="DH62" i="3"/>
  <c r="DG62" i="3"/>
  <c r="DJ62" i="3" s="1"/>
  <c r="CU50" i="3"/>
  <c r="CW44" i="3"/>
  <c r="CX44" i="3"/>
  <c r="DF40" i="3"/>
  <c r="DH40" i="3"/>
  <c r="DI40" i="3"/>
  <c r="DG40" i="3"/>
  <c r="DJ40" i="3" s="1"/>
  <c r="CV25" i="3"/>
  <c r="DG199" i="3"/>
  <c r="DF199" i="3"/>
  <c r="DJ199" i="3" s="1"/>
  <c r="DH199" i="3"/>
  <c r="CX111" i="3"/>
  <c r="CV111" i="3"/>
  <c r="CX50" i="3"/>
  <c r="CV50" i="3"/>
  <c r="CX30" i="3"/>
  <c r="DG33" i="3"/>
  <c r="DI33" i="3"/>
  <c r="DJ33" i="3" s="1"/>
  <c r="DF33" i="3"/>
  <c r="DH33" i="3"/>
  <c r="P32" i="1"/>
  <c r="R28" i="1"/>
  <c r="CS28" i="1"/>
  <c r="CR28" i="1"/>
  <c r="DH175" i="3"/>
  <c r="DI175" i="3"/>
  <c r="DJ175" i="3" s="1"/>
  <c r="DH78" i="3"/>
  <c r="DF78" i="3"/>
  <c r="DF66" i="3"/>
  <c r="DH66" i="3"/>
  <c r="DI66" i="3"/>
  <c r="DG66" i="3"/>
  <c r="DJ66" i="3" s="1"/>
  <c r="CX27" i="3"/>
  <c r="CX15" i="3"/>
  <c r="CV15" i="3"/>
  <c r="DG202" i="3"/>
  <c r="DH202" i="3"/>
  <c r="CX189" i="3"/>
  <c r="DH172" i="3"/>
  <c r="DF172" i="3"/>
  <c r="DJ172" i="3" s="1"/>
  <c r="CX164" i="3"/>
  <c r="DF142" i="3"/>
  <c r="DH142" i="3"/>
  <c r="DG142" i="3"/>
  <c r="DJ142" i="3" s="1"/>
  <c r="CV97" i="3"/>
  <c r="CX97" i="3"/>
  <c r="DG86" i="3"/>
  <c r="DI86" i="3"/>
  <c r="DJ86" i="3" s="1"/>
  <c r="DF85" i="3"/>
  <c r="DH85" i="3"/>
  <c r="DF42" i="3"/>
  <c r="DI42" i="3"/>
  <c r="DH38" i="3"/>
  <c r="DI38" i="3"/>
  <c r="DG38" i="3"/>
  <c r="DJ38" i="3" s="1"/>
  <c r="CX21" i="3"/>
  <c r="CV21" i="3"/>
  <c r="CV13" i="3"/>
  <c r="S39" i="1"/>
  <c r="CS36" i="1"/>
  <c r="CR36" i="1"/>
  <c r="AD33" i="1"/>
  <c r="W32" i="1"/>
  <c r="DF135" i="3"/>
  <c r="DJ135" i="3" s="1"/>
  <c r="DG135" i="3"/>
  <c r="DF122" i="3"/>
  <c r="DH122" i="3"/>
  <c r="DG122" i="3"/>
  <c r="CX119" i="3"/>
  <c r="CV119" i="3"/>
  <c r="DI100" i="3"/>
  <c r="DJ100" i="3" s="1"/>
  <c r="DF100" i="3"/>
  <c r="DI95" i="3"/>
  <c r="DJ95" i="3" s="1"/>
  <c r="DG95" i="3"/>
  <c r="DF91" i="3"/>
  <c r="DG91" i="3"/>
  <c r="CX83" i="3"/>
  <c r="CV83" i="3"/>
  <c r="CX64" i="3"/>
  <c r="DI37" i="3"/>
  <c r="DJ37" i="3" s="1"/>
  <c r="DG37" i="3"/>
  <c r="DF101" i="3"/>
  <c r="DH101" i="3"/>
  <c r="DG101" i="3"/>
  <c r="DI101" i="3"/>
  <c r="DJ101" i="3" s="1"/>
  <c r="DH65" i="3"/>
  <c r="DG65" i="3"/>
  <c r="DI65" i="3"/>
  <c r="DJ65" i="3" s="1"/>
  <c r="DF65" i="3"/>
  <c r="CX25" i="3"/>
  <c r="CX7" i="3"/>
  <c r="R31" i="1"/>
  <c r="GK31" i="1" s="1"/>
  <c r="AD31" i="1"/>
  <c r="AB31" i="1" s="1"/>
  <c r="DI71" i="3"/>
  <c r="DF71" i="3"/>
  <c r="DJ71" i="3" s="1"/>
  <c r="DG71" i="3"/>
  <c r="CW8" i="3"/>
  <c r="CX187" i="3"/>
  <c r="CV187" i="3"/>
  <c r="CX20" i="3"/>
  <c r="CV17" i="3"/>
  <c r="CX17" i="3"/>
  <c r="CW14" i="3"/>
  <c r="CW9" i="3"/>
  <c r="CX3" i="3"/>
  <c r="DI128" i="3"/>
  <c r="DJ128" i="3" s="1"/>
  <c r="DF128" i="3"/>
  <c r="DF126" i="3"/>
  <c r="DH126" i="3"/>
  <c r="CX124" i="3"/>
  <c r="CV124" i="3"/>
  <c r="CX120" i="3"/>
  <c r="CV120" i="3"/>
  <c r="DI112" i="3"/>
  <c r="DJ112" i="3" s="1"/>
  <c r="DF112" i="3"/>
  <c r="DG112" i="3"/>
  <c r="CX58" i="3"/>
  <c r="CW58" i="3"/>
  <c r="CX31" i="3"/>
  <c r="CW31" i="3"/>
  <c r="CW46" i="3"/>
  <c r="CV45" i="3"/>
  <c r="CW12" i="3"/>
  <c r="CX99" i="3"/>
  <c r="CV99" i="3"/>
  <c r="CX47" i="3"/>
  <c r="DI96" i="3"/>
  <c r="DJ96" i="3" s="1"/>
  <c r="DF96" i="3"/>
  <c r="CW54" i="3"/>
  <c r="CW53" i="3"/>
  <c r="CX18" i="3"/>
  <c r="H164" i="7" l="1"/>
  <c r="J164" i="7"/>
  <c r="J122" i="7"/>
  <c r="J188" i="7"/>
  <c r="H122" i="7"/>
  <c r="H188" i="7"/>
  <c r="AG265" i="1"/>
  <c r="T302" i="1"/>
  <c r="DV206" i="1"/>
  <c r="DI229" i="1"/>
  <c r="DZ334" i="1"/>
  <c r="DM363" i="1"/>
  <c r="ES229" i="1"/>
  <c r="GB206" i="1"/>
  <c r="AD63" i="1"/>
  <c r="GM336" i="1"/>
  <c r="AB363" i="1"/>
  <c r="W302" i="1"/>
  <c r="AJ265" i="1"/>
  <c r="DI363" i="1"/>
  <c r="DV334" i="1"/>
  <c r="DY95" i="1"/>
  <c r="DL174" i="1"/>
  <c r="U363" i="1"/>
  <c r="AH334" i="1"/>
  <c r="AH26" i="1"/>
  <c r="U63" i="1"/>
  <c r="AZ174" i="1"/>
  <c r="CI95" i="1"/>
  <c r="DZ265" i="1"/>
  <c r="DM302" i="1"/>
  <c r="DN229" i="1"/>
  <c r="EA206" i="1"/>
  <c r="AH206" i="1"/>
  <c r="U229" i="1"/>
  <c r="AJ26" i="1"/>
  <c r="W63" i="1"/>
  <c r="GB95" i="1"/>
  <c r="ES174" i="1"/>
  <c r="BA363" i="1"/>
  <c r="CJ334" i="1"/>
  <c r="EA95" i="1"/>
  <c r="DN174" i="1"/>
  <c r="GM216" i="1"/>
  <c r="GN216" i="1" s="1"/>
  <c r="GM157" i="1"/>
  <c r="GO157" i="1" s="1"/>
  <c r="EB334" i="1"/>
  <c r="DO363" i="1"/>
  <c r="V363" i="1"/>
  <c r="AI334" i="1"/>
  <c r="DN302" i="1"/>
  <c r="EA265" i="1"/>
  <c r="GM47" i="1"/>
  <c r="GN47" i="1" s="1"/>
  <c r="DO302" i="1"/>
  <c r="EB265" i="1"/>
  <c r="AI206" i="1"/>
  <c r="V229" i="1"/>
  <c r="DN363" i="1"/>
  <c r="EA334" i="1"/>
  <c r="DF119" i="3"/>
  <c r="DG119" i="3"/>
  <c r="DH119" i="3"/>
  <c r="DI119" i="3"/>
  <c r="DJ119" i="3" s="1"/>
  <c r="DH27" i="3"/>
  <c r="DG27" i="3"/>
  <c r="DI27" i="3"/>
  <c r="DF27" i="3"/>
  <c r="DJ27" i="3" s="1"/>
  <c r="GM36" i="1"/>
  <c r="GN36" i="1" s="1"/>
  <c r="EK174" i="1"/>
  <c r="FT95" i="1"/>
  <c r="ER229" i="1"/>
  <c r="GA206" i="1"/>
  <c r="CY299" i="1"/>
  <c r="X299" i="1" s="1"/>
  <c r="CZ299" i="1"/>
  <c r="Y299" i="1" s="1"/>
  <c r="CY131" i="1"/>
  <c r="X131" i="1" s="1"/>
  <c r="CZ131" i="1"/>
  <c r="Y131" i="1" s="1"/>
  <c r="CY157" i="1"/>
  <c r="X157" i="1" s="1"/>
  <c r="CZ157" i="1"/>
  <c r="Y157" i="1" s="1"/>
  <c r="T229" i="1"/>
  <c r="AG206" i="1"/>
  <c r="GM132" i="1"/>
  <c r="GO132" i="1" s="1"/>
  <c r="DF21" i="3"/>
  <c r="DI21" i="3"/>
  <c r="DJ21" i="3" s="1"/>
  <c r="DG21" i="3"/>
  <c r="DH21" i="3"/>
  <c r="GM103" i="1"/>
  <c r="GO103" i="1" s="1"/>
  <c r="AO206" i="1"/>
  <c r="F233" i="1"/>
  <c r="P418" i="1"/>
  <c r="EV261" i="1"/>
  <c r="AX174" i="1"/>
  <c r="CG95" i="1"/>
  <c r="CZ288" i="1"/>
  <c r="Y288" i="1" s="1"/>
  <c r="CY288" i="1"/>
  <c r="X288" i="1" s="1"/>
  <c r="DH7" i="3"/>
  <c r="DG7" i="3"/>
  <c r="DF7" i="3"/>
  <c r="DI7" i="3"/>
  <c r="DJ7" i="3" s="1"/>
  <c r="DW174" i="1"/>
  <c r="GK100" i="1"/>
  <c r="DI26" i="3"/>
  <c r="DF26" i="3"/>
  <c r="DJ26" i="3" s="1"/>
  <c r="DG26" i="3"/>
  <c r="DH26" i="3"/>
  <c r="DI52" i="3"/>
  <c r="DH52" i="3"/>
  <c r="DF52" i="3"/>
  <c r="DG52" i="3"/>
  <c r="DJ52" i="3" s="1"/>
  <c r="CI206" i="1"/>
  <c r="AZ229" i="1"/>
  <c r="AJ206" i="1"/>
  <c r="W229" i="1"/>
  <c r="DF25" i="3"/>
  <c r="DG25" i="3"/>
  <c r="DH25" i="3"/>
  <c r="DI25" i="3"/>
  <c r="DJ25" i="3" s="1"/>
  <c r="DH32" i="3"/>
  <c r="DG32" i="3"/>
  <c r="DJ32" i="3" s="1"/>
  <c r="DF32" i="3"/>
  <c r="DI32" i="3"/>
  <c r="ES363" i="1"/>
  <c r="GB334" i="1"/>
  <c r="DF213" i="3"/>
  <c r="DG213" i="3"/>
  <c r="DH213" i="3"/>
  <c r="DI213" i="3"/>
  <c r="DJ213" i="3" s="1"/>
  <c r="CY278" i="1"/>
  <c r="X278" i="1" s="1"/>
  <c r="CZ278" i="1"/>
  <c r="Y278" i="1" s="1"/>
  <c r="CP278" i="1"/>
  <c r="O278" i="1" s="1"/>
  <c r="GM278" i="1" s="1"/>
  <c r="GN278" i="1" s="1"/>
  <c r="CZ164" i="1"/>
  <c r="Y164" i="1" s="1"/>
  <c r="CY164" i="1"/>
  <c r="X164" i="1" s="1"/>
  <c r="AD363" i="1"/>
  <c r="EG95" i="1"/>
  <c r="EG423" i="1"/>
  <c r="P178" i="1"/>
  <c r="GM291" i="1"/>
  <c r="GN291" i="1" s="1"/>
  <c r="CD334" i="1"/>
  <c r="AU363" i="1"/>
  <c r="CY357" i="1"/>
  <c r="X357" i="1" s="1"/>
  <c r="GM357" i="1" s="1"/>
  <c r="GN357" i="1" s="1"/>
  <c r="CZ357" i="1"/>
  <c r="Y357" i="1" s="1"/>
  <c r="DZ95" i="1"/>
  <c r="DM174" i="1"/>
  <c r="DI99" i="3"/>
  <c r="DJ99" i="3" s="1"/>
  <c r="DF99" i="3"/>
  <c r="DG99" i="3"/>
  <c r="DH99" i="3"/>
  <c r="DG20" i="3"/>
  <c r="DJ20" i="3" s="1"/>
  <c r="DI20" i="3"/>
  <c r="DH20" i="3"/>
  <c r="DF20" i="3"/>
  <c r="DH141" i="3"/>
  <c r="DI141" i="3"/>
  <c r="DF141" i="3"/>
  <c r="DG141" i="3"/>
  <c r="DJ141" i="3" s="1"/>
  <c r="CY127" i="1"/>
  <c r="X127" i="1" s="1"/>
  <c r="CZ127" i="1"/>
  <c r="Y127" i="1" s="1"/>
  <c r="CP127" i="1"/>
  <c r="O127" i="1" s="1"/>
  <c r="GM127" i="1" s="1"/>
  <c r="GO127" i="1" s="1"/>
  <c r="DH179" i="3"/>
  <c r="DI179" i="3"/>
  <c r="DJ179" i="3" s="1"/>
  <c r="DF179" i="3"/>
  <c r="DG179" i="3"/>
  <c r="FV26" i="1"/>
  <c r="EM63" i="1"/>
  <c r="GM359" i="1"/>
  <c r="GN359" i="1" s="1"/>
  <c r="DH87" i="3"/>
  <c r="DG87" i="3"/>
  <c r="DF87" i="3"/>
  <c r="DI87" i="3"/>
  <c r="DJ87" i="3" s="1"/>
  <c r="F242" i="1"/>
  <c r="BB206" i="1"/>
  <c r="V174" i="1"/>
  <c r="AI95" i="1"/>
  <c r="F315" i="1"/>
  <c r="BB393" i="1"/>
  <c r="BB265" i="1"/>
  <c r="CY361" i="1"/>
  <c r="X361" i="1" s="1"/>
  <c r="CZ361" i="1"/>
  <c r="Y361" i="1" s="1"/>
  <c r="FR334" i="1"/>
  <c r="FY363" i="1"/>
  <c r="EI363" i="1"/>
  <c r="GA363" i="1"/>
  <c r="CY101" i="1"/>
  <c r="X101" i="1" s="1"/>
  <c r="AK174" i="1" s="1"/>
  <c r="CZ101" i="1"/>
  <c r="Y101" i="1" s="1"/>
  <c r="AL174" i="1" s="1"/>
  <c r="AF174" i="1"/>
  <c r="F311" i="1"/>
  <c r="AP265" i="1"/>
  <c r="AP393" i="1"/>
  <c r="DF45" i="3"/>
  <c r="DG45" i="3"/>
  <c r="DH45" i="3"/>
  <c r="DI45" i="3"/>
  <c r="DJ45" i="3" s="1"/>
  <c r="CY344" i="1"/>
  <c r="X344" i="1" s="1"/>
  <c r="CZ344" i="1"/>
  <c r="Y344" i="1" s="1"/>
  <c r="CY54" i="1"/>
  <c r="X54" i="1" s="1"/>
  <c r="GM54" i="1" s="1"/>
  <c r="GN54" i="1" s="1"/>
  <c r="CZ54" i="1"/>
  <c r="Y54" i="1" s="1"/>
  <c r="CY135" i="1"/>
  <c r="X135" i="1" s="1"/>
  <c r="CZ135" i="1"/>
  <c r="Y135" i="1" s="1"/>
  <c r="T174" i="1"/>
  <c r="AG95" i="1"/>
  <c r="CY34" i="1"/>
  <c r="X34" i="1" s="1"/>
  <c r="CZ34" i="1"/>
  <c r="Y34" i="1" s="1"/>
  <c r="DH49" i="3"/>
  <c r="DF49" i="3"/>
  <c r="DG49" i="3"/>
  <c r="DJ49" i="3" s="1"/>
  <c r="DI49" i="3"/>
  <c r="CP49" i="1"/>
  <c r="O49" i="1" s="1"/>
  <c r="GM49" i="1" s="1"/>
  <c r="GN49" i="1" s="1"/>
  <c r="GM56" i="1"/>
  <c r="GN56" i="1" s="1"/>
  <c r="GK97" i="1"/>
  <c r="AE174" i="1"/>
  <c r="CP227" i="1"/>
  <c r="O227" i="1" s="1"/>
  <c r="GM227" i="1" s="1"/>
  <c r="GO227" i="1" s="1"/>
  <c r="EH26" i="1"/>
  <c r="P72" i="1"/>
  <c r="AD302" i="1"/>
  <c r="CZ104" i="1"/>
  <c r="Y104" i="1" s="1"/>
  <c r="ED174" i="1" s="1"/>
  <c r="CY104" i="1"/>
  <c r="X104" i="1" s="1"/>
  <c r="EC174" i="1" s="1"/>
  <c r="CP160" i="1"/>
  <c r="O160" i="1" s="1"/>
  <c r="GM160" i="1" s="1"/>
  <c r="GO160" i="1" s="1"/>
  <c r="DG50" i="3"/>
  <c r="DF50" i="3"/>
  <c r="DH50" i="3"/>
  <c r="DI50" i="3"/>
  <c r="DJ50" i="3" s="1"/>
  <c r="DI19" i="3"/>
  <c r="DJ19" i="3" s="1"/>
  <c r="DF19" i="3"/>
  <c r="DG19" i="3"/>
  <c r="DH19" i="3"/>
  <c r="CJ206" i="1"/>
  <c r="BA229" i="1"/>
  <c r="CP210" i="1"/>
  <c r="O210" i="1" s="1"/>
  <c r="CY360" i="1"/>
  <c r="X360" i="1" s="1"/>
  <c r="CZ360" i="1"/>
  <c r="Y360" i="1" s="1"/>
  <c r="AO265" i="1"/>
  <c r="AO393" i="1"/>
  <c r="F306" i="1"/>
  <c r="CZ277" i="1"/>
  <c r="Y277" i="1" s="1"/>
  <c r="AL302" i="1" s="1"/>
  <c r="CY277" i="1"/>
  <c r="X277" i="1" s="1"/>
  <c r="AK302" i="1" s="1"/>
  <c r="EM363" i="1"/>
  <c r="FV334" i="1"/>
  <c r="GM286" i="1"/>
  <c r="GN286" i="1" s="1"/>
  <c r="CY345" i="1"/>
  <c r="X345" i="1" s="1"/>
  <c r="EC363" i="1" s="1"/>
  <c r="CZ345" i="1"/>
  <c r="Y345" i="1" s="1"/>
  <c r="CP350" i="1"/>
  <c r="O350" i="1" s="1"/>
  <c r="GM350" i="1" s="1"/>
  <c r="GN350" i="1" s="1"/>
  <c r="GM140" i="1"/>
  <c r="GO140" i="1" s="1"/>
  <c r="AH265" i="1"/>
  <c r="U302" i="1"/>
  <c r="EM265" i="1"/>
  <c r="P321" i="1"/>
  <c r="DG103" i="3"/>
  <c r="DH103" i="3"/>
  <c r="DF103" i="3"/>
  <c r="DI103" i="3"/>
  <c r="DJ103" i="3" s="1"/>
  <c r="GM220" i="1"/>
  <c r="GO220" i="1" s="1"/>
  <c r="EI174" i="1"/>
  <c r="GA174" i="1"/>
  <c r="FR95" i="1"/>
  <c r="FY174" i="1"/>
  <c r="CZ351" i="1"/>
  <c r="Y351" i="1" s="1"/>
  <c r="CY351" i="1"/>
  <c r="X351" i="1" s="1"/>
  <c r="GM351" i="1" s="1"/>
  <c r="GN351" i="1" s="1"/>
  <c r="CZ349" i="1"/>
  <c r="Y349" i="1" s="1"/>
  <c r="ED363" i="1" s="1"/>
  <c r="CY349" i="1"/>
  <c r="X349" i="1" s="1"/>
  <c r="DH63" i="3"/>
  <c r="DI63" i="3"/>
  <c r="DG63" i="3"/>
  <c r="DJ63" i="3" s="1"/>
  <c r="DF63" i="3"/>
  <c r="AC63" i="1"/>
  <c r="CP28" i="1"/>
  <c r="O28" i="1" s="1"/>
  <c r="BC95" i="1"/>
  <c r="F190" i="1"/>
  <c r="BC423" i="1"/>
  <c r="DH4" i="3"/>
  <c r="DG4" i="3"/>
  <c r="DJ4" i="3" s="1"/>
  <c r="DF4" i="3"/>
  <c r="DI4" i="3"/>
  <c r="AC363" i="1"/>
  <c r="DF18" i="3"/>
  <c r="DG18" i="3"/>
  <c r="DJ18" i="3" s="1"/>
  <c r="DI18" i="3"/>
  <c r="DH18" i="3"/>
  <c r="DH31" i="3"/>
  <c r="DI31" i="3"/>
  <c r="DF31" i="3"/>
  <c r="DG31" i="3"/>
  <c r="DJ31" i="3" s="1"/>
  <c r="DI111" i="3"/>
  <c r="DJ111" i="3" s="1"/>
  <c r="DH111" i="3"/>
  <c r="DF111" i="3"/>
  <c r="DG111" i="3"/>
  <c r="DH106" i="3"/>
  <c r="DG106" i="3"/>
  <c r="DF106" i="3"/>
  <c r="DI106" i="3"/>
  <c r="DJ106" i="3" s="1"/>
  <c r="GK29" i="1"/>
  <c r="DI51" i="3"/>
  <c r="DF51" i="3"/>
  <c r="DG51" i="3"/>
  <c r="DJ51" i="3" s="1"/>
  <c r="DH51" i="3"/>
  <c r="DG185" i="3"/>
  <c r="DJ185" i="3" s="1"/>
  <c r="DH185" i="3"/>
  <c r="DI185" i="3"/>
  <c r="DF185" i="3"/>
  <c r="DF48" i="3"/>
  <c r="DH48" i="3"/>
  <c r="DI48" i="3"/>
  <c r="DG48" i="3"/>
  <c r="DJ48" i="3" s="1"/>
  <c r="BB26" i="1"/>
  <c r="BB423" i="1"/>
  <c r="F76" i="1"/>
  <c r="DF2" i="3"/>
  <c r="DH2" i="3"/>
  <c r="DI2" i="3"/>
  <c r="DJ2" i="3" s="1"/>
  <c r="DG2" i="3"/>
  <c r="F67" i="1"/>
  <c r="AO26" i="1"/>
  <c r="AO423" i="1"/>
  <c r="CY30" i="1"/>
  <c r="X30" i="1" s="1"/>
  <c r="CZ30" i="1"/>
  <c r="Y30" i="1" s="1"/>
  <c r="CP131" i="1"/>
  <c r="O131" i="1" s="1"/>
  <c r="GM131" i="1" s="1"/>
  <c r="GO131" i="1" s="1"/>
  <c r="CY293" i="1"/>
  <c r="X293" i="1" s="1"/>
  <c r="CZ293" i="1"/>
  <c r="Y293" i="1" s="1"/>
  <c r="CP293" i="1"/>
  <c r="O293" i="1" s="1"/>
  <c r="GM293" i="1" s="1"/>
  <c r="GN293" i="1" s="1"/>
  <c r="DI35" i="3"/>
  <c r="DH35" i="3"/>
  <c r="DG35" i="3"/>
  <c r="DJ35" i="3" s="1"/>
  <c r="DF35" i="3"/>
  <c r="CZ126" i="1"/>
  <c r="Y126" i="1" s="1"/>
  <c r="CY126" i="1"/>
  <c r="X126" i="1" s="1"/>
  <c r="DL363" i="1"/>
  <c r="DY334" i="1"/>
  <c r="FV95" i="1"/>
  <c r="EM174" i="1"/>
  <c r="CP104" i="1"/>
  <c r="O104" i="1" s="1"/>
  <c r="GM104" i="1" s="1"/>
  <c r="GO104" i="1" s="1"/>
  <c r="EB206" i="1"/>
  <c r="DO229" i="1"/>
  <c r="CP299" i="1"/>
  <c r="O299" i="1" s="1"/>
  <c r="GM299" i="1" s="1"/>
  <c r="GN299" i="1" s="1"/>
  <c r="CZ141" i="1"/>
  <c r="Y141" i="1" s="1"/>
  <c r="CY141" i="1"/>
  <c r="X141" i="1" s="1"/>
  <c r="GM141" i="1" s="1"/>
  <c r="GO141" i="1" s="1"/>
  <c r="CP360" i="1"/>
  <c r="O360" i="1" s="1"/>
  <c r="GM360" i="1" s="1"/>
  <c r="GN360" i="1" s="1"/>
  <c r="DG214" i="3"/>
  <c r="DF214" i="3"/>
  <c r="DH214" i="3"/>
  <c r="DI214" i="3"/>
  <c r="DJ214" i="3" s="1"/>
  <c r="CP343" i="1"/>
  <c r="O343" i="1" s="1"/>
  <c r="GM343" i="1" s="1"/>
  <c r="GN343" i="1" s="1"/>
  <c r="DU229" i="1"/>
  <c r="CP98" i="1"/>
  <c r="O98" i="1" s="1"/>
  <c r="DU174" i="1"/>
  <c r="CZ51" i="1"/>
  <c r="Y51" i="1" s="1"/>
  <c r="CY51" i="1"/>
  <c r="X51" i="1" s="1"/>
  <c r="GM51" i="1" s="1"/>
  <c r="GN51" i="1" s="1"/>
  <c r="CY358" i="1"/>
  <c r="X358" i="1" s="1"/>
  <c r="CZ358" i="1"/>
  <c r="Y358" i="1" s="1"/>
  <c r="GM358" i="1" s="1"/>
  <c r="GN358" i="1" s="1"/>
  <c r="CP120" i="1"/>
  <c r="O120" i="1" s="1"/>
  <c r="DF46" i="3"/>
  <c r="DG46" i="3"/>
  <c r="DJ46" i="3" s="1"/>
  <c r="DH46" i="3"/>
  <c r="DI46" i="3"/>
  <c r="AS95" i="1"/>
  <c r="F191" i="1"/>
  <c r="AT26" i="1"/>
  <c r="F81" i="1"/>
  <c r="CP361" i="1"/>
  <c r="O361" i="1" s="1"/>
  <c r="GM361" i="1" s="1"/>
  <c r="GN361" i="1" s="1"/>
  <c r="DG75" i="3"/>
  <c r="DJ75" i="3" s="1"/>
  <c r="DF75" i="3"/>
  <c r="DH75" i="3"/>
  <c r="DI75" i="3"/>
  <c r="GM116" i="1"/>
  <c r="GO116" i="1" s="1"/>
  <c r="DV174" i="1"/>
  <c r="DM229" i="1"/>
  <c r="DZ206" i="1"/>
  <c r="DF47" i="3"/>
  <c r="DG47" i="3"/>
  <c r="DJ47" i="3" s="1"/>
  <c r="DH47" i="3"/>
  <c r="DI47" i="3"/>
  <c r="CY354" i="1"/>
  <c r="X354" i="1" s="1"/>
  <c r="CZ354" i="1"/>
  <c r="Y354" i="1" s="1"/>
  <c r="BC206" i="1"/>
  <c r="F245" i="1"/>
  <c r="DG114" i="3"/>
  <c r="DI114" i="3"/>
  <c r="DJ114" i="3" s="1"/>
  <c r="DF114" i="3"/>
  <c r="DH114" i="3"/>
  <c r="GM268" i="1"/>
  <c r="BA174" i="1"/>
  <c r="CJ95" i="1"/>
  <c r="DH164" i="3"/>
  <c r="DG164" i="3"/>
  <c r="DJ164" i="3" s="1"/>
  <c r="DF164" i="3"/>
  <c r="DI164" i="3"/>
  <c r="DF30" i="3"/>
  <c r="DI30" i="3"/>
  <c r="DH30" i="3"/>
  <c r="DG30" i="3"/>
  <c r="DJ30" i="3" s="1"/>
  <c r="CZ42" i="1"/>
  <c r="Y42" i="1" s="1"/>
  <c r="CY42" i="1"/>
  <c r="X42" i="1" s="1"/>
  <c r="GM42" i="1" s="1"/>
  <c r="GN42" i="1" s="1"/>
  <c r="GM148" i="1"/>
  <c r="GO148" i="1" s="1"/>
  <c r="CP341" i="1"/>
  <c r="O341" i="1" s="1"/>
  <c r="GM341" i="1" s="1"/>
  <c r="GN341" i="1" s="1"/>
  <c r="DU363" i="1"/>
  <c r="BA302" i="1"/>
  <c r="CJ265" i="1"/>
  <c r="DF187" i="3"/>
  <c r="DG187" i="3"/>
  <c r="DH187" i="3"/>
  <c r="DI187" i="3"/>
  <c r="DJ187" i="3" s="1"/>
  <c r="DG44" i="3"/>
  <c r="DJ44" i="3" s="1"/>
  <c r="DI44" i="3"/>
  <c r="DF44" i="3"/>
  <c r="DH44" i="3"/>
  <c r="DG165" i="3"/>
  <c r="DJ165" i="3" s="1"/>
  <c r="DF165" i="3"/>
  <c r="DH165" i="3"/>
  <c r="DI165" i="3"/>
  <c r="CZ130" i="1"/>
  <c r="Y130" i="1" s="1"/>
  <c r="CY130" i="1"/>
  <c r="X130" i="1" s="1"/>
  <c r="CX12" i="3"/>
  <c r="CV11" i="3"/>
  <c r="CX11" i="3"/>
  <c r="Q32" i="1"/>
  <c r="CP32" i="1" s="1"/>
  <c r="O32" i="1" s="1"/>
  <c r="T32" i="1"/>
  <c r="AG63" i="1" s="1"/>
  <c r="GX32" i="1"/>
  <c r="CJ63" i="1" s="1"/>
  <c r="R32" i="1"/>
  <c r="GK32" i="1" s="1"/>
  <c r="S32" i="1"/>
  <c r="CU11" i="3"/>
  <c r="CY120" i="1"/>
  <c r="X120" i="1" s="1"/>
  <c r="CZ120" i="1"/>
  <c r="Y120" i="1" s="1"/>
  <c r="CZ133" i="1"/>
  <c r="Y133" i="1" s="1"/>
  <c r="CY133" i="1"/>
  <c r="X133" i="1" s="1"/>
  <c r="GM133" i="1" s="1"/>
  <c r="GO133" i="1" s="1"/>
  <c r="GM38" i="1"/>
  <c r="GN38" i="1" s="1"/>
  <c r="CY31" i="1"/>
  <c r="X31" i="1" s="1"/>
  <c r="GM31" i="1" s="1"/>
  <c r="GN31" i="1" s="1"/>
  <c r="CZ31" i="1"/>
  <c r="Y31" i="1" s="1"/>
  <c r="DF79" i="3"/>
  <c r="DI79" i="3"/>
  <c r="DG79" i="3"/>
  <c r="DJ79" i="3" s="1"/>
  <c r="DH79" i="3"/>
  <c r="GM99" i="1"/>
  <c r="GO99" i="1" s="1"/>
  <c r="EI229" i="1"/>
  <c r="FR206" i="1"/>
  <c r="CP101" i="1"/>
  <c r="O101" i="1" s="1"/>
  <c r="CZ280" i="1"/>
  <c r="Y280" i="1" s="1"/>
  <c r="CY280" i="1"/>
  <c r="X280" i="1" s="1"/>
  <c r="GM280" i="1" s="1"/>
  <c r="GN280" i="1" s="1"/>
  <c r="CP135" i="1"/>
  <c r="O135" i="1" s="1"/>
  <c r="GM135" i="1" s="1"/>
  <c r="GO135" i="1" s="1"/>
  <c r="AU302" i="1"/>
  <c r="CD265" i="1"/>
  <c r="BD261" i="1"/>
  <c r="F418" i="1"/>
  <c r="CY276" i="1"/>
  <c r="X276" i="1" s="1"/>
  <c r="CZ276" i="1"/>
  <c r="Y276" i="1" s="1"/>
  <c r="ED302" i="1" s="1"/>
  <c r="CY218" i="1"/>
  <c r="X218" i="1" s="1"/>
  <c r="GM218" i="1" s="1"/>
  <c r="GO218" i="1" s="1"/>
  <c r="CC229" i="1" s="1"/>
  <c r="CZ218" i="1"/>
  <c r="Y218" i="1" s="1"/>
  <c r="DH152" i="3"/>
  <c r="DF152" i="3"/>
  <c r="DI152" i="3"/>
  <c r="DG152" i="3"/>
  <c r="DJ152" i="3" s="1"/>
  <c r="CP221" i="1"/>
  <c r="O221" i="1" s="1"/>
  <c r="DT229" i="1"/>
  <c r="GM271" i="1"/>
  <c r="GN271" i="1" s="1"/>
  <c r="CP130" i="1"/>
  <c r="O130" i="1" s="1"/>
  <c r="CZ352" i="1"/>
  <c r="Y352" i="1" s="1"/>
  <c r="CY352" i="1"/>
  <c r="X352" i="1" s="1"/>
  <c r="GM352" i="1" s="1"/>
  <c r="GN352" i="1" s="1"/>
  <c r="P79" i="1"/>
  <c r="EU423" i="1"/>
  <c r="EU26" i="1"/>
  <c r="CD95" i="1"/>
  <c r="AU174" i="1"/>
  <c r="GM158" i="1"/>
  <c r="GO158" i="1" s="1"/>
  <c r="DX174" i="1"/>
  <c r="CP139" i="1"/>
  <c r="O139" i="1" s="1"/>
  <c r="GM138" i="1"/>
  <c r="GO138" i="1" s="1"/>
  <c r="CY56" i="1"/>
  <c r="X56" i="1" s="1"/>
  <c r="CZ56" i="1"/>
  <c r="Y56" i="1" s="1"/>
  <c r="ER26" i="1"/>
  <c r="P74" i="1"/>
  <c r="CP345" i="1"/>
  <c r="O345" i="1" s="1"/>
  <c r="DG8" i="3"/>
  <c r="DJ8" i="3" s="1"/>
  <c r="DF8" i="3"/>
  <c r="DI8" i="3"/>
  <c r="DH8" i="3"/>
  <c r="GA265" i="1"/>
  <c r="ER302" i="1"/>
  <c r="DF29" i="3"/>
  <c r="DG29" i="3"/>
  <c r="DI29" i="3"/>
  <c r="DJ29" i="3" s="1"/>
  <c r="DH29" i="3"/>
  <c r="CY340" i="1"/>
  <c r="X340" i="1" s="1"/>
  <c r="CZ340" i="1"/>
  <c r="Y340" i="1" s="1"/>
  <c r="CP340" i="1"/>
  <c r="O340" i="1" s="1"/>
  <c r="GM340" i="1" s="1"/>
  <c r="GN340" i="1" s="1"/>
  <c r="GM337" i="1"/>
  <c r="CY336" i="1"/>
  <c r="X336" i="1" s="1"/>
  <c r="CZ336" i="1"/>
  <c r="Y336" i="1" s="1"/>
  <c r="AL363" i="1" s="1"/>
  <c r="AF363" i="1"/>
  <c r="GM45" i="1"/>
  <c r="GN45" i="1" s="1"/>
  <c r="CZ47" i="1"/>
  <c r="Y47" i="1" s="1"/>
  <c r="CY47" i="1"/>
  <c r="X47" i="1" s="1"/>
  <c r="CY274" i="1"/>
  <c r="X274" i="1" s="1"/>
  <c r="CZ274" i="1"/>
  <c r="Y274" i="1" s="1"/>
  <c r="CP97" i="1"/>
  <c r="O97" i="1" s="1"/>
  <c r="AC174" i="1"/>
  <c r="AI26" i="1"/>
  <c r="V63" i="1"/>
  <c r="DF107" i="3"/>
  <c r="DG107" i="3"/>
  <c r="DH107" i="3"/>
  <c r="DI107" i="3"/>
  <c r="DJ107" i="3" s="1"/>
  <c r="DG180" i="3"/>
  <c r="DI180" i="3"/>
  <c r="DJ180" i="3" s="1"/>
  <c r="DF180" i="3"/>
  <c r="DH180" i="3"/>
  <c r="GM226" i="1"/>
  <c r="GO226" i="1" s="1"/>
  <c r="DL229" i="1"/>
  <c r="DY206" i="1"/>
  <c r="AQ363" i="1"/>
  <c r="BZ334" i="1"/>
  <c r="CG363" i="1"/>
  <c r="CI363" i="1"/>
  <c r="DL302" i="1"/>
  <c r="DY265" i="1"/>
  <c r="CZ272" i="1"/>
  <c r="Y272" i="1" s="1"/>
  <c r="CY272" i="1"/>
  <c r="X272" i="1" s="1"/>
  <c r="GM272" i="1" s="1"/>
  <c r="GN272" i="1" s="1"/>
  <c r="DX302" i="1"/>
  <c r="AQ302" i="1"/>
  <c r="BZ265" i="1"/>
  <c r="CI302" i="1"/>
  <c r="CY289" i="1"/>
  <c r="X289" i="1" s="1"/>
  <c r="GM289" i="1" s="1"/>
  <c r="GN289" i="1" s="1"/>
  <c r="CZ289" i="1"/>
  <c r="Y289" i="1" s="1"/>
  <c r="CY36" i="1"/>
  <c r="X36" i="1" s="1"/>
  <c r="CZ36" i="1"/>
  <c r="Y36" i="1" s="1"/>
  <c r="FY26" i="1"/>
  <c r="EP63" i="1"/>
  <c r="DF17" i="3"/>
  <c r="DG17" i="3"/>
  <c r="DH17" i="3"/>
  <c r="DI17" i="3"/>
  <c r="DJ17" i="3" s="1"/>
  <c r="DG64" i="3"/>
  <c r="DJ64" i="3" s="1"/>
  <c r="DI64" i="3"/>
  <c r="DF64" i="3"/>
  <c r="DH64" i="3"/>
  <c r="DG16" i="3"/>
  <c r="DF16" i="3"/>
  <c r="DH16" i="3"/>
  <c r="DI16" i="3"/>
  <c r="DJ16" i="3" s="1"/>
  <c r="BD26" i="1"/>
  <c r="F88" i="1"/>
  <c r="BD423" i="1"/>
  <c r="CZ35" i="1"/>
  <c r="Y35" i="1" s="1"/>
  <c r="CY35" i="1"/>
  <c r="X35" i="1" s="1"/>
  <c r="GM35" i="1" s="1"/>
  <c r="GN35" i="1" s="1"/>
  <c r="GM213" i="1"/>
  <c r="GN213" i="1" s="1"/>
  <c r="DF76" i="3"/>
  <c r="DH76" i="3"/>
  <c r="DI76" i="3"/>
  <c r="DG76" i="3"/>
  <c r="DJ76" i="3" s="1"/>
  <c r="CY45" i="1"/>
  <c r="X45" i="1" s="1"/>
  <c r="CZ45" i="1"/>
  <c r="Y45" i="1" s="1"/>
  <c r="CZ145" i="1"/>
  <c r="Y145" i="1" s="1"/>
  <c r="CY145" i="1"/>
  <c r="X145" i="1" s="1"/>
  <c r="GM145" i="1" s="1"/>
  <c r="GO145" i="1" s="1"/>
  <c r="GM126" i="1"/>
  <c r="GO126" i="1" s="1"/>
  <c r="DF55" i="3"/>
  <c r="DH55" i="3"/>
  <c r="DI55" i="3"/>
  <c r="DJ55" i="3" s="1"/>
  <c r="DG55" i="3"/>
  <c r="AQ174" i="1"/>
  <c r="BZ95" i="1"/>
  <c r="EI302" i="1"/>
  <c r="FY302" i="1"/>
  <c r="FR265" i="1"/>
  <c r="AO95" i="1"/>
  <c r="F178" i="1"/>
  <c r="AE363" i="1"/>
  <c r="GK336" i="1"/>
  <c r="GB265" i="1"/>
  <c r="ES302" i="1"/>
  <c r="DH5" i="3"/>
  <c r="DG5" i="3"/>
  <c r="DJ5" i="3" s="1"/>
  <c r="DF5" i="3"/>
  <c r="DI5" i="3"/>
  <c r="DK363" i="1"/>
  <c r="DX334" i="1"/>
  <c r="P381" i="1"/>
  <c r="EL334" i="1"/>
  <c r="EI26" i="1"/>
  <c r="P73" i="1"/>
  <c r="P88" i="1"/>
  <c r="EV26" i="1"/>
  <c r="EV423" i="1"/>
  <c r="DG123" i="3"/>
  <c r="DF123" i="3"/>
  <c r="DH123" i="3"/>
  <c r="DI123" i="3"/>
  <c r="DJ123" i="3" s="1"/>
  <c r="GM147" i="1"/>
  <c r="GO147" i="1" s="1"/>
  <c r="AD174" i="1"/>
  <c r="CP276" i="1"/>
  <c r="O276" i="1" s="1"/>
  <c r="CY106" i="1"/>
  <c r="X106" i="1" s="1"/>
  <c r="GM106" i="1" s="1"/>
  <c r="GO106" i="1" s="1"/>
  <c r="CZ106" i="1"/>
  <c r="Y106" i="1" s="1"/>
  <c r="AI302" i="1"/>
  <c r="CP43" i="1"/>
  <c r="O43" i="1" s="1"/>
  <c r="GM43" i="1" s="1"/>
  <c r="GN43" i="1" s="1"/>
  <c r="DW302" i="1"/>
  <c r="CY287" i="1"/>
  <c r="X287" i="1" s="1"/>
  <c r="CZ287" i="1"/>
  <c r="Y287" i="1" s="1"/>
  <c r="AP206" i="1"/>
  <c r="F238" i="1"/>
  <c r="AP423" i="1"/>
  <c r="CY139" i="1"/>
  <c r="X139" i="1" s="1"/>
  <c r="CZ139" i="1"/>
  <c r="Y139" i="1" s="1"/>
  <c r="AT261" i="1"/>
  <c r="F411" i="1"/>
  <c r="DI120" i="3"/>
  <c r="DJ120" i="3" s="1"/>
  <c r="DF120" i="3"/>
  <c r="DG120" i="3"/>
  <c r="DH120" i="3"/>
  <c r="DF83" i="3"/>
  <c r="DG83" i="3"/>
  <c r="DH83" i="3"/>
  <c r="DI83" i="3"/>
  <c r="DJ83" i="3" s="1"/>
  <c r="DG69" i="3"/>
  <c r="DJ69" i="3" s="1"/>
  <c r="DF69" i="3"/>
  <c r="DH69" i="3"/>
  <c r="DI69" i="3"/>
  <c r="GM40" i="1"/>
  <c r="GN40" i="1" s="1"/>
  <c r="GM55" i="1"/>
  <c r="GN55" i="1" s="1"/>
  <c r="EL63" i="1"/>
  <c r="FU26" i="1"/>
  <c r="CY291" i="1"/>
  <c r="X291" i="1" s="1"/>
  <c r="CZ291" i="1"/>
  <c r="Y291" i="1" s="1"/>
  <c r="Q229" i="1"/>
  <c r="AD206" i="1"/>
  <c r="ET18" i="1"/>
  <c r="P466" i="1"/>
  <c r="CY221" i="1"/>
  <c r="X221" i="1" s="1"/>
  <c r="CZ221" i="1"/>
  <c r="Y221" i="1" s="1"/>
  <c r="CY210" i="1"/>
  <c r="X210" i="1" s="1"/>
  <c r="CZ210" i="1"/>
  <c r="Y210" i="1" s="1"/>
  <c r="AL229" i="1" s="1"/>
  <c r="DF6" i="3"/>
  <c r="DH6" i="3"/>
  <c r="DI6" i="3"/>
  <c r="DG6" i="3"/>
  <c r="DJ6" i="3" s="1"/>
  <c r="CY37" i="1"/>
  <c r="X37" i="1" s="1"/>
  <c r="CZ37" i="1"/>
  <c r="Y37" i="1" s="1"/>
  <c r="CP37" i="1"/>
  <c r="O37" i="1" s="1"/>
  <c r="GM37" i="1" s="1"/>
  <c r="GN37" i="1" s="1"/>
  <c r="DF113" i="3"/>
  <c r="DG113" i="3"/>
  <c r="DH113" i="3"/>
  <c r="DI113" i="3"/>
  <c r="DJ113" i="3" s="1"/>
  <c r="CY348" i="1"/>
  <c r="X348" i="1" s="1"/>
  <c r="CZ348" i="1"/>
  <c r="Y348" i="1" s="1"/>
  <c r="GM129" i="1"/>
  <c r="GO129" i="1" s="1"/>
  <c r="CP119" i="1"/>
  <c r="O119" i="1" s="1"/>
  <c r="GM119" i="1" s="1"/>
  <c r="GO119" i="1" s="1"/>
  <c r="AF229" i="1"/>
  <c r="CY163" i="1"/>
  <c r="X163" i="1" s="1"/>
  <c r="CZ163" i="1"/>
  <c r="Y163" i="1" s="1"/>
  <c r="GM162" i="1"/>
  <c r="GO162" i="1" s="1"/>
  <c r="CP57" i="1"/>
  <c r="O57" i="1" s="1"/>
  <c r="GM57" i="1" s="1"/>
  <c r="GN57" i="1" s="1"/>
  <c r="GM277" i="1"/>
  <c r="GN277" i="1" s="1"/>
  <c r="GM123" i="1"/>
  <c r="GO123" i="1" s="1"/>
  <c r="T363" i="1"/>
  <c r="AG334" i="1"/>
  <c r="DG124" i="3"/>
  <c r="DF124" i="3"/>
  <c r="DI124" i="3"/>
  <c r="DJ124" i="3" s="1"/>
  <c r="DH124" i="3"/>
  <c r="CZ49" i="1"/>
  <c r="Y49" i="1" s="1"/>
  <c r="CY49" i="1"/>
  <c r="X49" i="1" s="1"/>
  <c r="CY48" i="1"/>
  <c r="X48" i="1" s="1"/>
  <c r="GM48" i="1" s="1"/>
  <c r="GN48" i="1" s="1"/>
  <c r="CZ48" i="1"/>
  <c r="Y48" i="1" s="1"/>
  <c r="DG28" i="3"/>
  <c r="DI28" i="3"/>
  <c r="DF28" i="3"/>
  <c r="DJ28" i="3" s="1"/>
  <c r="DH28" i="3"/>
  <c r="GM171" i="1"/>
  <c r="GO171" i="1" s="1"/>
  <c r="CY216" i="1"/>
  <c r="X216" i="1" s="1"/>
  <c r="CZ216" i="1"/>
  <c r="Y216" i="1" s="1"/>
  <c r="DI102" i="3"/>
  <c r="DJ102" i="3" s="1"/>
  <c r="DF102" i="3"/>
  <c r="DH102" i="3"/>
  <c r="DG102" i="3"/>
  <c r="CZ137" i="1"/>
  <c r="Y137" i="1" s="1"/>
  <c r="CY137" i="1"/>
  <c r="X137" i="1" s="1"/>
  <c r="CP34" i="1"/>
  <c r="O34" i="1" s="1"/>
  <c r="FY206" i="1"/>
  <c r="EP229" i="1"/>
  <c r="CZ167" i="1"/>
  <c r="Y167" i="1" s="1"/>
  <c r="CP167" i="1"/>
  <c r="O167" i="1" s="1"/>
  <c r="CY167" i="1"/>
  <c r="X167" i="1" s="1"/>
  <c r="CG302" i="1"/>
  <c r="AJ334" i="1"/>
  <c r="W363" i="1"/>
  <c r="GM219" i="1"/>
  <c r="GO219" i="1" s="1"/>
  <c r="CP288" i="1"/>
  <c r="O288" i="1" s="1"/>
  <c r="GM288" i="1" s="1"/>
  <c r="GN288" i="1" s="1"/>
  <c r="AH95" i="1"/>
  <c r="U174" i="1"/>
  <c r="CP53" i="1"/>
  <c r="O53" i="1" s="1"/>
  <c r="GM53" i="1" s="1"/>
  <c r="GN53" i="1" s="1"/>
  <c r="CP344" i="1"/>
  <c r="O344" i="1" s="1"/>
  <c r="EL265" i="1"/>
  <c r="EL393" i="1"/>
  <c r="P320" i="1"/>
  <c r="DH189" i="3"/>
  <c r="DI189" i="3"/>
  <c r="DF189" i="3"/>
  <c r="DG189" i="3"/>
  <c r="DJ189" i="3" s="1"/>
  <c r="GM113" i="1"/>
  <c r="GO113" i="1" s="1"/>
  <c r="AC229" i="1"/>
  <c r="DG177" i="3"/>
  <c r="DF177" i="3"/>
  <c r="DH177" i="3"/>
  <c r="DI177" i="3"/>
  <c r="DJ177" i="3" s="1"/>
  <c r="GK209" i="1"/>
  <c r="GM209" i="1" s="1"/>
  <c r="DW229" i="1"/>
  <c r="EH265" i="1"/>
  <c r="P311" i="1"/>
  <c r="EH393" i="1"/>
  <c r="AU229" i="1"/>
  <c r="CD206" i="1"/>
  <c r="DV302" i="1"/>
  <c r="CY116" i="1"/>
  <c r="X116" i="1" s="1"/>
  <c r="CZ116" i="1"/>
  <c r="Y116" i="1" s="1"/>
  <c r="GK267" i="1"/>
  <c r="AE302" i="1"/>
  <c r="CP163" i="1"/>
  <c r="O163" i="1" s="1"/>
  <c r="CP29" i="1"/>
  <c r="O29" i="1" s="1"/>
  <c r="DU63" i="1"/>
  <c r="DF176" i="3"/>
  <c r="DG176" i="3"/>
  <c r="DH176" i="3"/>
  <c r="DI176" i="3"/>
  <c r="DJ176" i="3" s="1"/>
  <c r="CP214" i="1"/>
  <c r="O214" i="1" s="1"/>
  <c r="GM214" i="1" s="1"/>
  <c r="GN214" i="1" s="1"/>
  <c r="DW363" i="1"/>
  <c r="GM208" i="1"/>
  <c r="CP30" i="1"/>
  <c r="O30" i="1" s="1"/>
  <c r="CY286" i="1"/>
  <c r="X286" i="1" s="1"/>
  <c r="CZ286" i="1"/>
  <c r="Y286" i="1" s="1"/>
  <c r="CZ39" i="1"/>
  <c r="Y39" i="1" s="1"/>
  <c r="CY39" i="1"/>
  <c r="X39" i="1" s="1"/>
  <c r="GM60" i="1"/>
  <c r="GN60" i="1" s="1"/>
  <c r="DI116" i="3"/>
  <c r="DJ116" i="3" s="1"/>
  <c r="DF116" i="3"/>
  <c r="DG116" i="3"/>
  <c r="DH116" i="3"/>
  <c r="CY44" i="1"/>
  <c r="X44" i="1" s="1"/>
  <c r="CZ44" i="1"/>
  <c r="Y44" i="1" s="1"/>
  <c r="CD26" i="1"/>
  <c r="AU63" i="1"/>
  <c r="BZ26" i="1"/>
  <c r="CG63" i="1"/>
  <c r="AQ63" i="1"/>
  <c r="CI63" i="1"/>
  <c r="CP114" i="1"/>
  <c r="O114" i="1" s="1"/>
  <c r="GM114" i="1" s="1"/>
  <c r="GO114" i="1" s="1"/>
  <c r="GK210" i="1"/>
  <c r="AE229" i="1"/>
  <c r="CP100" i="1"/>
  <c r="O100" i="1" s="1"/>
  <c r="CP164" i="1"/>
  <c r="O164" i="1" s="1"/>
  <c r="DF58" i="3"/>
  <c r="DH58" i="3"/>
  <c r="DI58" i="3"/>
  <c r="DG58" i="3"/>
  <c r="DJ58" i="3" s="1"/>
  <c r="DF3" i="3"/>
  <c r="DI3" i="3"/>
  <c r="DJ3" i="3" s="1"/>
  <c r="DH3" i="3"/>
  <c r="DG3" i="3"/>
  <c r="DF97" i="3"/>
  <c r="DH97" i="3"/>
  <c r="DG97" i="3"/>
  <c r="DI97" i="3"/>
  <c r="DJ97" i="3" s="1"/>
  <c r="DH15" i="3"/>
  <c r="DF15" i="3"/>
  <c r="DG15" i="3"/>
  <c r="DI15" i="3"/>
  <c r="DJ15" i="3" s="1"/>
  <c r="GK28" i="1"/>
  <c r="AE63" i="1"/>
  <c r="DI9" i="3"/>
  <c r="DG9" i="3"/>
  <c r="DJ9" i="3" s="1"/>
  <c r="DF9" i="3"/>
  <c r="DH9" i="3"/>
  <c r="DF115" i="3"/>
  <c r="DI115" i="3"/>
  <c r="DJ115" i="3" s="1"/>
  <c r="DH115" i="3"/>
  <c r="DG115" i="3"/>
  <c r="CX14" i="3"/>
  <c r="CU13" i="3"/>
  <c r="Q33" i="1"/>
  <c r="DV63" i="1" s="1"/>
  <c r="CX13" i="3"/>
  <c r="S33" i="1"/>
  <c r="R33" i="1"/>
  <c r="GK33" i="1" s="1"/>
  <c r="T33" i="1"/>
  <c r="DY63" i="1" s="1"/>
  <c r="U33" i="1"/>
  <c r="DZ63" i="1" s="1"/>
  <c r="V33" i="1"/>
  <c r="EA63" i="1" s="1"/>
  <c r="W33" i="1"/>
  <c r="EB63" i="1" s="1"/>
  <c r="DG151" i="3"/>
  <c r="DH151" i="3"/>
  <c r="DF151" i="3"/>
  <c r="DI151" i="3"/>
  <c r="DJ151" i="3" s="1"/>
  <c r="AJ95" i="1"/>
  <c r="W174" i="1"/>
  <c r="GX33" i="1"/>
  <c r="GB63" i="1" s="1"/>
  <c r="CP349" i="1"/>
  <c r="O349" i="1" s="1"/>
  <c r="DF74" i="3"/>
  <c r="DH74" i="3"/>
  <c r="DG74" i="3"/>
  <c r="DI74" i="3"/>
  <c r="DJ74" i="3" s="1"/>
  <c r="GM212" i="1"/>
  <c r="GN212" i="1" s="1"/>
  <c r="GM353" i="1"/>
  <c r="GN353" i="1" s="1"/>
  <c r="CZ57" i="1"/>
  <c r="Y57" i="1" s="1"/>
  <c r="CY57" i="1"/>
  <c r="X57" i="1" s="1"/>
  <c r="CY132" i="1"/>
  <c r="X132" i="1" s="1"/>
  <c r="CZ132" i="1"/>
  <c r="Y132" i="1" s="1"/>
  <c r="CP39" i="1"/>
  <c r="O39" i="1" s="1"/>
  <c r="GM39" i="1" s="1"/>
  <c r="GN39" i="1" s="1"/>
  <c r="AF302" i="1"/>
  <c r="BC265" i="1"/>
  <c r="F318" i="1"/>
  <c r="BC393" i="1"/>
  <c r="CP354" i="1"/>
  <c r="O354" i="1" s="1"/>
  <c r="GM149" i="1"/>
  <c r="GO149" i="1" s="1"/>
  <c r="P248" i="1"/>
  <c r="EM206" i="1"/>
  <c r="CP348" i="1"/>
  <c r="O348" i="1" s="1"/>
  <c r="GM348" i="1" s="1"/>
  <c r="GN348" i="1" s="1"/>
  <c r="P409" i="1"/>
  <c r="EU261" i="1"/>
  <c r="CP44" i="1"/>
  <c r="O44" i="1" s="1"/>
  <c r="GM44" i="1" s="1"/>
  <c r="GN44" i="1" s="1"/>
  <c r="CY112" i="1"/>
  <c r="X112" i="1" s="1"/>
  <c r="GM112" i="1" s="1"/>
  <c r="GO112" i="1" s="1"/>
  <c r="CZ112" i="1"/>
  <c r="Y112" i="1" s="1"/>
  <c r="CP274" i="1"/>
  <c r="O274" i="1" s="1"/>
  <c r="DU302" i="1"/>
  <c r="AX229" i="1"/>
  <c r="CG206" i="1"/>
  <c r="GM211" i="1"/>
  <c r="GN211" i="1" s="1"/>
  <c r="CY115" i="1"/>
  <c r="X115" i="1" s="1"/>
  <c r="GM115" i="1" s="1"/>
  <c r="GO115" i="1" s="1"/>
  <c r="CZ115" i="1"/>
  <c r="Y115" i="1" s="1"/>
  <c r="CY213" i="1"/>
  <c r="X213" i="1" s="1"/>
  <c r="EC229" i="1" s="1"/>
  <c r="CZ213" i="1"/>
  <c r="Y213" i="1" s="1"/>
  <c r="ED229" i="1" s="1"/>
  <c r="DX229" i="1"/>
  <c r="CP137" i="1"/>
  <c r="O137" i="1" s="1"/>
  <c r="CY295" i="1"/>
  <c r="X295" i="1" s="1"/>
  <c r="GM295" i="1" s="1"/>
  <c r="GN295" i="1" s="1"/>
  <c r="CZ295" i="1"/>
  <c r="Y295" i="1" s="1"/>
  <c r="AC302" i="1"/>
  <c r="CP267" i="1"/>
  <c r="O267" i="1" s="1"/>
  <c r="DO174" i="1"/>
  <c r="EB95" i="1"/>
  <c r="CP287" i="1"/>
  <c r="O287" i="1" s="1"/>
  <c r="GM287" i="1" s="1"/>
  <c r="GN287" i="1" s="1"/>
  <c r="BA63" i="1" l="1"/>
  <c r="CJ26" i="1"/>
  <c r="Y302" i="1"/>
  <c r="AL265" i="1"/>
  <c r="DP229" i="1"/>
  <c r="EC206" i="1"/>
  <c r="AK95" i="1"/>
  <c r="X174" i="1"/>
  <c r="AL63" i="1"/>
  <c r="DP174" i="1"/>
  <c r="EC95" i="1"/>
  <c r="CC206" i="1"/>
  <c r="AT229" i="1"/>
  <c r="DQ174" i="1"/>
  <c r="ED95" i="1"/>
  <c r="X302" i="1"/>
  <c r="AK265" i="1"/>
  <c r="ED334" i="1"/>
  <c r="DQ363" i="1"/>
  <c r="ED206" i="1"/>
  <c r="DQ229" i="1"/>
  <c r="DI63" i="1"/>
  <c r="DV26" i="1"/>
  <c r="Y174" i="1"/>
  <c r="AL95" i="1"/>
  <c r="GN209" i="1"/>
  <c r="FT229" i="1" s="1"/>
  <c r="AL206" i="1"/>
  <c r="Y229" i="1"/>
  <c r="DQ302" i="1"/>
  <c r="ED265" i="1"/>
  <c r="DY26" i="1"/>
  <c r="DL63" i="1"/>
  <c r="V302" i="1"/>
  <c r="AI265" i="1"/>
  <c r="EV22" i="1"/>
  <c r="EV453" i="1"/>
  <c r="P448" i="1"/>
  <c r="F184" i="1"/>
  <c r="AQ95" i="1"/>
  <c r="CG334" i="1"/>
  <c r="AX363" i="1"/>
  <c r="DV95" i="1"/>
  <c r="DI174" i="1"/>
  <c r="EC334" i="1"/>
  <c r="DP363" i="1"/>
  <c r="DO334" i="1"/>
  <c r="P387" i="1"/>
  <c r="F185" i="1"/>
  <c r="AZ95" i="1"/>
  <c r="AF265" i="1"/>
  <c r="S302" i="1"/>
  <c r="F248" i="1"/>
  <c r="AU206" i="1"/>
  <c r="FU229" i="1"/>
  <c r="S363" i="1"/>
  <c r="AF334" i="1"/>
  <c r="EI206" i="1"/>
  <c r="P239" i="1"/>
  <c r="F249" i="1"/>
  <c r="BA206" i="1"/>
  <c r="W206" i="1"/>
  <c r="F253" i="1"/>
  <c r="P240" i="1"/>
  <c r="ER206" i="1"/>
  <c r="GN336" i="1"/>
  <c r="CZ33" i="1"/>
  <c r="Y33" i="1" s="1"/>
  <c r="ED63" i="1" s="1"/>
  <c r="CY33" i="1"/>
  <c r="X33" i="1" s="1"/>
  <c r="EC63" i="1" s="1"/>
  <c r="DX63" i="1"/>
  <c r="AZ63" i="1"/>
  <c r="CI26" i="1"/>
  <c r="P402" i="1"/>
  <c r="EH261" i="1"/>
  <c r="CI265" i="1"/>
  <c r="AZ302" i="1"/>
  <c r="AQ334" i="1"/>
  <c r="F373" i="1"/>
  <c r="V26" i="1"/>
  <c r="F86" i="1"/>
  <c r="ER393" i="1"/>
  <c r="P313" i="1"/>
  <c r="ER265" i="1"/>
  <c r="BA265" i="1"/>
  <c r="F322" i="1"/>
  <c r="BA393" i="1"/>
  <c r="F436" i="1"/>
  <c r="BB22" i="1"/>
  <c r="BB453" i="1"/>
  <c r="EG22" i="1"/>
  <c r="EG453" i="1"/>
  <c r="P427" i="1"/>
  <c r="DN334" i="1"/>
  <c r="P386" i="1"/>
  <c r="R63" i="1"/>
  <c r="AE26" i="1"/>
  <c r="AQ26" i="1"/>
  <c r="F73" i="1"/>
  <c r="AK363" i="1"/>
  <c r="CY32" i="1"/>
  <c r="X32" i="1" s="1"/>
  <c r="GM32" i="1" s="1"/>
  <c r="GN32" i="1" s="1"/>
  <c r="CZ32" i="1"/>
  <c r="Y32" i="1" s="1"/>
  <c r="AF63" i="1"/>
  <c r="Q302" i="1"/>
  <c r="AD265" i="1"/>
  <c r="F181" i="1"/>
  <c r="AX95" i="1"/>
  <c r="V206" i="1"/>
  <c r="F252" i="1"/>
  <c r="DU26" i="1"/>
  <c r="FZ63" i="1"/>
  <c r="FW63" i="1"/>
  <c r="DH63" i="1"/>
  <c r="FX63" i="1"/>
  <c r="CG265" i="1"/>
  <c r="AX302" i="1"/>
  <c r="F241" i="1"/>
  <c r="Q206" i="1"/>
  <c r="CF174" i="1"/>
  <c r="AC95" i="1"/>
  <c r="CH174" i="1"/>
  <c r="CE174" i="1"/>
  <c r="P174" i="1"/>
  <c r="P384" i="1"/>
  <c r="DL334" i="1"/>
  <c r="FY334" i="1"/>
  <c r="EP363" i="1"/>
  <c r="AD334" i="1"/>
  <c r="Q363" i="1"/>
  <c r="P383" i="1"/>
  <c r="ES334" i="1"/>
  <c r="DN95" i="1"/>
  <c r="P197" i="1"/>
  <c r="F385" i="1"/>
  <c r="U334" i="1"/>
  <c r="DT63" i="1"/>
  <c r="GM29" i="1"/>
  <c r="AF206" i="1"/>
  <c r="S229" i="1"/>
  <c r="F448" i="1"/>
  <c r="BD22" i="1"/>
  <c r="BD453" i="1"/>
  <c r="GM139" i="1"/>
  <c r="GO139" i="1" s="1"/>
  <c r="DL95" i="1"/>
  <c r="P195" i="1"/>
  <c r="GM163" i="1"/>
  <c r="GO163" i="1" s="1"/>
  <c r="GM167" i="1"/>
  <c r="GO167" i="1" s="1"/>
  <c r="AG26" i="1"/>
  <c r="T63" i="1"/>
  <c r="BA95" i="1"/>
  <c r="F194" i="1"/>
  <c r="FY95" i="1"/>
  <c r="EP174" i="1"/>
  <c r="CP33" i="1"/>
  <c r="O33" i="1" s="1"/>
  <c r="DO393" i="1"/>
  <c r="DO265" i="1"/>
  <c r="P326" i="1"/>
  <c r="AE265" i="1"/>
  <c r="R302" i="1"/>
  <c r="F397" i="1"/>
  <c r="AO261" i="1"/>
  <c r="GN208" i="1"/>
  <c r="GM344" i="1"/>
  <c r="GN344" i="1" s="1"/>
  <c r="GA95" i="1"/>
  <c r="ER174" i="1"/>
  <c r="AP261" i="1"/>
  <c r="F402" i="1"/>
  <c r="EM26" i="1"/>
  <c r="P82" i="1"/>
  <c r="EM423" i="1"/>
  <c r="F383" i="1"/>
  <c r="BA334" i="1"/>
  <c r="P375" i="1"/>
  <c r="DI334" i="1"/>
  <c r="P241" i="1"/>
  <c r="DI206" i="1"/>
  <c r="AB302" i="1"/>
  <c r="GM267" i="1"/>
  <c r="AX206" i="1"/>
  <c r="F236" i="1"/>
  <c r="GM354" i="1"/>
  <c r="GN354" i="1" s="1"/>
  <c r="EB26" i="1"/>
  <c r="DO63" i="1"/>
  <c r="GM164" i="1"/>
  <c r="GO164" i="1" s="1"/>
  <c r="DJ363" i="1"/>
  <c r="DW334" i="1"/>
  <c r="DW265" i="1"/>
  <c r="DJ302" i="1"/>
  <c r="DK334" i="1"/>
  <c r="P378" i="1"/>
  <c r="FY265" i="1"/>
  <c r="EP302" i="1"/>
  <c r="DU95" i="1"/>
  <c r="FZ174" i="1"/>
  <c r="DH174" i="1"/>
  <c r="FW174" i="1"/>
  <c r="FX174" i="1"/>
  <c r="EC302" i="1"/>
  <c r="P184" i="1"/>
  <c r="EI95" i="1"/>
  <c r="R174" i="1"/>
  <c r="AE95" i="1"/>
  <c r="T95" i="1"/>
  <c r="F195" i="1"/>
  <c r="F406" i="1"/>
  <c r="BB261" i="1"/>
  <c r="DN265" i="1"/>
  <c r="DN393" i="1"/>
  <c r="P325" i="1"/>
  <c r="GM210" i="1"/>
  <c r="GN210" i="1" s="1"/>
  <c r="AB229" i="1"/>
  <c r="V95" i="1"/>
  <c r="F197" i="1"/>
  <c r="F87" i="1"/>
  <c r="W26" i="1"/>
  <c r="GM349" i="1"/>
  <c r="GN349" i="1" s="1"/>
  <c r="EM95" i="1"/>
  <c r="P193" i="1"/>
  <c r="ER363" i="1"/>
  <c r="GA334" i="1"/>
  <c r="U206" i="1"/>
  <c r="F251" i="1"/>
  <c r="F198" i="1"/>
  <c r="W95" i="1"/>
  <c r="FW363" i="1"/>
  <c r="DU334" i="1"/>
  <c r="FX363" i="1"/>
  <c r="DH363" i="1"/>
  <c r="FZ363" i="1"/>
  <c r="AP22" i="1"/>
  <c r="F432" i="1"/>
  <c r="G16" i="2" s="1"/>
  <c r="AP453" i="1"/>
  <c r="DL206" i="1"/>
  <c r="P250" i="1"/>
  <c r="DT363" i="1"/>
  <c r="EL261" i="1"/>
  <c r="P411" i="1"/>
  <c r="DN206" i="1"/>
  <c r="P252" i="1"/>
  <c r="AC26" i="1"/>
  <c r="CF63" i="1"/>
  <c r="P63" i="1"/>
  <c r="CH63" i="1"/>
  <c r="CE63" i="1"/>
  <c r="DM393" i="1"/>
  <c r="P324" i="1"/>
  <c r="DM265" i="1"/>
  <c r="EP206" i="1"/>
  <c r="P236" i="1"/>
  <c r="AC265" i="1"/>
  <c r="CF302" i="1"/>
  <c r="CH302" i="1"/>
  <c r="CE302" i="1"/>
  <c r="P302" i="1"/>
  <c r="DF12" i="3"/>
  <c r="DH12" i="3"/>
  <c r="DI12" i="3"/>
  <c r="DG12" i="3"/>
  <c r="DJ12" i="3" s="1"/>
  <c r="DT174" i="1"/>
  <c r="GM98" i="1"/>
  <c r="P253" i="1"/>
  <c r="DO206" i="1"/>
  <c r="CE363" i="1"/>
  <c r="CF363" i="1"/>
  <c r="AC334" i="1"/>
  <c r="P363" i="1"/>
  <c r="CH363" i="1"/>
  <c r="F382" i="1"/>
  <c r="AU334" i="1"/>
  <c r="P194" i="1"/>
  <c r="ES95" i="1"/>
  <c r="T265" i="1"/>
  <c r="T393" i="1"/>
  <c r="F323" i="1"/>
  <c r="AB334" i="1"/>
  <c r="O363" i="1"/>
  <c r="GM137" i="1"/>
  <c r="GO137" i="1" s="1"/>
  <c r="U423" i="1"/>
  <c r="U26" i="1"/>
  <c r="F85" i="1"/>
  <c r="DK229" i="1"/>
  <c r="DX206" i="1"/>
  <c r="GB26" i="1"/>
  <c r="ES63" i="1"/>
  <c r="F387" i="1"/>
  <c r="W334" i="1"/>
  <c r="ES265" i="1"/>
  <c r="ES393" i="1"/>
  <c r="P322" i="1"/>
  <c r="AL334" i="1"/>
  <c r="Y363" i="1"/>
  <c r="AD26" i="1"/>
  <c r="Q63" i="1"/>
  <c r="DF13" i="3"/>
  <c r="DH13" i="3"/>
  <c r="DI13" i="3"/>
  <c r="DJ13" i="3" s="1"/>
  <c r="DG13" i="3"/>
  <c r="GM276" i="1"/>
  <c r="GN276" i="1" s="1"/>
  <c r="GM130" i="1"/>
  <c r="GO130" i="1" s="1"/>
  <c r="BC22" i="1"/>
  <c r="BC453" i="1"/>
  <c r="F439" i="1"/>
  <c r="P382" i="1"/>
  <c r="EM334" i="1"/>
  <c r="EI334" i="1"/>
  <c r="P373" i="1"/>
  <c r="AZ206" i="1"/>
  <c r="F240" i="1"/>
  <c r="EK95" i="1"/>
  <c r="P191" i="1"/>
  <c r="CG26" i="1"/>
  <c r="AX63" i="1"/>
  <c r="AD95" i="1"/>
  <c r="Q174" i="1"/>
  <c r="AQ265" i="1"/>
  <c r="F312" i="1"/>
  <c r="AQ393" i="1"/>
  <c r="GN337" i="1"/>
  <c r="GM120" i="1"/>
  <c r="GO120" i="1" s="1"/>
  <c r="DW63" i="1"/>
  <c r="EM393" i="1"/>
  <c r="EH423" i="1"/>
  <c r="DW95" i="1"/>
  <c r="DJ174" i="1"/>
  <c r="T206" i="1"/>
  <c r="F250" i="1"/>
  <c r="P249" i="1"/>
  <c r="ES206" i="1"/>
  <c r="DW206" i="1"/>
  <c r="DJ229" i="1"/>
  <c r="R363" i="1"/>
  <c r="AE334" i="1"/>
  <c r="DX265" i="1"/>
  <c r="DK302" i="1"/>
  <c r="GM97" i="1"/>
  <c r="AB174" i="1"/>
  <c r="DT206" i="1"/>
  <c r="DG229" i="1"/>
  <c r="P196" i="1"/>
  <c r="DM95" i="1"/>
  <c r="P385" i="1"/>
  <c r="DM334" i="1"/>
  <c r="DH14" i="3"/>
  <c r="DG14" i="3"/>
  <c r="DJ14" i="3" s="1"/>
  <c r="DF14" i="3"/>
  <c r="DI14" i="3"/>
  <c r="F82" i="1"/>
  <c r="AU26" i="1"/>
  <c r="DK174" i="1"/>
  <c r="DX95" i="1"/>
  <c r="AO22" i="1"/>
  <c r="AO453" i="1"/>
  <c r="F427" i="1"/>
  <c r="GM28" i="1"/>
  <c r="AB63" i="1"/>
  <c r="P198" i="1"/>
  <c r="DO95" i="1"/>
  <c r="GM30" i="1"/>
  <c r="GN30" i="1" s="1"/>
  <c r="GM221" i="1"/>
  <c r="GO221" i="1" s="1"/>
  <c r="F321" i="1"/>
  <c r="AU265" i="1"/>
  <c r="AU393" i="1"/>
  <c r="GN268" i="1"/>
  <c r="FT302" i="1" s="1"/>
  <c r="U265" i="1"/>
  <c r="U393" i="1"/>
  <c r="F324" i="1"/>
  <c r="EL26" i="1"/>
  <c r="P81" i="1"/>
  <c r="EP26" i="1"/>
  <c r="P70" i="1"/>
  <c r="F193" i="1"/>
  <c r="AU95" i="1"/>
  <c r="DF11" i="3"/>
  <c r="DH11" i="3"/>
  <c r="DG11" i="3"/>
  <c r="DI11" i="3"/>
  <c r="DJ11" i="3" s="1"/>
  <c r="DT302" i="1"/>
  <c r="DU265" i="1"/>
  <c r="DH302" i="1"/>
  <c r="FZ302" i="1"/>
  <c r="FW302" i="1"/>
  <c r="FX302" i="1"/>
  <c r="BC261" i="1"/>
  <c r="F409" i="1"/>
  <c r="EA26" i="1"/>
  <c r="DN63" i="1"/>
  <c r="GM100" i="1"/>
  <c r="GO100" i="1" s="1"/>
  <c r="F196" i="1"/>
  <c r="U95" i="1"/>
  <c r="F384" i="1"/>
  <c r="T334" i="1"/>
  <c r="AK229" i="1"/>
  <c r="EI265" i="1"/>
  <c r="EI393" i="1"/>
  <c r="P312" i="1"/>
  <c r="DL265" i="1"/>
  <c r="DL393" i="1"/>
  <c r="P323" i="1"/>
  <c r="GM345" i="1"/>
  <c r="GN345" i="1" s="1"/>
  <c r="GM274" i="1"/>
  <c r="GN274" i="1" s="1"/>
  <c r="DZ26" i="1"/>
  <c r="DM63" i="1"/>
  <c r="R229" i="1"/>
  <c r="AE206" i="1"/>
  <c r="DI302" i="1"/>
  <c r="DV265" i="1"/>
  <c r="CF229" i="1"/>
  <c r="CH229" i="1"/>
  <c r="P229" i="1"/>
  <c r="CE229" i="1"/>
  <c r="AC206" i="1"/>
  <c r="GM34" i="1"/>
  <c r="GN34" i="1" s="1"/>
  <c r="AZ363" i="1"/>
  <c r="CI334" i="1"/>
  <c r="EU22" i="1"/>
  <c r="EU453" i="1"/>
  <c r="P439" i="1"/>
  <c r="GM101" i="1"/>
  <c r="GO101" i="1" s="1"/>
  <c r="DM206" i="1"/>
  <c r="P251" i="1"/>
  <c r="DU206" i="1"/>
  <c r="FZ229" i="1"/>
  <c r="FW229" i="1"/>
  <c r="FX229" i="1"/>
  <c r="DH229" i="1"/>
  <c r="AF95" i="1"/>
  <c r="S174" i="1"/>
  <c r="V334" i="1"/>
  <c r="F386" i="1"/>
  <c r="W265" i="1"/>
  <c r="F326" i="1"/>
  <c r="W393" i="1"/>
  <c r="ED26" i="1" l="1"/>
  <c r="DQ63" i="1"/>
  <c r="W261" i="1"/>
  <c r="F417" i="1"/>
  <c r="CH206" i="1"/>
  <c r="AY229" i="1"/>
  <c r="AQ261" i="1"/>
  <c r="F403" i="1"/>
  <c r="O229" i="1"/>
  <c r="AB206" i="1"/>
  <c r="DK63" i="1"/>
  <c r="DX26" i="1"/>
  <c r="V265" i="1"/>
  <c r="F325" i="1"/>
  <c r="V393" i="1"/>
  <c r="P200" i="1"/>
  <c r="DP95" i="1"/>
  <c r="CF206" i="1"/>
  <c r="AW229" i="1"/>
  <c r="F412" i="1"/>
  <c r="AU261" i="1"/>
  <c r="DK206" i="1"/>
  <c r="P244" i="1"/>
  <c r="CA229" i="1"/>
  <c r="EC26" i="1"/>
  <c r="DP63" i="1"/>
  <c r="DL26" i="1"/>
  <c r="DL423" i="1"/>
  <c r="P84" i="1"/>
  <c r="P256" i="1"/>
  <c r="DQ206" i="1"/>
  <c r="EO302" i="1"/>
  <c r="FX265" i="1"/>
  <c r="P189" i="1"/>
  <c r="DK95" i="1"/>
  <c r="AP18" i="1"/>
  <c r="F462" i="1"/>
  <c r="AF26" i="1"/>
  <c r="S63" i="1"/>
  <c r="P457" i="1"/>
  <c r="EG18" i="1"/>
  <c r="S334" i="1"/>
  <c r="F378" i="1"/>
  <c r="DI95" i="1"/>
  <c r="P186" i="1"/>
  <c r="F200" i="1"/>
  <c r="X95" i="1"/>
  <c r="DI265" i="1"/>
  <c r="DI393" i="1"/>
  <c r="P314" i="1"/>
  <c r="EN302" i="1"/>
  <c r="FW265" i="1"/>
  <c r="AU423" i="1"/>
  <c r="DN261" i="1"/>
  <c r="P416" i="1"/>
  <c r="EN174" i="1"/>
  <c r="FW95" i="1"/>
  <c r="CA363" i="1"/>
  <c r="DQ334" i="1"/>
  <c r="P390" i="1"/>
  <c r="O174" i="1"/>
  <c r="AB95" i="1"/>
  <c r="Q95" i="1"/>
  <c r="F186" i="1"/>
  <c r="P334" i="1"/>
  <c r="F366" i="1"/>
  <c r="P26" i="1"/>
  <c r="F66" i="1"/>
  <c r="P423" i="1"/>
  <c r="P177" i="1"/>
  <c r="DH95" i="1"/>
  <c r="CA174" i="1"/>
  <c r="GO97" i="1"/>
  <c r="CC174" i="1" s="1"/>
  <c r="BC18" i="1"/>
  <c r="F469" i="1"/>
  <c r="AV302" i="1"/>
  <c r="CE265" i="1"/>
  <c r="FZ334" i="1"/>
  <c r="EQ363" i="1"/>
  <c r="EQ174" i="1"/>
  <c r="FZ95" i="1"/>
  <c r="EM22" i="1"/>
  <c r="P442" i="1"/>
  <c r="EM453" i="1"/>
  <c r="R265" i="1"/>
  <c r="F316" i="1"/>
  <c r="R393" i="1"/>
  <c r="AK334" i="1"/>
  <c r="X363" i="1"/>
  <c r="F256" i="1"/>
  <c r="Y206" i="1"/>
  <c r="DP206" i="1"/>
  <c r="P255" i="1"/>
  <c r="DM26" i="1"/>
  <c r="DM423" i="1"/>
  <c r="P85" i="1"/>
  <c r="DK265" i="1"/>
  <c r="P317" i="1"/>
  <c r="DK393" i="1"/>
  <c r="AX26" i="1"/>
  <c r="F70" i="1"/>
  <c r="AX423" i="1"/>
  <c r="P413" i="1"/>
  <c r="ES261" i="1"/>
  <c r="O334" i="1"/>
  <c r="F365" i="1"/>
  <c r="CH265" i="1"/>
  <c r="AY302" i="1"/>
  <c r="P366" i="1"/>
  <c r="DH334" i="1"/>
  <c r="FZ26" i="1"/>
  <c r="EQ63" i="1"/>
  <c r="X393" i="1"/>
  <c r="F328" i="1"/>
  <c r="X265" i="1"/>
  <c r="DT265" i="1"/>
  <c r="DG302" i="1"/>
  <c r="CF265" i="1"/>
  <c r="AW302" i="1"/>
  <c r="FX334" i="1"/>
  <c r="EO363" i="1"/>
  <c r="BA261" i="1"/>
  <c r="F413" i="1"/>
  <c r="FS229" i="1"/>
  <c r="FX206" i="1"/>
  <c r="EO229" i="1"/>
  <c r="AB26" i="1"/>
  <c r="O63" i="1"/>
  <c r="DJ63" i="1"/>
  <c r="DW26" i="1"/>
  <c r="W423" i="1"/>
  <c r="CH95" i="1"/>
  <c r="AY174" i="1"/>
  <c r="FT206" i="1"/>
  <c r="EK229" i="1"/>
  <c r="P201" i="1"/>
  <c r="DQ95" i="1"/>
  <c r="FW206" i="1"/>
  <c r="EN229" i="1"/>
  <c r="U261" i="1"/>
  <c r="F415" i="1"/>
  <c r="CA63" i="1"/>
  <c r="GN28" i="1"/>
  <c r="CB63" i="1" s="1"/>
  <c r="F377" i="1"/>
  <c r="R334" i="1"/>
  <c r="T261" i="1"/>
  <c r="F414" i="1"/>
  <c r="FW334" i="1"/>
  <c r="EN363" i="1"/>
  <c r="GN267" i="1"/>
  <c r="CB302" i="1" s="1"/>
  <c r="CA302" i="1"/>
  <c r="DO261" i="1"/>
  <c r="P417" i="1"/>
  <c r="AK63" i="1"/>
  <c r="EV18" i="1"/>
  <c r="P478" i="1"/>
  <c r="F247" i="1"/>
  <c r="AT206" i="1"/>
  <c r="Y265" i="1"/>
  <c r="F329" i="1"/>
  <c r="Y393" i="1"/>
  <c r="FT265" i="1"/>
  <c r="EK302" i="1"/>
  <c r="F375" i="1"/>
  <c r="Q334" i="1"/>
  <c r="P404" i="1"/>
  <c r="ER261" i="1"/>
  <c r="DP334" i="1"/>
  <c r="P389" i="1"/>
  <c r="DI26" i="1"/>
  <c r="P75" i="1"/>
  <c r="DI423" i="1"/>
  <c r="Q26" i="1"/>
  <c r="F75" i="1"/>
  <c r="Q423" i="1"/>
  <c r="DM261" i="1"/>
  <c r="P415" i="1"/>
  <c r="DP302" i="1"/>
  <c r="EC265" i="1"/>
  <c r="F309" i="1"/>
  <c r="AX265" i="1"/>
  <c r="AX393" i="1"/>
  <c r="Q265" i="1"/>
  <c r="Q393" i="1"/>
  <c r="F314" i="1"/>
  <c r="Y63" i="1"/>
  <c r="AL26" i="1"/>
  <c r="P403" i="1"/>
  <c r="EI261" i="1"/>
  <c r="P231" i="1"/>
  <c r="DG206" i="1"/>
  <c r="AV63" i="1"/>
  <c r="CE26" i="1"/>
  <c r="FX95" i="1"/>
  <c r="EO174" i="1"/>
  <c r="P377" i="1"/>
  <c r="DJ334" i="1"/>
  <c r="CB229" i="1"/>
  <c r="S206" i="1"/>
  <c r="F244" i="1"/>
  <c r="EP334" i="1"/>
  <c r="P370" i="1"/>
  <c r="EI423" i="1"/>
  <c r="Y334" i="1"/>
  <c r="F390" i="1"/>
  <c r="AY363" i="1"/>
  <c r="CH334" i="1"/>
  <c r="CH26" i="1"/>
  <c r="AY63" i="1"/>
  <c r="P374" i="1"/>
  <c r="ER334" i="1"/>
  <c r="T26" i="1"/>
  <c r="T423" i="1"/>
  <c r="F84" i="1"/>
  <c r="FX26" i="1"/>
  <c r="EO63" i="1"/>
  <c r="FU206" i="1"/>
  <c r="EL229" i="1"/>
  <c r="EU18" i="1"/>
  <c r="P469" i="1"/>
  <c r="AK206" i="1"/>
  <c r="X229" i="1"/>
  <c r="FZ265" i="1"/>
  <c r="EQ302" i="1"/>
  <c r="DJ95" i="1"/>
  <c r="P188" i="1"/>
  <c r="F445" i="1"/>
  <c r="U453" i="1"/>
  <c r="U22" i="1"/>
  <c r="P265" i="1"/>
  <c r="P393" i="1"/>
  <c r="F305" i="1"/>
  <c r="P87" i="1"/>
  <c r="DO423" i="1"/>
  <c r="DO26" i="1"/>
  <c r="GN29" i="1"/>
  <c r="P66" i="1"/>
  <c r="DH423" i="1"/>
  <c r="DH26" i="1"/>
  <c r="BB18" i="1"/>
  <c r="F466" i="1"/>
  <c r="CB363" i="1"/>
  <c r="AX334" i="1"/>
  <c r="F370" i="1"/>
  <c r="DQ265" i="1"/>
  <c r="P329" i="1"/>
  <c r="DQ393" i="1"/>
  <c r="F189" i="1"/>
  <c r="S95" i="1"/>
  <c r="F243" i="1"/>
  <c r="R206" i="1"/>
  <c r="DH265" i="1"/>
  <c r="DH393" i="1"/>
  <c r="P305" i="1"/>
  <c r="AW63" i="1"/>
  <c r="CF26" i="1"/>
  <c r="DT26" i="1"/>
  <c r="DG63" i="1"/>
  <c r="FW26" i="1"/>
  <c r="EN63" i="1"/>
  <c r="EH22" i="1"/>
  <c r="P432" i="1"/>
  <c r="V16" i="2" s="1"/>
  <c r="EH453" i="1"/>
  <c r="CF334" i="1"/>
  <c r="AW363" i="1"/>
  <c r="P95" i="1"/>
  <c r="F177" i="1"/>
  <c r="F313" i="1"/>
  <c r="AZ265" i="1"/>
  <c r="AZ393" i="1"/>
  <c r="S265" i="1"/>
  <c r="F317" i="1"/>
  <c r="S393" i="1"/>
  <c r="DH206" i="1"/>
  <c r="P232" i="1"/>
  <c r="F374" i="1"/>
  <c r="AZ334" i="1"/>
  <c r="EM261" i="1"/>
  <c r="P412" i="1"/>
  <c r="CE334" i="1"/>
  <c r="AV363" i="1"/>
  <c r="P309" i="1"/>
  <c r="EP393" i="1"/>
  <c r="EP265" i="1"/>
  <c r="AV174" i="1"/>
  <c r="CE95" i="1"/>
  <c r="AQ423" i="1"/>
  <c r="FZ206" i="1"/>
  <c r="EQ229" i="1"/>
  <c r="AV229" i="1"/>
  <c r="CE206" i="1"/>
  <c r="DN26" i="1"/>
  <c r="P86" i="1"/>
  <c r="DN423" i="1"/>
  <c r="DJ206" i="1"/>
  <c r="P243" i="1"/>
  <c r="FS363" i="1"/>
  <c r="ES26" i="1"/>
  <c r="P83" i="1"/>
  <c r="ES423" i="1"/>
  <c r="GO98" i="1"/>
  <c r="FU174" i="1" s="1"/>
  <c r="FS174" i="1"/>
  <c r="F188" i="1"/>
  <c r="R95" i="1"/>
  <c r="O302" i="1"/>
  <c r="AB265" i="1"/>
  <c r="ER95" i="1"/>
  <c r="P185" i="1"/>
  <c r="ER423" i="1"/>
  <c r="GM33" i="1"/>
  <c r="GN33" i="1" s="1"/>
  <c r="AW174" i="1"/>
  <c r="CF95" i="1"/>
  <c r="R26" i="1"/>
  <c r="R423" i="1"/>
  <c r="F77" i="1"/>
  <c r="F201" i="1"/>
  <c r="Y95" i="1"/>
  <c r="P206" i="1"/>
  <c r="F232" i="1"/>
  <c r="DL261" i="1"/>
  <c r="P414" i="1"/>
  <c r="FS302" i="1"/>
  <c r="AO18" i="1"/>
  <c r="F457" i="1"/>
  <c r="FT363" i="1"/>
  <c r="DT95" i="1"/>
  <c r="DG174" i="1"/>
  <c r="DT334" i="1"/>
  <c r="DG363" i="1"/>
  <c r="DJ265" i="1"/>
  <c r="DJ393" i="1"/>
  <c r="P316" i="1"/>
  <c r="P181" i="1"/>
  <c r="EP95" i="1"/>
  <c r="BD18" i="1"/>
  <c r="F478" i="1"/>
  <c r="F74" i="1"/>
  <c r="AZ26" i="1"/>
  <c r="BA26" i="1"/>
  <c r="F83" i="1"/>
  <c r="BA423" i="1"/>
  <c r="U18" i="1" l="1"/>
  <c r="F475" i="1"/>
  <c r="P69" i="1"/>
  <c r="EO26" i="1"/>
  <c r="F68" i="1"/>
  <c r="AV26" i="1"/>
  <c r="AY393" i="1"/>
  <c r="F310" i="1"/>
  <c r="AY265" i="1"/>
  <c r="EM18" i="1"/>
  <c r="P472" i="1"/>
  <c r="CA206" i="1"/>
  <c r="AR229" i="1"/>
  <c r="DH22" i="1"/>
  <c r="P426" i="1"/>
  <c r="DH453" i="1"/>
  <c r="EI22" i="1"/>
  <c r="P433" i="1"/>
  <c r="EI453" i="1"/>
  <c r="W22" i="1"/>
  <c r="W453" i="1"/>
  <c r="F447" i="1"/>
  <c r="FS334" i="1"/>
  <c r="EJ363" i="1"/>
  <c r="AK26" i="1"/>
  <c r="X63" i="1"/>
  <c r="CA334" i="1"/>
  <c r="AR363" i="1"/>
  <c r="EN26" i="1"/>
  <c r="P68" i="1"/>
  <c r="P304" i="1"/>
  <c r="DG393" i="1"/>
  <c r="DG265" i="1"/>
  <c r="P22" i="1"/>
  <c r="P453" i="1"/>
  <c r="F426" i="1"/>
  <c r="F231" i="1"/>
  <c r="O206" i="1"/>
  <c r="FS63" i="1"/>
  <c r="O26" i="1"/>
  <c r="F65" i="1"/>
  <c r="EQ95" i="1"/>
  <c r="P182" i="1"/>
  <c r="EN95" i="1"/>
  <c r="P179" i="1"/>
  <c r="CA265" i="1"/>
  <c r="AR302" i="1"/>
  <c r="P371" i="1"/>
  <c r="EQ334" i="1"/>
  <c r="DG334" i="1"/>
  <c r="P365" i="1"/>
  <c r="F304" i="1"/>
  <c r="O393" i="1"/>
  <c r="O423" i="1" s="1"/>
  <c r="O265" i="1"/>
  <c r="DO22" i="1"/>
  <c r="DO453" i="1"/>
  <c r="P447" i="1"/>
  <c r="CB206" i="1"/>
  <c r="AS229" i="1"/>
  <c r="Y26" i="1"/>
  <c r="F90" i="1"/>
  <c r="Y423" i="1"/>
  <c r="P235" i="1"/>
  <c r="EO206" i="1"/>
  <c r="AX22" i="1"/>
  <c r="F430" i="1"/>
  <c r="AX453" i="1"/>
  <c r="AY26" i="1"/>
  <c r="F71" i="1"/>
  <c r="F420" i="1"/>
  <c r="Y261" i="1"/>
  <c r="EN334" i="1"/>
  <c r="P368" i="1"/>
  <c r="X334" i="1"/>
  <c r="F389" i="1"/>
  <c r="AU22" i="1"/>
  <c r="F442" i="1"/>
  <c r="H16" i="2" s="1"/>
  <c r="AU453" i="1"/>
  <c r="Q261" i="1"/>
  <c r="F405" i="1"/>
  <c r="FS206" i="1"/>
  <c r="EJ229" i="1"/>
  <c r="DL22" i="1"/>
  <c r="DL453" i="1"/>
  <c r="P444" i="1"/>
  <c r="EJ174" i="1"/>
  <c r="FS95" i="1"/>
  <c r="AV206" i="1"/>
  <c r="F234" i="1"/>
  <c r="CB334" i="1"/>
  <c r="AS363" i="1"/>
  <c r="F396" i="1"/>
  <c r="P261" i="1"/>
  <c r="EO95" i="1"/>
  <c r="P180" i="1"/>
  <c r="EK206" i="1"/>
  <c r="P246" i="1"/>
  <c r="P408" i="1"/>
  <c r="DK261" i="1"/>
  <c r="R261" i="1"/>
  <c r="F407" i="1"/>
  <c r="EN393" i="1"/>
  <c r="EN423" i="1" s="1"/>
  <c r="EN265" i="1"/>
  <c r="P307" i="1"/>
  <c r="S26" i="1"/>
  <c r="S423" i="1"/>
  <c r="F78" i="1"/>
  <c r="V261" i="1"/>
  <c r="F416" i="1"/>
  <c r="V423" i="1"/>
  <c r="EH18" i="1"/>
  <c r="P462" i="1"/>
  <c r="FS265" i="1"/>
  <c r="EJ302" i="1"/>
  <c r="ER22" i="1"/>
  <c r="ER453" i="1"/>
  <c r="P434" i="1"/>
  <c r="P328" i="1"/>
  <c r="DP265" i="1"/>
  <c r="DP393" i="1"/>
  <c r="T22" i="1"/>
  <c r="T453" i="1"/>
  <c r="F444" i="1"/>
  <c r="DJ261" i="1"/>
  <c r="P407" i="1"/>
  <c r="P308" i="1"/>
  <c r="EO393" i="1"/>
  <c r="EO265" i="1"/>
  <c r="Q22" i="1"/>
  <c r="F435" i="1"/>
  <c r="Q453" i="1"/>
  <c r="AW206" i="1"/>
  <c r="F235" i="1"/>
  <c r="FU95" i="1"/>
  <c r="EL174" i="1"/>
  <c r="EL206" i="1"/>
  <c r="P247" i="1"/>
  <c r="P89" i="1"/>
  <c r="DP423" i="1"/>
  <c r="DP26" i="1"/>
  <c r="DQ26" i="1"/>
  <c r="DQ423" i="1"/>
  <c r="P90" i="1"/>
  <c r="F180" i="1"/>
  <c r="AW95" i="1"/>
  <c r="AQ22" i="1"/>
  <c r="AQ453" i="1"/>
  <c r="F433" i="1"/>
  <c r="CA95" i="1"/>
  <c r="AR174" i="1"/>
  <c r="AS63" i="1"/>
  <c r="CB26" i="1"/>
  <c r="F308" i="1"/>
  <c r="AW393" i="1"/>
  <c r="AW265" i="1"/>
  <c r="DM453" i="1"/>
  <c r="DM22" i="1"/>
  <c r="P445" i="1"/>
  <c r="W16" i="2"/>
  <c r="DK26" i="1"/>
  <c r="P78" i="1"/>
  <c r="DK423" i="1"/>
  <c r="AV95" i="1"/>
  <c r="F179" i="1"/>
  <c r="S261" i="1"/>
  <c r="F408" i="1"/>
  <c r="CA26" i="1"/>
  <c r="AR63" i="1"/>
  <c r="FT63" i="1"/>
  <c r="DJ26" i="1"/>
  <c r="P77" i="1"/>
  <c r="DJ423" i="1"/>
  <c r="EP261" i="1"/>
  <c r="P400" i="1"/>
  <c r="EP423" i="1"/>
  <c r="P420" i="1"/>
  <c r="DQ261" i="1"/>
  <c r="EQ393" i="1"/>
  <c r="P310" i="1"/>
  <c r="EQ265" i="1"/>
  <c r="BA22" i="1"/>
  <c r="BA453" i="1"/>
  <c r="F443" i="1"/>
  <c r="DN453" i="1"/>
  <c r="DN22" i="1"/>
  <c r="P446" i="1"/>
  <c r="AZ261" i="1"/>
  <c r="F404" i="1"/>
  <c r="DG26" i="1"/>
  <c r="P65" i="1"/>
  <c r="EK265" i="1"/>
  <c r="P319" i="1"/>
  <c r="EK393" i="1"/>
  <c r="EN206" i="1"/>
  <c r="P234" i="1"/>
  <c r="AV334" i="1"/>
  <c r="F368" i="1"/>
  <c r="X206" i="1"/>
  <c r="F255" i="1"/>
  <c r="AS302" i="1"/>
  <c r="CB265" i="1"/>
  <c r="F237" i="1"/>
  <c r="AY206" i="1"/>
  <c r="X261" i="1"/>
  <c r="F419" i="1"/>
  <c r="AZ423" i="1"/>
  <c r="DG95" i="1"/>
  <c r="P176" i="1"/>
  <c r="F69" i="1"/>
  <c r="AW26" i="1"/>
  <c r="DI22" i="1"/>
  <c r="P435" i="1"/>
  <c r="DI453" i="1"/>
  <c r="P71" i="1"/>
  <c r="EQ423" i="1"/>
  <c r="EQ26" i="1"/>
  <c r="AV265" i="1"/>
  <c r="AV393" i="1"/>
  <c r="F307" i="1"/>
  <c r="R22" i="1"/>
  <c r="F437" i="1"/>
  <c r="R453" i="1"/>
  <c r="EK363" i="1"/>
  <c r="FT334" i="1"/>
  <c r="P237" i="1"/>
  <c r="EQ206" i="1"/>
  <c r="F369" i="1"/>
  <c r="AW334" i="1"/>
  <c r="P396" i="1"/>
  <c r="DH261" i="1"/>
  <c r="F371" i="1"/>
  <c r="AY334" i="1"/>
  <c r="AX261" i="1"/>
  <c r="F400" i="1"/>
  <c r="ES22" i="1"/>
  <c r="P443" i="1"/>
  <c r="ES453" i="1"/>
  <c r="F182" i="1"/>
  <c r="AY95" i="1"/>
  <c r="EO334" i="1"/>
  <c r="P369" i="1"/>
  <c r="CC95" i="1"/>
  <c r="AT174" i="1"/>
  <c r="F176" i="1"/>
  <c r="O95" i="1"/>
  <c r="DI261" i="1"/>
  <c r="P405" i="1"/>
  <c r="EN22" i="1" l="1"/>
  <c r="P428" i="1"/>
  <c r="EN453" i="1"/>
  <c r="O22" i="1"/>
  <c r="F425" i="1"/>
  <c r="O453" i="1"/>
  <c r="EP453" i="1"/>
  <c r="P430" i="1"/>
  <c r="EP22" i="1"/>
  <c r="AS26" i="1"/>
  <c r="F80" i="1"/>
  <c r="AS423" i="1"/>
  <c r="P399" i="1"/>
  <c r="EO261" i="1"/>
  <c r="AS334" i="1"/>
  <c r="F380" i="1"/>
  <c r="P477" i="1"/>
  <c r="DO18" i="1"/>
  <c r="DK22" i="1"/>
  <c r="DK453" i="1"/>
  <c r="P438" i="1"/>
  <c r="EJ265" i="1"/>
  <c r="P330" i="1"/>
  <c r="EJ393" i="1"/>
  <c r="DG261" i="1"/>
  <c r="P395" i="1"/>
  <c r="DN18" i="1"/>
  <c r="P476" i="1"/>
  <c r="AY261" i="1"/>
  <c r="F401" i="1"/>
  <c r="AQ18" i="1"/>
  <c r="F463" i="1"/>
  <c r="BA18" i="1"/>
  <c r="F473" i="1"/>
  <c r="T18" i="1"/>
  <c r="F474" i="1"/>
  <c r="V453" i="1"/>
  <c r="V22" i="1"/>
  <c r="F446" i="1"/>
  <c r="EJ95" i="1"/>
  <c r="P202" i="1"/>
  <c r="EQ22" i="1"/>
  <c r="EQ453" i="1"/>
  <c r="P431" i="1"/>
  <c r="FS26" i="1"/>
  <c r="EJ63" i="1"/>
  <c r="DH18" i="1"/>
  <c r="P456" i="1"/>
  <c r="AR26" i="1"/>
  <c r="AR423" i="1"/>
  <c r="F91" i="1"/>
  <c r="DM18" i="1"/>
  <c r="P475" i="1"/>
  <c r="DP261" i="1"/>
  <c r="P419" i="1"/>
  <c r="DG423" i="1"/>
  <c r="EQ261" i="1"/>
  <c r="P401" i="1"/>
  <c r="AW261" i="1"/>
  <c r="F399" i="1"/>
  <c r="DQ22" i="1"/>
  <c r="DQ453" i="1"/>
  <c r="P450" i="1"/>
  <c r="S22" i="1"/>
  <c r="S453" i="1"/>
  <c r="F438" i="1"/>
  <c r="J16" i="2" s="1"/>
  <c r="EJ206" i="1"/>
  <c r="P257" i="1"/>
  <c r="F246" i="1"/>
  <c r="AS206" i="1"/>
  <c r="AR265" i="1"/>
  <c r="F330" i="1"/>
  <c r="AR393" i="1"/>
  <c r="F257" i="1"/>
  <c r="AR206" i="1"/>
  <c r="DP22" i="1"/>
  <c r="DP453" i="1"/>
  <c r="P449" i="1"/>
  <c r="AR95" i="1"/>
  <c r="F202" i="1"/>
  <c r="EN261" i="1"/>
  <c r="P398" i="1"/>
  <c r="AU18" i="1"/>
  <c r="F472" i="1"/>
  <c r="AX18" i="1"/>
  <c r="F460" i="1"/>
  <c r="F477" i="1"/>
  <c r="W18" i="1"/>
  <c r="AT95" i="1"/>
  <c r="F192" i="1"/>
  <c r="AT423" i="1"/>
  <c r="AV261" i="1"/>
  <c r="F398" i="1"/>
  <c r="DJ22" i="1"/>
  <c r="P437" i="1"/>
  <c r="DJ453" i="1"/>
  <c r="F395" i="1"/>
  <c r="O261" i="1"/>
  <c r="P463" i="1"/>
  <c r="EI18" i="1"/>
  <c r="AZ22" i="1"/>
  <c r="AZ453" i="1"/>
  <c r="F434" i="1"/>
  <c r="EL95" i="1"/>
  <c r="P192" i="1"/>
  <c r="EL423" i="1"/>
  <c r="AV423" i="1"/>
  <c r="EK261" i="1"/>
  <c r="P410" i="1"/>
  <c r="EK63" i="1"/>
  <c r="FT26" i="1"/>
  <c r="Y22" i="1"/>
  <c r="F450" i="1"/>
  <c r="Y453" i="1"/>
  <c r="AR334" i="1"/>
  <c r="F391" i="1"/>
  <c r="DL18" i="1"/>
  <c r="P474" i="1"/>
  <c r="ES18" i="1"/>
  <c r="P473" i="1"/>
  <c r="DI18" i="1"/>
  <c r="P465" i="1"/>
  <c r="Q18" i="1"/>
  <c r="F465" i="1"/>
  <c r="F89" i="1"/>
  <c r="X26" i="1"/>
  <c r="X423" i="1"/>
  <c r="EO423" i="1"/>
  <c r="P380" i="1"/>
  <c r="EK334" i="1"/>
  <c r="AS393" i="1"/>
  <c r="F319" i="1"/>
  <c r="AS265" i="1"/>
  <c r="F456" i="1"/>
  <c r="P18" i="1"/>
  <c r="EJ334" i="1"/>
  <c r="P391" i="1"/>
  <c r="F467" i="1"/>
  <c r="R18" i="1"/>
  <c r="AW423" i="1"/>
  <c r="ER18" i="1"/>
  <c r="P464" i="1"/>
  <c r="AY423" i="1"/>
  <c r="P421" i="1" l="1"/>
  <c r="EJ261" i="1"/>
  <c r="AY22" i="1"/>
  <c r="F431" i="1"/>
  <c r="AY453" i="1"/>
  <c r="F428" i="1"/>
  <c r="AV453" i="1"/>
  <c r="AV22" i="1"/>
  <c r="EL22" i="1"/>
  <c r="EL453" i="1"/>
  <c r="P441" i="1"/>
  <c r="U16" i="2" s="1"/>
  <c r="EO453" i="1"/>
  <c r="P429" i="1"/>
  <c r="EO22" i="1"/>
  <c r="DG22" i="1"/>
  <c r="DG453" i="1"/>
  <c r="P425" i="1"/>
  <c r="DK18" i="1"/>
  <c r="P468" i="1"/>
  <c r="X22" i="1"/>
  <c r="F449" i="1"/>
  <c r="X453" i="1"/>
  <c r="F480" i="1"/>
  <c r="Y18" i="1"/>
  <c r="AZ18" i="1"/>
  <c r="F464" i="1"/>
  <c r="DP18" i="1"/>
  <c r="P479" i="1"/>
  <c r="EN18" i="1"/>
  <c r="P458" i="1"/>
  <c r="DJ18" i="1"/>
  <c r="P467" i="1"/>
  <c r="AS22" i="1"/>
  <c r="F440" i="1"/>
  <c r="E16" i="2" s="1"/>
  <c r="AS453" i="1"/>
  <c r="F410" i="1"/>
  <c r="AS261" i="1"/>
  <c r="EJ26" i="1"/>
  <c r="EJ423" i="1"/>
  <c r="P91" i="1"/>
  <c r="Y16" i="2"/>
  <c r="AW22" i="1"/>
  <c r="AW453" i="1"/>
  <c r="F429" i="1"/>
  <c r="AT22" i="1"/>
  <c r="AT453" i="1"/>
  <c r="F441" i="1"/>
  <c r="F16" i="2" s="1"/>
  <c r="EQ18" i="1"/>
  <c r="P461" i="1"/>
  <c r="P460" i="1"/>
  <c r="EP18" i="1"/>
  <c r="F455" i="1"/>
  <c r="O18" i="1"/>
  <c r="S18" i="1"/>
  <c r="F468" i="1"/>
  <c r="EK26" i="1"/>
  <c r="P80" i="1"/>
  <c r="EK423" i="1"/>
  <c r="DQ18" i="1"/>
  <c r="P480" i="1"/>
  <c r="AR22" i="1"/>
  <c r="F451" i="1"/>
  <c r="AR453" i="1"/>
  <c r="AR261" i="1"/>
  <c r="F421" i="1"/>
  <c r="V18" i="1"/>
  <c r="F476" i="1"/>
  <c r="EK22" i="1" l="1"/>
  <c r="EK453" i="1"/>
  <c r="P440" i="1"/>
  <c r="T16" i="2" s="1"/>
  <c r="X16" i="2" s="1"/>
  <c r="AC16" i="2" s="1"/>
  <c r="AT18" i="1"/>
  <c r="F471" i="1"/>
  <c r="X18" i="1"/>
  <c r="F479" i="1"/>
  <c r="AV18" i="1"/>
  <c r="F458" i="1"/>
  <c r="EO18" i="1"/>
  <c r="P459" i="1"/>
  <c r="AS18" i="1"/>
  <c r="F470" i="1"/>
  <c r="I16" i="2"/>
  <c r="N16" i="2" s="1"/>
  <c r="EL18" i="1"/>
  <c r="P471" i="1"/>
  <c r="AW18" i="1"/>
  <c r="F459" i="1"/>
  <c r="AY18" i="1"/>
  <c r="F461" i="1"/>
  <c r="DG18" i="1"/>
  <c r="P455" i="1"/>
  <c r="AR18" i="1"/>
  <c r="F481" i="1"/>
  <c r="F482" i="1" s="1"/>
  <c r="EJ22" i="1"/>
  <c r="P451" i="1"/>
  <c r="EJ453" i="1"/>
  <c r="EJ18" i="1" l="1"/>
  <c r="P481" i="1"/>
  <c r="P482" i="1" s="1"/>
  <c r="EK18" i="1"/>
  <c r="P470" i="1"/>
</calcChain>
</file>

<file path=xl/sharedStrings.xml><?xml version="1.0" encoding="utf-8"?>
<sst xmlns="http://schemas.openxmlformats.org/spreadsheetml/2006/main" count="20213" uniqueCount="737">
  <si>
    <t>Smeta.RU  (495) 974-1589</t>
  </si>
  <si>
    <t>_PS_</t>
  </si>
  <si>
    <t>Smeta.RU</t>
  </si>
  <si>
    <t/>
  </si>
  <si>
    <t>02-01-05 КЛ 0,4 кВ труба</t>
  </si>
  <si>
    <t>02-01-05 Строительство  КЛ 0,4 кВ труба</t>
  </si>
  <si>
    <t>Сметные нормы списания</t>
  </si>
  <si>
    <t>Коды ОКП для ТСН-2001 МГЭ (История развития)</t>
  </si>
  <si>
    <t>Типовой расчет для ТСН-2001 МГЭ, Новая методика с выпуска доп. 43 (Строительство), Доп 73</t>
  </si>
  <si>
    <t>История развития для ТСН-2001 (МГЭ) 73 доп от 17.07.2024</t>
  </si>
  <si>
    <t>Поправки для ТСН-2001 от 16.04.2024 г. доп.72</t>
  </si>
  <si>
    <t>Территориальные сметные нормативы для Москвы (ТСН-2001)</t>
  </si>
  <si>
    <t>ТЕР</t>
  </si>
  <si>
    <t>Новая локальная смета</t>
  </si>
  <si>
    <t>I-217378-ЭС</t>
  </si>
  <si>
    <t>Новый раздел</t>
  </si>
  <si>
    <t>Строительные работы</t>
  </si>
  <si>
    <t>1</t>
  </si>
  <si>
    <t>3.1-51-1</t>
  </si>
  <si>
    <t>Разработка грунта вручную в траншеях глубиной до 2 м без креплений с откосами группа грунтов 1-3</t>
  </si>
  <si>
    <t>100 м3 грунта</t>
  </si>
  <si>
    <t>ТСН-2001.3. Доп. 1-42. Сб. 1, т. 51, поз. 1</t>
  </si>
  <si>
    <t>)*1,1</t>
  </si>
  <si>
    <t>ТСН-2001.3-1. 1-49...1-55</t>
  </si>
  <si>
    <t>ТСН-2001.3-1-15</t>
  </si>
  <si>
    <t>Поправка: О.П. п.3.4.30.в</t>
  </si>
  <si>
    <t>2</t>
  </si>
  <si>
    <t>3.1-7-2</t>
  </si>
  <si>
    <t>Разработка грунта с погрузкой на автомобили-самосвалы экскаваторами с ковшом вместимостью 0,25 м3 группа грунтов 1-3</t>
  </si>
  <si>
    <t>ТСН-2001.3 Доп. 70, Сб. 1, т. 7, поз. 2</t>
  </si>
  <si>
    <t>ТСН-2001.3-1. 1-1...1-7</t>
  </si>
  <si>
    <t>ТСН-2001.3-1-1</t>
  </si>
  <si>
    <t>3</t>
  </si>
  <si>
    <t>3.1-3-2</t>
  </si>
  <si>
    <t>Разработка грунта в отвал экскаваторами с ковшом вместимостью 0,25 м3 группа грунтов 1-3</t>
  </si>
  <si>
    <t>ТСН-2001.3 Доп. 68, Сб. 1, т. 3, поз. 2</t>
  </si>
  <si>
    <t>4</t>
  </si>
  <si>
    <t>3.1-53-1</t>
  </si>
  <si>
    <t>Засыпка вручную траншей, пазух котлованов и ям группа грунтов 1-3</t>
  </si>
  <si>
    <t>ТСН-2001.3. Доп. 1-42. Сб. 1, т. 53, поз. 1</t>
  </si>
  <si>
    <t>5</t>
  </si>
  <si>
    <t>)*1</t>
  </si>
  <si>
    <t>)*1,1)*0,9</t>
  </si>
  <si>
    <t>)*1,1)*0,5</t>
  </si>
  <si>
    <t>Поправка: О.П. п.3.4.30.в  Поправка: Сб.3-1.т.3.1.п.3.1.13_03.01.01.22.001</t>
  </si>
  <si>
    <t>6</t>
  </si>
  <si>
    <t>3.34-17-4</t>
  </si>
  <si>
    <t>Устройство трубопроводов из асбестоцементных труб с соединением манжетами полиэтиленовыми более 2-х отверстий</t>
  </si>
  <si>
    <t>1 канало-километр трубопровода</t>
  </si>
  <si>
    <t>ТСН-2001.3. Доп. 1-42. Сб. 34, т. 17, поз. 4</t>
  </si>
  <si>
    <t>ТСН-2001.3-34. 34-17...34-28</t>
  </si>
  <si>
    <t>ТСН-2001.3-34-6</t>
  </si>
  <si>
    <t>7</t>
  </si>
  <si>
    <t>1.12-3-25</t>
  </si>
  <si>
    <t>Трубы хризотилцементные безнапорные, марка БНТ, диаметр условного прохода 100 мм, внутренний диаметр 100 мм</t>
  </si>
  <si>
    <t>м</t>
  </si>
  <si>
    <t>ТСН-2001.1 Доп. 70, Р. 12, о. 3, поз. 25</t>
  </si>
  <si>
    <t>Материалы строительные</t>
  </si>
  <si>
    <t>ТСН-2001.1 Материалы строительные</t>
  </si>
  <si>
    <t>ТСН-2001.1-1</t>
  </si>
  <si>
    <t>8</t>
  </si>
  <si>
    <t>1.12-3-26</t>
  </si>
  <si>
    <t>Трубы хризотилцементные безнапорные, марка БНТ, диаметр условного прохода 150 мм, внутренний диаметр 141 мм</t>
  </si>
  <si>
    <t>ТСН-2001.1 Доп. 70, Р. 12, о. 3, поз. 26</t>
  </si>
  <si>
    <t>9</t>
  </si>
  <si>
    <t>3.34-55-5</t>
  </si>
  <si>
    <t>Устройство кабельной канализации из полиэтиленовых труб диаметром 160 мм, первая труба</t>
  </si>
  <si>
    <t>1 км трубопровода</t>
  </si>
  <si>
    <t>ТСН-2001.3 Доп. 68, Сб. 34, т. 55, поз. 5</t>
  </si>
  <si>
    <t>ТСН-2001.3-34. 34-55-1...34-55-10 (доп. 68)</t>
  </si>
  <si>
    <t>ТСН-2001.3-34-20</t>
  </si>
  <si>
    <t>10</t>
  </si>
  <si>
    <t>11</t>
  </si>
  <si>
    <t>3.34-55-6</t>
  </si>
  <si>
    <t>Добавлять на каждую последующую трубу к позиции 3.34-55-5</t>
  </si>
  <si>
    <t>ТСН-2001.3 Доп. 68, Сб. 34, т. 55, поз. 6</t>
  </si>
  <si>
    <t>12</t>
  </si>
  <si>
    <t>13</t>
  </si>
  <si>
    <t>цена поставщика</t>
  </si>
  <si>
    <t>Трубы Энергопласт ТС DN160х8 мм F4</t>
  </si>
  <si>
    <t>*1,02</t>
  </si>
  <si>
    <t>Материалы</t>
  </si>
  <si>
    <t>Материалы, изделия и конструкции</t>
  </si>
  <si>
    <t>[906,23 /  9,74]</t>
  </si>
  <si>
    <t>0</t>
  </si>
  <si>
    <t>14</t>
  </si>
  <si>
    <t>1.12-3-62</t>
  </si>
  <si>
    <t>Заглушки (пробки) полиэтиленовые ПКП-2 для каналов кабельной канализации из асбестоцементных труб внутренним диаметром 150 мм</t>
  </si>
  <si>
    <t>шт.</t>
  </si>
  <si>
    <t>ТСН-2001.1 Доп. 70, Р. 12, о. 3, поз. 62</t>
  </si>
  <si>
    <t>15</t>
  </si>
  <si>
    <t>1.1-1-766</t>
  </si>
  <si>
    <t>Песок для строительных работ, рядовой (карьерный)</t>
  </si>
  <si>
    <t>м3</t>
  </si>
  <si>
    <t>ТСН-2001.1 Доп. 69, Р. 1, о. 1, поз. 766</t>
  </si>
  <si>
    <t>16</t>
  </si>
  <si>
    <t>3.13-30-1</t>
  </si>
  <si>
    <t>Огнезащитное покрытие терморасширяющимися составами электрических кабелей с применением окрасочного безвоздушного агрегата</t>
  </si>
  <si>
    <t>100 м2 покрытия</t>
  </si>
  <si>
    <t>ТСН-2001.3 Доп. 71, Сб. 13, т. 30, поз. 1</t>
  </si>
  <si>
    <t>ТСН-2001.3-13. 13-17-6, 13-17-7, 13-18...13-38</t>
  </si>
  <si>
    <t>ТСН-2001.3-13-3</t>
  </si>
  <si>
    <t>17</t>
  </si>
  <si>
    <t>Огнезащитный состав СТАБИТЕРМ-225 3кп</t>
  </si>
  <si>
    <t>кг</t>
  </si>
  <si>
    <t>[549 / 1,2]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</si>
  <si>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</si>
  <si>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</si>
  <si>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</si>
  <si>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</si>
  <si>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</si>
  <si>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</si>
  <si>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</si>
  <si>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</si>
  <si>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</si>
  <si>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</si>
  <si>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</si>
  <si>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</si>
  <si>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</si>
  <si>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</si>
  <si>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</si>
  <si>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</si>
  <si>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</si>
  <si>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</si>
  <si>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</si>
  <si>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</si>
  <si>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</si>
  <si>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</si>
  <si>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</si>
  <si>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</si>
  <si>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</si>
  <si>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</si>
  <si>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</si>
  <si>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</si>
  <si>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</si>
  <si>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</si>
  <si>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</si>
  <si>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</si>
  <si>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</si>
  <si>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</si>
  <si>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</si>
  <si>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</si>
  <si>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</si>
  <si>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</si>
  <si>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</si>
  <si>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</si>
  <si>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</si>
  <si>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</si>
  <si>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</si>
  <si>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</si>
  <si>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</si>
  <si>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</si>
  <si>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</si>
  <si>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</si>
  <si>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</si>
  <si>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</si>
  <si>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</si>
  <si>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</si>
  <si>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</si>
  <si>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</si>
  <si>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Электромонтажные работы</t>
  </si>
  <si>
    <t>18</t>
  </si>
  <si>
    <t>4.8-74-1</t>
  </si>
  <si>
    <t>Устройство постели при одном кабеле в траншее</t>
  </si>
  <si>
    <t>100 М КАБЕЛЯ</t>
  </si>
  <si>
    <t>ТСН-2001.4 Доп. 68, Сб. 8, т. 74, поз. 1</t>
  </si>
  <si>
    <t>Монтаж оборудования</t>
  </si>
  <si>
    <t>ТСН-2001.4-8. 8-73...8-80</t>
  </si>
  <si>
    <t>ТСН-2001.4-8-3</t>
  </si>
  <si>
    <t>19</t>
  </si>
  <si>
    <t>20</t>
  </si>
  <si>
    <t>4.8-74-2</t>
  </si>
  <si>
    <t>Добавлять на каждый последующий кабель при устройстве постели (к норме и расценке 4.8-74-1)</t>
  </si>
  <si>
    <t>ТСН-2001.4 Доп. 68, Сб. 8, т. 74, поз. 2</t>
  </si>
  <si>
    <t>21</t>
  </si>
  <si>
    <t>22</t>
  </si>
  <si>
    <t>4.8-73-2</t>
  </si>
  <si>
    <t>Кабели до 35 кВ в готовых траншеях без покрытий, кабель массой до 2 кг  (АПВББШПг 4х70)</t>
  </si>
  <si>
    <t>ТСН-2001.4 Доп. 69, Сб. 8, т. 73, поз. 2</t>
  </si>
  <si>
    <t>23</t>
  </si>
  <si>
    <t>24</t>
  </si>
  <si>
    <t>4.8-73-3</t>
  </si>
  <si>
    <t>Кабели до 35 кВ в готовых траншеях без покрытий, кабель массой до 3 кг  (АПВББШПг 4х120)</t>
  </si>
  <si>
    <t>ТСН-2001.4 Доп. 69, Сб. 8, т. 73, поз. 3</t>
  </si>
  <si>
    <t>25</t>
  </si>
  <si>
    <t>26</t>
  </si>
  <si>
    <t>4.8-73-4</t>
  </si>
  <si>
    <t>Кабели до 35 кВ в готовых траншеях без покрытий, кабель массой до 6 кг (АПВББШПг 4х150)</t>
  </si>
  <si>
    <t>ТСН-2001.4 Доп. 69, Сб. 8, т. 73, поз. 4</t>
  </si>
  <si>
    <t>27</t>
  </si>
  <si>
    <t>Прокладка кабеля напряжением до 35 кВ в готовых траншеях без покрытий при массе 1 м до 6 кг (АПВББШПг 4х150)</t>
  </si>
  <si>
    <t>28</t>
  </si>
  <si>
    <t>Кабели до 35 кВ в готовых траншеях без покрытий, кабель массой до 6 кг (АПВББШПг 4х185)</t>
  </si>
  <si>
    <t>29</t>
  </si>
  <si>
    <t>30</t>
  </si>
  <si>
    <t>Кабели до 35 кВ в готовых траншеях без покрытий, кабель массой до 6 кг (АПВББШПг 4х240)</t>
  </si>
  <si>
    <t>31</t>
  </si>
  <si>
    <t>32</t>
  </si>
  <si>
    <t>4.8-80-2</t>
  </si>
  <si>
    <t>Кабели до 35 кВ в проложенных трубах, блоках и коробах, кабель, масса 1 м, до 2 кг  (АПВББШПг 4х70)</t>
  </si>
  <si>
    <t>ТСН-2001.4 Доп. 69, Сб. 8, т. 80, поз. 2</t>
  </si>
  <si>
    <t>33</t>
  </si>
  <si>
    <t>4.8-80-3</t>
  </si>
  <si>
    <t>Прокладка кабеля напряжением до 35 кВ в проложенных трубах, блоках и коробах, при массе 1 м до 3 кг  (АПВББШПг 4х120) ГНБ</t>
  </si>
  <si>
    <t>ТСН-2001.4 Доп. 69, Сб. 8, т. 80, поз. 3</t>
  </si>
  <si>
    <t>34</t>
  </si>
  <si>
    <t>Кабели до 35 кВ в проложенных трубах, блоках и коробах, кабель, масса 1 м, до 3 кг (АПВББШПг 4х120)</t>
  </si>
  <si>
    <t>35</t>
  </si>
  <si>
    <t>36</t>
  </si>
  <si>
    <t>4.8-80-4</t>
  </si>
  <si>
    <t>Кабели до 35 кВ в проложенных трубах, блоках и коробах, кабель, масса 1 м, до 6 кг (АПВББШП 4х150)</t>
  </si>
  <si>
    <t>ТСН-2001.4 Доп. 69, Сб. 8, т. 80, поз. 4</t>
  </si>
  <si>
    <t>37</t>
  </si>
  <si>
    <t>Прокладка кабеля напряжением до 35 кВ в проложенных трубах, блоках и коробах, при массе 1 м до 6 кг  (АПВББШП 4х150)</t>
  </si>
  <si>
    <t>38</t>
  </si>
  <si>
    <t>Кабели до 35 кВ в проложенных трубах, блоках и коробах, кабель, масса 1 м, до 6 кг (АПВББШП 4х185)</t>
  </si>
  <si>
    <t>39</t>
  </si>
  <si>
    <t>40</t>
  </si>
  <si>
    <t>Кабели до 35 кВ в проложенных трубах, блоках и коробах, кабель, масса 1 м, до 6 кг (АПВББШП 4х240)</t>
  </si>
  <si>
    <t>41</t>
  </si>
  <si>
    <t>42</t>
  </si>
  <si>
    <t>4.8-77-2</t>
  </si>
  <si>
    <t>Кабели до 35 кВ, прокладываемые по дну канала без креплений, кабель, масса 1 м, до 2 кг (ТП) 4х70</t>
  </si>
  <si>
    <t>ТСН-2001.4 Доп. 69, Сб. 8, т. 77, поз. 2</t>
  </si>
  <si>
    <t>43</t>
  </si>
  <si>
    <t>4.8-77-3</t>
  </si>
  <si>
    <t>Кабели до 35 кВ, прокладываемые по дну канала без креплений, кабель, масса 1 м, до 3 кг (ТП) 4х120</t>
  </si>
  <si>
    <t>ТСН-2001.4 Доп. 69, Сб. 8, т. 77, поз. 3</t>
  </si>
  <si>
    <t>44</t>
  </si>
  <si>
    <t>4.8-77-4</t>
  </si>
  <si>
    <t>Прокладка кабеля напряжением до 35 кВ по дну канала без креплений при массе 1 м до 6 кг  (АПВББШПг 4х150)</t>
  </si>
  <si>
    <t>ТСН-2001.4 Доп. 69, Сб. 8, т. 77, поз. 4</t>
  </si>
  <si>
    <t>45</t>
  </si>
  <si>
    <t>Прокладка кабеля напряжением до 35 кВ по дну канала без креплений при массе 1 м до 6 кг  (АПВББШПг 4х185)</t>
  </si>
  <si>
    <t>46</t>
  </si>
  <si>
    <t>Кабели до 35 кВ, прокладываемые по дну канала без креплений, кабель, масса 1 м, до 6 кг (ТП) 4х240</t>
  </si>
  <si>
    <t>47</t>
  </si>
  <si>
    <t>4.8-79-11</t>
  </si>
  <si>
    <t>Кабели до 35 кВ, прокладываемые по установленным конструкциям и лоткам, кабель с креплением по всей длине, масса 1 м, до 2 кг (в здании) 4х70</t>
  </si>
  <si>
    <t>ТСН-2001.4 Доп. 68, Сб. 8, т. 79, поз. 11</t>
  </si>
  <si>
    <t>48</t>
  </si>
  <si>
    <t>4.8-79-12</t>
  </si>
  <si>
    <t>Кабели до 35 кВ, прокладываемые по установленным конструкциям и лоткам, кабель с креплением по всей длине, масса 1 м, до 3 кг 4х95</t>
  </si>
  <si>
    <t>ТСН-2001.4 Доп. 69, Сб. 8, т. 79, поз. 12</t>
  </si>
  <si>
    <t>49</t>
  </si>
  <si>
    <t>4.8-79-13</t>
  </si>
  <si>
    <t>Кабели до 35 кВ, прокладываемые по установленным конструкциям и лоткам, кабель с креплением по всей длине, масса 1 м, до 6 кг (в здании) 4х150</t>
  </si>
  <si>
    <t>ТСН-2001.4 Доп. 69, Сб. 8, т. 79, поз. 13</t>
  </si>
  <si>
    <t>50</t>
  </si>
  <si>
    <t>Кабели до 35 кВ, прокладываемые по установленным конструкциям и лоткам, кабель с креплением по всей длине, масса 1 м, до 6 кг (в здании) 4х240</t>
  </si>
  <si>
    <t>51</t>
  </si>
  <si>
    <t>4.8-301-1</t>
  </si>
  <si>
    <t>Монтаж уплотнителя кабельного прохода термоусаживаемого</t>
  </si>
  <si>
    <t>100 компл.</t>
  </si>
  <si>
    <t>ТСН-2001.4 Доп. 68, Сб. 8, т. 301, поз. 1</t>
  </si>
  <si>
    <t>ТСН-2001.4-8. 8-301…8-309 (доп. 30)</t>
  </si>
  <si>
    <t>ТСН-2001.4-8-34</t>
  </si>
  <si>
    <t>52</t>
  </si>
  <si>
    <t>53</t>
  </si>
  <si>
    <t>4.8-318-3</t>
  </si>
  <si>
    <t>Монтаж муфты концевой термоусаживаемой для 4-х жильного кабеля с пластмассовой, резиновой и бумажной изоляцией, напряжением до 1 кВ, сечением одной жилы от 70 до 120 мм2</t>
  </si>
  <si>
    <t>1  ШТ.</t>
  </si>
  <si>
    <t>ТСН-2001.4 Доп. 70, Сб. 8, т. 318, поз. 3</t>
  </si>
  <si>
    <t>ТСН-2001.4-8. 8-316-3....8-318-4 (доп. 70)</t>
  </si>
  <si>
    <t>ТСН-2001.4-8-53</t>
  </si>
  <si>
    <t>54</t>
  </si>
  <si>
    <t>4.8-318-4</t>
  </si>
  <si>
    <t>Монтаж муфты концевой термоусаживаемой для 4-х жильного кабеля с пластмассовой, резиновой и бумажной изоляцией, напряжением до 1 кВ, сечением одной жилы от 150 до 240 мм2</t>
  </si>
  <si>
    <t>ТСН-2001.4 Доп. 70, Сб. 8, т. 318, поз. 4</t>
  </si>
  <si>
    <t>55</t>
  </si>
  <si>
    <t>4.8-322-1</t>
  </si>
  <si>
    <t>Монтаж муфты соединительной термоусаживаемой для 4-жильного кабеля с изоляцией из сшитого полиэтилена, напряжением до 1 кВ, сечением жилы 150 мм2</t>
  </si>
  <si>
    <t>ТСН-2001.4 Доп. 68, Сб. 8, т. 322, поз. 1</t>
  </si>
  <si>
    <t>ТСН-2001.4-8. 8-293...297 (доп. 26)</t>
  </si>
  <si>
    <t>ТСН-2001.4-8-31</t>
  </si>
  <si>
    <t>Материалы, не учтенные ценником</t>
  </si>
  <si>
    <t>56</t>
  </si>
  <si>
    <t>57</t>
  </si>
  <si>
    <t>счет-фактура</t>
  </si>
  <si>
    <t>КАБЕЛИ СИЛОВЫЕ С АЛЮМИНИЕВЫМИ ЖИЛАМИ С ИЗОЛЯЦИЕЙ ИЗ СИЛАНОЛЬНОСШИТОГО ПОЛИЭТИЛЕНА, ЗАЩИТНЫЙ ПОКРОВ ТИПА ББШП, НАПРЯЖЕНИЕ 1000 В, МАРКА АПВББШП(г), ЧИСЛО ЖИЛ И СЕЧЕНИЕ, ММ2: 4Х150</t>
  </si>
  <si>
    <t>[1 199,11 /  9,74] +  2% Трансп</t>
  </si>
  <si>
    <t>58</t>
  </si>
  <si>
    <t>КАБЕЛИ СИЛОВЫЕ С АЛЮМИНИЕВЫМИ ЖИЛАМИ С ИЗОЛЯЦИЕЙ ИЗ СИЛАНОЛЬНОСШИТОГО ПОЛИЭТИЛЕНА, ЗАЩИТНЫЙ ПОКРОВ ТИПА ББШП, НАПРЯЖЕНИЕ 1000 В, МАРКА АПВББШП(г), ЧИСЛО ЖИЛ И СЕЧЕНИЕ, ММ2: 4Х120</t>
  </si>
  <si>
    <t>[999,51 /  9,74] +  2% Трансп</t>
  </si>
  <si>
    <t>59</t>
  </si>
  <si>
    <t>КАБЕЛИ СИЛОВЫЕ С АЛЮМИНИЕВЫМИ ЖИЛАМИ С ИЗОЛЯЦИЕЙ ИЗ СИЛАНОЛЬНОСШИТОГО ПОЛИЭТИЛЕНА, ЗАЩИТНЫЙ ПОКРОВ ТИПА ББШП, НАПРЯЖЕНИЕ 1000 В, МАРКА АПВББШП(г), ЧИСЛО ЖИЛ И СЕЧЕНИЕ, ММ2: 4Х70</t>
  </si>
  <si>
    <t>60</t>
  </si>
  <si>
    <t>61</t>
  </si>
  <si>
    <t>1.21-5-1238</t>
  </si>
  <si>
    <t>Муфта универсальная, ремонтная, концевая, внутренней и наружной установки, для четырехжильного кабеля с бумажной изоляцией на напряжение до 1 кВ, с наконечниками с винтами со срывающейся головкой, с паяным узлом заземления, типа 4КВНтп-150/240</t>
  </si>
  <si>
    <t>КОМПЛЕКТ</t>
  </si>
  <si>
    <t>ТСН-2001.1 Доп. 73, Р. 21, о. 5, поз. 1238</t>
  </si>
  <si>
    <t>Материалы монтажные</t>
  </si>
  <si>
    <t>ТСН-2001.1 Материалы монтажные</t>
  </si>
  <si>
    <t>ТСН-2001.1-2</t>
  </si>
  <si>
    <t>62</t>
  </si>
  <si>
    <t>1.21-5-1237</t>
  </si>
  <si>
    <t>Муфта универсальная, ремонтная, концевая, внутренней и наружной установки, для четырехжильного кабеля с бумажной изоляцией на напряжение до 1 кВ, с наконечниками с винтами со срывающейся головкой, с паяным узлом заземления, типа 4КВНтп-70/120</t>
  </si>
  <si>
    <t>ТСН-2001.1 Доп. 70, Р. 21, о. 5, поз. 1237</t>
  </si>
  <si>
    <t>63</t>
  </si>
  <si>
    <t>1.21-5-1239</t>
  </si>
  <si>
    <t>Муфта универсальная, ремонтная, соединительная, для четырехжильного кабеля с бумажной изоляцией на напряжение до 1 кВ, с гильзами с винтами со срывающейся головкой, с паяным узлом заземления, типа 4Стп-70/120</t>
  </si>
  <si>
    <t>ТСН-2001.1 Доп. 73, Р. 21, о. 5, поз. 1239</t>
  </si>
  <si>
    <t>64</t>
  </si>
  <si>
    <t>1.21-5-1240</t>
  </si>
  <si>
    <t>Муфта универсальная, ремонтная, соединительная, для четырехжильного кабеля с бумажной изоляцией на напряжение до 1 кВ, с гильзами с винтами со срывающейся головкой, с паяным узлом заземления, типа 4Стп-150/240</t>
  </si>
  <si>
    <t>ТСН-2001.1 Доп. 73, Р. 21, о. 5, поз. 1240</t>
  </si>
  <si>
    <t>65</t>
  </si>
  <si>
    <t>1.21-5-1069</t>
  </si>
  <si>
    <t>Уплотнитель кабельных проходов, типа УКПТ</t>
  </si>
  <si>
    <t>ТСН-2001.1 Доп. 73, Р. 21, о. 5, поз. 1069</t>
  </si>
  <si>
    <t>Благоустройство</t>
  </si>
  <si>
    <t>Новый подраздел</t>
  </si>
  <si>
    <t>Дорога</t>
  </si>
  <si>
    <t>66</t>
  </si>
  <si>
    <t>6.68-51-4</t>
  </si>
  <si>
    <t>Разборка покрытий и оснований асфальтобетонных</t>
  </si>
  <si>
    <t>100 м3 конструкций</t>
  </si>
  <si>
    <t>ТСН-2001.6 Доп. 68, Сб. 68, т. 51, поз. 4</t>
  </si>
  <si>
    <t>Ремонтно-строительные работы</t>
  </si>
  <si>
    <t>ТСН-2001.6-68. 68-51...68-53</t>
  </si>
  <si>
    <t>ТСН-2001.6-68-21</t>
  </si>
  <si>
    <t>67</t>
  </si>
  <si>
    <t>6.68-51-5</t>
  </si>
  <si>
    <t>Разборка покрытий и оснований цементобетонных</t>
  </si>
  <si>
    <t>ТСН-2001.6 Доп. 68, Сб. 68, т. 51, поз. 5</t>
  </si>
  <si>
    <t>68</t>
  </si>
  <si>
    <t>6.68-13-1</t>
  </si>
  <si>
    <t>Механизированная погрузка строительного мусора в автомобили-самосвалы</t>
  </si>
  <si>
    <t>1 Т</t>
  </si>
  <si>
    <t>ТСН-2001.6. Доп. 1-42. Сб. 68, т. 13, поз. 1</t>
  </si>
  <si>
    <t>ТСН-2001.6-68. 68-13</t>
  </si>
  <si>
    <t>ТСН-2001.6-68-5</t>
  </si>
  <si>
    <t>69</t>
  </si>
  <si>
    <t>3.27-12-1</t>
  </si>
  <si>
    <t>Устройство подстилающих и выравнивающих слоев оснований из песка  (ДОРОГИ И ПРОЕЗЖАЯ ЧАСТЬ)</t>
  </si>
  <si>
    <t>100 м3 материала основания (в плотном теле)</t>
  </si>
  <si>
    <t>ТСН-2001.3 Доп. 69, Сб. 27, т. 12, поз. 1</t>
  </si>
  <si>
    <t>ТСН-2001.3-27. 27-1...27-21</t>
  </si>
  <si>
    <t>ТСН-2001.3-27-1</t>
  </si>
  <si>
    <t>69,1</t>
  </si>
  <si>
    <t>Песок для строительных работ, рядовой</t>
  </si>
  <si>
    <t>70</t>
  </si>
  <si>
    <t>3.27-30-1</t>
  </si>
  <si>
    <t>Устройство цементобетонных оснований городских проездов толщина слоя, см 16</t>
  </si>
  <si>
    <t>1000 м2 основания</t>
  </si>
  <si>
    <t>ТСН-2001.3 Доп. 73, Сб. 27, т. 30, поз. 1</t>
  </si>
  <si>
    <t>ТСН-2001.3-27. 27-29, 27-30</t>
  </si>
  <si>
    <t>ТСН-2001.3-27-7</t>
  </si>
  <si>
    <t>70,1</t>
  </si>
  <si>
    <t>1.3-1-36</t>
  </si>
  <si>
    <t>Смеси бетонные, БСГ, тяжелого бетона на гранитном щебне, класс прочности В7,5 (М100); П3, фракция 5-20</t>
  </si>
  <si>
    <t>ТСН-2001.1 Доп. 67, Р. 3, о. 1, поз. 36</t>
  </si>
  <si>
    <t>71</t>
  </si>
  <si>
    <t>3.27-30-2</t>
  </si>
  <si>
    <t>Устройство цементобетонных оснований городских проездов добавлять или исключать на каждый 1 см изменения толщины слоя</t>
  </si>
  <si>
    <t>ТСН-2001.3. Доп. 1-42. Сб. 27, т. 30, поз. 2</t>
  </si>
  <si>
    <t>71,1</t>
  </si>
  <si>
    <t>72</t>
  </si>
  <si>
    <t>3.27-42-1</t>
  </si>
  <si>
    <t>Устройство покрытий из горячих асфальтобетонных смесей толщиной 4 см комплектом машин</t>
  </si>
  <si>
    <t>ТСН-2001.3 Доп. 69, Сб. 27, т. 42, поз. 1</t>
  </si>
  <si>
    <t>ТСН-2001.3-27. 27-42...27-46</t>
  </si>
  <si>
    <t>ТСН-2001.3-27-13</t>
  </si>
  <si>
    <t>72,1</t>
  </si>
  <si>
    <t>1.3-3-3</t>
  </si>
  <si>
    <t>Смеси асфальтобетонные дорожные горячие крупнозернистые, тип I</t>
  </si>
  <si>
    <t>т</t>
  </si>
  <si>
    <t>ТСН-2001.1 Доп. 67, Р. 3, о. 3, поз. 3</t>
  </si>
  <si>
    <t>73</t>
  </si>
  <si>
    <t>73,1</t>
  </si>
  <si>
    <t>74</t>
  </si>
  <si>
    <t>3.27-43-1</t>
  </si>
  <si>
    <t>Добавляется на каждый 1 см изменения толщины слоя сверх 4 см к позиции 3.27-42-1</t>
  </si>
  <si>
    <t>ТСН-2001.3 Доп. 73, Сб. 27, т. 43, поз. 1</t>
  </si>
  <si>
    <t>74,1</t>
  </si>
  <si>
    <t>75</t>
  </si>
  <si>
    <t>75,1</t>
  </si>
  <si>
    <t>1.3-3-7</t>
  </si>
  <si>
    <t>Смеси асфальтобетонные дорожные горячие мелкозернистые, марка I, тип А</t>
  </si>
  <si>
    <t>ТСН-2001.1 Доп. 67, Р. 3, о. 3, поз. 7</t>
  </si>
  <si>
    <t>Тротуар</t>
  </si>
  <si>
    <t>76</t>
  </si>
  <si>
    <t>77</t>
  </si>
  <si>
    <t>6.68-51-2</t>
  </si>
  <si>
    <t>Разборка покрытий и оснований щебеночных</t>
  </si>
  <si>
    <t>ТСН-2001.6 Доп. 68, Сб. 68, т. 51, поз. 2</t>
  </si>
  <si>
    <t>78</t>
  </si>
  <si>
    <t>79</t>
  </si>
  <si>
    <t>УСТРОЙСТВО ПОДСТИЛАЮЩИХ И ВЫРАВНИВАЮЩИХ СЛОЕВ ОСНОВАНИЙ ИЗ ПЕСКА  ПОД ТРОТУАР</t>
  </si>
  <si>
    <t>79,1</t>
  </si>
  <si>
    <t>80</t>
  </si>
  <si>
    <t>3.27-48-1</t>
  </si>
  <si>
    <t>Устройство оснований под тротуары из щебня толщиной 12 см</t>
  </si>
  <si>
    <t>100 м2 дорожек и тротуаров</t>
  </si>
  <si>
    <t>ТСН-2001.3 Доп. 68, Сб. 27, т. 48, поз. 1</t>
  </si>
  <si>
    <t>ТСН-2001.3-27. 27-48</t>
  </si>
  <si>
    <t>ТСН-2001.3-27-15</t>
  </si>
  <si>
    <t>80,1</t>
  </si>
  <si>
    <t>1.1-1-1555</t>
  </si>
  <si>
    <t>Щебень из естественного камня для дорожных работ, марка 1200 - 800, фракция 20 - 40 мм</t>
  </si>
  <si>
    <t>ТСН-2001.1 Доп. 67, Р. 1, о. 1, поз. 1555</t>
  </si>
  <si>
    <t>81</t>
  </si>
  <si>
    <t>3.27-47-3</t>
  </si>
  <si>
    <t>Устройство асфальтобетонных покрытий дорожек и тротуаров двухслойных нижний слой из крупнозернистой асфальтобетонной смеси толщиной 4,5 см  (6см)</t>
  </si>
  <si>
    <t>ТСН-2001.3 Доп. 68, Сб. 27, т. 47, поз. 3</t>
  </si>
  <si>
    <t>ТСН-2001.3-27. 27-47</t>
  </si>
  <si>
    <t>ТСН-2001.3-27-14</t>
  </si>
  <si>
    <t>81,1</t>
  </si>
  <si>
    <t>82</t>
  </si>
  <si>
    <t>3.27-47-4</t>
  </si>
  <si>
    <t>Устройство асфальтобетонных покрытий дорожек и тротуаров двухслойных верхний слой из песчаной асфальтобетонной смеси толщиной 3 см  (4см)</t>
  </si>
  <si>
    <t>ТСН-2001.3 Доп. 68, Сб. 27, т. 47, поз. 4</t>
  </si>
  <si>
    <t>82,1</t>
  </si>
  <si>
    <t>1.3-3-10</t>
  </si>
  <si>
    <t>Смеси асфальтобетонные дорожные горячие песчаные, тип Г</t>
  </si>
  <si>
    <t>ТСН-2001.1 Доп. 67, Р. 3, о. 3, поз. 10</t>
  </si>
  <si>
    <t>83</t>
  </si>
  <si>
    <t>6.68-53-1</t>
  </si>
  <si>
    <t>Разборка бортовых камней на бетонном основании</t>
  </si>
  <si>
    <t>100 м</t>
  </si>
  <si>
    <t>ТСН-2001.6 Доп. 61, Сб. 68, т. 53, поз. 1</t>
  </si>
  <si>
    <t>84</t>
  </si>
  <si>
    <t>3.27-26-1</t>
  </si>
  <si>
    <t>Установка бортовых камней бетонных при цементобетонных покрытиях</t>
  </si>
  <si>
    <t>100 м бортового камня</t>
  </si>
  <si>
    <t>ТСН-2001.3 Доп. 73, Сб. 27, т. 26, поз. 1</t>
  </si>
  <si>
    <t>ТСН-2001.3-27. 27-26-1</t>
  </si>
  <si>
    <t>ТСН-2001.3-27-3</t>
  </si>
  <si>
    <t>всего</t>
  </si>
  <si>
    <t>Всего по смете</t>
  </si>
  <si>
    <t>Инд_исп.Сводный</t>
  </si>
  <si>
    <t>Используется Индекс "по сводному"</t>
  </si>
  <si>
    <t>Базовый уровень цен</t>
  </si>
  <si>
    <t>Текущий уровень цен</t>
  </si>
  <si>
    <t>Сборник индексов</t>
  </si>
  <si>
    <t>Коэффициенты к ТСН-2001 МГЭ</t>
  </si>
  <si>
    <t>212</t>
  </si>
  <si>
    <t>_OBSM_</t>
  </si>
  <si>
    <t>9999990008</t>
  </si>
  <si>
    <t>Трудозатраты рабочих</t>
  </si>
  <si>
    <t>чел.-ч.</t>
  </si>
  <si>
    <t>2.1-1-19</t>
  </si>
  <si>
    <t>ТСН-2001.2. Доп. 68. п.1-1-19 (010302)</t>
  </si>
  <si>
    <t>Экскаваторы на пневмоколесном ходу гидравлические, объем ковша до 0,25 м3</t>
  </si>
  <si>
    <t>маш.-ч</t>
  </si>
  <si>
    <t>2.1-1-43</t>
  </si>
  <si>
    <t>ТСН-2001.2. Доп. 68. п.1-1-43 (012102)</t>
  </si>
  <si>
    <t>Бульдозеры гусеничные, мощность до 59 кВт (80 л.с.)</t>
  </si>
  <si>
    <t>9999990007</t>
  </si>
  <si>
    <t>Стоимость прочих машин (ЭСН)</t>
  </si>
  <si>
    <t>руб.</t>
  </si>
  <si>
    <t>1.12-5-115</t>
  </si>
  <si>
    <t>ТСН-2001.1 Доп. 67, Р. 12, о. 5, поз. 115</t>
  </si>
  <si>
    <t>Муфта из полиэтилена, диаметр 100 мм</t>
  </si>
  <si>
    <t>10 шт.</t>
  </si>
  <si>
    <t>9999990006</t>
  </si>
  <si>
    <t>Стоимость прочих материалов (ЭСН)</t>
  </si>
  <si>
    <t>2.1-18-34</t>
  </si>
  <si>
    <t>ТСН-2001.2. Доп. 68. п.1-18-34 (182204)</t>
  </si>
  <si>
    <t>Полуприцепы общего назначения, грузоподъемность до 20 т</t>
  </si>
  <si>
    <t>2.1-18-36</t>
  </si>
  <si>
    <t>ТСН-2001.2. Доп. 68. п.1-18-36 (185004)</t>
  </si>
  <si>
    <t>Тягачи седельные, грузоподъемность до 20 т</t>
  </si>
  <si>
    <t>2.1-3-38</t>
  </si>
  <si>
    <t>ТСН-2001.2. Доп. 68. п.1-3-38 (032009)</t>
  </si>
  <si>
    <t>Краны на автомобильном ходу, грузоподъемность до 16 т</t>
  </si>
  <si>
    <t>2.1-12-13</t>
  </si>
  <si>
    <t>ТСН-2001.2. Доп. 68. п.1-12-13 (127201)</t>
  </si>
  <si>
    <t>Установки для осушки и очистки от механических примесей атмосферного воздуха для трансформаторов, производительность до 240 м3/ч</t>
  </si>
  <si>
    <t>2.1-14-13</t>
  </si>
  <si>
    <t>ТСН-2001.2. Доп. 68. п.1-14-13 (148501)</t>
  </si>
  <si>
    <t>Пылесосы строительные (промышленные)</t>
  </si>
  <si>
    <t>2.1-17-73</t>
  </si>
  <si>
    <t>ТСН-2001.2. Доп. 71. п.1-17-73 (171901)</t>
  </si>
  <si>
    <t>Агрегаты окрасочные безвоздушные для нанесения огнезащитного покрытия</t>
  </si>
  <si>
    <t>2.1-30-6</t>
  </si>
  <si>
    <t>ТСН-2001.2. Доп. 1-42, п. 1-30-6 (303701)</t>
  </si>
  <si>
    <t>Дрели электрические</t>
  </si>
  <si>
    <t>маш.-ч.</t>
  </si>
  <si>
    <t>1.1-1-825</t>
  </si>
  <si>
    <t>ТСН-2001.1 Доп. 67, Р. 1, о. 1, поз. 825</t>
  </si>
  <si>
    <t>Пленка полиэтиленовая, толщина от 120 до 150 мкм</t>
  </si>
  <si>
    <t>м2</t>
  </si>
  <si>
    <t>1.1-1-998</t>
  </si>
  <si>
    <t>ТСН-2001.1 Доп. 67, Р. 1, о. 1, поз. 998</t>
  </si>
  <si>
    <t>Растворитель универсальный типа 645-650</t>
  </si>
  <si>
    <t>2.1-18-7</t>
  </si>
  <si>
    <t>ТСН-2001.2. Доп. 68. п.1-18-7 (183001)</t>
  </si>
  <si>
    <t>Автомобили грузовые бортовые, грузоподъемность до 5 т</t>
  </si>
  <si>
    <t>2.1-4-45</t>
  </si>
  <si>
    <t>ТСН-2001.2. Доп. 68. п.1-4-45 (043403)</t>
  </si>
  <si>
    <t>Домкраты гидравлические, грузоподъемность до 100 т</t>
  </si>
  <si>
    <t>2.1-4-98</t>
  </si>
  <si>
    <t>ТСН-2001.2. Доп. 68. п.1-4-98 (042931)</t>
  </si>
  <si>
    <t>Лебедки электрические, тяговое усилие до 31,39 кН (3,2 тс)</t>
  </si>
  <si>
    <t>1.1-1-491</t>
  </si>
  <si>
    <t>ТСН-2001.1 Доп. 67, Р. 1, о. 1, поз. 491</t>
  </si>
  <si>
    <t>Лак битумный, типа БТ-123</t>
  </si>
  <si>
    <t>1.1-1-8031</t>
  </si>
  <si>
    <t>ТСН-2001.1 Доп. 66, Р. 1, о. 1, поз. 8031</t>
  </si>
  <si>
    <t>Роль свинцовая, марка С1, толщина от 1 до 1,5 мм</t>
  </si>
  <si>
    <t>1.1-1-944</t>
  </si>
  <si>
    <t>ТСН-2001.1 Доп. 67, Р. 1, о. 1, поз. 944</t>
  </si>
  <si>
    <t>Припой оловянно-свинцовый, в прутках, диаметр 8 мм, типа ПОС-30</t>
  </si>
  <si>
    <t>1.1-1-967</t>
  </si>
  <si>
    <t>ТСН-2001.1 Доп. 67, Р. 1, о. 1, поз. 967</t>
  </si>
  <si>
    <t>Проволока стальная низкоуглеродистая общего назначения оцинкованная, диаметр от 1,6 до 3,0 мм</t>
  </si>
  <si>
    <t>1.21-5-1180</t>
  </si>
  <si>
    <t>ТСН-2001.1 Доп. 73, Р. 21, о. 5, поз. 1180</t>
  </si>
  <si>
    <t>Бирка маркировочная для кабелей и проводов, типа У134 У3,5</t>
  </si>
  <si>
    <t>1000 шт.</t>
  </si>
  <si>
    <t>1.21-5-798</t>
  </si>
  <si>
    <t>ТСН-2001.1 Доп. 67, Р. 21, о. 5, поз. 798</t>
  </si>
  <si>
    <t>Лента монтажная, типа ЛМ-5</t>
  </si>
  <si>
    <t>1.21-5-800</t>
  </si>
  <si>
    <t>ТСН-2001.1 Доп. 67, Р. 21, о. 5, поз. 800</t>
  </si>
  <si>
    <t>Кнопка для ленты ЛМ, типа 3,5</t>
  </si>
  <si>
    <t>2.1-17-23</t>
  </si>
  <si>
    <t>ТСН-2001.2. Доп. 68. п.1-17-23 (174301)</t>
  </si>
  <si>
    <t>Горелки газовые</t>
  </si>
  <si>
    <t>1.1-1-2613</t>
  </si>
  <si>
    <t>ТСН-2001.1 Доп. 56, Р. 1, о. 1, поз. 2613</t>
  </si>
  <si>
    <t>Пропан-бутан, сжиженный газ</t>
  </si>
  <si>
    <t>ТСН-2001.1. Доп. 1-42. Р. 12, о. 3, поз. 25</t>
  </si>
  <si>
    <t>Трубы асбестоцементные безнапорные, диаметр условного прохода, мм, 100, внутренний диаметр 100 мм</t>
  </si>
  <si>
    <t>ТСН-2001.1. Доп. 1-42. Р. 12, о. 5, поз. 115</t>
  </si>
  <si>
    <t>Муфты полиэтиленовые, диаметр 100 мм</t>
  </si>
  <si>
    <t>2248110000</t>
  </si>
  <si>
    <t>Трубы из полиэтилена для кабельной канализации</t>
  </si>
  <si>
    <t>Агрегаты окрасочные безвоздушные высокого давления, мощность до 4 кВт</t>
  </si>
  <si>
    <t>2.1-30-102</t>
  </si>
  <si>
    <t>ТСН-2001.2. Доп. 68. п.1-30-102 (303704)</t>
  </si>
  <si>
    <t>Дрели, мощность до 800 Вт</t>
  </si>
  <si>
    <t>1.1-1-115</t>
  </si>
  <si>
    <t>ТСН-2001.1. Доп. 1-42. Р. 1, о. 1, поз. 115</t>
  </si>
  <si>
    <t>Ветошь</t>
  </si>
  <si>
    <t>5772450000</t>
  </si>
  <si>
    <t>(2257420000; 2316130000; 2312921000) Состав огнезащитный, вспучивающийся, механизированного и ручного нанесения</t>
  </si>
  <si>
    <t>5711400000</t>
  </si>
  <si>
    <t>Песок природный для строительных работ</t>
  </si>
  <si>
    <t>2.1-4-31</t>
  </si>
  <si>
    <t>ТСН-2001.2. Доп. 68. п.1-4-31 (042903)</t>
  </si>
  <si>
    <t>Лебедки электрические, тяговое усилие до 14,71 кН (1,5 тс)</t>
  </si>
  <si>
    <t>1.1-1-1092</t>
  </si>
  <si>
    <t>ТСН-2001.1 Доп. 48, Р. 1, о. 1, поз. 1092</t>
  </si>
  <si>
    <t>Полоса из стали углеродистой обыкновенного качества, спокойной</t>
  </si>
  <si>
    <t>1.1-1-1120</t>
  </si>
  <si>
    <t>ТСН-2001.1 Доп. 48, Р. 1, о. 1, поз. 1120</t>
  </si>
  <si>
    <t>Уголок равнополочный, для строительных стальных конструкций, ширина полки 35-70 мм, сталь С235, С245</t>
  </si>
  <si>
    <t>1.1-1-467</t>
  </si>
  <si>
    <t>ТСН-2001.1 Доп. 67, Р. 1, о. 1, поз. 467</t>
  </si>
  <si>
    <t>Краска масляная жидкотертая (готовая к употреблению), для наружных и внутренних работ по металлу, сурик железный, типа МА-15</t>
  </si>
  <si>
    <t>ТСН-2001.1 Доп. 67, Р. 21, о. 5, поз. 1180</t>
  </si>
  <si>
    <t>3500000000</t>
  </si>
  <si>
    <t>Кабели напряжением до 35 кВ</t>
  </si>
  <si>
    <t>км</t>
  </si>
  <si>
    <t>3599190000</t>
  </si>
  <si>
    <t>Оконцеватели (капы) термоусаживаемые</t>
  </si>
  <si>
    <t>1.1-1-3607</t>
  </si>
  <si>
    <t>ТСН-2001.1. Доп. 1-42. Р. 1, о. 1, поз. 3607</t>
  </si>
  <si>
    <t>Шурупы с полукруглой головкой, диаметр 4 мм, длина 40 мм</t>
  </si>
  <si>
    <t>3449950000</t>
  </si>
  <si>
    <t>Скобы кабельные (накладные)</t>
  </si>
  <si>
    <t>ТСН-2001.1 Доп. 69, Р. 1, о. 1, поз. 3607</t>
  </si>
  <si>
    <t>2.1-17-24</t>
  </si>
  <si>
    <t>ТСН-2001.2. Доп. 1-42, п. 1-17-24 (174302)</t>
  </si>
  <si>
    <t>Инжекторные газовые горелки</t>
  </si>
  <si>
    <t>1.1-1-1464</t>
  </si>
  <si>
    <t>ТСН-2001.1 Доп. 67, Р. 1, о. 1, поз. 1464</t>
  </si>
  <si>
    <t>Бумага наждачная шлифовальная, на тканевой основе, водостойкая</t>
  </si>
  <si>
    <t>1.1-2-158</t>
  </si>
  <si>
    <t>ТСН-2001.1. Доп. 1-42. Р. 1, о. 2, поз. 158</t>
  </si>
  <si>
    <t>Бензин авиационный, марка Б-70</t>
  </si>
  <si>
    <t>л</t>
  </si>
  <si>
    <t>1.21-5-1134</t>
  </si>
  <si>
    <t>ТСН-2001.1 Доп. 67, Р. 21, о. 5, поз. 1134</t>
  </si>
  <si>
    <t>Хомут (стяжка) кабельный из полиамида, размеры 4,8х300 мм</t>
  </si>
  <si>
    <t>100 шт.</t>
  </si>
  <si>
    <t>5296335000</t>
  </si>
  <si>
    <t>Уплотнители кабельных проходов термоусаживаемые</t>
  </si>
  <si>
    <t>3599000000</t>
  </si>
  <si>
    <t>Муфты концевые термоусаживаемые для силовых кабелей на напряжение до 1 кВ (3449630000)</t>
  </si>
  <si>
    <t>3449633000</t>
  </si>
  <si>
    <t>Муфты термоусаживаемые кабельные</t>
  </si>
  <si>
    <t>2.1-10-1</t>
  </si>
  <si>
    <t>ТСН-2001.2. Доп. 68. п.1-10-1 (100101)</t>
  </si>
  <si>
    <t>Компрессоры передвижные с двигателем внутреннего сгорания, давление до 7 ат, производительность до 5 м3/мин</t>
  </si>
  <si>
    <t>2.1-30-54</t>
  </si>
  <si>
    <t>ТСН-2001.2. Доп. 68. п.1-30-54 (308901)</t>
  </si>
  <si>
    <t>Молотки отбойные пневматические</t>
  </si>
  <si>
    <t>2.1-5-48</t>
  </si>
  <si>
    <t>ТСН-2001.2. Доп. 68. п.1-5-48 (056003)</t>
  </si>
  <si>
    <t>Автогрейдеры, мощность до 147 кВт (200 л.с.)</t>
  </si>
  <si>
    <t>2.1-1-5</t>
  </si>
  <si>
    <t>ТСН-2001.2. Доп. 68. п.1-1-5 (010109)</t>
  </si>
  <si>
    <t>Экскаваторы на гусеничном ходу гидравлические, объем ковша до 0,65 м3</t>
  </si>
  <si>
    <t>2.1-2-1</t>
  </si>
  <si>
    <t>ТСН-2001.2. Доп. 68. п.1-2-1 (020101)</t>
  </si>
  <si>
    <t>Тракторы на гусеничном ходу, мощность до 60 кВт (81 л.с.)</t>
  </si>
  <si>
    <t>2.1-5-113</t>
  </si>
  <si>
    <t>ТСН-2001.2. Доп. 68. п.1-5-113 (050502)</t>
  </si>
  <si>
    <t>Катки грунтовые вибрационные, масса до 21 т</t>
  </si>
  <si>
    <t>2.1-5-18</t>
  </si>
  <si>
    <t>ТСН-2001.2. Доп. 68. п.1-5-18 (050902)</t>
  </si>
  <si>
    <t>Машины поливомоечные, емкость цистерны до 8 м3</t>
  </si>
  <si>
    <t>2.1-5-7</t>
  </si>
  <si>
    <t>ТСН-2001.2. Доп. 68. п.1-5-7 (050301)</t>
  </si>
  <si>
    <t>Катки дорожные самоходные на пневмоколесном ходу, масса до 16 т</t>
  </si>
  <si>
    <t>1.1-1-118</t>
  </si>
  <si>
    <t>ТСН-2001.1. Доп. 1-42. Р. 1, о. 1, поз. 118</t>
  </si>
  <si>
    <t>Вода</t>
  </si>
  <si>
    <t>ТСН-2001.2. Доп. 71. п.1-5-18 (050902)</t>
  </si>
  <si>
    <t>2.1-5-64</t>
  </si>
  <si>
    <t>ТСН-2001.2. Доп. 68. п.1-5-64 (059002)</t>
  </si>
  <si>
    <t>Котлы битумоварочные электрические, емкость до 1000 л, мощность до 50 кВт</t>
  </si>
  <si>
    <t>2.1-6-51</t>
  </si>
  <si>
    <t>ТСН-2001.2. Доп. 68. п.1-6-51 (069401)</t>
  </si>
  <si>
    <t>Вибраторы поверхностные</t>
  </si>
  <si>
    <t>1.1-1-1017</t>
  </si>
  <si>
    <t>ТСН-2001.1 Доп. 70, Р. 1, о. 1, поз. 1017</t>
  </si>
  <si>
    <t>Материал рулонный кровельный и гидроизоляционный, рубероид типа РКК-350, на основе кровельного картона, с крупнозернистой посыпкой с верхней стороны, разрывная сила при растяжении не менее 320 Н, температура гибкости не выше +5°С, теплостойкость не ниже +</t>
  </si>
  <si>
    <t>1.1-1-45</t>
  </si>
  <si>
    <t>ТСН-2001.1 Доп. 70, Р. 1, о. 1, поз. 45</t>
  </si>
  <si>
    <t>Битум нефтяной дорожный вязкий, марка БНД</t>
  </si>
  <si>
    <t>1.9-11-4</t>
  </si>
  <si>
    <t>ТСН-2001.1 Доп. 67, Р. 9, о. 11, поз. 4</t>
  </si>
  <si>
    <t>Щит деревянный для фундаментов, колонн, балок, перекрытий, стен, перегородок и других конструкций из досок, толщина 40 мм</t>
  </si>
  <si>
    <t>5745080000</t>
  </si>
  <si>
    <t>Смеси бетонные, БСГ, тяжелого бетона для инженерных коммуникаций и дорог</t>
  </si>
  <si>
    <t>ТСН-2001.1. Доп. 1-42. Р. 9, о. 11, поз. 4</t>
  </si>
  <si>
    <t>Щиты деревянные для фундаментов, колонн, балок, перекрытий, стен, перегородок и других конструкций из досок, толщина 40 мм</t>
  </si>
  <si>
    <t>2.1-4-3</t>
  </si>
  <si>
    <t>ТСН-2001.2. Доп. 68. п.1-4-3 (040103)</t>
  </si>
  <si>
    <t>Погрузчики фронтальные одноковшовые, грузоподъемность до 3 т</t>
  </si>
  <si>
    <t>2.1-5-19</t>
  </si>
  <si>
    <t>ТСН-2001.2. Доп. 68. п.1-5-19 (051001)</t>
  </si>
  <si>
    <t>Асфальтоукладчики на гусеничном ходу, производительность до 350 т/ч</t>
  </si>
  <si>
    <t>2.1-5-2</t>
  </si>
  <si>
    <t>ТСН-2001.2. Доп. 68. п.1-5-2 (050102)</t>
  </si>
  <si>
    <t>Катки самоходные вибрационные, масса до 8 т</t>
  </si>
  <si>
    <t>2.1-5-35</t>
  </si>
  <si>
    <t>ТСН-2001.2. Доп. 68. п.1-5-35 (053601)</t>
  </si>
  <si>
    <t>Автогудронаторы, емкость до 4000 л</t>
  </si>
  <si>
    <t>2.1-5-6</t>
  </si>
  <si>
    <t>ТСН-2001.2. Доп. 68. п.1-5-6 (050203)</t>
  </si>
  <si>
    <t>Катки дорожные самоходные статические, масса до 13 т</t>
  </si>
  <si>
    <t>1.3-3-19</t>
  </si>
  <si>
    <t>ТСН-2001.1 Доп. 67, Р. 3, о. 3, поз. 19</t>
  </si>
  <si>
    <t>Эмульсия дорожная, битумная</t>
  </si>
  <si>
    <t>5718400000</t>
  </si>
  <si>
    <t>Смеси асфальтобетонные</t>
  </si>
  <si>
    <t>5711910000</t>
  </si>
  <si>
    <t>Щебень из природного камня</t>
  </si>
  <si>
    <t>1.1-1-46</t>
  </si>
  <si>
    <t>ТСН-2001.1 Доп. 67, Р. 1, о. 1, поз. 46</t>
  </si>
  <si>
    <t>Битум нефтяной дорожный жидкий, марка МГ, СГ</t>
  </si>
  <si>
    <t>1.1-1-132</t>
  </si>
  <si>
    <t>ТСН-2001.1. Доп. 1-42. Р. 1, о. 1, поз. 132</t>
  </si>
  <si>
    <t>Гвозди строительные</t>
  </si>
  <si>
    <t>1.1-1-230</t>
  </si>
  <si>
    <t>ТСН-2001.1 Доп. 67, Р. 1, о. 1, поз. 230</t>
  </si>
  <si>
    <t>Пиломатериал (доска) обрезной хвойных пород естественной влажности, сорт IV, толщина 20 мм, ширина от 100 до 200 мм</t>
  </si>
  <si>
    <t>1.3-1-38</t>
  </si>
  <si>
    <t>ТСН-2001.1 Доп. 67, Р. 3, о. 1, поз. 38</t>
  </si>
  <si>
    <t>Смесь бетонная тяжелого бетона БСТ на гранитном щебне, крупность заполнителя от 5 до 20 мм, класс прочности В15 (М200), П3, F50-100, W2</t>
  </si>
  <si>
    <t>1.3-2-5</t>
  </si>
  <si>
    <t>ТСН-2001.1 Доп. 67, Р. 3, о. 2, поз. 5</t>
  </si>
  <si>
    <t>Раствор цементный, марка М100</t>
  </si>
  <si>
    <t>5898320000</t>
  </si>
  <si>
    <t>Камни бортовые</t>
  </si>
  <si>
    <t>Поправка: О.П. п.3.4.30.в  Наименование: В отношении объектов, реализуемых с привлечением средств бюджета города Москвы, затраты, учитывающие усложненные условия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т.п.), определяются заказчиком в задании на проектирование при составлении локальных сметных расчетов (смет):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</si>
  <si>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Поправка: О.П. п.3.4.30.в  Наименование: В отношении объектов, реализуемых с привлечением средств бюджета города Москвы, затраты, учитывающие усложненные условия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т.п.), определяются заказчиком в задании на проектирование при составлении локальных сметных расчетов (смет): для объектов, расположенных за пределами Третьего транспортного кольца города Москвы, но в пределах Московской кольцевой автомобильной дороги  Поправка: Сб.3-1.т.3.1.п.3.1.13_03.01.01.22.001  Наименование: При засыпке экскаватором траншей и котлованов ранее разработанным, не слежавшимся или разрыхлённым грунтом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</si>
  <si>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</si>
  <si>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</si>
  <si>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</si>
  <si>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</si>
  <si>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</si>
  <si>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</si>
  <si>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</si>
  <si>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</si>
  <si>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</si>
  <si>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</si>
  <si>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</si>
  <si>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</si>
  <si>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</si>
  <si>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</si>
  <si>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</si>
  <si>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</si>
  <si>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</si>
  <si>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</si>
  <si>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</si>
  <si>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</si>
  <si>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</si>
  <si>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</si>
  <si>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Составлен(а) по ТСН-2001 с учетом Дополнения №: 73</t>
  </si>
  <si>
    <t>№ и период сборника коэффициентов (индексов) пересчета: Коэффициенты к ТСН-2001 МГЭ №212 III квартал 2024 года</t>
  </si>
  <si>
    <t>Всего в
ценах на
январь 2000 года,
руб.</t>
  </si>
  <si>
    <r>
      <t>3.1-51-1</t>
    </r>
    <r>
      <rPr>
        <i/>
        <sz val="10"/>
        <rFont val="Arial"/>
        <family val="2"/>
        <charset val="204"/>
      </rPr>
      <t xml:space="preserve">
Поправка: О.П. п.3.4.30.в</t>
    </r>
  </si>
  <si>
    <t>ЗП</t>
  </si>
  <si>
    <t>НР от ЗП</t>
  </si>
  <si>
    <t>%</t>
  </si>
  <si>
    <t>СП от ЗП</t>
  </si>
  <si>
    <t>ЗТР</t>
  </si>
  <si>
    <t>чел-ч</t>
  </si>
  <si>
    <t>Всего по позиции:</t>
  </si>
  <si>
    <r>
      <t>3.1-7-2</t>
    </r>
    <r>
      <rPr>
        <i/>
        <sz val="10"/>
        <rFont val="Arial"/>
        <family val="2"/>
        <charset val="204"/>
      </rPr>
      <t xml:space="preserve">
Поправка: О.П. п.3.4.30.в</t>
    </r>
  </si>
  <si>
    <t>ЭМ</t>
  </si>
  <si>
    <t>в т.ч. ЗПМ</t>
  </si>
  <si>
    <t>НР и СП от ЗПМ</t>
  </si>
  <si>
    <r>
      <t>3.1-3-2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</si>
  <si>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3.1-53-1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</si>
  <si>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3.1-3-2</t>
    </r>
    <r>
      <rPr>
        <i/>
        <sz val="10"/>
        <rFont val="Arial"/>
        <family val="2"/>
        <charset val="204"/>
      </rPr>
      <t xml:space="preserve">
Поправка: О.П. п.3.4.30.в  Поправка: Сб.3-1.т.3.1.п.3.1.13_03.01.01.22.001</t>
    </r>
  </si>
  <si>
    <r>
      <t>3.34-17-4</t>
    </r>
    <r>
      <rPr>
        <i/>
        <sz val="10"/>
        <rFont val="Arial"/>
        <family val="2"/>
        <charset val="204"/>
      </rPr>
      <t xml:space="preserve">
Поправка: О.П. п.3.4.30.в</t>
    </r>
  </si>
  <si>
    <t>МР</t>
  </si>
  <si>
    <r>
      <t>3.34-55-5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</si>
  <si>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3.34-55-6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</si>
  <si>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Трубы Энергопласт ТС DN160х8 мм F4</t>
    </r>
    <r>
      <rPr>
        <i/>
        <sz val="10"/>
        <rFont val="Arial"/>
        <family val="2"/>
        <charset val="204"/>
      </rPr>
      <t xml:space="preserve">
93,04 = [906,23 /  9,74]</t>
    </r>
  </si>
  <si>
    <r>
      <t>цена поставщика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</si>
  <si>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1.12-3-62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</si>
  <si>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1.1-1-766</t>
    </r>
    <r>
      <rPr>
        <i/>
        <sz val="10"/>
        <rFont val="Arial"/>
        <family val="2"/>
        <charset val="204"/>
      </rPr>
      <t xml:space="preserve">
Поправка: О.П. п.3.4.30.в</t>
    </r>
  </si>
  <si>
    <t xml:space="preserve">   Итого по ТСН-2001.16</t>
  </si>
  <si>
    <t xml:space="preserve">   Итого возвратных сумм</t>
  </si>
  <si>
    <r>
      <t>4.8-80-3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</si>
  <si>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4.8-80-4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</si>
  <si>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4.8-301-1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</si>
  <si>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КАБЕЛИ СИЛОВЫЕ С АЛЮМИНИЕВЫМИ ЖИЛАМИ С ИЗОЛЯЦИЕЙ ИЗ СИЛАНОЛЬНОСШИТОГО ПОЛИЭТИЛЕНА, ЗАЩИТНЫЙ ПОКРОВ ТИПА ББШП, НАПРЯЖЕНИЕ 1000 В, МАРКА АПВББШП(г), ЧИСЛО ЖИЛ И СЕЧЕНИЕ, ММ2: 4Х150</t>
    </r>
    <r>
      <rPr>
        <i/>
        <sz val="10"/>
        <rFont val="Arial"/>
        <family val="2"/>
        <charset val="204"/>
      </rPr>
      <t xml:space="preserve">
125,57 = [1 199,11 /  9,74] +  2% Трансп</t>
    </r>
  </si>
  <si>
    <r>
      <t>счет-фактура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</si>
  <si>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КАБЕЛИ СИЛОВЫЕ С АЛЮМИНИЕВЫМИ ЖИЛАМИ С ИЗОЛЯЦИЕЙ ИЗ СИЛАНОЛЬНОСШИТОГО ПОЛИЭТИЛЕНА, ЗАЩИТНЫЙ ПОКРОВ ТИПА ББШП, НАПРЯЖЕНИЕ 1000 В, МАРКА АПВББШП(г), ЧИСЛО ЖИЛ И СЕЧЕНИЕ, ММ2: 4Х120</t>
    </r>
    <r>
      <rPr>
        <i/>
        <sz val="10"/>
        <rFont val="Arial"/>
        <family val="2"/>
        <charset val="204"/>
      </rPr>
      <t xml:space="preserve">
104,67 = [999,51 /  9,74] +  2% Трансп</t>
    </r>
  </si>
  <si>
    <r>
      <t>1.21-5-1069</t>
    </r>
    <r>
      <rPr>
        <i/>
        <sz val="10"/>
        <rFont val="Arial"/>
        <family val="2"/>
        <charset val="204"/>
      </rPr>
      <t xml:space="preserve">
Поправка: О.П. п.3.4.30.в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</si>
  <si>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</si>
  <si>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</si>
  <si>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</si>
  <si>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</si>
  <si>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ПИР, СМР, ПНР, материалы, оборудование (за исключением замков, предоставляемых Заказчиком) по титулу: Строительство ТП-10/0,4кВ с тр-ми 2х400кВА, 4КЛ-10кВ от ТП-10/0,4кВ луч А,Б до КЛ-10кВ направлением ТП-10/0,4кВ № № 21782 - ТП-10/0,4кВ № 24478 луч А,Б, 8КЛ-0,4кВ от ТП-10/0,4кВ до ВРЩ-0,4кВ №1-3, в т.ч. ПИР: г.Москва, ул.Феодосийская, з/у 7 для нужд МКС – филиала ПАО «Россети Московский регион»</t>
  </si>
  <si>
    <t>ЛОКАЛЬНАЯ СМЕТА № 02-01-05</t>
  </si>
  <si>
    <t>Строительство КЛ 0,4 кВ в трубе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</si>
</sst>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0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 vertical="top" wrapText="1"/>
    </xf>
    <xf numFmtId="0" fontId="18" fillId="0" borderId="0" xfId="0" applyFont="1" applyAlignment="1">
      <alignment horizontal="right" wrapText="1"/>
    </xf>
    <xf numFmtId="0" fontId="12" fillId="0" borderId="0" xfId="0" applyFont="1" applyAlignment="1">
      <alignment horizontal="right" wrapText="1"/>
    </xf>
    <xf numFmtId="164" fontId="12" fillId="0" borderId="0" xfId="0" applyNumberFormat="1" applyFont="1" applyAlignment="1">
      <alignment horizontal="right"/>
    </xf>
    <xf numFmtId="0" fontId="10" fillId="0" borderId="0" xfId="0" applyFont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wrapText="1"/>
    </xf>
    <xf numFmtId="0" fontId="12" fillId="0" borderId="1" xfId="0" applyFont="1" applyBorder="1" applyAlignment="1">
      <alignment horizontal="right"/>
    </xf>
    <xf numFmtId="164" fontId="12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right" wrapText="1"/>
    </xf>
    <xf numFmtId="164" fontId="0" fillId="0" borderId="0" xfId="0" applyNumberFormat="1"/>
    <xf numFmtId="164" fontId="18" fillId="0" borderId="0" xfId="0" applyNumberFormat="1" applyFont="1" applyAlignment="1">
      <alignment horizontal="right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1" xfId="0" applyFont="1" applyBorder="1"/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164" fontId="16" fillId="0" borderId="0" xfId="0" applyNumberFormat="1" applyFont="1" applyAlignment="1">
      <alignment horizontal="right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 wrapText="1"/>
    </xf>
    <xf numFmtId="0" fontId="17" fillId="0" borderId="0" xfId="0" applyFont="1" applyAlignment="1">
      <alignment horizontal="center" wrapText="1"/>
    </xf>
    <xf numFmtId="164" fontId="16" fillId="0" borderId="2" xfId="0" applyNumberFormat="1" applyFont="1" applyBorder="1" applyAlignment="1">
      <alignment horizontal="right"/>
    </xf>
    <xf numFmtId="0" fontId="12" fillId="0" borderId="0" xfId="1" applyFont="1" applyAlignment="1">
      <alignment horizontal="left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</cellXfs>
  <cellStyles count="2">
    <cellStyle name="Обычный" xfId="0" builtinId="0"/>
    <cellStyle name="Обычный 4" xfId="1" xr:uid="{27392589-0E53-4A23-9730-D27DA039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42F7E-BEAD-48FF-BF0C-3648CD760DCF}">
  <sheetPr>
    <pageSetUpPr fitToPage="1"/>
  </sheetPr>
  <dimension ref="A1:AP198"/>
  <sheetViews>
    <sheetView tabSelected="1" topLeftCell="A175" zoomScaleNormal="100" workbookViewId="0">
      <selection activeCell="AX193" sqref="AX193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6" width="10.140625" bestFit="1" customWidth="1"/>
    <col min="7" max="7" width="8.7109375" bestFit="1" customWidth="1"/>
    <col min="8" max="8" width="9.85546875" bestFit="1" customWidth="1"/>
    <col min="9" max="9" width="10.140625" bestFit="1" customWidth="1"/>
    <col min="10" max="10" width="10.28515625" bestFit="1" customWidth="1"/>
    <col min="11" max="11" width="11.28515625" bestFit="1" customWidth="1"/>
    <col min="15" max="41" width="0" hidden="1" customWidth="1"/>
    <col min="42" max="42" width="129.7109375" hidden="1" customWidth="1"/>
    <col min="43" max="47" width="0" hidden="1" customWidth="1"/>
  </cols>
  <sheetData>
    <row r="1" spans="1:11" x14ac:dyDescent="0.2">
      <c r="A1" s="10" t="str">
        <f>Source!B1</f>
        <v>Smeta.RU  (495) 974-1589</v>
      </c>
    </row>
    <row r="2" spans="1:11" ht="14.25" x14ac:dyDescent="0.2">
      <c r="A2" s="11"/>
      <c r="B2" s="11"/>
      <c r="C2" s="11"/>
      <c r="D2" s="11"/>
      <c r="E2" s="11"/>
      <c r="F2" s="11"/>
      <c r="G2" s="11"/>
      <c r="H2" s="11"/>
      <c r="I2" s="11"/>
      <c r="J2" s="47" t="s">
        <v>694</v>
      </c>
      <c r="K2" s="47"/>
    </row>
    <row r="3" spans="1:11" ht="15.75" customHeight="1" x14ac:dyDescent="0.25">
      <c r="A3" s="49" t="s">
        <v>734</v>
      </c>
      <c r="B3" s="49"/>
      <c r="C3" s="49"/>
      <c r="D3" s="49"/>
      <c r="E3" s="49"/>
      <c r="F3" s="49"/>
      <c r="G3" s="49"/>
      <c r="H3" s="49"/>
      <c r="I3" s="49"/>
      <c r="J3" s="49"/>
      <c r="K3" s="49"/>
    </row>
    <row r="4" spans="1:11" x14ac:dyDescent="0.2">
      <c r="A4" s="39" t="s">
        <v>673</v>
      </c>
      <c r="B4" s="39"/>
      <c r="C4" s="39"/>
      <c r="D4" s="39"/>
      <c r="E4" s="39"/>
      <c r="F4" s="39"/>
      <c r="G4" s="39"/>
      <c r="H4" s="39"/>
      <c r="I4" s="39"/>
      <c r="J4" s="39"/>
      <c r="K4" s="39"/>
    </row>
    <row r="5" spans="1:11" ht="14.25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.75" customHeight="1" x14ac:dyDescent="0.25">
      <c r="A6" s="49" t="s">
        <v>735</v>
      </c>
      <c r="B6" s="50"/>
      <c r="C6" s="50"/>
      <c r="D6" s="50"/>
      <c r="E6" s="50"/>
      <c r="F6" s="50"/>
      <c r="G6" s="50"/>
      <c r="H6" s="50"/>
      <c r="I6" s="50"/>
      <c r="J6" s="50"/>
      <c r="K6" s="50"/>
    </row>
    <row r="7" spans="1:11" ht="14.25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ht="18" x14ac:dyDescent="0.25">
      <c r="A8" s="51" t="s">
        <v>736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spans="1:11" x14ac:dyDescent="0.2">
      <c r="A9" s="52" t="s">
        <v>674</v>
      </c>
      <c r="B9" s="53"/>
      <c r="C9" s="53"/>
      <c r="D9" s="53"/>
      <c r="E9" s="53"/>
      <c r="F9" s="53"/>
      <c r="G9" s="53"/>
      <c r="H9" s="53"/>
      <c r="I9" s="53"/>
      <c r="J9" s="53"/>
      <c r="K9" s="53"/>
    </row>
    <row r="10" spans="1:11" ht="14.25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ht="14.25" x14ac:dyDescent="0.2">
      <c r="A11" s="46" t="str">
        <f>CONCATENATE( "Основание: чертежи № ", Source!J12)</f>
        <v xml:space="preserve">Основание: чертежи № 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</row>
    <row r="12" spans="1:11" ht="14.25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1" ht="71.25" x14ac:dyDescent="0.2">
      <c r="A13" s="11"/>
      <c r="B13" s="11"/>
      <c r="C13" s="11"/>
      <c r="D13" s="11"/>
      <c r="E13" s="11"/>
      <c r="F13" s="11"/>
      <c r="G13" s="11"/>
      <c r="H13" s="11"/>
      <c r="I13" s="14" t="s">
        <v>675</v>
      </c>
      <c r="J13" s="14" t="s">
        <v>676</v>
      </c>
      <c r="K13" s="11"/>
    </row>
    <row r="14" spans="1:11" ht="15" x14ac:dyDescent="0.25">
      <c r="A14" s="11"/>
      <c r="B14" s="11"/>
      <c r="C14" s="11"/>
      <c r="D14" s="11"/>
      <c r="E14" s="48" t="s">
        <v>677</v>
      </c>
      <c r="F14" s="48"/>
      <c r="G14" s="48"/>
      <c r="H14" s="48"/>
      <c r="I14" s="15">
        <f>I15+I16+I17+I18</f>
        <v>102.5</v>
      </c>
      <c r="J14" s="15">
        <f>J15+J16+J17+J18</f>
        <v>1143</v>
      </c>
      <c r="K14" s="16" t="s">
        <v>730</v>
      </c>
    </row>
    <row r="15" spans="1:11" ht="14.25" x14ac:dyDescent="0.2">
      <c r="A15" s="11"/>
      <c r="B15" s="11"/>
      <c r="C15" s="11"/>
      <c r="D15" s="11"/>
      <c r="E15" s="38" t="s">
        <v>16</v>
      </c>
      <c r="F15" s="38"/>
      <c r="G15" s="38"/>
      <c r="H15" s="38"/>
      <c r="I15" s="18">
        <f>ROUND((Source!F470)/1000, 2)</f>
        <v>81.819999999999993</v>
      </c>
      <c r="J15" s="18">
        <f>ROUND((Source!P470)/1000, 2)</f>
        <v>873.22</v>
      </c>
      <c r="K15" s="11" t="s">
        <v>730</v>
      </c>
    </row>
    <row r="16" spans="1:11" ht="14.25" x14ac:dyDescent="0.2">
      <c r="A16" s="11"/>
      <c r="B16" s="11"/>
      <c r="C16" s="11"/>
      <c r="D16" s="11"/>
      <c r="E16" s="38" t="s">
        <v>678</v>
      </c>
      <c r="F16" s="38"/>
      <c r="G16" s="38"/>
      <c r="H16" s="38"/>
      <c r="I16" s="18">
        <f>ROUND((Source!F471)/1000, 2)</f>
        <v>20.68</v>
      </c>
      <c r="J16" s="18">
        <f>ROUND((Source!P471)/1000, 2)</f>
        <v>269.77999999999997</v>
      </c>
      <c r="K16" s="11" t="s">
        <v>730</v>
      </c>
    </row>
    <row r="17" spans="1:42" ht="14.25" x14ac:dyDescent="0.2">
      <c r="A17" s="11"/>
      <c r="B17" s="11"/>
      <c r="C17" s="11"/>
      <c r="D17" s="11"/>
      <c r="E17" s="38" t="s">
        <v>679</v>
      </c>
      <c r="F17" s="38"/>
      <c r="G17" s="38"/>
      <c r="H17" s="38"/>
      <c r="I17" s="18">
        <f>ROUND((Source!F462)/1000, 2)</f>
        <v>0</v>
      </c>
      <c r="J17" s="18">
        <f>ROUND((Source!P462)/1000, 2)</f>
        <v>0</v>
      </c>
      <c r="K17" s="11" t="s">
        <v>730</v>
      </c>
    </row>
    <row r="18" spans="1:42" ht="14.25" x14ac:dyDescent="0.2">
      <c r="A18" s="11"/>
      <c r="B18" s="11"/>
      <c r="C18" s="11"/>
      <c r="D18" s="11"/>
      <c r="E18" s="38" t="s">
        <v>680</v>
      </c>
      <c r="F18" s="38"/>
      <c r="G18" s="38"/>
      <c r="H18" s="38"/>
      <c r="I18" s="18">
        <f>ROUND((Source!F472+Source!F473)/1000, 2)</f>
        <v>0</v>
      </c>
      <c r="J18" s="18">
        <f>ROUND((Source!P472+Source!P473)/1000, 2)</f>
        <v>0</v>
      </c>
      <c r="K18" s="11" t="s">
        <v>730</v>
      </c>
    </row>
    <row r="19" spans="1:42" ht="14.25" x14ac:dyDescent="0.2">
      <c r="A19" s="11"/>
      <c r="B19" s="11"/>
      <c r="C19" s="11"/>
      <c r="D19" s="11"/>
      <c r="E19" s="38" t="s">
        <v>681</v>
      </c>
      <c r="F19" s="38"/>
      <c r="G19" s="38"/>
      <c r="H19" s="38"/>
      <c r="I19" s="18">
        <f>(Source!F468+ Source!F467)/1000</f>
        <v>4.4382300000000008</v>
      </c>
      <c r="J19" s="18">
        <f>((Source!P468 + Source!P467)/1000)</f>
        <v>153.16334000000001</v>
      </c>
      <c r="K19" s="11" t="s">
        <v>730</v>
      </c>
    </row>
    <row r="20" spans="1:42" ht="14.25" x14ac:dyDescent="0.2">
      <c r="A20" s="11"/>
      <c r="B20" s="11"/>
      <c r="C20" s="11"/>
      <c r="D20" s="11"/>
      <c r="E20" s="38" t="s">
        <v>682</v>
      </c>
      <c r="F20" s="38"/>
      <c r="G20" s="38"/>
      <c r="H20" s="38"/>
      <c r="I20" s="18">
        <f>Source!F475</f>
        <v>345.40756158964001</v>
      </c>
      <c r="J20" s="18"/>
      <c r="K20" s="11" t="s">
        <v>441</v>
      </c>
    </row>
    <row r="21" spans="1:42" ht="14.25" hidden="1" x14ac:dyDescent="0.2">
      <c r="A21" s="11"/>
      <c r="B21" s="11"/>
      <c r="C21" s="11"/>
      <c r="D21" s="11"/>
      <c r="E21" s="38" t="s">
        <v>683</v>
      </c>
      <c r="F21" s="38"/>
      <c r="G21" s="38"/>
      <c r="H21" s="38"/>
      <c r="I21" s="18"/>
      <c r="J21" s="18"/>
      <c r="K21" s="11"/>
    </row>
    <row r="22" spans="1:42" ht="14.25" hidden="1" x14ac:dyDescent="0.2">
      <c r="A22" s="11"/>
      <c r="B22" s="11"/>
      <c r="C22" s="11"/>
      <c r="D22" s="11"/>
      <c r="E22" s="45" t="s">
        <v>145</v>
      </c>
      <c r="F22" s="45"/>
      <c r="G22" s="45"/>
      <c r="H22" s="45"/>
      <c r="I22" s="18">
        <f>SUM(Y1:Y191)/1000</f>
        <v>0</v>
      </c>
      <c r="J22" s="18">
        <f>SUM(Z1:Z191)/1000</f>
        <v>0</v>
      </c>
      <c r="K22" s="11" t="s">
        <v>730</v>
      </c>
    </row>
    <row r="23" spans="1:42" ht="14.25" x14ac:dyDescent="0.2">
      <c r="A23" s="11"/>
      <c r="B23" s="11"/>
      <c r="C23" s="11"/>
      <c r="D23" s="11"/>
      <c r="E23" s="11"/>
      <c r="F23" s="17"/>
      <c r="G23" s="17"/>
      <c r="H23" s="17"/>
      <c r="I23" s="18"/>
      <c r="J23" s="18"/>
      <c r="K23" s="11"/>
    </row>
    <row r="24" spans="1:42" ht="14.25" x14ac:dyDescent="0.2">
      <c r="A24" s="11" t="s">
        <v>695</v>
      </c>
      <c r="B24" s="11"/>
      <c r="C24" s="11"/>
      <c r="D24" s="11"/>
      <c r="E24" s="11"/>
      <c r="F24" s="17"/>
      <c r="G24" s="17"/>
      <c r="H24" s="17"/>
      <c r="I24" s="18"/>
      <c r="J24" s="18"/>
      <c r="K24" s="11"/>
    </row>
    <row r="25" spans="1:42" ht="14.25" x14ac:dyDescent="0.2">
      <c r="A25" s="46" t="s">
        <v>696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AP25" s="12" t="s">
        <v>696</v>
      </c>
    </row>
    <row r="26" spans="1:42" ht="99.75" x14ac:dyDescent="0.2">
      <c r="A26" s="19" t="s">
        <v>684</v>
      </c>
      <c r="B26" s="19" t="s">
        <v>685</v>
      </c>
      <c r="C26" s="19" t="s">
        <v>686</v>
      </c>
      <c r="D26" s="19" t="s">
        <v>687</v>
      </c>
      <c r="E26" s="19" t="s">
        <v>688</v>
      </c>
      <c r="F26" s="19" t="s">
        <v>689</v>
      </c>
      <c r="G26" s="20" t="s">
        <v>690</v>
      </c>
      <c r="H26" s="20" t="s">
        <v>691</v>
      </c>
      <c r="I26" s="19" t="s">
        <v>697</v>
      </c>
      <c r="J26" s="19" t="s">
        <v>692</v>
      </c>
      <c r="K26" s="19" t="s">
        <v>693</v>
      </c>
    </row>
    <row r="27" spans="1:42" ht="14.25" x14ac:dyDescent="0.2">
      <c r="A27" s="19">
        <v>1</v>
      </c>
      <c r="B27" s="19">
        <v>2</v>
      </c>
      <c r="C27" s="19">
        <v>3</v>
      </c>
      <c r="D27" s="19">
        <v>4</v>
      </c>
      <c r="E27" s="19">
        <v>5</v>
      </c>
      <c r="F27" s="19">
        <v>6</v>
      </c>
      <c r="G27" s="19">
        <v>7</v>
      </c>
      <c r="H27" s="19">
        <v>8</v>
      </c>
      <c r="I27" s="19">
        <v>9</v>
      </c>
      <c r="J27" s="19">
        <v>10</v>
      </c>
      <c r="K27" s="19">
        <v>11</v>
      </c>
    </row>
    <row r="29" spans="1:42" ht="16.5" x14ac:dyDescent="0.25">
      <c r="A29" s="43" t="str">
        <f>CONCATENATE("Локальная смета: ",IF(Source!G20&lt;&gt;"Новая локальная смета", Source!G20, ""))</f>
        <v xml:space="preserve">Локальная смета: 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</row>
    <row r="31" spans="1:42" ht="16.5" x14ac:dyDescent="0.25">
      <c r="A31" s="43" t="str">
        <f>CONCATENATE("Раздел: ",IF(Source!G24&lt;&gt;"Новый раздел", Source!G24, ""))</f>
        <v>Раздел: Строительные работы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</row>
    <row r="32" spans="1:42" ht="52.5" x14ac:dyDescent="0.2">
      <c r="A32" s="22">
        <v>1</v>
      </c>
      <c r="B32" s="22" t="s">
        <v>698</v>
      </c>
      <c r="C32" s="22" t="s">
        <v>19</v>
      </c>
      <c r="D32" s="23" t="str">
        <f>Source!DW28</f>
        <v>100 м3 грунта</v>
      </c>
      <c r="E32" s="21">
        <f>Source!I28</f>
        <v>0.21326999999999999</v>
      </c>
      <c r="F32" s="25"/>
      <c r="G32" s="24"/>
      <c r="H32" s="21"/>
      <c r="I32" s="25"/>
      <c r="J32" s="21"/>
      <c r="K32" s="25"/>
      <c r="Q32">
        <f>Source!X28</f>
        <v>627.92999999999995</v>
      </c>
      <c r="R32">
        <f>Source!X29</f>
        <v>17955.080000000002</v>
      </c>
      <c r="S32">
        <f>Source!Y28</f>
        <v>460.48</v>
      </c>
      <c r="T32">
        <f>Source!Y29</f>
        <v>8461.59</v>
      </c>
      <c r="U32">
        <f>ROUND((175/100)*ROUND(Source!R28, 2), 2)</f>
        <v>0</v>
      </c>
      <c r="V32">
        <f>ROUND((160/100)*ROUND(Source!R29, 2), 2)</f>
        <v>0</v>
      </c>
      <c r="AC32">
        <v>0</v>
      </c>
    </row>
    <row r="33" spans="1:29" x14ac:dyDescent="0.2">
      <c r="C33" s="26" t="str">
        <f>"Объем: "&amp;Source!I28&amp;"=71,09*"&amp;"0,3/"&amp;"100"</f>
        <v>Объем: 0,21327=71,09*0,3/100</v>
      </c>
    </row>
    <row r="34" spans="1:29" ht="14.25" x14ac:dyDescent="0.2">
      <c r="A34" s="22"/>
      <c r="B34" s="22"/>
      <c r="C34" s="22" t="s">
        <v>699</v>
      </c>
      <c r="D34" s="23"/>
      <c r="E34" s="21"/>
      <c r="F34" s="25">
        <f>Source!AO28</f>
        <v>2042.62</v>
      </c>
      <c r="G34" s="24" t="str">
        <f>Source!DG28</f>
        <v>)*1,1</v>
      </c>
      <c r="H34" s="21">
        <f>Source!AV29</f>
        <v>1.248</v>
      </c>
      <c r="I34" s="25">
        <f>Source!S28</f>
        <v>598.03</v>
      </c>
      <c r="J34" s="21">
        <f>IF(Source!BA29&lt;&gt; 0, Source!BA29, 1)</f>
        <v>34.51</v>
      </c>
      <c r="K34" s="25">
        <f>Source!S29</f>
        <v>20638.02</v>
      </c>
    </row>
    <row r="35" spans="1:29" ht="14.25" x14ac:dyDescent="0.2">
      <c r="A35" s="22"/>
      <c r="B35" s="22"/>
      <c r="C35" s="22" t="s">
        <v>700</v>
      </c>
      <c r="D35" s="23" t="s">
        <v>701</v>
      </c>
      <c r="E35" s="21">
        <f>Source!DN29</f>
        <v>105</v>
      </c>
      <c r="F35" s="25"/>
      <c r="G35" s="24"/>
      <c r="H35" s="21"/>
      <c r="I35" s="25">
        <f>SUM(Q32:Q34)</f>
        <v>627.92999999999995</v>
      </c>
      <c r="J35" s="21">
        <f>Source!BZ29</f>
        <v>87</v>
      </c>
      <c r="K35" s="25">
        <f>SUM(R32:R34)</f>
        <v>17955.080000000002</v>
      </c>
    </row>
    <row r="36" spans="1:29" ht="14.25" x14ac:dyDescent="0.2">
      <c r="A36" s="22"/>
      <c r="B36" s="22"/>
      <c r="C36" s="22" t="s">
        <v>702</v>
      </c>
      <c r="D36" s="23" t="s">
        <v>701</v>
      </c>
      <c r="E36" s="21">
        <f>Source!DO29</f>
        <v>77</v>
      </c>
      <c r="F36" s="25"/>
      <c r="G36" s="24"/>
      <c r="H36" s="21"/>
      <c r="I36" s="25">
        <f>SUM(S32:S35)</f>
        <v>460.48</v>
      </c>
      <c r="J36" s="21">
        <f>Source!CA29</f>
        <v>41</v>
      </c>
      <c r="K36" s="25">
        <f>SUM(T32:T35)</f>
        <v>8461.59</v>
      </c>
    </row>
    <row r="37" spans="1:29" ht="14.25" x14ac:dyDescent="0.2">
      <c r="A37" s="27"/>
      <c r="B37" s="27"/>
      <c r="C37" s="27" t="s">
        <v>703</v>
      </c>
      <c r="D37" s="28" t="s">
        <v>704</v>
      </c>
      <c r="E37" s="29">
        <f>Source!AQ28</f>
        <v>192.7</v>
      </c>
      <c r="F37" s="30"/>
      <c r="G37" s="31" t="str">
        <f>Source!DI28</f>
        <v>)*1,1</v>
      </c>
      <c r="H37" s="29">
        <f>Source!AV29</f>
        <v>1.248</v>
      </c>
      <c r="I37" s="30">
        <f>Source!U28</f>
        <v>56.418138691199999</v>
      </c>
      <c r="J37" s="29"/>
      <c r="K37" s="30"/>
    </row>
    <row r="38" spans="1:29" ht="15" x14ac:dyDescent="0.25">
      <c r="C38" s="16" t="s">
        <v>705</v>
      </c>
      <c r="H38" s="44">
        <f>I34+I35+I36+0</f>
        <v>1686.44</v>
      </c>
      <c r="I38" s="44"/>
      <c r="J38" s="44">
        <f>K34+K35+K36+0</f>
        <v>47054.69</v>
      </c>
      <c r="K38" s="44"/>
      <c r="O38" s="32">
        <f>I34+I35+I36+0</f>
        <v>1686.44</v>
      </c>
      <c r="P38" s="32">
        <f>K34+K35+K36+0</f>
        <v>47054.69</v>
      </c>
    </row>
    <row r="40" spans="1:29" ht="57" x14ac:dyDescent="0.2">
      <c r="A40" s="22">
        <v>2</v>
      </c>
      <c r="B40" s="22" t="s">
        <v>706</v>
      </c>
      <c r="C40" s="22" t="s">
        <v>28</v>
      </c>
      <c r="D40" s="23" t="str">
        <f>Source!DW30</f>
        <v>100 м3 грунта</v>
      </c>
      <c r="E40" s="21">
        <f>Source!I30</f>
        <v>0.25590000000000002</v>
      </c>
      <c r="F40" s="25"/>
      <c r="G40" s="24"/>
      <c r="H40" s="21"/>
      <c r="I40" s="25"/>
      <c r="J40" s="21"/>
      <c r="K40" s="25"/>
      <c r="Q40">
        <f>Source!X30</f>
        <v>9.92</v>
      </c>
      <c r="R40">
        <f>Source!X31</f>
        <v>328.29</v>
      </c>
      <c r="S40">
        <f>Source!Y30</f>
        <v>7.79</v>
      </c>
      <c r="T40">
        <f>Source!Y31</f>
        <v>178.11</v>
      </c>
      <c r="U40">
        <f>ROUND((175/100)*ROUND(Source!R30, 2), 2)</f>
        <v>77.790000000000006</v>
      </c>
      <c r="V40">
        <f>ROUND((160/100)*ROUND(Source!R31, 2), 2)</f>
        <v>2454.35</v>
      </c>
      <c r="AC40">
        <v>0</v>
      </c>
    </row>
    <row r="41" spans="1:29" x14ac:dyDescent="0.2">
      <c r="C41" s="26" t="str">
        <f>"Объем: "&amp;Source!I30&amp;"=25,59/"&amp;"100"</f>
        <v>Объем: 0,2559=25,59/100</v>
      </c>
    </row>
    <row r="42" spans="1:29" ht="14.25" x14ac:dyDescent="0.2">
      <c r="A42" s="22"/>
      <c r="B42" s="22"/>
      <c r="C42" s="22" t="s">
        <v>699</v>
      </c>
      <c r="D42" s="23"/>
      <c r="E42" s="21"/>
      <c r="F42" s="25">
        <f>Source!AO30</f>
        <v>30.15</v>
      </c>
      <c r="G42" s="24" t="str">
        <f>Source!DG30</f>
        <v>)*1,1</v>
      </c>
      <c r="H42" s="21">
        <f>Source!AV31</f>
        <v>1.1919999999999999</v>
      </c>
      <c r="I42" s="25">
        <f>Source!S30</f>
        <v>10.119999999999999</v>
      </c>
      <c r="J42" s="21">
        <f>IF(Source!BA31&lt;&gt; 0, Source!BA31, 1)</f>
        <v>34.51</v>
      </c>
      <c r="K42" s="25">
        <f>Source!S31</f>
        <v>349.24</v>
      </c>
    </row>
    <row r="43" spans="1:29" ht="14.25" x14ac:dyDescent="0.2">
      <c r="A43" s="22"/>
      <c r="B43" s="22"/>
      <c r="C43" s="22" t="s">
        <v>707</v>
      </c>
      <c r="D43" s="23"/>
      <c r="E43" s="21"/>
      <c r="F43" s="25">
        <f>Source!AM30</f>
        <v>1340.63</v>
      </c>
      <c r="G43" s="24" t="str">
        <f>Source!DE30</f>
        <v>)*1,1</v>
      </c>
      <c r="H43" s="21">
        <f>Source!AV31</f>
        <v>1.1919999999999999</v>
      </c>
      <c r="I43" s="25">
        <f>Source!Q30</f>
        <v>449.83</v>
      </c>
      <c r="J43" s="21">
        <f>IF(Source!BB31&lt;&gt; 0, Source!BB31, 1)</f>
        <v>12.15</v>
      </c>
      <c r="K43" s="25">
        <f>Source!Q31</f>
        <v>5465.43</v>
      </c>
    </row>
    <row r="44" spans="1:29" ht="14.25" x14ac:dyDescent="0.2">
      <c r="A44" s="22"/>
      <c r="B44" s="22"/>
      <c r="C44" s="22" t="s">
        <v>708</v>
      </c>
      <c r="D44" s="23"/>
      <c r="E44" s="21"/>
      <c r="F44" s="25">
        <f>Source!AN30</f>
        <v>132.47999999999999</v>
      </c>
      <c r="G44" s="24" t="str">
        <f>Source!DF30</f>
        <v>)*1,1</v>
      </c>
      <c r="H44" s="21">
        <f>Source!AV31</f>
        <v>1.1919999999999999</v>
      </c>
      <c r="I44" s="33">
        <f>Source!R30</f>
        <v>44.45</v>
      </c>
      <c r="J44" s="21">
        <f>IF(Source!BS31&lt;&gt; 0, Source!BS31, 1)</f>
        <v>34.51</v>
      </c>
      <c r="K44" s="33">
        <f>Source!R31</f>
        <v>1533.97</v>
      </c>
    </row>
    <row r="45" spans="1:29" ht="14.25" x14ac:dyDescent="0.2">
      <c r="A45" s="22"/>
      <c r="B45" s="22"/>
      <c r="C45" s="22" t="s">
        <v>700</v>
      </c>
      <c r="D45" s="23" t="s">
        <v>701</v>
      </c>
      <c r="E45" s="21">
        <f>Source!DN31</f>
        <v>98</v>
      </c>
      <c r="F45" s="25"/>
      <c r="G45" s="24"/>
      <c r="H45" s="21"/>
      <c r="I45" s="25">
        <f>SUM(Q40:Q44)</f>
        <v>9.92</v>
      </c>
      <c r="J45" s="21">
        <f>Source!BZ31</f>
        <v>94</v>
      </c>
      <c r="K45" s="25">
        <f>SUM(R40:R44)</f>
        <v>328.29</v>
      </c>
    </row>
    <row r="46" spans="1:29" ht="14.25" x14ac:dyDescent="0.2">
      <c r="A46" s="22"/>
      <c r="B46" s="22"/>
      <c r="C46" s="22" t="s">
        <v>702</v>
      </c>
      <c r="D46" s="23" t="s">
        <v>701</v>
      </c>
      <c r="E46" s="21">
        <f>Source!DO31</f>
        <v>77</v>
      </c>
      <c r="F46" s="25"/>
      <c r="G46" s="24"/>
      <c r="H46" s="21"/>
      <c r="I46" s="25">
        <f>SUM(S40:S45)</f>
        <v>7.79</v>
      </c>
      <c r="J46" s="21">
        <f>Source!CA31</f>
        <v>51</v>
      </c>
      <c r="K46" s="25">
        <f>SUM(T40:T45)</f>
        <v>178.11</v>
      </c>
    </row>
    <row r="47" spans="1:29" ht="14.25" x14ac:dyDescent="0.2">
      <c r="A47" s="22"/>
      <c r="B47" s="22"/>
      <c r="C47" s="22" t="s">
        <v>709</v>
      </c>
      <c r="D47" s="23" t="s">
        <v>701</v>
      </c>
      <c r="E47" s="21">
        <f>175</f>
        <v>175</v>
      </c>
      <c r="F47" s="25"/>
      <c r="G47" s="24"/>
      <c r="H47" s="21"/>
      <c r="I47" s="25">
        <f>SUM(U40:U46)</f>
        <v>77.790000000000006</v>
      </c>
      <c r="J47" s="21">
        <f>160</f>
        <v>160</v>
      </c>
      <c r="K47" s="25">
        <f>SUM(V40:V46)</f>
        <v>2454.35</v>
      </c>
    </row>
    <row r="48" spans="1:29" ht="14.25" x14ac:dyDescent="0.2">
      <c r="A48" s="27"/>
      <c r="B48" s="27"/>
      <c r="C48" s="27" t="s">
        <v>703</v>
      </c>
      <c r="D48" s="28" t="s">
        <v>704</v>
      </c>
      <c r="E48" s="29">
        <f>Source!AQ30</f>
        <v>2.95</v>
      </c>
      <c r="F48" s="30"/>
      <c r="G48" s="31" t="str">
        <f>Source!DI30</f>
        <v>)*1,1</v>
      </c>
      <c r="H48" s="29">
        <f>Source!AV31</f>
        <v>1.1919999999999999</v>
      </c>
      <c r="I48" s="30">
        <f>Source!U30</f>
        <v>0.98983143600000023</v>
      </c>
      <c r="J48" s="29"/>
      <c r="K48" s="30"/>
    </row>
    <row r="49" spans="1:29" ht="15" x14ac:dyDescent="0.25">
      <c r="C49" s="16" t="s">
        <v>705</v>
      </c>
      <c r="H49" s="44">
        <f>I42+I43+I45+I46+I47+0</f>
        <v>555.45000000000005</v>
      </c>
      <c r="I49" s="44"/>
      <c r="J49" s="44">
        <f>K42+K43+K45+K46+K47+0</f>
        <v>8775.42</v>
      </c>
      <c r="K49" s="44"/>
      <c r="O49" s="32">
        <f>I42+I43+I45+I46+I47+0</f>
        <v>555.45000000000005</v>
      </c>
      <c r="P49" s="32">
        <f>K42+K43+K45+K46+K47+0</f>
        <v>8775.42</v>
      </c>
    </row>
    <row r="51" spans="1:29" ht="57" x14ac:dyDescent="0.2">
      <c r="A51" s="22">
        <v>3</v>
      </c>
      <c r="B51" s="22" t="s">
        <v>710</v>
      </c>
      <c r="C51" s="22" t="s">
        <v>34</v>
      </c>
      <c r="D51" s="23" t="str">
        <f>Source!DW32</f>
        <v>100 м3 грунта</v>
      </c>
      <c r="E51" s="21">
        <f>Source!I32</f>
        <v>0.24173</v>
      </c>
      <c r="F51" s="25"/>
      <c r="G51" s="24"/>
      <c r="H51" s="21"/>
      <c r="I51" s="25"/>
      <c r="J51" s="21"/>
      <c r="K51" s="25"/>
      <c r="Q51">
        <f>Source!X32</f>
        <v>3.77</v>
      </c>
      <c r="R51">
        <f>Source!X33</f>
        <v>124.89</v>
      </c>
      <c r="S51">
        <f>Source!Y32</f>
        <v>2.96</v>
      </c>
      <c r="T51">
        <f>Source!Y33</f>
        <v>67.760000000000005</v>
      </c>
      <c r="U51">
        <f>ROUND((175/100)*ROUND(Source!R32, 2), 2)</f>
        <v>50.98</v>
      </c>
      <c r="V51">
        <f>ROUND((160/100)*ROUND(Source!R33, 2), 2)</f>
        <v>1608.45</v>
      </c>
      <c r="AC51">
        <v>0</v>
      </c>
    </row>
    <row r="52" spans="1:29" x14ac:dyDescent="0.2">
      <c r="C52" s="26" t="str">
        <f>"Объем: "&amp;Source!I32&amp;"=71,09/"&amp;"100-"&amp;""&amp;Source!I28&amp;"-"&amp;""&amp;Source!I30&amp;""</f>
        <v>Объем: 0,24173=71,09/100-0,21327-0,2559</v>
      </c>
    </row>
    <row r="53" spans="1:29" ht="14.25" x14ac:dyDescent="0.2">
      <c r="A53" s="22"/>
      <c r="B53" s="22"/>
      <c r="C53" s="22" t="s">
        <v>699</v>
      </c>
      <c r="D53" s="23"/>
      <c r="E53" s="21"/>
      <c r="F53" s="25">
        <f>Source!AO32</f>
        <v>12.16</v>
      </c>
      <c r="G53" s="24" t="str">
        <f>Source!DG32</f>
        <v>)*1,1</v>
      </c>
      <c r="H53" s="21">
        <f>Source!AV33</f>
        <v>1.1919999999999999</v>
      </c>
      <c r="I53" s="25">
        <f>Source!S32</f>
        <v>3.85</v>
      </c>
      <c r="J53" s="21">
        <f>IF(Source!BA33&lt;&gt; 0, Source!BA33, 1)</f>
        <v>34.51</v>
      </c>
      <c r="K53" s="25">
        <f>Source!S33</f>
        <v>132.86000000000001</v>
      </c>
    </row>
    <row r="54" spans="1:29" ht="14.25" x14ac:dyDescent="0.2">
      <c r="A54" s="22"/>
      <c r="B54" s="22"/>
      <c r="C54" s="22" t="s">
        <v>707</v>
      </c>
      <c r="D54" s="23"/>
      <c r="E54" s="21"/>
      <c r="F54" s="25">
        <f>Source!AM32</f>
        <v>932.06</v>
      </c>
      <c r="G54" s="24" t="str">
        <f>Source!DE32</f>
        <v>)*1,1</v>
      </c>
      <c r="H54" s="21">
        <f>Source!AV33</f>
        <v>1.1919999999999999</v>
      </c>
      <c r="I54" s="25">
        <f>Source!Q32</f>
        <v>295.42</v>
      </c>
      <c r="J54" s="21">
        <f>IF(Source!BB33&lt;&gt; 0, Source!BB33, 1)</f>
        <v>12.17</v>
      </c>
      <c r="K54" s="25">
        <f>Source!Q33</f>
        <v>3595.26</v>
      </c>
    </row>
    <row r="55" spans="1:29" ht="14.25" x14ac:dyDescent="0.2">
      <c r="A55" s="22"/>
      <c r="B55" s="22"/>
      <c r="C55" s="22" t="s">
        <v>708</v>
      </c>
      <c r="D55" s="23"/>
      <c r="E55" s="21"/>
      <c r="F55" s="25">
        <f>Source!AN32</f>
        <v>91.89</v>
      </c>
      <c r="G55" s="24" t="str">
        <f>Source!DF32</f>
        <v>)*1,1</v>
      </c>
      <c r="H55" s="21">
        <f>Source!AV33</f>
        <v>1.1919999999999999</v>
      </c>
      <c r="I55" s="33">
        <f>Source!R32</f>
        <v>29.13</v>
      </c>
      <c r="J55" s="21">
        <f>IF(Source!BS33&lt;&gt; 0, Source!BS33, 1)</f>
        <v>34.51</v>
      </c>
      <c r="K55" s="33">
        <f>Source!R33</f>
        <v>1005.28</v>
      </c>
    </row>
    <row r="56" spans="1:29" ht="14.25" x14ac:dyDescent="0.2">
      <c r="A56" s="22"/>
      <c r="B56" s="22"/>
      <c r="C56" s="22" t="s">
        <v>700</v>
      </c>
      <c r="D56" s="23" t="s">
        <v>701</v>
      </c>
      <c r="E56" s="21">
        <f>Source!DN33</f>
        <v>98</v>
      </c>
      <c r="F56" s="25"/>
      <c r="G56" s="24"/>
      <c r="H56" s="21"/>
      <c r="I56" s="25">
        <f>SUM(Q51:Q55)</f>
        <v>3.77</v>
      </c>
      <c r="J56" s="21">
        <f>Source!BZ33</f>
        <v>94</v>
      </c>
      <c r="K56" s="25">
        <f>SUM(R51:R55)</f>
        <v>124.89</v>
      </c>
    </row>
    <row r="57" spans="1:29" ht="14.25" x14ac:dyDescent="0.2">
      <c r="A57" s="22"/>
      <c r="B57" s="22"/>
      <c r="C57" s="22" t="s">
        <v>702</v>
      </c>
      <c r="D57" s="23" t="s">
        <v>701</v>
      </c>
      <c r="E57" s="21">
        <f>Source!DO33</f>
        <v>77</v>
      </c>
      <c r="F57" s="25"/>
      <c r="G57" s="24"/>
      <c r="H57" s="21"/>
      <c r="I57" s="25">
        <f>SUM(S51:S56)</f>
        <v>2.96</v>
      </c>
      <c r="J57" s="21">
        <f>Source!CA33</f>
        <v>51</v>
      </c>
      <c r="K57" s="25">
        <f>SUM(T51:T56)</f>
        <v>67.760000000000005</v>
      </c>
    </row>
    <row r="58" spans="1:29" ht="14.25" x14ac:dyDescent="0.2">
      <c r="A58" s="22"/>
      <c r="B58" s="22"/>
      <c r="C58" s="22" t="s">
        <v>709</v>
      </c>
      <c r="D58" s="23" t="s">
        <v>701</v>
      </c>
      <c r="E58" s="21">
        <f>175</f>
        <v>175</v>
      </c>
      <c r="F58" s="25"/>
      <c r="G58" s="24"/>
      <c r="H58" s="21"/>
      <c r="I58" s="25">
        <f>SUM(U51:U57)</f>
        <v>50.98</v>
      </c>
      <c r="J58" s="21">
        <f>160</f>
        <v>160</v>
      </c>
      <c r="K58" s="25">
        <f>SUM(V51:V57)</f>
        <v>1608.45</v>
      </c>
    </row>
    <row r="59" spans="1:29" ht="14.25" x14ac:dyDescent="0.2">
      <c r="A59" s="27"/>
      <c r="B59" s="27"/>
      <c r="C59" s="27" t="s">
        <v>703</v>
      </c>
      <c r="D59" s="28" t="s">
        <v>704</v>
      </c>
      <c r="E59" s="29">
        <f>Source!AQ32</f>
        <v>1.19</v>
      </c>
      <c r="F59" s="30"/>
      <c r="G59" s="31" t="str">
        <f>Source!DI32</f>
        <v>)*1,1</v>
      </c>
      <c r="H59" s="29">
        <f>Source!AV33</f>
        <v>1.1919999999999999</v>
      </c>
      <c r="I59" s="30">
        <f>Source!U32</f>
        <v>0.37717808743999998</v>
      </c>
      <c r="J59" s="29"/>
      <c r="K59" s="30"/>
    </row>
    <row r="60" spans="1:29" ht="15" x14ac:dyDescent="0.25">
      <c r="C60" s="16" t="s">
        <v>705</v>
      </c>
      <c r="H60" s="44">
        <f>I53+I54+I56+I57+I58+0</f>
        <v>356.98</v>
      </c>
      <c r="I60" s="44"/>
      <c r="J60" s="44">
        <f>K53+K54+K56+K57+K58+0</f>
        <v>5529.22</v>
      </c>
      <c r="K60" s="44"/>
      <c r="O60" s="32">
        <f>I53+I54+I56+I57+I58+0</f>
        <v>356.98</v>
      </c>
      <c r="P60" s="32">
        <f>K53+K54+K56+K57+K58+0</f>
        <v>5529.22</v>
      </c>
    </row>
    <row r="62" spans="1:29" ht="52.5" x14ac:dyDescent="0.2">
      <c r="A62" s="22">
        <v>4</v>
      </c>
      <c r="B62" s="22" t="s">
        <v>711</v>
      </c>
      <c r="C62" s="22" t="s">
        <v>38</v>
      </c>
      <c r="D62" s="23" t="str">
        <f>Source!DW34</f>
        <v>100 м3 грунта</v>
      </c>
      <c r="E62" s="21">
        <f>Source!I34</f>
        <v>0.13650000000000001</v>
      </c>
      <c r="F62" s="25"/>
      <c r="G62" s="24"/>
      <c r="H62" s="21"/>
      <c r="I62" s="25"/>
      <c r="J62" s="21"/>
      <c r="K62" s="25"/>
      <c r="Q62">
        <f>Source!X34</f>
        <v>206.82</v>
      </c>
      <c r="R62">
        <f>Source!X35</f>
        <v>5913.76</v>
      </c>
      <c r="S62">
        <f>Source!Y34</f>
        <v>151.66999999999999</v>
      </c>
      <c r="T62">
        <f>Source!Y35</f>
        <v>2786.95</v>
      </c>
      <c r="U62">
        <f>ROUND((175/100)*ROUND(Source!R34, 2), 2)</f>
        <v>0</v>
      </c>
      <c r="V62">
        <f>ROUND((160/100)*ROUND(Source!R35, 2), 2)</f>
        <v>0</v>
      </c>
      <c r="AC62">
        <v>0</v>
      </c>
    </row>
    <row r="63" spans="1:29" x14ac:dyDescent="0.2">
      <c r="C63" s="26" t="str">
        <f>"Объем: "&amp;Source!I34&amp;"=45,5*"&amp;"0,3/"&amp;"100"</f>
        <v>Объем: 0,1365=45,5*0,3/100</v>
      </c>
    </row>
    <row r="64" spans="1:29" ht="14.25" x14ac:dyDescent="0.2">
      <c r="A64" s="22"/>
      <c r="B64" s="22"/>
      <c r="C64" s="22" t="s">
        <v>699</v>
      </c>
      <c r="D64" s="23"/>
      <c r="E64" s="21"/>
      <c r="F64" s="25">
        <f>Source!AO34</f>
        <v>1051.1300000000001</v>
      </c>
      <c r="G64" s="24" t="str">
        <f>Source!DG34</f>
        <v>)*1,1</v>
      </c>
      <c r="H64" s="21">
        <f>Source!AV35</f>
        <v>1.248</v>
      </c>
      <c r="I64" s="25">
        <f>Source!S34</f>
        <v>196.97</v>
      </c>
      <c r="J64" s="21">
        <f>IF(Source!BA35&lt;&gt; 0, Source!BA35, 1)</f>
        <v>34.51</v>
      </c>
      <c r="K64" s="25">
        <f>Source!S35</f>
        <v>6797.43</v>
      </c>
    </row>
    <row r="65" spans="1:29" ht="14.25" x14ac:dyDescent="0.2">
      <c r="A65" s="22"/>
      <c r="B65" s="22"/>
      <c r="C65" s="22" t="s">
        <v>700</v>
      </c>
      <c r="D65" s="23" t="s">
        <v>701</v>
      </c>
      <c r="E65" s="21">
        <f>Source!DN35</f>
        <v>105</v>
      </c>
      <c r="F65" s="25"/>
      <c r="G65" s="24"/>
      <c r="H65" s="21"/>
      <c r="I65" s="25">
        <f>SUM(Q62:Q64)</f>
        <v>206.82</v>
      </c>
      <c r="J65" s="21">
        <f>Source!BZ35</f>
        <v>87</v>
      </c>
      <c r="K65" s="25">
        <f>SUM(R62:R64)</f>
        <v>5913.76</v>
      </c>
    </row>
    <row r="66" spans="1:29" ht="14.25" x14ac:dyDescent="0.2">
      <c r="A66" s="22"/>
      <c r="B66" s="22"/>
      <c r="C66" s="22" t="s">
        <v>702</v>
      </c>
      <c r="D66" s="23" t="s">
        <v>701</v>
      </c>
      <c r="E66" s="21">
        <f>Source!DO35</f>
        <v>77</v>
      </c>
      <c r="F66" s="25"/>
      <c r="G66" s="24"/>
      <c r="H66" s="21"/>
      <c r="I66" s="25">
        <f>SUM(S62:S65)</f>
        <v>151.66999999999999</v>
      </c>
      <c r="J66" s="21">
        <f>Source!CA35</f>
        <v>41</v>
      </c>
      <c r="K66" s="25">
        <f>SUM(T62:T65)</f>
        <v>2786.95</v>
      </c>
    </row>
    <row r="67" spans="1:29" ht="14.25" x14ac:dyDescent="0.2">
      <c r="A67" s="27"/>
      <c r="B67" s="27"/>
      <c r="C67" s="27" t="s">
        <v>703</v>
      </c>
      <c r="D67" s="28" t="s">
        <v>704</v>
      </c>
      <c r="E67" s="29">
        <f>Source!AQ34</f>
        <v>107.04</v>
      </c>
      <c r="F67" s="30"/>
      <c r="G67" s="31" t="str">
        <f>Source!DI34</f>
        <v>)*1,1</v>
      </c>
      <c r="H67" s="29">
        <f>Source!AV35</f>
        <v>1.248</v>
      </c>
      <c r="I67" s="30">
        <f>Source!U34</f>
        <v>20.057925888000003</v>
      </c>
      <c r="J67" s="29"/>
      <c r="K67" s="30"/>
    </row>
    <row r="68" spans="1:29" ht="15" x14ac:dyDescent="0.25">
      <c r="C68" s="16" t="s">
        <v>705</v>
      </c>
      <c r="H68" s="44">
        <f>I64+I65+I66+0</f>
        <v>555.45999999999992</v>
      </c>
      <c r="I68" s="44"/>
      <c r="J68" s="44">
        <f>K64+K65+K66+0</f>
        <v>15498.14</v>
      </c>
      <c r="K68" s="44"/>
      <c r="O68" s="32">
        <f>I64+I65+I66+0</f>
        <v>555.45999999999992</v>
      </c>
      <c r="P68" s="32">
        <f>K64+K65+K66+0</f>
        <v>15498.14</v>
      </c>
    </row>
    <row r="70" spans="1:29" ht="116.25" x14ac:dyDescent="0.2">
      <c r="A70" s="22">
        <v>5</v>
      </c>
      <c r="B70" s="22" t="s">
        <v>712</v>
      </c>
      <c r="C70" s="22" t="s">
        <v>34</v>
      </c>
      <c r="D70" s="23" t="str">
        <f>Source!DW36</f>
        <v>100 м3 грунта</v>
      </c>
      <c r="E70" s="21">
        <f>Source!I36</f>
        <v>0.31850000000000001</v>
      </c>
      <c r="F70" s="25"/>
      <c r="G70" s="24"/>
      <c r="H70" s="21"/>
      <c r="I70" s="25"/>
      <c r="J70" s="21"/>
      <c r="K70" s="25"/>
      <c r="Q70">
        <f>Source!X36</f>
        <v>2.4900000000000002</v>
      </c>
      <c r="R70">
        <f>Source!X37</f>
        <v>82.4</v>
      </c>
      <c r="S70">
        <f>Source!Y36</f>
        <v>1.96</v>
      </c>
      <c r="T70">
        <f>Source!Y37</f>
        <v>44.71</v>
      </c>
      <c r="U70">
        <f>ROUND((175/100)*ROUND(Source!R36, 2), 2)</f>
        <v>60.45</v>
      </c>
      <c r="V70">
        <f>ROUND((160/100)*ROUND(Source!R37, 2), 2)</f>
        <v>1907.17</v>
      </c>
      <c r="AC70">
        <v>0</v>
      </c>
    </row>
    <row r="71" spans="1:29" x14ac:dyDescent="0.2">
      <c r="C71" s="26" t="str">
        <f>"Объем: "&amp;Source!I36&amp;"=45,5*"&amp;"0,7/"&amp;"100"</f>
        <v>Объем: 0,3185=45,5*0,7/100</v>
      </c>
    </row>
    <row r="72" spans="1:29" ht="28.5" x14ac:dyDescent="0.2">
      <c r="A72" s="22"/>
      <c r="B72" s="22"/>
      <c r="C72" s="22" t="s">
        <v>699</v>
      </c>
      <c r="D72" s="23"/>
      <c r="E72" s="21"/>
      <c r="F72" s="25">
        <f>Source!AO36</f>
        <v>12.16</v>
      </c>
      <c r="G72" s="24" t="str">
        <f>Source!DG36</f>
        <v>)*1,1)*0,5</v>
      </c>
      <c r="H72" s="21">
        <f>Source!AV37</f>
        <v>1.1919999999999999</v>
      </c>
      <c r="I72" s="25">
        <f>Source!S36</f>
        <v>2.54</v>
      </c>
      <c r="J72" s="21">
        <f>IF(Source!BA37&lt;&gt; 0, Source!BA37, 1)</f>
        <v>34.51</v>
      </c>
      <c r="K72" s="25">
        <f>Source!S37</f>
        <v>87.66</v>
      </c>
    </row>
    <row r="73" spans="1:29" ht="28.5" x14ac:dyDescent="0.2">
      <c r="A73" s="22"/>
      <c r="B73" s="22"/>
      <c r="C73" s="22" t="s">
        <v>707</v>
      </c>
      <c r="D73" s="23"/>
      <c r="E73" s="21"/>
      <c r="F73" s="25">
        <f>Source!AM36</f>
        <v>932.06</v>
      </c>
      <c r="G73" s="24" t="str">
        <f>Source!DE36</f>
        <v>)*1,1)*0,9</v>
      </c>
      <c r="H73" s="21">
        <f>Source!AV37</f>
        <v>1.1919999999999999</v>
      </c>
      <c r="I73" s="25">
        <f>Source!Q36</f>
        <v>350.32</v>
      </c>
      <c r="J73" s="21">
        <f>IF(Source!BB37&lt;&gt; 0, Source!BB37, 1)</f>
        <v>12.17</v>
      </c>
      <c r="K73" s="25">
        <f>Source!Q37</f>
        <v>4263.3900000000003</v>
      </c>
    </row>
    <row r="74" spans="1:29" ht="28.5" x14ac:dyDescent="0.2">
      <c r="A74" s="22"/>
      <c r="B74" s="22"/>
      <c r="C74" s="22" t="s">
        <v>708</v>
      </c>
      <c r="D74" s="23"/>
      <c r="E74" s="21"/>
      <c r="F74" s="25">
        <f>Source!AN36</f>
        <v>91.89</v>
      </c>
      <c r="G74" s="24" t="str">
        <f>Source!DF36</f>
        <v>)*1,1)*0,9</v>
      </c>
      <c r="H74" s="21">
        <f>Source!AV37</f>
        <v>1.1919999999999999</v>
      </c>
      <c r="I74" s="33">
        <f>Source!R36</f>
        <v>34.54</v>
      </c>
      <c r="J74" s="21">
        <f>IF(Source!BS37&lt;&gt; 0, Source!BS37, 1)</f>
        <v>34.51</v>
      </c>
      <c r="K74" s="33">
        <f>Source!R37</f>
        <v>1191.98</v>
      </c>
    </row>
    <row r="75" spans="1:29" ht="14.25" x14ac:dyDescent="0.2">
      <c r="A75" s="22"/>
      <c r="B75" s="22"/>
      <c r="C75" s="22" t="s">
        <v>700</v>
      </c>
      <c r="D75" s="23" t="s">
        <v>701</v>
      </c>
      <c r="E75" s="21">
        <f>Source!DN37</f>
        <v>98</v>
      </c>
      <c r="F75" s="25"/>
      <c r="G75" s="24"/>
      <c r="H75" s="21"/>
      <c r="I75" s="25">
        <f>SUM(Q70:Q74)</f>
        <v>2.4900000000000002</v>
      </c>
      <c r="J75" s="21">
        <f>Source!BZ37</f>
        <v>94</v>
      </c>
      <c r="K75" s="25">
        <f>SUM(R70:R74)</f>
        <v>82.4</v>
      </c>
    </row>
    <row r="76" spans="1:29" ht="14.25" x14ac:dyDescent="0.2">
      <c r="A76" s="22"/>
      <c r="B76" s="22"/>
      <c r="C76" s="22" t="s">
        <v>702</v>
      </c>
      <c r="D76" s="23" t="s">
        <v>701</v>
      </c>
      <c r="E76" s="21">
        <f>Source!DO37</f>
        <v>77</v>
      </c>
      <c r="F76" s="25"/>
      <c r="G76" s="24"/>
      <c r="H76" s="21"/>
      <c r="I76" s="25">
        <f>SUM(S70:S75)</f>
        <v>1.96</v>
      </c>
      <c r="J76" s="21">
        <f>Source!CA37</f>
        <v>51</v>
      </c>
      <c r="K76" s="25">
        <f>SUM(T70:T75)</f>
        <v>44.71</v>
      </c>
    </row>
    <row r="77" spans="1:29" ht="14.25" x14ac:dyDescent="0.2">
      <c r="A77" s="22"/>
      <c r="B77" s="22"/>
      <c r="C77" s="22" t="s">
        <v>709</v>
      </c>
      <c r="D77" s="23" t="s">
        <v>701</v>
      </c>
      <c r="E77" s="21">
        <f>175</f>
        <v>175</v>
      </c>
      <c r="F77" s="25"/>
      <c r="G77" s="24"/>
      <c r="H77" s="21"/>
      <c r="I77" s="25">
        <f>SUM(U70:U76)</f>
        <v>60.45</v>
      </c>
      <c r="J77" s="21">
        <f>160</f>
        <v>160</v>
      </c>
      <c r="K77" s="25">
        <f>SUM(V70:V76)</f>
        <v>1907.17</v>
      </c>
    </row>
    <row r="78" spans="1:29" ht="28.5" x14ac:dyDescent="0.2">
      <c r="A78" s="27"/>
      <c r="B78" s="27"/>
      <c r="C78" s="27" t="s">
        <v>703</v>
      </c>
      <c r="D78" s="28" t="s">
        <v>704</v>
      </c>
      <c r="E78" s="29">
        <f>Source!AQ36</f>
        <v>1.19</v>
      </c>
      <c r="F78" s="30"/>
      <c r="G78" s="31" t="str">
        <f>Source!DI36</f>
        <v>)*1,1)*0,5</v>
      </c>
      <c r="H78" s="29">
        <f>Source!AV37</f>
        <v>1.1919999999999999</v>
      </c>
      <c r="I78" s="30">
        <f>Source!U36</f>
        <v>0.248482234</v>
      </c>
      <c r="J78" s="29"/>
      <c r="K78" s="30"/>
    </row>
    <row r="79" spans="1:29" ht="15" x14ac:dyDescent="0.25">
      <c r="C79" s="16" t="s">
        <v>705</v>
      </c>
      <c r="H79" s="44">
        <f>I72+I73+I75+I76+I77+0</f>
        <v>417.76</v>
      </c>
      <c r="I79" s="44"/>
      <c r="J79" s="44">
        <f>K72+K73+K75+K76+K77+0</f>
        <v>6385.33</v>
      </c>
      <c r="K79" s="44"/>
      <c r="O79" s="32">
        <f>I72+I73+I75+I76+I77+0</f>
        <v>417.76</v>
      </c>
      <c r="P79" s="32">
        <f>K72+K73+K75+K76+K77+0</f>
        <v>6385.33</v>
      </c>
    </row>
    <row r="81" spans="1:29" ht="57" x14ac:dyDescent="0.2">
      <c r="A81" s="22">
        <v>6</v>
      </c>
      <c r="B81" s="22" t="s">
        <v>713</v>
      </c>
      <c r="C81" s="22" t="s">
        <v>47</v>
      </c>
      <c r="D81" s="23" t="str">
        <f>Source!DW38</f>
        <v>1 канало-километр трубопровода</v>
      </c>
      <c r="E81" s="21">
        <f>Source!I38</f>
        <v>3.3000000000000002E-2</v>
      </c>
      <c r="F81" s="25"/>
      <c r="G81" s="24"/>
      <c r="H81" s="21"/>
      <c r="I81" s="25"/>
      <c r="J81" s="21"/>
      <c r="K81" s="25"/>
      <c r="Q81">
        <f>Source!X38</f>
        <v>66.930000000000007</v>
      </c>
      <c r="R81">
        <f>Source!X39</f>
        <v>1897.33</v>
      </c>
      <c r="S81">
        <f>Source!Y38</f>
        <v>41.83</v>
      </c>
      <c r="T81">
        <f>Source!Y39</f>
        <v>845.55</v>
      </c>
      <c r="U81">
        <f>ROUND((175/100)*ROUND(Source!R38, 2), 2)</f>
        <v>0</v>
      </c>
      <c r="V81">
        <f>ROUND((160/100)*ROUND(Source!R39, 2), 2)</f>
        <v>0</v>
      </c>
      <c r="AC81">
        <v>0</v>
      </c>
    </row>
    <row r="82" spans="1:29" x14ac:dyDescent="0.2">
      <c r="C82" s="26" t="str">
        <f>"Объем: "&amp;Source!I38&amp;"=33/"&amp;"1000"</f>
        <v>Объем: 0,033=33/1000</v>
      </c>
    </row>
    <row r="83" spans="1:29" ht="14.25" x14ac:dyDescent="0.2">
      <c r="A83" s="22"/>
      <c r="B83" s="22"/>
      <c r="C83" s="22" t="s">
        <v>699</v>
      </c>
      <c r="D83" s="23"/>
      <c r="E83" s="21"/>
      <c r="F83" s="25">
        <f>Source!AO38</f>
        <v>1542.84</v>
      </c>
      <c r="G83" s="24" t="str">
        <f>Source!DG38</f>
        <v>)*1,1</v>
      </c>
      <c r="H83" s="21">
        <f>Source!AV39</f>
        <v>1.0669999999999999</v>
      </c>
      <c r="I83" s="25">
        <f>Source!S38</f>
        <v>59.76</v>
      </c>
      <c r="J83" s="21">
        <f>IF(Source!BA39&lt;&gt; 0, Source!BA39, 1)</f>
        <v>34.51</v>
      </c>
      <c r="K83" s="25">
        <f>Source!S39</f>
        <v>2062.3200000000002</v>
      </c>
    </row>
    <row r="84" spans="1:29" ht="14.25" x14ac:dyDescent="0.2">
      <c r="A84" s="22"/>
      <c r="B84" s="22"/>
      <c r="C84" s="22" t="s">
        <v>714</v>
      </c>
      <c r="D84" s="23"/>
      <c r="E84" s="21"/>
      <c r="F84" s="25">
        <f>Source!AL38</f>
        <v>19554.14</v>
      </c>
      <c r="G84" s="24" t="str">
        <f>Source!DD38</f>
        <v/>
      </c>
      <c r="H84" s="21">
        <f>Source!AW39</f>
        <v>1.081</v>
      </c>
      <c r="I84" s="25">
        <f>Source!P38</f>
        <v>697.55</v>
      </c>
      <c r="J84" s="21">
        <f>IF(Source!BC39&lt;&gt; 0, Source!BC39, 1)</f>
        <v>7.65</v>
      </c>
      <c r="K84" s="25">
        <f>Source!P39</f>
        <v>5336.26</v>
      </c>
    </row>
    <row r="85" spans="1:29" ht="14.25" x14ac:dyDescent="0.2">
      <c r="A85" s="22"/>
      <c r="B85" s="22"/>
      <c r="C85" s="22" t="s">
        <v>700</v>
      </c>
      <c r="D85" s="23" t="s">
        <v>701</v>
      </c>
      <c r="E85" s="21">
        <f>Source!DN39</f>
        <v>112</v>
      </c>
      <c r="F85" s="25"/>
      <c r="G85" s="24"/>
      <c r="H85" s="21"/>
      <c r="I85" s="25">
        <f>SUM(Q81:Q84)</f>
        <v>66.930000000000007</v>
      </c>
      <c r="J85" s="21">
        <f>Source!BZ39</f>
        <v>92</v>
      </c>
      <c r="K85" s="25">
        <f>SUM(R81:R84)</f>
        <v>1897.33</v>
      </c>
    </row>
    <row r="86" spans="1:29" ht="14.25" x14ac:dyDescent="0.2">
      <c r="A86" s="22"/>
      <c r="B86" s="22"/>
      <c r="C86" s="22" t="s">
        <v>702</v>
      </c>
      <c r="D86" s="23" t="s">
        <v>701</v>
      </c>
      <c r="E86" s="21">
        <f>Source!DO39</f>
        <v>70</v>
      </c>
      <c r="F86" s="25"/>
      <c r="G86" s="24"/>
      <c r="H86" s="21"/>
      <c r="I86" s="25">
        <f>SUM(S81:S85)</f>
        <v>41.83</v>
      </c>
      <c r="J86" s="21">
        <f>Source!CA39</f>
        <v>41</v>
      </c>
      <c r="K86" s="25">
        <f>SUM(T81:T85)</f>
        <v>845.55</v>
      </c>
    </row>
    <row r="87" spans="1:29" ht="14.25" x14ac:dyDescent="0.2">
      <c r="A87" s="27"/>
      <c r="B87" s="27"/>
      <c r="C87" s="27" t="s">
        <v>703</v>
      </c>
      <c r="D87" s="28" t="s">
        <v>704</v>
      </c>
      <c r="E87" s="29">
        <f>Source!AQ38</f>
        <v>138</v>
      </c>
      <c r="F87" s="30"/>
      <c r="G87" s="31" t="str">
        <f>Source!DI38</f>
        <v>)*1,1</v>
      </c>
      <c r="H87" s="29">
        <f>Source!AV39</f>
        <v>1.0669999999999999</v>
      </c>
      <c r="I87" s="30">
        <f>Source!U38</f>
        <v>5.3450297999999998</v>
      </c>
      <c r="J87" s="29"/>
      <c r="K87" s="30"/>
    </row>
    <row r="88" spans="1:29" ht="15" x14ac:dyDescent="0.25">
      <c r="C88" s="16" t="s">
        <v>705</v>
      </c>
      <c r="H88" s="44">
        <f>I83+I84+I85+I86+0</f>
        <v>866.07</v>
      </c>
      <c r="I88" s="44"/>
      <c r="J88" s="44">
        <f>K83+K84+K85+K86+0</f>
        <v>10141.459999999999</v>
      </c>
      <c r="K88" s="44"/>
      <c r="O88" s="32">
        <f>I83+I84+I85+I86+0</f>
        <v>866.07</v>
      </c>
      <c r="P88" s="32">
        <f>K83+K84+K85+K86+0</f>
        <v>10141.459999999999</v>
      </c>
    </row>
    <row r="90" spans="1:29" ht="52.5" x14ac:dyDescent="0.2">
      <c r="A90" s="22">
        <v>9</v>
      </c>
      <c r="B90" s="22" t="s">
        <v>715</v>
      </c>
      <c r="C90" s="22" t="s">
        <v>66</v>
      </c>
      <c r="D90" s="23" t="str">
        <f>Source!DW44</f>
        <v>1 км трубопровода</v>
      </c>
      <c r="E90" s="21">
        <f>Source!I44</f>
        <v>5.2999999999999999E-2</v>
      </c>
      <c r="F90" s="25"/>
      <c r="G90" s="24"/>
      <c r="H90" s="21"/>
      <c r="I90" s="25"/>
      <c r="J90" s="21"/>
      <c r="K90" s="25"/>
      <c r="Q90">
        <f>Source!X44</f>
        <v>109.88</v>
      </c>
      <c r="R90">
        <f>Source!X45</f>
        <v>3114.92</v>
      </c>
      <c r="S90">
        <f>Source!Y44</f>
        <v>68.680000000000007</v>
      </c>
      <c r="T90">
        <f>Source!Y45</f>
        <v>1388.17</v>
      </c>
      <c r="U90">
        <f>ROUND((175/100)*ROUND(Source!R44, 2), 2)</f>
        <v>3.1</v>
      </c>
      <c r="V90">
        <f>ROUND((160/100)*ROUND(Source!R45, 2), 2)</f>
        <v>97.73</v>
      </c>
      <c r="AC90">
        <v>0</v>
      </c>
    </row>
    <row r="91" spans="1:29" x14ac:dyDescent="0.2">
      <c r="C91" s="26" t="str">
        <f>"Объем: "&amp;Source!I44&amp;"=53/"&amp;"1000"</f>
        <v>Объем: 0,053=53/1000</v>
      </c>
    </row>
    <row r="92" spans="1:29" ht="14.25" x14ac:dyDescent="0.2">
      <c r="A92" s="22"/>
      <c r="B92" s="22"/>
      <c r="C92" s="22" t="s">
        <v>699</v>
      </c>
      <c r="D92" s="23"/>
      <c r="E92" s="21"/>
      <c r="F92" s="25">
        <f>Source!AO44</f>
        <v>1577.19</v>
      </c>
      <c r="G92" s="24" t="str">
        <f>Source!DG44</f>
        <v>)*1,1</v>
      </c>
      <c r="H92" s="21">
        <f>Source!AV45</f>
        <v>1.0669999999999999</v>
      </c>
      <c r="I92" s="25">
        <f>Source!S44</f>
        <v>98.11</v>
      </c>
      <c r="J92" s="21">
        <f>IF(Source!BA45&lt;&gt; 0, Source!BA45, 1)</f>
        <v>34.51</v>
      </c>
      <c r="K92" s="25">
        <f>Source!S45</f>
        <v>3385.78</v>
      </c>
    </row>
    <row r="93" spans="1:29" ht="14.25" x14ac:dyDescent="0.2">
      <c r="A93" s="22"/>
      <c r="B93" s="22"/>
      <c r="C93" s="22" t="s">
        <v>707</v>
      </c>
      <c r="D93" s="23"/>
      <c r="E93" s="21"/>
      <c r="F93" s="25">
        <f>Source!AM44</f>
        <v>258.70999999999998</v>
      </c>
      <c r="G93" s="24" t="str">
        <f>Source!DE44</f>
        <v>)*1,1</v>
      </c>
      <c r="H93" s="21">
        <f>Source!AV45</f>
        <v>1.0669999999999999</v>
      </c>
      <c r="I93" s="25">
        <f>Source!Q44</f>
        <v>16.09</v>
      </c>
      <c r="J93" s="21">
        <f>IF(Source!BB45&lt;&gt; 0, Source!BB45, 1)</f>
        <v>11.8</v>
      </c>
      <c r="K93" s="25">
        <f>Source!Q45</f>
        <v>189.86</v>
      </c>
    </row>
    <row r="94" spans="1:29" ht="14.25" x14ac:dyDescent="0.2">
      <c r="A94" s="22"/>
      <c r="B94" s="22"/>
      <c r="C94" s="22" t="s">
        <v>708</v>
      </c>
      <c r="D94" s="23"/>
      <c r="E94" s="21"/>
      <c r="F94" s="25">
        <f>Source!AN44</f>
        <v>28.39</v>
      </c>
      <c r="G94" s="24" t="str">
        <f>Source!DF44</f>
        <v>)*1,1</v>
      </c>
      <c r="H94" s="21">
        <f>Source!AV45</f>
        <v>1.0669999999999999</v>
      </c>
      <c r="I94" s="33">
        <f>Source!R44</f>
        <v>1.77</v>
      </c>
      <c r="J94" s="21">
        <f>IF(Source!BS45&lt;&gt; 0, Source!BS45, 1)</f>
        <v>34.51</v>
      </c>
      <c r="K94" s="33">
        <f>Source!R45</f>
        <v>61.08</v>
      </c>
    </row>
    <row r="95" spans="1:29" ht="14.25" x14ac:dyDescent="0.2">
      <c r="A95" s="22"/>
      <c r="B95" s="22"/>
      <c r="C95" s="22" t="s">
        <v>700</v>
      </c>
      <c r="D95" s="23" t="s">
        <v>701</v>
      </c>
      <c r="E95" s="21">
        <f>Source!DN45</f>
        <v>112</v>
      </c>
      <c r="F95" s="25"/>
      <c r="G95" s="24"/>
      <c r="H95" s="21"/>
      <c r="I95" s="25">
        <f>SUM(Q90:Q94)</f>
        <v>109.88</v>
      </c>
      <c r="J95" s="21">
        <f>Source!BZ45</f>
        <v>92</v>
      </c>
      <c r="K95" s="25">
        <f>SUM(R90:R94)</f>
        <v>3114.92</v>
      </c>
    </row>
    <row r="96" spans="1:29" ht="14.25" x14ac:dyDescent="0.2">
      <c r="A96" s="22"/>
      <c r="B96" s="22"/>
      <c r="C96" s="22" t="s">
        <v>702</v>
      </c>
      <c r="D96" s="23" t="s">
        <v>701</v>
      </c>
      <c r="E96" s="21">
        <f>Source!DO45</f>
        <v>70</v>
      </c>
      <c r="F96" s="25"/>
      <c r="G96" s="24"/>
      <c r="H96" s="21"/>
      <c r="I96" s="25">
        <f>SUM(S90:S95)</f>
        <v>68.680000000000007</v>
      </c>
      <c r="J96" s="21">
        <f>Source!CA45</f>
        <v>41</v>
      </c>
      <c r="K96" s="25">
        <f>SUM(T90:T95)</f>
        <v>1388.17</v>
      </c>
    </row>
    <row r="97" spans="1:29" ht="14.25" x14ac:dyDescent="0.2">
      <c r="A97" s="22"/>
      <c r="B97" s="22"/>
      <c r="C97" s="22" t="s">
        <v>709</v>
      </c>
      <c r="D97" s="23" t="s">
        <v>701</v>
      </c>
      <c r="E97" s="21">
        <f>175</f>
        <v>175</v>
      </c>
      <c r="F97" s="25"/>
      <c r="G97" s="24"/>
      <c r="H97" s="21"/>
      <c r="I97" s="25">
        <f>SUM(U90:U96)</f>
        <v>3.1</v>
      </c>
      <c r="J97" s="21">
        <f>160</f>
        <v>160</v>
      </c>
      <c r="K97" s="25">
        <f>SUM(V90:V96)</f>
        <v>97.73</v>
      </c>
    </row>
    <row r="98" spans="1:29" ht="14.25" x14ac:dyDescent="0.2">
      <c r="A98" s="27"/>
      <c r="B98" s="27"/>
      <c r="C98" s="27" t="s">
        <v>703</v>
      </c>
      <c r="D98" s="28" t="s">
        <v>704</v>
      </c>
      <c r="E98" s="29">
        <f>Source!AQ44</f>
        <v>147.85</v>
      </c>
      <c r="F98" s="30"/>
      <c r="G98" s="31" t="str">
        <f>Source!DI44</f>
        <v>)*1,1</v>
      </c>
      <c r="H98" s="29">
        <f>Source!AV45</f>
        <v>1.0669999999999999</v>
      </c>
      <c r="I98" s="30">
        <f>Source!U44</f>
        <v>9.1971718850000013</v>
      </c>
      <c r="J98" s="29"/>
      <c r="K98" s="30"/>
    </row>
    <row r="99" spans="1:29" ht="15" x14ac:dyDescent="0.25">
      <c r="C99" s="16" t="s">
        <v>705</v>
      </c>
      <c r="H99" s="44">
        <f>I92+I93+I95+I96+I97+0</f>
        <v>295.86</v>
      </c>
      <c r="I99" s="44"/>
      <c r="J99" s="44">
        <f>K92+K93+K95+K96+K97+0</f>
        <v>8176.46</v>
      </c>
      <c r="K99" s="44"/>
      <c r="O99" s="32">
        <f>I92+I93+I95+I96+I97+0</f>
        <v>295.86</v>
      </c>
      <c r="P99" s="32">
        <f>K92+K93+K95+K96+K97+0</f>
        <v>8176.46</v>
      </c>
    </row>
    <row r="101" spans="1:29" ht="52.5" x14ac:dyDescent="0.2">
      <c r="A101" s="22">
        <v>11</v>
      </c>
      <c r="B101" s="22" t="s">
        <v>716</v>
      </c>
      <c r="C101" s="22" t="s">
        <v>74</v>
      </c>
      <c r="D101" s="23" t="str">
        <f>Source!DW48</f>
        <v>1 км трубопровода</v>
      </c>
      <c r="E101" s="21">
        <f>Source!I48</f>
        <v>0.34</v>
      </c>
      <c r="F101" s="25"/>
      <c r="G101" s="24"/>
      <c r="H101" s="21"/>
      <c r="I101" s="25"/>
      <c r="J101" s="21"/>
      <c r="K101" s="25"/>
      <c r="Q101">
        <f>Source!X48</f>
        <v>522</v>
      </c>
      <c r="R101">
        <f>Source!X49</f>
        <v>14797.35</v>
      </c>
      <c r="S101">
        <f>Source!Y48</f>
        <v>326.25</v>
      </c>
      <c r="T101">
        <f>Source!Y49</f>
        <v>6594.47</v>
      </c>
      <c r="U101">
        <f>ROUND((175/100)*ROUND(Source!R48, 2), 2)</f>
        <v>19.62</v>
      </c>
      <c r="V101">
        <f>ROUND((160/100)*ROUND(Source!R49, 2), 2)</f>
        <v>618.98</v>
      </c>
      <c r="AC101">
        <v>0</v>
      </c>
    </row>
    <row r="102" spans="1:29" x14ac:dyDescent="0.2">
      <c r="C102" s="26" t="str">
        <f>"Объем: "&amp;Source!I48&amp;"=340/"&amp;"1000"</f>
        <v>Объем: 0,34=340/1000</v>
      </c>
    </row>
    <row r="103" spans="1:29" ht="14.25" x14ac:dyDescent="0.2">
      <c r="A103" s="22"/>
      <c r="B103" s="22"/>
      <c r="C103" s="22" t="s">
        <v>699</v>
      </c>
      <c r="D103" s="23"/>
      <c r="E103" s="21"/>
      <c r="F103" s="25">
        <f>Source!AO48</f>
        <v>1167.92</v>
      </c>
      <c r="G103" s="24" t="str">
        <f>Source!DG48</f>
        <v>)*1,1</v>
      </c>
      <c r="H103" s="21">
        <f>Source!AV49</f>
        <v>1.0669999999999999</v>
      </c>
      <c r="I103" s="25">
        <f>Source!S48</f>
        <v>466.07</v>
      </c>
      <c r="J103" s="21">
        <f>IF(Source!BA49&lt;&gt; 0, Source!BA49, 1)</f>
        <v>34.51</v>
      </c>
      <c r="K103" s="25">
        <f>Source!S49</f>
        <v>16084.08</v>
      </c>
    </row>
    <row r="104" spans="1:29" ht="14.25" x14ac:dyDescent="0.2">
      <c r="A104" s="22"/>
      <c r="B104" s="22"/>
      <c r="C104" s="22" t="s">
        <v>707</v>
      </c>
      <c r="D104" s="23"/>
      <c r="E104" s="21"/>
      <c r="F104" s="25">
        <f>Source!AM48</f>
        <v>255.97</v>
      </c>
      <c r="G104" s="24" t="str">
        <f>Source!DE48</f>
        <v>)*1,1</v>
      </c>
      <c r="H104" s="21">
        <f>Source!AV49</f>
        <v>1.0669999999999999</v>
      </c>
      <c r="I104" s="25">
        <f>Source!Q48</f>
        <v>102.15</v>
      </c>
      <c r="J104" s="21">
        <f>IF(Source!BB49&lt;&gt; 0, Source!BB49, 1)</f>
        <v>11.8</v>
      </c>
      <c r="K104" s="25">
        <f>Source!Q49</f>
        <v>1205.3699999999999</v>
      </c>
    </row>
    <row r="105" spans="1:29" ht="14.25" x14ac:dyDescent="0.2">
      <c r="A105" s="22"/>
      <c r="B105" s="22"/>
      <c r="C105" s="22" t="s">
        <v>708</v>
      </c>
      <c r="D105" s="23"/>
      <c r="E105" s="21"/>
      <c r="F105" s="25">
        <f>Source!AN48</f>
        <v>28.08</v>
      </c>
      <c r="G105" s="24" t="str">
        <f>Source!DF48</f>
        <v>)*1,1</v>
      </c>
      <c r="H105" s="21">
        <f>Source!AV49</f>
        <v>1.0669999999999999</v>
      </c>
      <c r="I105" s="33">
        <f>Source!R48</f>
        <v>11.21</v>
      </c>
      <c r="J105" s="21">
        <f>IF(Source!BS49&lt;&gt; 0, Source!BS49, 1)</f>
        <v>34.51</v>
      </c>
      <c r="K105" s="33">
        <f>Source!R49</f>
        <v>386.86</v>
      </c>
    </row>
    <row r="106" spans="1:29" ht="14.25" x14ac:dyDescent="0.2">
      <c r="A106" s="22"/>
      <c r="B106" s="22"/>
      <c r="C106" s="22" t="s">
        <v>700</v>
      </c>
      <c r="D106" s="23" t="s">
        <v>701</v>
      </c>
      <c r="E106" s="21">
        <f>Source!DN49</f>
        <v>112</v>
      </c>
      <c r="F106" s="25"/>
      <c r="G106" s="24"/>
      <c r="H106" s="21"/>
      <c r="I106" s="25">
        <f>SUM(Q101:Q105)</f>
        <v>522</v>
      </c>
      <c r="J106" s="21">
        <f>Source!BZ49</f>
        <v>92</v>
      </c>
      <c r="K106" s="25">
        <f>SUM(R101:R105)</f>
        <v>14797.35</v>
      </c>
    </row>
    <row r="107" spans="1:29" ht="14.25" x14ac:dyDescent="0.2">
      <c r="A107" s="22"/>
      <c r="B107" s="22"/>
      <c r="C107" s="22" t="s">
        <v>702</v>
      </c>
      <c r="D107" s="23" t="s">
        <v>701</v>
      </c>
      <c r="E107" s="21">
        <f>Source!DO49</f>
        <v>70</v>
      </c>
      <c r="F107" s="25"/>
      <c r="G107" s="24"/>
      <c r="H107" s="21"/>
      <c r="I107" s="25">
        <f>SUM(S101:S106)</f>
        <v>326.25</v>
      </c>
      <c r="J107" s="21">
        <f>Source!CA49</f>
        <v>41</v>
      </c>
      <c r="K107" s="25">
        <f>SUM(T101:T106)</f>
        <v>6594.47</v>
      </c>
    </row>
    <row r="108" spans="1:29" ht="14.25" x14ac:dyDescent="0.2">
      <c r="A108" s="22"/>
      <c r="B108" s="22"/>
      <c r="C108" s="22" t="s">
        <v>709</v>
      </c>
      <c r="D108" s="23" t="s">
        <v>701</v>
      </c>
      <c r="E108" s="21">
        <f>175</f>
        <v>175</v>
      </c>
      <c r="F108" s="25"/>
      <c r="G108" s="24"/>
      <c r="H108" s="21"/>
      <c r="I108" s="25">
        <f>SUM(U101:U107)</f>
        <v>19.62</v>
      </c>
      <c r="J108" s="21">
        <f>160</f>
        <v>160</v>
      </c>
      <c r="K108" s="25">
        <f>SUM(V101:V107)</f>
        <v>618.98</v>
      </c>
    </row>
    <row r="109" spans="1:29" ht="14.25" x14ac:dyDescent="0.2">
      <c r="A109" s="27"/>
      <c r="B109" s="27"/>
      <c r="C109" s="27" t="s">
        <v>703</v>
      </c>
      <c r="D109" s="28" t="s">
        <v>704</v>
      </c>
      <c r="E109" s="29">
        <f>Source!AQ48</f>
        <v>107.8</v>
      </c>
      <c r="F109" s="30"/>
      <c r="G109" s="31" t="str">
        <f>Source!DI48</f>
        <v>)*1,1</v>
      </c>
      <c r="H109" s="29">
        <f>Source!AV49</f>
        <v>1.0669999999999999</v>
      </c>
      <c r="I109" s="30">
        <f>Source!U48</f>
        <v>43.018452400000001</v>
      </c>
      <c r="J109" s="29"/>
      <c r="K109" s="30"/>
    </row>
    <row r="110" spans="1:29" ht="15" x14ac:dyDescent="0.25">
      <c r="C110" s="16" t="s">
        <v>705</v>
      </c>
      <c r="H110" s="44">
        <f>I103+I104+I106+I107+I108+0</f>
        <v>1436.09</v>
      </c>
      <c r="I110" s="44"/>
      <c r="J110" s="44">
        <f>K103+K104+K106+K107+K108+0</f>
        <v>39300.250000000007</v>
      </c>
      <c r="K110" s="44"/>
      <c r="O110" s="32">
        <f>I103+I104+I106+I107+I108+0</f>
        <v>1436.09</v>
      </c>
      <c r="P110" s="32">
        <f>K103+K104+K106+K107+K108+0</f>
        <v>39300.250000000007</v>
      </c>
    </row>
    <row r="112" spans="1:29" ht="81" x14ac:dyDescent="0.2">
      <c r="A112" s="27">
        <v>13</v>
      </c>
      <c r="B112" s="27" t="s">
        <v>718</v>
      </c>
      <c r="C112" s="27" t="s">
        <v>717</v>
      </c>
      <c r="D112" s="28" t="str">
        <f>Source!DW52</f>
        <v>м</v>
      </c>
      <c r="E112" s="29">
        <f>Source!I52</f>
        <v>393</v>
      </c>
      <c r="F112" s="30">
        <f>Source!AL52</f>
        <v>93.04</v>
      </c>
      <c r="G112" s="31" t="str">
        <f>Source!DD52</f>
        <v>*1,02</v>
      </c>
      <c r="H112" s="29">
        <f>Source!AW53</f>
        <v>1</v>
      </c>
      <c r="I112" s="30">
        <f>Source!P52</f>
        <v>37296.01</v>
      </c>
      <c r="J112" s="29">
        <f>IF(Source!BC53&lt;&gt; 0, Source!BC53, 1)</f>
        <v>9.74</v>
      </c>
      <c r="K112" s="30">
        <f>Source!P53</f>
        <v>363263.14</v>
      </c>
      <c r="Q112">
        <f>Source!X52</f>
        <v>0</v>
      </c>
      <c r="R112">
        <f>Source!X53</f>
        <v>0</v>
      </c>
      <c r="S112">
        <f>Source!Y52</f>
        <v>0</v>
      </c>
      <c r="T112">
        <f>Source!Y53</f>
        <v>0</v>
      </c>
      <c r="U112">
        <f>ROUND((175/100)*ROUND(Source!R52, 2), 2)</f>
        <v>0</v>
      </c>
      <c r="V112">
        <f>ROUND((160/100)*ROUND(Source!R53, 2), 2)</f>
        <v>0</v>
      </c>
      <c r="AC112">
        <v>3</v>
      </c>
    </row>
    <row r="113" spans="1:29" ht="15" x14ac:dyDescent="0.25">
      <c r="C113" s="16" t="s">
        <v>705</v>
      </c>
      <c r="H113" s="44">
        <f>I112+0</f>
        <v>37296.01</v>
      </c>
      <c r="I113" s="44"/>
      <c r="J113" s="44">
        <f>K112+0</f>
        <v>363263.14</v>
      </c>
      <c r="K113" s="44"/>
      <c r="O113" s="32">
        <f>I112+0</f>
        <v>37296.01</v>
      </c>
      <c r="P113" s="32">
        <f>K112+0</f>
        <v>363263.14</v>
      </c>
    </row>
    <row r="115" spans="1:29" ht="57" x14ac:dyDescent="0.2">
      <c r="A115" s="27">
        <v>14</v>
      </c>
      <c r="B115" s="27" t="s">
        <v>719</v>
      </c>
      <c r="C115" s="27" t="s">
        <v>87</v>
      </c>
      <c r="D115" s="28" t="str">
        <f>Source!DW54</f>
        <v>шт.</v>
      </c>
      <c r="E115" s="29">
        <f>Source!I54</f>
        <v>36</v>
      </c>
      <c r="F115" s="30">
        <f>Source!AL54</f>
        <v>3.9</v>
      </c>
      <c r="G115" s="31" t="str">
        <f>Source!DD54</f>
        <v/>
      </c>
      <c r="H115" s="29">
        <f>Source!AW55</f>
        <v>1</v>
      </c>
      <c r="I115" s="30">
        <f>Source!P54</f>
        <v>140.4</v>
      </c>
      <c r="J115" s="29">
        <f>IF(Source!BC55&lt;&gt; 0, Source!BC55, 1)</f>
        <v>13.93</v>
      </c>
      <c r="K115" s="30">
        <f>Source!P55</f>
        <v>1955.77</v>
      </c>
      <c r="Q115">
        <f>Source!X54</f>
        <v>0</v>
      </c>
      <c r="R115">
        <f>Source!X55</f>
        <v>0</v>
      </c>
      <c r="S115">
        <f>Source!Y54</f>
        <v>0</v>
      </c>
      <c r="T115">
        <f>Source!Y55</f>
        <v>0</v>
      </c>
      <c r="U115">
        <f>ROUND((175/100)*ROUND(Source!R54, 2), 2)</f>
        <v>0</v>
      </c>
      <c r="V115">
        <f>ROUND((160/100)*ROUND(Source!R55, 2), 2)</f>
        <v>0</v>
      </c>
      <c r="AC115">
        <v>3</v>
      </c>
    </row>
    <row r="116" spans="1:29" ht="15" x14ac:dyDescent="0.25">
      <c r="C116" s="16" t="s">
        <v>705</v>
      </c>
      <c r="H116" s="44">
        <f>I115+0</f>
        <v>140.4</v>
      </c>
      <c r="I116" s="44"/>
      <c r="J116" s="44">
        <f>K115+0</f>
        <v>1955.77</v>
      </c>
      <c r="K116" s="44"/>
      <c r="O116" s="32">
        <f>I115+0</f>
        <v>140.4</v>
      </c>
      <c r="P116" s="32">
        <f>K115+0</f>
        <v>1955.77</v>
      </c>
    </row>
    <row r="118" spans="1:29" ht="52.5" x14ac:dyDescent="0.2">
      <c r="A118" s="27">
        <v>15</v>
      </c>
      <c r="B118" s="27" t="s">
        <v>720</v>
      </c>
      <c r="C118" s="27" t="s">
        <v>92</v>
      </c>
      <c r="D118" s="28" t="str">
        <f>Source!DW56</f>
        <v>м3</v>
      </c>
      <c r="E118" s="29">
        <f>Source!I56</f>
        <v>23.46</v>
      </c>
      <c r="F118" s="30">
        <f>Source!AL56</f>
        <v>104.99</v>
      </c>
      <c r="G118" s="31" t="str">
        <f>Source!DD56</f>
        <v/>
      </c>
      <c r="H118" s="29">
        <f>Source!AW57</f>
        <v>1</v>
      </c>
      <c r="I118" s="30">
        <f>Source!P56</f>
        <v>2463.0700000000002</v>
      </c>
      <c r="J118" s="29">
        <f>IF(Source!BC57&lt;&gt; 0, Source!BC57, 1)</f>
        <v>7.69</v>
      </c>
      <c r="K118" s="30">
        <f>Source!P57</f>
        <v>18941.009999999998</v>
      </c>
      <c r="Q118">
        <f>Source!X56</f>
        <v>0</v>
      </c>
      <c r="R118">
        <f>Source!X57</f>
        <v>0</v>
      </c>
      <c r="S118">
        <f>Source!Y56</f>
        <v>0</v>
      </c>
      <c r="T118">
        <f>Source!Y57</f>
        <v>0</v>
      </c>
      <c r="U118">
        <f>ROUND((175/100)*ROUND(Source!R56, 2), 2)</f>
        <v>0</v>
      </c>
      <c r="V118">
        <f>ROUND((160/100)*ROUND(Source!R57, 2), 2)</f>
        <v>0</v>
      </c>
      <c r="AC118">
        <v>3</v>
      </c>
    </row>
    <row r="119" spans="1:29" ht="15" x14ac:dyDescent="0.25">
      <c r="C119" s="16" t="s">
        <v>705</v>
      </c>
      <c r="H119" s="44">
        <f>I118+0</f>
        <v>2463.0700000000002</v>
      </c>
      <c r="I119" s="44"/>
      <c r="J119" s="44">
        <f>K118+0</f>
        <v>18941.009999999998</v>
      </c>
      <c r="K119" s="44"/>
      <c r="O119" s="32">
        <f>I118+0</f>
        <v>2463.0700000000002</v>
      </c>
      <c r="P119" s="32">
        <f>K118+0</f>
        <v>18941.009999999998</v>
      </c>
    </row>
    <row r="122" spans="1:29" ht="15" x14ac:dyDescent="0.25">
      <c r="A122" s="42" t="str">
        <f>CONCATENATE("Итого по разделу: ",IF(Source!G63&lt;&gt;"Новый раздел", Source!G63, ""))</f>
        <v>Итого по разделу: Строительные работы</v>
      </c>
      <c r="B122" s="42"/>
      <c r="C122" s="42"/>
      <c r="D122" s="42"/>
      <c r="E122" s="42"/>
      <c r="F122" s="42"/>
      <c r="G122" s="42"/>
      <c r="H122" s="40">
        <f>SUM(O31:O121)</f>
        <v>46069.590000000004</v>
      </c>
      <c r="I122" s="41"/>
      <c r="J122" s="40">
        <f>SUM(P31:P121)</f>
        <v>525020.89</v>
      </c>
      <c r="K122" s="41"/>
    </row>
    <row r="123" spans="1:29" hidden="1" x14ac:dyDescent="0.2">
      <c r="A123" t="s">
        <v>721</v>
      </c>
      <c r="I123">
        <f>SUM(W31:W122)</f>
        <v>0</v>
      </c>
      <c r="J123">
        <f>SUM(X31:X122)</f>
        <v>0</v>
      </c>
    </row>
    <row r="124" spans="1:29" hidden="1" x14ac:dyDescent="0.2">
      <c r="A124" t="s">
        <v>722</v>
      </c>
      <c r="I124">
        <f>SUM(Y31:Y123)</f>
        <v>0</v>
      </c>
      <c r="J124">
        <f>SUM(Z31:Z123)</f>
        <v>0</v>
      </c>
    </row>
    <row r="126" spans="1:29" ht="16.5" x14ac:dyDescent="0.25">
      <c r="A126" s="43" t="str">
        <f>CONCATENATE("Раздел: ",IF(Source!G93&lt;&gt;"Новый раздел", Source!G93, ""))</f>
        <v>Раздел: Электромонтажные работы</v>
      </c>
      <c r="B126" s="43"/>
      <c r="C126" s="43"/>
      <c r="D126" s="43"/>
      <c r="E126" s="43"/>
      <c r="F126" s="43"/>
      <c r="G126" s="43"/>
      <c r="H126" s="43"/>
      <c r="I126" s="43"/>
      <c r="J126" s="43"/>
      <c r="K126" s="43"/>
    </row>
    <row r="127" spans="1:29" ht="52.5" x14ac:dyDescent="0.2">
      <c r="A127" s="22">
        <v>35</v>
      </c>
      <c r="B127" s="22" t="s">
        <v>723</v>
      </c>
      <c r="C127" s="22" t="s">
        <v>206</v>
      </c>
      <c r="D127" s="23" t="str">
        <f>Source!DW131</f>
        <v>100 М КАБЕЛЯ</v>
      </c>
      <c r="E127" s="21">
        <f>Source!I131</f>
        <v>0.94940000000000002</v>
      </c>
      <c r="F127" s="25"/>
      <c r="G127" s="24"/>
      <c r="H127" s="21"/>
      <c r="I127" s="25"/>
      <c r="J127" s="21"/>
      <c r="K127" s="25"/>
      <c r="Q127">
        <f>Source!X131</f>
        <v>307.52</v>
      </c>
      <c r="R127">
        <f>Source!X132</f>
        <v>8717.3799999999992</v>
      </c>
      <c r="S127">
        <f>Source!Y131</f>
        <v>192.2</v>
      </c>
      <c r="T127">
        <f>Source!Y132</f>
        <v>4074.43</v>
      </c>
      <c r="U127">
        <f>ROUND((175/100)*ROUND(Source!R131, 2), 2)</f>
        <v>26.09</v>
      </c>
      <c r="V127">
        <f>ROUND((160/100)*ROUND(Source!R132, 2), 2)</f>
        <v>823.26</v>
      </c>
      <c r="AC127">
        <v>0</v>
      </c>
    </row>
    <row r="128" spans="1:29" x14ac:dyDescent="0.2">
      <c r="C128" s="26" t="str">
        <f>"Объем: "&amp;Source!I131&amp;"=94,94/"&amp;"100"</f>
        <v>Объем: 0,9494=94,94/100</v>
      </c>
    </row>
    <row r="129" spans="1:29" ht="14.25" x14ac:dyDescent="0.2">
      <c r="A129" s="22"/>
      <c r="B129" s="22"/>
      <c r="C129" s="22" t="s">
        <v>699</v>
      </c>
      <c r="D129" s="23"/>
      <c r="E129" s="21"/>
      <c r="F129" s="25">
        <f>Source!AO131</f>
        <v>246.4</v>
      </c>
      <c r="G129" s="24" t="str">
        <f>Source!DG131</f>
        <v>)*1,1</v>
      </c>
      <c r="H129" s="21">
        <f>Source!AV132</f>
        <v>1.0669999999999999</v>
      </c>
      <c r="I129" s="25">
        <f>Source!S131</f>
        <v>274.57</v>
      </c>
      <c r="J129" s="21">
        <f>IF(Source!BA132&lt;&gt; 0, Source!BA132, 1)</f>
        <v>34.51</v>
      </c>
      <c r="K129" s="25">
        <f>Source!S132</f>
        <v>9475.41</v>
      </c>
    </row>
    <row r="130" spans="1:29" ht="14.25" x14ac:dyDescent="0.2">
      <c r="A130" s="22"/>
      <c r="B130" s="22"/>
      <c r="C130" s="22" t="s">
        <v>707</v>
      </c>
      <c r="D130" s="23"/>
      <c r="E130" s="21"/>
      <c r="F130" s="25">
        <f>Source!AM131</f>
        <v>101.14</v>
      </c>
      <c r="G130" s="24" t="str">
        <f>Source!DE131</f>
        <v>)*1,1</v>
      </c>
      <c r="H130" s="21">
        <f>Source!AV132</f>
        <v>1.0669999999999999</v>
      </c>
      <c r="I130" s="25">
        <f>Source!Q131</f>
        <v>112.7</v>
      </c>
      <c r="J130" s="21">
        <f>IF(Source!BB132&lt;&gt; 0, Source!BB132, 1)</f>
        <v>12.32</v>
      </c>
      <c r="K130" s="25">
        <f>Source!Q132</f>
        <v>1388.46</v>
      </c>
    </row>
    <row r="131" spans="1:29" ht="14.25" x14ac:dyDescent="0.2">
      <c r="A131" s="22"/>
      <c r="B131" s="22"/>
      <c r="C131" s="22" t="s">
        <v>708</v>
      </c>
      <c r="D131" s="23"/>
      <c r="E131" s="21"/>
      <c r="F131" s="25">
        <f>Source!AN131</f>
        <v>13.38</v>
      </c>
      <c r="G131" s="24" t="str">
        <f>Source!DF131</f>
        <v>)*1,1</v>
      </c>
      <c r="H131" s="21">
        <f>Source!AV132</f>
        <v>1.0669999999999999</v>
      </c>
      <c r="I131" s="33">
        <f>Source!R131</f>
        <v>14.91</v>
      </c>
      <c r="J131" s="21">
        <f>IF(Source!BS132&lt;&gt; 0, Source!BS132, 1)</f>
        <v>34.51</v>
      </c>
      <c r="K131" s="33">
        <f>Source!R132</f>
        <v>514.54</v>
      </c>
    </row>
    <row r="132" spans="1:29" ht="14.25" x14ac:dyDescent="0.2">
      <c r="A132" s="22"/>
      <c r="B132" s="22"/>
      <c r="C132" s="22" t="s">
        <v>714</v>
      </c>
      <c r="D132" s="23"/>
      <c r="E132" s="21"/>
      <c r="F132" s="25">
        <f>Source!AL131</f>
        <v>52.94</v>
      </c>
      <c r="G132" s="24" t="str">
        <f>Source!DD131</f>
        <v/>
      </c>
      <c r="H132" s="21">
        <f>Source!AW132</f>
        <v>1.081</v>
      </c>
      <c r="I132" s="25">
        <f>Source!P131</f>
        <v>54.33</v>
      </c>
      <c r="J132" s="21">
        <f>IF(Source!BC132&lt;&gt; 0, Source!BC132, 1)</f>
        <v>17.38</v>
      </c>
      <c r="K132" s="25">
        <f>Source!P132</f>
        <v>944.26</v>
      </c>
    </row>
    <row r="133" spans="1:29" ht="14.25" x14ac:dyDescent="0.2">
      <c r="A133" s="22"/>
      <c r="B133" s="22"/>
      <c r="C133" s="22" t="s">
        <v>700</v>
      </c>
      <c r="D133" s="23" t="s">
        <v>701</v>
      </c>
      <c r="E133" s="21">
        <f>Source!DN132</f>
        <v>112</v>
      </c>
      <c r="F133" s="25"/>
      <c r="G133" s="24"/>
      <c r="H133" s="21"/>
      <c r="I133" s="25">
        <f>SUM(Q127:Q132)</f>
        <v>307.52</v>
      </c>
      <c r="J133" s="21">
        <f>Source!BZ132</f>
        <v>92</v>
      </c>
      <c r="K133" s="25">
        <f>SUM(R127:R132)</f>
        <v>8717.3799999999992</v>
      </c>
    </row>
    <row r="134" spans="1:29" ht="14.25" x14ac:dyDescent="0.2">
      <c r="A134" s="22"/>
      <c r="B134" s="22"/>
      <c r="C134" s="22" t="s">
        <v>702</v>
      </c>
      <c r="D134" s="23" t="s">
        <v>701</v>
      </c>
      <c r="E134" s="21">
        <f>Source!DO132</f>
        <v>70</v>
      </c>
      <c r="F134" s="25"/>
      <c r="G134" s="24"/>
      <c r="H134" s="21"/>
      <c r="I134" s="25">
        <f>SUM(S127:S133)</f>
        <v>192.2</v>
      </c>
      <c r="J134" s="21">
        <f>Source!CA132</f>
        <v>43</v>
      </c>
      <c r="K134" s="25">
        <f>SUM(T127:T133)</f>
        <v>4074.43</v>
      </c>
    </row>
    <row r="135" spans="1:29" ht="14.25" x14ac:dyDescent="0.2">
      <c r="A135" s="22"/>
      <c r="B135" s="22"/>
      <c r="C135" s="22" t="s">
        <v>709</v>
      </c>
      <c r="D135" s="23" t="s">
        <v>701</v>
      </c>
      <c r="E135" s="21">
        <f>175</f>
        <v>175</v>
      </c>
      <c r="F135" s="25"/>
      <c r="G135" s="24"/>
      <c r="H135" s="21"/>
      <c r="I135" s="25">
        <f>SUM(U127:U134)</f>
        <v>26.09</v>
      </c>
      <c r="J135" s="21">
        <f>160</f>
        <v>160</v>
      </c>
      <c r="K135" s="25">
        <f>SUM(V127:V134)</f>
        <v>823.26</v>
      </c>
    </row>
    <row r="136" spans="1:29" ht="14.25" x14ac:dyDescent="0.2">
      <c r="A136" s="27"/>
      <c r="B136" s="27"/>
      <c r="C136" s="27" t="s">
        <v>703</v>
      </c>
      <c r="D136" s="28" t="s">
        <v>704</v>
      </c>
      <c r="E136" s="29">
        <f>Source!AQ131</f>
        <v>20</v>
      </c>
      <c r="F136" s="30"/>
      <c r="G136" s="31" t="str">
        <f>Source!DI131</f>
        <v>)*1,1</v>
      </c>
      <c r="H136" s="29">
        <f>Source!AV132</f>
        <v>1.0669999999999999</v>
      </c>
      <c r="I136" s="30">
        <f>Source!U131</f>
        <v>22.286215600000002</v>
      </c>
      <c r="J136" s="29"/>
      <c r="K136" s="30"/>
    </row>
    <row r="137" spans="1:29" ht="15" x14ac:dyDescent="0.25">
      <c r="C137" s="16" t="s">
        <v>705</v>
      </c>
      <c r="H137" s="44">
        <f>I129+I130+I132+I133+I134+I135+0</f>
        <v>967.41</v>
      </c>
      <c r="I137" s="44"/>
      <c r="J137" s="44">
        <f>K129+K130+K132+K133+K134+K135+0</f>
        <v>25423.199999999997</v>
      </c>
      <c r="K137" s="44"/>
      <c r="O137" s="32">
        <f>I129+I130+I132+I133+I134+I135+0</f>
        <v>967.41</v>
      </c>
      <c r="P137" s="32">
        <f>K129+K130+K132+K133+K134+K135+0</f>
        <v>25423.199999999997</v>
      </c>
    </row>
    <row r="139" spans="1:29" ht="52.5" x14ac:dyDescent="0.2">
      <c r="A139" s="22">
        <v>36</v>
      </c>
      <c r="B139" s="22" t="s">
        <v>724</v>
      </c>
      <c r="C139" s="22" t="s">
        <v>210</v>
      </c>
      <c r="D139" s="23" t="str">
        <f>Source!DW133</f>
        <v>100 М КАБЕЛЯ</v>
      </c>
      <c r="E139" s="21">
        <f>Source!I133</f>
        <v>1.9998</v>
      </c>
      <c r="F139" s="25"/>
      <c r="G139" s="24"/>
      <c r="H139" s="21"/>
      <c r="I139" s="25"/>
      <c r="J139" s="21"/>
      <c r="K139" s="25"/>
      <c r="Q139">
        <f>Source!X133</f>
        <v>803.21</v>
      </c>
      <c r="R139">
        <f>Source!X134</f>
        <v>22768.94</v>
      </c>
      <c r="S139">
        <f>Source!Y133</f>
        <v>502.01</v>
      </c>
      <c r="T139">
        <f>Source!Y134</f>
        <v>10642.01</v>
      </c>
      <c r="U139">
        <f>ROUND((175/100)*ROUND(Source!R133, 2), 2)</f>
        <v>77.23</v>
      </c>
      <c r="V139">
        <f>ROUND((160/100)*ROUND(Source!R134, 2), 2)</f>
        <v>2436.69</v>
      </c>
      <c r="AC139">
        <v>0</v>
      </c>
    </row>
    <row r="140" spans="1:29" x14ac:dyDescent="0.2">
      <c r="C140" s="26" t="str">
        <f>"Объем: "&amp;Source!I133&amp;"=199,98/"&amp;"100"</f>
        <v>Объем: 1,9998=199,98/100</v>
      </c>
    </row>
    <row r="141" spans="1:29" ht="14.25" x14ac:dyDescent="0.2">
      <c r="A141" s="22"/>
      <c r="B141" s="22"/>
      <c r="C141" s="22" t="s">
        <v>699</v>
      </c>
      <c r="D141" s="23"/>
      <c r="E141" s="21"/>
      <c r="F141" s="25">
        <f>Source!AO133</f>
        <v>305.54000000000002</v>
      </c>
      <c r="G141" s="24" t="str">
        <f>Source!DG133</f>
        <v>)*1,1</v>
      </c>
      <c r="H141" s="21">
        <f>Source!AV134</f>
        <v>1.0669999999999999</v>
      </c>
      <c r="I141" s="25">
        <f>Source!S133</f>
        <v>717.15</v>
      </c>
      <c r="J141" s="21">
        <f>IF(Source!BA134&lt;&gt; 0, Source!BA134, 1)</f>
        <v>34.51</v>
      </c>
      <c r="K141" s="25">
        <f>Source!S134</f>
        <v>24748.85</v>
      </c>
    </row>
    <row r="142" spans="1:29" ht="14.25" x14ac:dyDescent="0.2">
      <c r="A142" s="22"/>
      <c r="B142" s="22"/>
      <c r="C142" s="22" t="s">
        <v>707</v>
      </c>
      <c r="D142" s="23"/>
      <c r="E142" s="21"/>
      <c r="F142" s="25">
        <f>Source!AM133</f>
        <v>148.43</v>
      </c>
      <c r="G142" s="24" t="str">
        <f>Source!DE133</f>
        <v>)*1,1</v>
      </c>
      <c r="H142" s="21">
        <f>Source!AV134</f>
        <v>1.0669999999999999</v>
      </c>
      <c r="I142" s="25">
        <f>Source!Q133</f>
        <v>348.39</v>
      </c>
      <c r="J142" s="21">
        <f>IF(Source!BB134&lt;&gt; 0, Source!BB134, 1)</f>
        <v>12.19</v>
      </c>
      <c r="K142" s="25">
        <f>Source!Q134</f>
        <v>4246.87</v>
      </c>
    </row>
    <row r="143" spans="1:29" ht="14.25" x14ac:dyDescent="0.2">
      <c r="A143" s="22"/>
      <c r="B143" s="22"/>
      <c r="C143" s="22" t="s">
        <v>708</v>
      </c>
      <c r="D143" s="23"/>
      <c r="E143" s="21"/>
      <c r="F143" s="25">
        <f>Source!AN133</f>
        <v>18.8</v>
      </c>
      <c r="G143" s="24" t="str">
        <f>Source!DF133</f>
        <v>)*1,1</v>
      </c>
      <c r="H143" s="21">
        <f>Source!AV134</f>
        <v>1.0669999999999999</v>
      </c>
      <c r="I143" s="33">
        <f>Source!R133</f>
        <v>44.13</v>
      </c>
      <c r="J143" s="21">
        <f>IF(Source!BS134&lt;&gt; 0, Source!BS134, 1)</f>
        <v>34.51</v>
      </c>
      <c r="K143" s="33">
        <f>Source!R134</f>
        <v>1522.93</v>
      </c>
    </row>
    <row r="144" spans="1:29" ht="14.25" x14ac:dyDescent="0.2">
      <c r="A144" s="22"/>
      <c r="B144" s="22"/>
      <c r="C144" s="22" t="s">
        <v>714</v>
      </c>
      <c r="D144" s="23"/>
      <c r="E144" s="21"/>
      <c r="F144" s="25">
        <f>Source!AL133</f>
        <v>52.94</v>
      </c>
      <c r="G144" s="24" t="str">
        <f>Source!DD133</f>
        <v/>
      </c>
      <c r="H144" s="21">
        <f>Source!AW134</f>
        <v>1.081</v>
      </c>
      <c r="I144" s="25">
        <f>Source!P133</f>
        <v>114.44</v>
      </c>
      <c r="J144" s="21">
        <f>IF(Source!BC134&lt;&gt; 0, Source!BC134, 1)</f>
        <v>17.38</v>
      </c>
      <c r="K144" s="25">
        <f>Source!P134</f>
        <v>1988.97</v>
      </c>
    </row>
    <row r="145" spans="1:29" ht="14.25" x14ac:dyDescent="0.2">
      <c r="A145" s="22"/>
      <c r="B145" s="22"/>
      <c r="C145" s="22" t="s">
        <v>700</v>
      </c>
      <c r="D145" s="23" t="s">
        <v>701</v>
      </c>
      <c r="E145" s="21">
        <f>Source!DN134</f>
        <v>112</v>
      </c>
      <c r="F145" s="25"/>
      <c r="G145" s="24"/>
      <c r="H145" s="21"/>
      <c r="I145" s="25">
        <f>SUM(Q139:Q144)</f>
        <v>803.21</v>
      </c>
      <c r="J145" s="21">
        <f>Source!BZ134</f>
        <v>92</v>
      </c>
      <c r="K145" s="25">
        <f>SUM(R139:R144)</f>
        <v>22768.94</v>
      </c>
    </row>
    <row r="146" spans="1:29" ht="14.25" x14ac:dyDescent="0.2">
      <c r="A146" s="22"/>
      <c r="B146" s="22"/>
      <c r="C146" s="22" t="s">
        <v>702</v>
      </c>
      <c r="D146" s="23" t="s">
        <v>701</v>
      </c>
      <c r="E146" s="21">
        <f>Source!DO134</f>
        <v>70</v>
      </c>
      <c r="F146" s="25"/>
      <c r="G146" s="24"/>
      <c r="H146" s="21"/>
      <c r="I146" s="25">
        <f>SUM(S139:S145)</f>
        <v>502.01</v>
      </c>
      <c r="J146" s="21">
        <f>Source!CA134</f>
        <v>43</v>
      </c>
      <c r="K146" s="25">
        <f>SUM(T139:T145)</f>
        <v>10642.01</v>
      </c>
    </row>
    <row r="147" spans="1:29" ht="14.25" x14ac:dyDescent="0.2">
      <c r="A147" s="22"/>
      <c r="B147" s="22"/>
      <c r="C147" s="22" t="s">
        <v>709</v>
      </c>
      <c r="D147" s="23" t="s">
        <v>701</v>
      </c>
      <c r="E147" s="21">
        <f>175</f>
        <v>175</v>
      </c>
      <c r="F147" s="25"/>
      <c r="G147" s="24"/>
      <c r="H147" s="21"/>
      <c r="I147" s="25">
        <f>SUM(U139:U146)</f>
        <v>77.23</v>
      </c>
      <c r="J147" s="21">
        <f>160</f>
        <v>160</v>
      </c>
      <c r="K147" s="25">
        <f>SUM(V139:V146)</f>
        <v>2436.69</v>
      </c>
    </row>
    <row r="148" spans="1:29" ht="14.25" x14ac:dyDescent="0.2">
      <c r="A148" s="27"/>
      <c r="B148" s="27"/>
      <c r="C148" s="27" t="s">
        <v>703</v>
      </c>
      <c r="D148" s="28" t="s">
        <v>704</v>
      </c>
      <c r="E148" s="29">
        <f>Source!AQ133</f>
        <v>24.8</v>
      </c>
      <c r="F148" s="30"/>
      <c r="G148" s="31" t="str">
        <f>Source!DI133</f>
        <v>)*1,1</v>
      </c>
      <c r="H148" s="29">
        <f>Source!AV134</f>
        <v>1.0669999999999999</v>
      </c>
      <c r="I148" s="30">
        <f>Source!U133</f>
        <v>58.209698448000005</v>
      </c>
      <c r="J148" s="29"/>
      <c r="K148" s="30"/>
    </row>
    <row r="149" spans="1:29" ht="15" x14ac:dyDescent="0.25">
      <c r="C149" s="16" t="s">
        <v>705</v>
      </c>
      <c r="H149" s="44">
        <f>I141+I142+I144+I145+I146+I147+0</f>
        <v>2562.4299999999998</v>
      </c>
      <c r="I149" s="44"/>
      <c r="J149" s="44">
        <f>K141+K142+K144+K145+K146+K147+0</f>
        <v>66832.33</v>
      </c>
      <c r="K149" s="44"/>
      <c r="O149" s="32">
        <f>I141+I142+I144+I145+I146+I147+0</f>
        <v>2562.4299999999998</v>
      </c>
      <c r="P149" s="32">
        <f>K141+K142+K144+K145+K146+K147+0</f>
        <v>66832.33</v>
      </c>
    </row>
    <row r="151" spans="1:29" ht="52.5" x14ac:dyDescent="0.2">
      <c r="A151" s="22">
        <v>51</v>
      </c>
      <c r="B151" s="22" t="s">
        <v>725</v>
      </c>
      <c r="C151" s="22" t="s">
        <v>252</v>
      </c>
      <c r="D151" s="23" t="str">
        <f>Source!DW163</f>
        <v>100 компл.</v>
      </c>
      <c r="E151" s="21">
        <f>Source!I163</f>
        <v>0.72</v>
      </c>
      <c r="F151" s="25"/>
      <c r="G151" s="24"/>
      <c r="H151" s="21"/>
      <c r="I151" s="25"/>
      <c r="J151" s="21"/>
      <c r="K151" s="25"/>
      <c r="Q151">
        <f>Source!X163</f>
        <v>1993.28</v>
      </c>
      <c r="R151">
        <f>Source!X164</f>
        <v>56504.37</v>
      </c>
      <c r="S151">
        <f>Source!Y163</f>
        <v>1245.8</v>
      </c>
      <c r="T151">
        <f>Source!Y164</f>
        <v>26409.65</v>
      </c>
      <c r="U151">
        <f>ROUND((175/100)*ROUND(Source!R163, 2), 2)</f>
        <v>89.62</v>
      </c>
      <c r="V151">
        <f>ROUND((160/100)*ROUND(Source!R164, 2), 2)</f>
        <v>2827.62</v>
      </c>
      <c r="AC151">
        <v>0</v>
      </c>
    </row>
    <row r="152" spans="1:29" x14ac:dyDescent="0.2">
      <c r="C152" s="26" t="str">
        <f>"Объем: "&amp;Source!I163&amp;"=72/"&amp;"100"</f>
        <v>Объем: 0,72=72/100</v>
      </c>
    </row>
    <row r="153" spans="1:29" ht="14.25" x14ac:dyDescent="0.2">
      <c r="A153" s="22"/>
      <c r="B153" s="22"/>
      <c r="C153" s="22" t="s">
        <v>699</v>
      </c>
      <c r="D153" s="23"/>
      <c r="E153" s="21"/>
      <c r="F153" s="25">
        <f>Source!AO163</f>
        <v>2146.23</v>
      </c>
      <c r="G153" s="24" t="str">
        <f>Source!DG163</f>
        <v>)*1,1</v>
      </c>
      <c r="H153" s="21">
        <f>Source!AV164</f>
        <v>1.0469999999999999</v>
      </c>
      <c r="I153" s="25">
        <f>Source!S163</f>
        <v>1779.71</v>
      </c>
      <c r="J153" s="21">
        <f>IF(Source!BA164&lt;&gt; 0, Source!BA164, 1)</f>
        <v>34.51</v>
      </c>
      <c r="K153" s="25">
        <f>Source!S164</f>
        <v>61417.79</v>
      </c>
    </row>
    <row r="154" spans="1:29" ht="14.25" x14ac:dyDescent="0.2">
      <c r="A154" s="22"/>
      <c r="B154" s="22"/>
      <c r="C154" s="22" t="s">
        <v>707</v>
      </c>
      <c r="D154" s="23"/>
      <c r="E154" s="21"/>
      <c r="F154" s="25">
        <f>Source!AM163</f>
        <v>715.67</v>
      </c>
      <c r="G154" s="24" t="str">
        <f>Source!DE163</f>
        <v>)*1,1</v>
      </c>
      <c r="H154" s="21">
        <f>Source!AV164</f>
        <v>1.0469999999999999</v>
      </c>
      <c r="I154" s="25">
        <f>Source!Q163</f>
        <v>593.45000000000005</v>
      </c>
      <c r="J154" s="21">
        <f>IF(Source!BB164&lt;&gt; 0, Source!BB164, 1)</f>
        <v>7.03</v>
      </c>
      <c r="K154" s="25">
        <f>Source!Q164</f>
        <v>4171.95</v>
      </c>
    </row>
    <row r="155" spans="1:29" ht="14.25" x14ac:dyDescent="0.2">
      <c r="A155" s="22"/>
      <c r="B155" s="22"/>
      <c r="C155" s="22" t="s">
        <v>708</v>
      </c>
      <c r="D155" s="23"/>
      <c r="E155" s="21"/>
      <c r="F155" s="25">
        <f>Source!AN163</f>
        <v>61.76</v>
      </c>
      <c r="G155" s="24" t="str">
        <f>Source!DF163</f>
        <v>)*1,1</v>
      </c>
      <c r="H155" s="21">
        <f>Source!AV164</f>
        <v>1.0469999999999999</v>
      </c>
      <c r="I155" s="33">
        <f>Source!R163</f>
        <v>51.21</v>
      </c>
      <c r="J155" s="21">
        <f>IF(Source!BS164&lt;&gt; 0, Source!BS164, 1)</f>
        <v>34.51</v>
      </c>
      <c r="K155" s="33">
        <f>Source!R164</f>
        <v>1767.26</v>
      </c>
    </row>
    <row r="156" spans="1:29" ht="14.25" x14ac:dyDescent="0.2">
      <c r="A156" s="22"/>
      <c r="B156" s="22"/>
      <c r="C156" s="22" t="s">
        <v>714</v>
      </c>
      <c r="D156" s="23"/>
      <c r="E156" s="21"/>
      <c r="F156" s="25">
        <f>Source!AL163</f>
        <v>535.53</v>
      </c>
      <c r="G156" s="24" t="str">
        <f>Source!DD163</f>
        <v/>
      </c>
      <c r="H156" s="21">
        <f>Source!AW164</f>
        <v>1</v>
      </c>
      <c r="I156" s="25">
        <f>Source!P163</f>
        <v>385.58</v>
      </c>
      <c r="J156" s="21">
        <f>IF(Source!BC164&lt;&gt; 0, Source!BC164, 1)</f>
        <v>7.41</v>
      </c>
      <c r="K156" s="25">
        <f>Source!P164</f>
        <v>2857.15</v>
      </c>
    </row>
    <row r="157" spans="1:29" ht="14.25" x14ac:dyDescent="0.2">
      <c r="A157" s="22"/>
      <c r="B157" s="22"/>
      <c r="C157" s="22" t="s">
        <v>700</v>
      </c>
      <c r="D157" s="23" t="s">
        <v>701</v>
      </c>
      <c r="E157" s="21">
        <f>Source!DN164</f>
        <v>112</v>
      </c>
      <c r="F157" s="25"/>
      <c r="G157" s="24"/>
      <c r="H157" s="21"/>
      <c r="I157" s="25">
        <f>SUM(Q151:Q156)</f>
        <v>1993.28</v>
      </c>
      <c r="J157" s="21">
        <f>Source!BZ164</f>
        <v>92</v>
      </c>
      <c r="K157" s="25">
        <f>SUM(R151:R156)</f>
        <v>56504.37</v>
      </c>
    </row>
    <row r="158" spans="1:29" ht="14.25" x14ac:dyDescent="0.2">
      <c r="A158" s="22"/>
      <c r="B158" s="22"/>
      <c r="C158" s="22" t="s">
        <v>702</v>
      </c>
      <c r="D158" s="23" t="s">
        <v>701</v>
      </c>
      <c r="E158" s="21">
        <f>Source!DO164</f>
        <v>70</v>
      </c>
      <c r="F158" s="25"/>
      <c r="G158" s="24"/>
      <c r="H158" s="21"/>
      <c r="I158" s="25">
        <f>SUM(S151:S157)</f>
        <v>1245.8</v>
      </c>
      <c r="J158" s="21">
        <f>Source!CA164</f>
        <v>43</v>
      </c>
      <c r="K158" s="25">
        <f>SUM(T151:T157)</f>
        <v>26409.65</v>
      </c>
    </row>
    <row r="159" spans="1:29" ht="14.25" x14ac:dyDescent="0.2">
      <c r="A159" s="22"/>
      <c r="B159" s="22"/>
      <c r="C159" s="22" t="s">
        <v>709</v>
      </c>
      <c r="D159" s="23" t="s">
        <v>701</v>
      </c>
      <c r="E159" s="21">
        <f>175</f>
        <v>175</v>
      </c>
      <c r="F159" s="25"/>
      <c r="G159" s="24"/>
      <c r="H159" s="21"/>
      <c r="I159" s="25">
        <f>SUM(U151:U158)</f>
        <v>89.62</v>
      </c>
      <c r="J159" s="21">
        <f>160</f>
        <v>160</v>
      </c>
      <c r="K159" s="25">
        <f>SUM(V151:V158)</f>
        <v>2827.62</v>
      </c>
    </row>
    <row r="160" spans="1:29" ht="14.25" x14ac:dyDescent="0.2">
      <c r="A160" s="27"/>
      <c r="B160" s="27"/>
      <c r="C160" s="27" t="s">
        <v>703</v>
      </c>
      <c r="D160" s="28" t="s">
        <v>704</v>
      </c>
      <c r="E160" s="29">
        <f>Source!AQ163</f>
        <v>155.88</v>
      </c>
      <c r="F160" s="30"/>
      <c r="G160" s="31" t="str">
        <f>Source!DI163</f>
        <v>)*1,1</v>
      </c>
      <c r="H160" s="29">
        <f>Source!AV164</f>
        <v>1.0469999999999999</v>
      </c>
      <c r="I160" s="30">
        <f>Source!U163</f>
        <v>129.25943712</v>
      </c>
      <c r="J160" s="29"/>
      <c r="K160" s="30"/>
    </row>
    <row r="161" spans="1:29" ht="15" x14ac:dyDescent="0.25">
      <c r="C161" s="16" t="s">
        <v>705</v>
      </c>
      <c r="H161" s="44">
        <f>I153+I154+I156+I157+I158+I159+0</f>
        <v>6087.44</v>
      </c>
      <c r="I161" s="44"/>
      <c r="J161" s="44">
        <f>K153+K154+K156+K157+K158+K159+0</f>
        <v>154188.53</v>
      </c>
      <c r="K161" s="44"/>
      <c r="O161" s="32">
        <f>I153+I154+I156+I157+I158+I159+0</f>
        <v>6087.44</v>
      </c>
      <c r="P161" s="32">
        <f>K153+K154+K156+K157+K158+K159+0</f>
        <v>154188.53</v>
      </c>
    </row>
    <row r="164" spans="1:29" ht="15" x14ac:dyDescent="0.25">
      <c r="A164" s="42" t="str">
        <f>CONCATENATE("Итого по разделу: ",IF(Source!G174&lt;&gt;"Новый раздел", Source!G174, ""))</f>
        <v>Итого по разделу: Электромонтажные работы</v>
      </c>
      <c r="B164" s="42"/>
      <c r="C164" s="42"/>
      <c r="D164" s="42"/>
      <c r="E164" s="42"/>
      <c r="F164" s="42"/>
      <c r="G164" s="42"/>
      <c r="H164" s="40">
        <f>SUM(O126:O163)</f>
        <v>9617.2799999999988</v>
      </c>
      <c r="I164" s="41"/>
      <c r="J164" s="40">
        <f>SUM(P126:P163)</f>
        <v>246444.06</v>
      </c>
      <c r="K164" s="41"/>
    </row>
    <row r="165" spans="1:29" hidden="1" x14ac:dyDescent="0.2">
      <c r="A165" t="s">
        <v>721</v>
      </c>
      <c r="I165">
        <f>SUM(W126:W164)</f>
        <v>0</v>
      </c>
      <c r="J165">
        <f>SUM(X126:X164)</f>
        <v>0</v>
      </c>
    </row>
    <row r="166" spans="1:29" hidden="1" x14ac:dyDescent="0.2">
      <c r="A166" t="s">
        <v>722</v>
      </c>
      <c r="I166">
        <f>SUM(Y126:Y165)</f>
        <v>0</v>
      </c>
      <c r="J166">
        <f>SUM(Z126:Z165)</f>
        <v>0</v>
      </c>
    </row>
    <row r="168" spans="1:29" ht="16.5" x14ac:dyDescent="0.25">
      <c r="A168" s="43" t="str">
        <f>CONCATENATE("Раздел: ",IF(Source!G204&lt;&gt;"Новый раздел", Source!G204, ""))</f>
        <v>Раздел: Материалы, не учтенные ценником</v>
      </c>
      <c r="B168" s="43"/>
      <c r="C168" s="43"/>
      <c r="D168" s="43"/>
      <c r="E168" s="43"/>
      <c r="F168" s="43"/>
      <c r="G168" s="43"/>
      <c r="H168" s="43"/>
      <c r="I168" s="43"/>
      <c r="J168" s="43"/>
      <c r="K168" s="43"/>
    </row>
    <row r="169" spans="1:29" ht="126.75" x14ac:dyDescent="0.2">
      <c r="A169" s="22">
        <v>57</v>
      </c>
      <c r="B169" s="22" t="s">
        <v>727</v>
      </c>
      <c r="C169" s="22" t="s">
        <v>726</v>
      </c>
      <c r="D169" s="23" t="str">
        <f>Source!DW210</f>
        <v>м</v>
      </c>
      <c r="E169" s="21">
        <f>Source!I210</f>
        <v>203.9796</v>
      </c>
      <c r="F169" s="25">
        <f>Source!AL210</f>
        <v>125.57</v>
      </c>
      <c r="G169" s="24" t="str">
        <f>Source!DD210</f>
        <v/>
      </c>
      <c r="H169" s="21">
        <f>Source!AW211</f>
        <v>1</v>
      </c>
      <c r="I169" s="25">
        <f>Source!P210</f>
        <v>25613.72</v>
      </c>
      <c r="J169" s="21">
        <f>IF(Source!BC211&lt;&gt; 0, Source!BC211, 1)</f>
        <v>9.74</v>
      </c>
      <c r="K169" s="25">
        <f>Source!P211</f>
        <v>249477.63</v>
      </c>
      <c r="Q169">
        <f>Source!X210</f>
        <v>0</v>
      </c>
      <c r="R169">
        <f>Source!X211</f>
        <v>0</v>
      </c>
      <c r="S169">
        <f>Source!Y210</f>
        <v>0</v>
      </c>
      <c r="T169">
        <f>Source!Y211</f>
        <v>0</v>
      </c>
      <c r="U169">
        <f>ROUND((175/100)*ROUND(Source!R210, 2), 2)</f>
        <v>0</v>
      </c>
      <c r="V169">
        <f>ROUND((160/100)*ROUND(Source!R211, 2), 2)</f>
        <v>0</v>
      </c>
      <c r="AC169">
        <v>3</v>
      </c>
    </row>
    <row r="170" spans="1:29" x14ac:dyDescent="0.2">
      <c r="A170" s="34"/>
      <c r="B170" s="34"/>
      <c r="C170" s="35" t="str">
        <f>"Объем: "&amp;Source!I210&amp;"=199,98*"&amp;"1,02"</f>
        <v>Объем: 203,9796=199,98*1,02</v>
      </c>
      <c r="D170" s="34"/>
      <c r="E170" s="34"/>
      <c r="F170" s="34"/>
      <c r="G170" s="34"/>
      <c r="H170" s="34"/>
      <c r="I170" s="34"/>
      <c r="J170" s="34"/>
      <c r="K170" s="34"/>
    </row>
    <row r="171" spans="1:29" ht="15" x14ac:dyDescent="0.25">
      <c r="C171" s="16" t="s">
        <v>705</v>
      </c>
      <c r="H171" s="44">
        <f>I169+0</f>
        <v>25613.72</v>
      </c>
      <c r="I171" s="44"/>
      <c r="J171" s="44">
        <f>K169+0</f>
        <v>249477.63</v>
      </c>
      <c r="K171" s="44"/>
      <c r="O171" s="32">
        <f>I169+0</f>
        <v>25613.72</v>
      </c>
      <c r="P171" s="32">
        <f>K169+0</f>
        <v>249477.63</v>
      </c>
    </row>
    <row r="173" spans="1:29" ht="126.75" x14ac:dyDescent="0.2">
      <c r="A173" s="22">
        <v>58</v>
      </c>
      <c r="B173" s="22" t="s">
        <v>727</v>
      </c>
      <c r="C173" s="22" t="s">
        <v>728</v>
      </c>
      <c r="D173" s="23" t="str">
        <f>Source!DW212</f>
        <v>м</v>
      </c>
      <c r="E173" s="21">
        <f>Source!I212</f>
        <v>96.838800000000006</v>
      </c>
      <c r="F173" s="25">
        <f>Source!AL212</f>
        <v>104.67</v>
      </c>
      <c r="G173" s="24" t="str">
        <f>Source!DD212</f>
        <v/>
      </c>
      <c r="H173" s="21">
        <f>Source!AW213</f>
        <v>1</v>
      </c>
      <c r="I173" s="25">
        <f>Source!P212</f>
        <v>10136.120000000001</v>
      </c>
      <c r="J173" s="21">
        <f>IF(Source!BC213&lt;&gt; 0, Source!BC213, 1)</f>
        <v>9.74</v>
      </c>
      <c r="K173" s="25">
        <f>Source!P213</f>
        <v>98725.81</v>
      </c>
      <c r="Q173">
        <f>Source!X212</f>
        <v>0</v>
      </c>
      <c r="R173">
        <f>Source!X213</f>
        <v>0</v>
      </c>
      <c r="S173">
        <f>Source!Y212</f>
        <v>0</v>
      </c>
      <c r="T173">
        <f>Source!Y213</f>
        <v>0</v>
      </c>
      <c r="U173">
        <f>ROUND((175/100)*ROUND(Source!R212, 2), 2)</f>
        <v>0</v>
      </c>
      <c r="V173">
        <f>ROUND((160/100)*ROUND(Source!R213, 2), 2)</f>
        <v>0</v>
      </c>
      <c r="AC173">
        <v>3</v>
      </c>
    </row>
    <row r="174" spans="1:29" x14ac:dyDescent="0.2">
      <c r="A174" s="34"/>
      <c r="B174" s="34"/>
      <c r="C174" s="35" t="str">
        <f>"Объем: "&amp;Source!I212&amp;"=94,94*"&amp;"1,02"</f>
        <v>Объем: 96,8388=94,94*1,02</v>
      </c>
      <c r="D174" s="34"/>
      <c r="E174" s="34"/>
      <c r="F174" s="34"/>
      <c r="G174" s="34"/>
      <c r="H174" s="34"/>
      <c r="I174" s="34"/>
      <c r="J174" s="34"/>
      <c r="K174" s="34"/>
    </row>
    <row r="175" spans="1:29" ht="15" x14ac:dyDescent="0.25">
      <c r="C175" s="16" t="s">
        <v>705</v>
      </c>
      <c r="H175" s="44">
        <f>I173+0</f>
        <v>10136.120000000001</v>
      </c>
      <c r="I175" s="44"/>
      <c r="J175" s="44">
        <f>K173+0</f>
        <v>98725.81</v>
      </c>
      <c r="K175" s="44"/>
      <c r="O175" s="32">
        <f>I173+0</f>
        <v>10136.120000000001</v>
      </c>
      <c r="P175" s="32">
        <f>K173+0</f>
        <v>98725.81</v>
      </c>
    </row>
    <row r="177" spans="1:29" ht="66.75" x14ac:dyDescent="0.2">
      <c r="A177" s="27">
        <v>65</v>
      </c>
      <c r="B177" s="27" t="s">
        <v>729</v>
      </c>
      <c r="C177" s="27" t="s">
        <v>309</v>
      </c>
      <c r="D177" s="28" t="str">
        <f>Source!DW226</f>
        <v>КОМПЛЕКТ</v>
      </c>
      <c r="E177" s="29">
        <f>Source!I226</f>
        <v>72</v>
      </c>
      <c r="F177" s="30">
        <f>Source!AL226</f>
        <v>153.63</v>
      </c>
      <c r="G177" s="31" t="str">
        <f>Source!DD226</f>
        <v/>
      </c>
      <c r="H177" s="29">
        <f>Source!AW227</f>
        <v>1</v>
      </c>
      <c r="I177" s="30">
        <f>Source!P226</f>
        <v>11061.36</v>
      </c>
      <c r="J177" s="29">
        <f>IF(Source!BC227&lt;&gt; 0, Source!BC227, 1)</f>
        <v>2.11</v>
      </c>
      <c r="K177" s="30">
        <f>Source!P227</f>
        <v>23339.47</v>
      </c>
      <c r="Q177">
        <f>Source!X226</f>
        <v>0</v>
      </c>
      <c r="R177">
        <f>Source!X227</f>
        <v>0</v>
      </c>
      <c r="S177">
        <f>Source!Y226</f>
        <v>0</v>
      </c>
      <c r="T177">
        <f>Source!Y227</f>
        <v>0</v>
      </c>
      <c r="U177">
        <f>ROUND((175/100)*ROUND(Source!R226, 2), 2)</f>
        <v>0</v>
      </c>
      <c r="V177">
        <f>ROUND((160/100)*ROUND(Source!R227, 2), 2)</f>
        <v>0</v>
      </c>
      <c r="AC177">
        <v>3</v>
      </c>
    </row>
    <row r="178" spans="1:29" ht="15" x14ac:dyDescent="0.25">
      <c r="C178" s="16" t="s">
        <v>705</v>
      </c>
      <c r="H178" s="44">
        <f>I177+0</f>
        <v>11061.36</v>
      </c>
      <c r="I178" s="44"/>
      <c r="J178" s="44">
        <f>K177+0</f>
        <v>23339.47</v>
      </c>
      <c r="K178" s="44"/>
      <c r="O178" s="32">
        <f>I177+0</f>
        <v>11061.36</v>
      </c>
      <c r="P178" s="32">
        <f>K177+0</f>
        <v>23339.47</v>
      </c>
    </row>
    <row r="181" spans="1:29" ht="15" x14ac:dyDescent="0.25">
      <c r="A181" s="42" t="str">
        <f>CONCATENATE("Итого по разделу: ",IF(Source!G229&lt;&gt;"Новый раздел", Source!G229, ""))</f>
        <v>Итого по разделу: Материалы, не учтенные ценником</v>
      </c>
      <c r="B181" s="42"/>
      <c r="C181" s="42"/>
      <c r="D181" s="42"/>
      <c r="E181" s="42"/>
      <c r="F181" s="42"/>
      <c r="G181" s="42"/>
      <c r="H181" s="40">
        <f>SUM(O168:O180)</f>
        <v>46811.200000000004</v>
      </c>
      <c r="I181" s="41"/>
      <c r="J181" s="40">
        <f>SUM(P168:P180)</f>
        <v>371542.91000000003</v>
      </c>
      <c r="K181" s="41"/>
    </row>
    <row r="182" spans="1:29" hidden="1" x14ac:dyDescent="0.2">
      <c r="A182" t="s">
        <v>721</v>
      </c>
      <c r="I182">
        <f>SUM(W168:W181)</f>
        <v>0</v>
      </c>
      <c r="J182">
        <f>SUM(X168:X181)</f>
        <v>0</v>
      </c>
    </row>
    <row r="183" spans="1:29" hidden="1" x14ac:dyDescent="0.2">
      <c r="A183" t="s">
        <v>722</v>
      </c>
      <c r="I183">
        <f>SUM(Y168:Y182)</f>
        <v>0</v>
      </c>
      <c r="J183">
        <f>SUM(Z168:Z182)</f>
        <v>0</v>
      </c>
    </row>
    <row r="185" spans="1:29" hidden="1" x14ac:dyDescent="0.2">
      <c r="A185" t="s">
        <v>721</v>
      </c>
      <c r="I185" t="e">
        <f>SUM(#REF!)</f>
        <v>#REF!</v>
      </c>
      <c r="J185" t="e">
        <f>SUM(#REF!)</f>
        <v>#REF!</v>
      </c>
    </row>
    <row r="186" spans="1:29" hidden="1" x14ac:dyDescent="0.2">
      <c r="A186" t="s">
        <v>722</v>
      </c>
      <c r="I186">
        <f>SUM(Y185:Y185)</f>
        <v>0</v>
      </c>
      <c r="J186">
        <f>SUM(Z185:Z185)</f>
        <v>0</v>
      </c>
    </row>
    <row r="188" spans="1:29" ht="15" x14ac:dyDescent="0.25">
      <c r="A188" s="42" t="str">
        <f>CONCATENATE("Итого по локальной смете: ",IF(Source!G423&lt;&gt;"Новая локальная смета", Source!G423, ""))</f>
        <v xml:space="preserve">Итого по локальной смете: </v>
      </c>
      <c r="B188" s="42"/>
      <c r="C188" s="42"/>
      <c r="D188" s="42"/>
      <c r="E188" s="42"/>
      <c r="F188" s="42"/>
      <c r="G188" s="42"/>
      <c r="H188" s="40">
        <f>SUM(O29:O187)</f>
        <v>102498.07</v>
      </c>
      <c r="I188" s="41"/>
      <c r="J188" s="40">
        <f>SUM(P29:P187)</f>
        <v>1143007.8599999999</v>
      </c>
      <c r="K188" s="41"/>
    </row>
    <row r="189" spans="1:29" hidden="1" x14ac:dyDescent="0.2">
      <c r="A189" t="s">
        <v>721</v>
      </c>
      <c r="I189">
        <f>SUM(W29:W188)</f>
        <v>0</v>
      </c>
      <c r="J189">
        <f>SUM(X29:X188)</f>
        <v>0</v>
      </c>
    </row>
    <row r="190" spans="1:29" hidden="1" x14ac:dyDescent="0.2">
      <c r="A190" t="s">
        <v>722</v>
      </c>
      <c r="I190">
        <f>SUM(Y29:Y189)</f>
        <v>0</v>
      </c>
      <c r="J190">
        <f>SUM(Z29:Z189)</f>
        <v>0</v>
      </c>
    </row>
    <row r="194" spans="1:11" ht="14.25" x14ac:dyDescent="0.2">
      <c r="A194" s="37" t="s">
        <v>731</v>
      </c>
      <c r="B194" s="37"/>
      <c r="C194" s="36" t="str">
        <f>IF(Source!AC12&lt;&gt;"", Source!AC12," ")</f>
        <v xml:space="preserve"> </v>
      </c>
      <c r="D194" s="36"/>
      <c r="E194" s="36"/>
      <c r="F194" s="36"/>
      <c r="G194" s="36"/>
      <c r="H194" s="38" t="str">
        <f>IF(Source!AB12&lt;&gt;"", Source!AB12," ")</f>
        <v xml:space="preserve"> </v>
      </c>
      <c r="I194" s="38"/>
      <c r="J194" s="38"/>
      <c r="K194" s="38"/>
    </row>
    <row r="195" spans="1:11" ht="14.25" x14ac:dyDescent="0.2">
      <c r="A195" s="11"/>
      <c r="B195" s="11"/>
      <c r="C195" s="39" t="s">
        <v>732</v>
      </c>
      <c r="D195" s="39"/>
      <c r="E195" s="39"/>
      <c r="F195" s="39"/>
      <c r="G195" s="39"/>
      <c r="H195" s="11"/>
      <c r="I195" s="11"/>
      <c r="J195" s="11"/>
      <c r="K195" s="11"/>
    </row>
    <row r="196" spans="1:11" ht="14.25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</row>
    <row r="197" spans="1:11" ht="14.25" x14ac:dyDescent="0.2">
      <c r="A197" s="37" t="s">
        <v>733</v>
      </c>
      <c r="B197" s="37"/>
      <c r="C197" s="36" t="str">
        <f>IF(Source!AE12&lt;&gt;"", Source!AE12," ")</f>
        <v xml:space="preserve"> </v>
      </c>
      <c r="D197" s="36"/>
      <c r="E197" s="36"/>
      <c r="F197" s="36"/>
      <c r="G197" s="36"/>
      <c r="H197" s="38" t="str">
        <f>IF(Source!AD12&lt;&gt;"", Source!AD12," ")</f>
        <v xml:space="preserve"> </v>
      </c>
      <c r="I197" s="38"/>
      <c r="J197" s="38"/>
      <c r="K197" s="38"/>
    </row>
    <row r="198" spans="1:11" ht="14.25" x14ac:dyDescent="0.2">
      <c r="A198" s="11"/>
      <c r="B198" s="11"/>
      <c r="C198" s="39" t="s">
        <v>732</v>
      </c>
      <c r="D198" s="39"/>
      <c r="E198" s="39"/>
      <c r="F198" s="39"/>
      <c r="G198" s="39"/>
      <c r="H198" s="11"/>
      <c r="I198" s="11"/>
      <c r="J198" s="11"/>
      <c r="K198" s="11"/>
    </row>
  </sheetData>
  <mergeCells count="73"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  <mergeCell ref="H60:I60"/>
    <mergeCell ref="J60:K60"/>
    <mergeCell ref="E20:H20"/>
    <mergeCell ref="E21:H21"/>
    <mergeCell ref="E22:H22"/>
    <mergeCell ref="A25:K25"/>
    <mergeCell ref="A31:K31"/>
    <mergeCell ref="H38:I38"/>
    <mergeCell ref="J38:K38"/>
    <mergeCell ref="H49:I49"/>
    <mergeCell ref="J49:K49"/>
    <mergeCell ref="H68:I68"/>
    <mergeCell ref="J68:K68"/>
    <mergeCell ref="H79:I79"/>
    <mergeCell ref="J79:K79"/>
    <mergeCell ref="H88:I88"/>
    <mergeCell ref="J88:K88"/>
    <mergeCell ref="H99:I99"/>
    <mergeCell ref="J99:K99"/>
    <mergeCell ref="H110:I110"/>
    <mergeCell ref="J110:K110"/>
    <mergeCell ref="H113:I113"/>
    <mergeCell ref="J113:K113"/>
    <mergeCell ref="H116:I116"/>
    <mergeCell ref="J116:K116"/>
    <mergeCell ref="H119:I119"/>
    <mergeCell ref="J119:K119"/>
    <mergeCell ref="J122:K122"/>
    <mergeCell ref="H122:I122"/>
    <mergeCell ref="A168:K168"/>
    <mergeCell ref="A122:G122"/>
    <mergeCell ref="A126:K126"/>
    <mergeCell ref="H137:I137"/>
    <mergeCell ref="J137:K137"/>
    <mergeCell ref="H149:I149"/>
    <mergeCell ref="J149:K149"/>
    <mergeCell ref="H161:I161"/>
    <mergeCell ref="J161:K161"/>
    <mergeCell ref="J164:K164"/>
    <mergeCell ref="H164:I164"/>
    <mergeCell ref="A164:G164"/>
    <mergeCell ref="H171:I171"/>
    <mergeCell ref="J171:K171"/>
    <mergeCell ref="H175:I175"/>
    <mergeCell ref="J175:K175"/>
    <mergeCell ref="H178:I178"/>
    <mergeCell ref="J178:K178"/>
    <mergeCell ref="J181:K181"/>
    <mergeCell ref="H181:I181"/>
    <mergeCell ref="A181:G181"/>
    <mergeCell ref="J188:K188"/>
    <mergeCell ref="H188:I188"/>
    <mergeCell ref="A188:G188"/>
    <mergeCell ref="A197:B197"/>
    <mergeCell ref="H197:K197"/>
    <mergeCell ref="C198:G198"/>
    <mergeCell ref="A194:B194"/>
    <mergeCell ref="H194:K194"/>
    <mergeCell ref="C195:G195"/>
  </mergeCells>
  <pageMargins left="0.4" right="0.2" top="0.2" bottom="0.4" header="0.2" footer="0.2"/>
  <pageSetup paperSize="9" scale="71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73AB-F087-4694-9859-9AF9AB96B7AD}">
  <dimension ref="A1:IU495"/>
  <sheetViews>
    <sheetView workbookViewId="0">
      <selection activeCell="A491" sqref="A491:AX491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75112</v>
      </c>
      <c r="M1">
        <v>10</v>
      </c>
      <c r="N1">
        <v>11</v>
      </c>
      <c r="O1">
        <v>15</v>
      </c>
      <c r="P1">
        <v>0</v>
      </c>
      <c r="Q1">
        <v>0</v>
      </c>
    </row>
    <row r="12" spans="1:133" x14ac:dyDescent="0.2">
      <c r="A12" s="1">
        <v>1</v>
      </c>
      <c r="B12" s="1">
        <v>489</v>
      </c>
      <c r="C12" s="1">
        <v>1</v>
      </c>
      <c r="D12" s="1">
        <f>ROW(A453)</f>
        <v>453</v>
      </c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175</v>
      </c>
      <c r="S12" s="1">
        <v>160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8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10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78</v>
      </c>
      <c r="CL12" s="1"/>
      <c r="CM12" s="1"/>
      <c r="CN12" s="1"/>
      <c r="CO12" s="1"/>
      <c r="CP12" s="1"/>
      <c r="CQ12" s="1" t="s">
        <v>11</v>
      </c>
      <c r="CR12" s="1" t="s">
        <v>12</v>
      </c>
      <c r="CS12" s="1">
        <v>41660</v>
      </c>
      <c r="CT12" s="1">
        <v>1</v>
      </c>
      <c r="CU12" s="1">
        <v>73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x14ac:dyDescent="0.2">
      <c r="A18" s="3">
        <v>52</v>
      </c>
      <c r="B18" s="3">
        <f t="shared" ref="B18:G18" si="0">B453</f>
        <v>489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>02-01-05 КЛ 0,4 кВ труба</v>
      </c>
      <c r="G18" s="3" t="str">
        <f t="shared" si="0"/>
        <v>02-01-05 Строительство  КЛ 0,4 кВ труба</v>
      </c>
      <c r="H18" s="3"/>
      <c r="I18" s="3"/>
      <c r="J18" s="3"/>
      <c r="K18" s="3"/>
      <c r="L18" s="3"/>
      <c r="M18" s="3"/>
      <c r="N18" s="3"/>
      <c r="O18" s="3">
        <f t="shared" ref="O18:AT18" si="1">O453</f>
        <v>94437.81</v>
      </c>
      <c r="P18" s="3">
        <f t="shared" si="1"/>
        <v>87962.58</v>
      </c>
      <c r="Q18" s="3">
        <f t="shared" si="1"/>
        <v>2268.35</v>
      </c>
      <c r="R18" s="3">
        <f t="shared" si="1"/>
        <v>231.35</v>
      </c>
      <c r="S18" s="3">
        <f t="shared" si="1"/>
        <v>4206.88</v>
      </c>
      <c r="T18" s="3">
        <f t="shared" si="1"/>
        <v>0</v>
      </c>
      <c r="U18" s="3">
        <f t="shared" si="1"/>
        <v>345.40756158964001</v>
      </c>
      <c r="V18" s="3">
        <f t="shared" si="1"/>
        <v>0</v>
      </c>
      <c r="W18" s="3">
        <f t="shared" si="1"/>
        <v>0</v>
      </c>
      <c r="X18" s="3">
        <f t="shared" si="1"/>
        <v>4653.75</v>
      </c>
      <c r="Y18" s="3">
        <f t="shared" si="1"/>
        <v>3001.63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0</v>
      </c>
      <c r="AQ18" s="3">
        <f t="shared" si="1"/>
        <v>0</v>
      </c>
      <c r="AR18" s="3">
        <f t="shared" si="1"/>
        <v>102498.07</v>
      </c>
      <c r="AS18" s="3">
        <f t="shared" si="1"/>
        <v>81819.429999999993</v>
      </c>
      <c r="AT18" s="3">
        <f t="shared" si="1"/>
        <v>20678.64</v>
      </c>
      <c r="AU18" s="3">
        <f t="shared" ref="AU18:BZ18" si="2">AU453</f>
        <v>0</v>
      </c>
      <c r="AV18" s="3">
        <f t="shared" si="2"/>
        <v>87962.58</v>
      </c>
      <c r="AW18" s="3">
        <f t="shared" si="2"/>
        <v>87962.58</v>
      </c>
      <c r="AX18" s="3">
        <f t="shared" si="2"/>
        <v>0</v>
      </c>
      <c r="AY18" s="3">
        <f t="shared" si="2"/>
        <v>87962.58</v>
      </c>
      <c r="AZ18" s="3">
        <f t="shared" si="2"/>
        <v>0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CA453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DG453</f>
        <v>936535.5</v>
      </c>
      <c r="DH18" s="4">
        <f t="shared" si="4"/>
        <v>766829.47</v>
      </c>
      <c r="DI18" s="4">
        <f t="shared" si="4"/>
        <v>24526.59</v>
      </c>
      <c r="DJ18" s="4">
        <f t="shared" si="4"/>
        <v>7983.9</v>
      </c>
      <c r="DK18" s="4">
        <f t="shared" si="4"/>
        <v>145179.44</v>
      </c>
      <c r="DL18" s="4">
        <f t="shared" si="4"/>
        <v>0</v>
      </c>
      <c r="DM18" s="4">
        <f t="shared" si="4"/>
        <v>345.40756158964001</v>
      </c>
      <c r="DN18" s="4">
        <f t="shared" si="4"/>
        <v>0</v>
      </c>
      <c r="DO18" s="4">
        <f t="shared" si="4"/>
        <v>0</v>
      </c>
      <c r="DP18" s="4">
        <f t="shared" si="4"/>
        <v>132204.71</v>
      </c>
      <c r="DQ18" s="4">
        <f t="shared" si="4"/>
        <v>61493.4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0</v>
      </c>
      <c r="EI18" s="4">
        <f t="shared" si="4"/>
        <v>0</v>
      </c>
      <c r="EJ18" s="4">
        <f t="shared" si="4"/>
        <v>1143007.8600000001</v>
      </c>
      <c r="EK18" s="4">
        <f t="shared" si="4"/>
        <v>873224.33</v>
      </c>
      <c r="EL18" s="4">
        <f t="shared" si="4"/>
        <v>269783.53000000003</v>
      </c>
      <c r="EM18" s="4">
        <f t="shared" ref="EM18:FR18" si="5">EM453</f>
        <v>0</v>
      </c>
      <c r="EN18" s="4">
        <f t="shared" si="5"/>
        <v>766829.47</v>
      </c>
      <c r="EO18" s="4">
        <f t="shared" si="5"/>
        <v>766829.47</v>
      </c>
      <c r="EP18" s="4">
        <f t="shared" si="5"/>
        <v>0</v>
      </c>
      <c r="EQ18" s="4">
        <f t="shared" si="5"/>
        <v>766829.47</v>
      </c>
      <c r="ER18" s="4">
        <f t="shared" si="5"/>
        <v>0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FS453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x14ac:dyDescent="0.2">
      <c r="A20" s="1">
        <v>3</v>
      </c>
      <c r="B20" s="1">
        <v>1</v>
      </c>
      <c r="C20" s="1"/>
      <c r="D20" s="1">
        <f>ROW(A423)</f>
        <v>423</v>
      </c>
      <c r="E20" s="1"/>
      <c r="F20" s="1" t="s">
        <v>13</v>
      </c>
      <c r="G20" s="1" t="s">
        <v>13</v>
      </c>
      <c r="H20" s="1" t="s">
        <v>3</v>
      </c>
      <c r="I20" s="1">
        <v>0</v>
      </c>
      <c r="J20" s="1" t="s">
        <v>14</v>
      </c>
      <c r="K20" s="1">
        <v>0</v>
      </c>
      <c r="L20" s="1" t="s">
        <v>13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x14ac:dyDescent="0.2">
      <c r="A22" s="3">
        <v>52</v>
      </c>
      <c r="B22" s="3">
        <f t="shared" ref="B22:G22" si="7">B423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Новая локальная смета</v>
      </c>
      <c r="G22" s="3" t="str">
        <f t="shared" si="7"/>
        <v>Новая локальная смета</v>
      </c>
      <c r="H22" s="3"/>
      <c r="I22" s="3"/>
      <c r="J22" s="3"/>
      <c r="K22" s="3"/>
      <c r="L22" s="3"/>
      <c r="M22" s="3"/>
      <c r="N22" s="3"/>
      <c r="O22" s="3">
        <f t="shared" ref="O22:AT22" si="8">O423</f>
        <v>94437.81</v>
      </c>
      <c r="P22" s="3">
        <f t="shared" si="8"/>
        <v>87962.58</v>
      </c>
      <c r="Q22" s="3">
        <f t="shared" si="8"/>
        <v>2268.35</v>
      </c>
      <c r="R22" s="3">
        <f t="shared" si="8"/>
        <v>231.35</v>
      </c>
      <c r="S22" s="3">
        <f t="shared" si="8"/>
        <v>4206.88</v>
      </c>
      <c r="T22" s="3">
        <f t="shared" si="8"/>
        <v>0</v>
      </c>
      <c r="U22" s="3">
        <f t="shared" si="8"/>
        <v>345.40756158964001</v>
      </c>
      <c r="V22" s="3">
        <f t="shared" si="8"/>
        <v>0</v>
      </c>
      <c r="W22" s="3">
        <f t="shared" si="8"/>
        <v>0</v>
      </c>
      <c r="X22" s="3">
        <f t="shared" si="8"/>
        <v>4653.75</v>
      </c>
      <c r="Y22" s="3">
        <f t="shared" si="8"/>
        <v>3001.63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0</v>
      </c>
      <c r="AQ22" s="3">
        <f t="shared" si="8"/>
        <v>0</v>
      </c>
      <c r="AR22" s="3">
        <f t="shared" si="8"/>
        <v>102498.07</v>
      </c>
      <c r="AS22" s="3">
        <f t="shared" si="8"/>
        <v>81819.429999999993</v>
      </c>
      <c r="AT22" s="3">
        <f t="shared" si="8"/>
        <v>20678.64</v>
      </c>
      <c r="AU22" s="3">
        <f t="shared" ref="AU22:BZ22" si="9">AU423</f>
        <v>0</v>
      </c>
      <c r="AV22" s="3">
        <f t="shared" si="9"/>
        <v>87962.58</v>
      </c>
      <c r="AW22" s="3">
        <f t="shared" si="9"/>
        <v>87962.58</v>
      </c>
      <c r="AX22" s="3">
        <f t="shared" si="9"/>
        <v>0</v>
      </c>
      <c r="AY22" s="3">
        <f t="shared" si="9"/>
        <v>87962.58</v>
      </c>
      <c r="AZ22" s="3">
        <f t="shared" si="9"/>
        <v>0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CA423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DG423</f>
        <v>936535.5</v>
      </c>
      <c r="DH22" s="4">
        <f t="shared" si="11"/>
        <v>766829.47</v>
      </c>
      <c r="DI22" s="4">
        <f t="shared" si="11"/>
        <v>24526.59</v>
      </c>
      <c r="DJ22" s="4">
        <f t="shared" si="11"/>
        <v>7983.9</v>
      </c>
      <c r="DK22" s="4">
        <f t="shared" si="11"/>
        <v>145179.44</v>
      </c>
      <c r="DL22" s="4">
        <f t="shared" si="11"/>
        <v>0</v>
      </c>
      <c r="DM22" s="4">
        <f t="shared" si="11"/>
        <v>345.40756158964001</v>
      </c>
      <c r="DN22" s="4">
        <f t="shared" si="11"/>
        <v>0</v>
      </c>
      <c r="DO22" s="4">
        <f t="shared" si="11"/>
        <v>0</v>
      </c>
      <c r="DP22" s="4">
        <f t="shared" si="11"/>
        <v>132204.71</v>
      </c>
      <c r="DQ22" s="4">
        <f t="shared" si="11"/>
        <v>61493.4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0</v>
      </c>
      <c r="EI22" s="4">
        <f t="shared" si="11"/>
        <v>0</v>
      </c>
      <c r="EJ22" s="4">
        <f t="shared" si="11"/>
        <v>1143007.8600000001</v>
      </c>
      <c r="EK22" s="4">
        <f t="shared" si="11"/>
        <v>873224.33</v>
      </c>
      <c r="EL22" s="4">
        <f t="shared" si="11"/>
        <v>269783.53000000003</v>
      </c>
      <c r="EM22" s="4">
        <f t="shared" ref="EM22:FR22" si="12">EM423</f>
        <v>0</v>
      </c>
      <c r="EN22" s="4">
        <f t="shared" si="12"/>
        <v>766829.47</v>
      </c>
      <c r="EO22" s="4">
        <f t="shared" si="12"/>
        <v>766829.47</v>
      </c>
      <c r="EP22" s="4">
        <f t="shared" si="12"/>
        <v>0</v>
      </c>
      <c r="EQ22" s="4">
        <f t="shared" si="12"/>
        <v>766829.47</v>
      </c>
      <c r="ER22" s="4">
        <f t="shared" si="12"/>
        <v>0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FS423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x14ac:dyDescent="0.2">
      <c r="A24" s="1">
        <v>4</v>
      </c>
      <c r="B24" s="1">
        <v>1</v>
      </c>
      <c r="C24" s="1"/>
      <c r="D24" s="1">
        <f>ROW(A63)</f>
        <v>63</v>
      </c>
      <c r="E24" s="1"/>
      <c r="F24" s="1" t="s">
        <v>15</v>
      </c>
      <c r="G24" s="1" t="s">
        <v>16</v>
      </c>
      <c r="H24" s="1" t="s">
        <v>3</v>
      </c>
      <c r="I24" s="1">
        <v>0</v>
      </c>
      <c r="J24" s="1"/>
      <c r="K24" s="1">
        <v>0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x14ac:dyDescent="0.2">
      <c r="A26" s="3">
        <v>52</v>
      </c>
      <c r="B26" s="3">
        <f t="shared" ref="B26:G26" si="14">B63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>Новый раздел</v>
      </c>
      <c r="G26" s="3" t="str">
        <f t="shared" si="14"/>
        <v>Строительные работы</v>
      </c>
      <c r="H26" s="3"/>
      <c r="I26" s="3"/>
      <c r="J26" s="3"/>
      <c r="K26" s="3"/>
      <c r="L26" s="3"/>
      <c r="M26" s="3"/>
      <c r="N26" s="3"/>
      <c r="O26" s="3">
        <f t="shared" ref="O26:AT26" si="15">O63</f>
        <v>43246.29</v>
      </c>
      <c r="P26" s="3">
        <f t="shared" si="15"/>
        <v>40597.03</v>
      </c>
      <c r="Q26" s="3">
        <f t="shared" si="15"/>
        <v>1213.81</v>
      </c>
      <c r="R26" s="3">
        <f t="shared" si="15"/>
        <v>121.1</v>
      </c>
      <c r="S26" s="3">
        <f t="shared" si="15"/>
        <v>1435.45</v>
      </c>
      <c r="T26" s="3">
        <f t="shared" si="15"/>
        <v>0</v>
      </c>
      <c r="U26" s="3">
        <f t="shared" si="15"/>
        <v>135.65221042164001</v>
      </c>
      <c r="V26" s="3">
        <f t="shared" si="15"/>
        <v>0</v>
      </c>
      <c r="W26" s="3">
        <f t="shared" si="15"/>
        <v>0</v>
      </c>
      <c r="X26" s="3">
        <f t="shared" si="15"/>
        <v>1549.74</v>
      </c>
      <c r="Y26" s="3">
        <f t="shared" si="15"/>
        <v>1061.6199999999999</v>
      </c>
      <c r="Z26" s="3">
        <f t="shared" si="15"/>
        <v>0</v>
      </c>
      <c r="AA26" s="3">
        <f t="shared" si="15"/>
        <v>0</v>
      </c>
      <c r="AB26" s="3">
        <f t="shared" si="15"/>
        <v>43246.29</v>
      </c>
      <c r="AC26" s="3">
        <f t="shared" si="15"/>
        <v>40597.03</v>
      </c>
      <c r="AD26" s="3">
        <f t="shared" si="15"/>
        <v>1213.81</v>
      </c>
      <c r="AE26" s="3">
        <f t="shared" si="15"/>
        <v>121.1</v>
      </c>
      <c r="AF26" s="3">
        <f t="shared" si="15"/>
        <v>1435.45</v>
      </c>
      <c r="AG26" s="3">
        <f t="shared" si="15"/>
        <v>0</v>
      </c>
      <c r="AH26" s="3">
        <f t="shared" si="15"/>
        <v>135.65221042164001</v>
      </c>
      <c r="AI26" s="3">
        <f t="shared" si="15"/>
        <v>0</v>
      </c>
      <c r="AJ26" s="3">
        <f t="shared" si="15"/>
        <v>0</v>
      </c>
      <c r="AK26" s="3">
        <f t="shared" si="15"/>
        <v>1549.74</v>
      </c>
      <c r="AL26" s="3">
        <f t="shared" si="15"/>
        <v>1061.6199999999999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0</v>
      </c>
      <c r="AQ26" s="3">
        <f t="shared" si="15"/>
        <v>0</v>
      </c>
      <c r="AR26" s="3">
        <f t="shared" si="15"/>
        <v>46069.59</v>
      </c>
      <c r="AS26" s="3">
        <f t="shared" si="15"/>
        <v>46069.59</v>
      </c>
      <c r="AT26" s="3">
        <f t="shared" si="15"/>
        <v>0</v>
      </c>
      <c r="AU26" s="3">
        <f t="shared" ref="AU26:BZ26" si="16">AU63</f>
        <v>0</v>
      </c>
      <c r="AV26" s="3">
        <f t="shared" si="16"/>
        <v>40597.03</v>
      </c>
      <c r="AW26" s="3">
        <f t="shared" si="16"/>
        <v>40597.03</v>
      </c>
      <c r="AX26" s="3">
        <f t="shared" si="16"/>
        <v>0</v>
      </c>
      <c r="AY26" s="3">
        <f t="shared" si="16"/>
        <v>40597.03</v>
      </c>
      <c r="AZ26" s="3">
        <f t="shared" si="16"/>
        <v>0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0</v>
      </c>
      <c r="BZ26" s="3">
        <f t="shared" si="16"/>
        <v>0</v>
      </c>
      <c r="CA26" s="3">
        <f t="shared" ref="CA26:DF26" si="17">CA63</f>
        <v>46069.59</v>
      </c>
      <c r="CB26" s="3">
        <f t="shared" si="17"/>
        <v>46069.59</v>
      </c>
      <c r="CC26" s="3">
        <f t="shared" si="17"/>
        <v>0</v>
      </c>
      <c r="CD26" s="3">
        <f t="shared" si="17"/>
        <v>0</v>
      </c>
      <c r="CE26" s="3">
        <f t="shared" si="17"/>
        <v>40597.03</v>
      </c>
      <c r="CF26" s="3">
        <f t="shared" si="17"/>
        <v>40597.03</v>
      </c>
      <c r="CG26" s="3">
        <f t="shared" si="17"/>
        <v>0</v>
      </c>
      <c r="CH26" s="3">
        <f t="shared" si="17"/>
        <v>40597.03</v>
      </c>
      <c r="CI26" s="3">
        <f t="shared" si="17"/>
        <v>0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DG63</f>
        <v>453752.88</v>
      </c>
      <c r="DH26" s="4">
        <f t="shared" si="18"/>
        <v>389496.18</v>
      </c>
      <c r="DI26" s="4">
        <f t="shared" si="18"/>
        <v>14719.31</v>
      </c>
      <c r="DJ26" s="4">
        <f t="shared" si="18"/>
        <v>4179.17</v>
      </c>
      <c r="DK26" s="4">
        <f t="shared" si="18"/>
        <v>49537.39</v>
      </c>
      <c r="DL26" s="4">
        <f t="shared" si="18"/>
        <v>0</v>
      </c>
      <c r="DM26" s="4">
        <f t="shared" si="18"/>
        <v>135.65221042164001</v>
      </c>
      <c r="DN26" s="4">
        <f t="shared" si="18"/>
        <v>0</v>
      </c>
      <c r="DO26" s="4">
        <f t="shared" si="18"/>
        <v>0</v>
      </c>
      <c r="DP26" s="4">
        <f t="shared" si="18"/>
        <v>44214.02</v>
      </c>
      <c r="DQ26" s="4">
        <f t="shared" si="18"/>
        <v>20367.310000000001</v>
      </c>
      <c r="DR26" s="4">
        <f t="shared" si="18"/>
        <v>0</v>
      </c>
      <c r="DS26" s="4">
        <f t="shared" si="18"/>
        <v>0</v>
      </c>
      <c r="DT26" s="4">
        <f t="shared" si="18"/>
        <v>453752.88</v>
      </c>
      <c r="DU26" s="4">
        <f t="shared" si="18"/>
        <v>389496.18</v>
      </c>
      <c r="DV26" s="4">
        <f t="shared" si="18"/>
        <v>14719.31</v>
      </c>
      <c r="DW26" s="4">
        <f t="shared" si="18"/>
        <v>4179.17</v>
      </c>
      <c r="DX26" s="4">
        <f t="shared" si="18"/>
        <v>49537.39</v>
      </c>
      <c r="DY26" s="4">
        <f t="shared" si="18"/>
        <v>0</v>
      </c>
      <c r="DZ26" s="4">
        <f t="shared" si="18"/>
        <v>135.65221042164001</v>
      </c>
      <c r="EA26" s="4">
        <f t="shared" si="18"/>
        <v>0</v>
      </c>
      <c r="EB26" s="4">
        <f t="shared" si="18"/>
        <v>0</v>
      </c>
      <c r="EC26" s="4">
        <f t="shared" si="18"/>
        <v>44214.02</v>
      </c>
      <c r="ED26" s="4">
        <f t="shared" si="18"/>
        <v>20367.310000000001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0</v>
      </c>
      <c r="EI26" s="4">
        <f t="shared" si="18"/>
        <v>0</v>
      </c>
      <c r="EJ26" s="4">
        <f t="shared" si="18"/>
        <v>525020.89</v>
      </c>
      <c r="EK26" s="4">
        <f t="shared" si="18"/>
        <v>525020.89</v>
      </c>
      <c r="EL26" s="4">
        <f t="shared" si="18"/>
        <v>0</v>
      </c>
      <c r="EM26" s="4">
        <f t="shared" ref="EM26:FR26" si="19">EM63</f>
        <v>0</v>
      </c>
      <c r="EN26" s="4">
        <f t="shared" si="19"/>
        <v>389496.18</v>
      </c>
      <c r="EO26" s="4">
        <f t="shared" si="19"/>
        <v>389496.18</v>
      </c>
      <c r="EP26" s="4">
        <f t="shared" si="19"/>
        <v>0</v>
      </c>
      <c r="EQ26" s="4">
        <f t="shared" si="19"/>
        <v>389496.18</v>
      </c>
      <c r="ER26" s="4">
        <f t="shared" si="19"/>
        <v>0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0</v>
      </c>
      <c r="FR26" s="4">
        <f t="shared" si="19"/>
        <v>0</v>
      </c>
      <c r="FS26" s="4">
        <f t="shared" ref="FS26:GX26" si="20">FS63</f>
        <v>525020.89</v>
      </c>
      <c r="FT26" s="4">
        <f t="shared" si="20"/>
        <v>525020.89</v>
      </c>
      <c r="FU26" s="4">
        <f t="shared" si="20"/>
        <v>0</v>
      </c>
      <c r="FV26" s="4">
        <f t="shared" si="20"/>
        <v>0</v>
      </c>
      <c r="FW26" s="4">
        <f t="shared" si="20"/>
        <v>389496.18</v>
      </c>
      <c r="FX26" s="4">
        <f t="shared" si="20"/>
        <v>389496.18</v>
      </c>
      <c r="FY26" s="4">
        <f t="shared" si="20"/>
        <v>0</v>
      </c>
      <c r="FZ26" s="4">
        <f t="shared" si="20"/>
        <v>389496.18</v>
      </c>
      <c r="GA26" s="4">
        <f t="shared" si="20"/>
        <v>0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2">
      <c r="A28" s="2">
        <v>17</v>
      </c>
      <c r="B28" s="2">
        <v>1</v>
      </c>
      <c r="C28" s="2">
        <f>ROW(SmtRes!A1)</f>
        <v>1</v>
      </c>
      <c r="D28" s="2">
        <f>ROW(EtalonRes!A1)</f>
        <v>1</v>
      </c>
      <c r="E28" s="2" t="s">
        <v>17</v>
      </c>
      <c r="F28" s="2" t="s">
        <v>18</v>
      </c>
      <c r="G28" s="2" t="s">
        <v>19</v>
      </c>
      <c r="H28" s="2" t="s">
        <v>20</v>
      </c>
      <c r="I28" s="2">
        <f>ROUND(71.09*0.3/100,9)</f>
        <v>0.21326999999999999</v>
      </c>
      <c r="J28" s="2">
        <v>0</v>
      </c>
      <c r="K28" s="2">
        <f>ROUND(71.09*0.3/100,9)</f>
        <v>0.21326999999999999</v>
      </c>
      <c r="L28" s="2"/>
      <c r="M28" s="2"/>
      <c r="N28" s="2"/>
      <c r="O28" s="2">
        <f t="shared" ref="O28:O61" si="21">ROUND(CP28,2)</f>
        <v>598.03</v>
      </c>
      <c r="P28" s="2">
        <f t="shared" ref="P28:P61" si="22">ROUND((ROUND((AC28*AW28*I28),2)*BC28),2)</f>
        <v>0</v>
      </c>
      <c r="Q28" s="2">
        <f t="shared" ref="Q28:Q35" si="23">(ROUND((ROUND((((ET28*1.1))*AV28*I28),2)*BB28),2)+ROUND((ROUND(((AE28-((EU28*1.1)))*AV28*I28),2)*BS28),2))</f>
        <v>0</v>
      </c>
      <c r="R28" s="2">
        <f t="shared" ref="R28:R61" si="24">ROUND((ROUND((AE28*AV28*I28),2)*BS28),2)</f>
        <v>0</v>
      </c>
      <c r="S28" s="2">
        <f t="shared" ref="S28:S61" si="25">ROUND((ROUND((AF28*AV28*I28),2)*BA28),2)</f>
        <v>598.03</v>
      </c>
      <c r="T28" s="2">
        <f t="shared" ref="T28:T61" si="26">ROUND(CU28*I28,2)</f>
        <v>0</v>
      </c>
      <c r="U28" s="2">
        <f t="shared" ref="U28:U61" si="27">CV28*I28</f>
        <v>56.418138691199999</v>
      </c>
      <c r="V28" s="2">
        <f t="shared" ref="V28:V61" si="28">CW28*I28</f>
        <v>0</v>
      </c>
      <c r="W28" s="2">
        <f t="shared" ref="W28:W61" si="29">ROUND(CX28*I28,2)</f>
        <v>0</v>
      </c>
      <c r="X28" s="2">
        <f t="shared" ref="X28:X61" si="30">ROUND(CY28,2)</f>
        <v>627.92999999999995</v>
      </c>
      <c r="Y28" s="2">
        <f t="shared" ref="Y28:Y61" si="31">ROUND(CZ28,2)</f>
        <v>460.48</v>
      </c>
      <c r="Z28" s="2"/>
      <c r="AA28" s="2">
        <v>56622586</v>
      </c>
      <c r="AB28" s="2">
        <f t="shared" ref="AB28:AB61" si="32">ROUND((AC28+AD28+AF28),6)</f>
        <v>2246.8820000000001</v>
      </c>
      <c r="AC28" s="2">
        <f t="shared" ref="AC28:AC35" si="33">ROUND((ES28),6)</f>
        <v>0</v>
      </c>
      <c r="AD28" s="2">
        <f t="shared" ref="AD28:AD35" si="34">ROUND(((((ET28*1.1))-((EU28*1.1)))+AE28),6)</f>
        <v>0</v>
      </c>
      <c r="AE28" s="2">
        <f t="shared" ref="AE28:AF35" si="35">ROUND(((EU28*1.1)),6)</f>
        <v>0</v>
      </c>
      <c r="AF28" s="2">
        <f t="shared" si="35"/>
        <v>2246.8820000000001</v>
      </c>
      <c r="AG28" s="2">
        <f t="shared" ref="AG28:AG61" si="36">ROUND((AP28),6)</f>
        <v>0</v>
      </c>
      <c r="AH28" s="2">
        <f t="shared" ref="AH28:AI35" si="37">((EW28*1.1))</f>
        <v>211.97</v>
      </c>
      <c r="AI28" s="2">
        <f t="shared" si="37"/>
        <v>0</v>
      </c>
      <c r="AJ28" s="2">
        <f t="shared" ref="AJ28:AJ61" si="38">(AS28)</f>
        <v>0</v>
      </c>
      <c r="AK28" s="2">
        <v>2042.62</v>
      </c>
      <c r="AL28" s="2">
        <v>0</v>
      </c>
      <c r="AM28" s="2">
        <v>0</v>
      </c>
      <c r="AN28" s="2">
        <v>0</v>
      </c>
      <c r="AO28" s="2">
        <v>2042.62</v>
      </c>
      <c r="AP28" s="2">
        <v>0</v>
      </c>
      <c r="AQ28" s="2">
        <v>192.7</v>
      </c>
      <c r="AR28" s="2">
        <v>0</v>
      </c>
      <c r="AS28" s="2">
        <v>0</v>
      </c>
      <c r="AT28" s="2">
        <v>105</v>
      </c>
      <c r="AU28" s="2">
        <v>77</v>
      </c>
      <c r="AV28" s="2">
        <v>1.248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1</v>
      </c>
      <c r="BJ28" s="2" t="s">
        <v>21</v>
      </c>
      <c r="BK28" s="2"/>
      <c r="BL28" s="2"/>
      <c r="BM28" s="2">
        <v>16</v>
      </c>
      <c r="BN28" s="2">
        <v>0</v>
      </c>
      <c r="BO28" s="2" t="s">
        <v>3</v>
      </c>
      <c r="BP28" s="2">
        <v>0</v>
      </c>
      <c r="BQ28" s="2">
        <v>30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105</v>
      </c>
      <c r="CA28" s="2">
        <v>77</v>
      </c>
      <c r="CB28" s="2" t="s">
        <v>3</v>
      </c>
      <c r="CC28" s="2"/>
      <c r="CD28" s="2"/>
      <c r="CE28" s="2">
        <v>30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671</v>
      </c>
      <c r="CO28" s="2">
        <v>0</v>
      </c>
      <c r="CP28" s="2">
        <f t="shared" ref="CP28:CP61" si="39">(P28+Q28+S28)</f>
        <v>598.03</v>
      </c>
      <c r="CQ28" s="2">
        <f t="shared" ref="CQ28:CQ61" si="40">ROUND((ROUND((AC28*AW28*1),2)*BC28),2)</f>
        <v>0</v>
      </c>
      <c r="CR28" s="2">
        <f t="shared" ref="CR28:CR35" si="41">(ROUND((ROUND((((ET28*1.1))*AV28*1),2)*BB28),2)+ROUND((ROUND(((AE28-((EU28*1.1)))*AV28*1),2)*BS28),2))</f>
        <v>0</v>
      </c>
      <c r="CS28" s="2">
        <f t="shared" ref="CS28:CS61" si="42">ROUND((ROUND((AE28*AV28*1),2)*BS28),2)</f>
        <v>0</v>
      </c>
      <c r="CT28" s="2">
        <f t="shared" ref="CT28:CT61" si="43">ROUND((ROUND((AF28*AV28*1),2)*BA28),2)</f>
        <v>2804.11</v>
      </c>
      <c r="CU28" s="2">
        <f t="shared" ref="CU28:CU61" si="44">AG28</f>
        <v>0</v>
      </c>
      <c r="CV28" s="2">
        <f t="shared" ref="CV28:CV61" si="45">(AH28*AV28)</f>
        <v>264.53856000000002</v>
      </c>
      <c r="CW28" s="2">
        <f t="shared" ref="CW28:CW61" si="46">AI28</f>
        <v>0</v>
      </c>
      <c r="CX28" s="2">
        <f t="shared" ref="CX28:CX61" si="47">AJ28</f>
        <v>0</v>
      </c>
      <c r="CY28" s="2">
        <f>((S28*BZ28)/100)</f>
        <v>627.93149999999991</v>
      </c>
      <c r="CZ28" s="2">
        <f>((S28*CA28)/100)</f>
        <v>460.48309999999998</v>
      </c>
      <c r="DA28" s="2"/>
      <c r="DB28" s="2"/>
      <c r="DC28" s="2" t="s">
        <v>3</v>
      </c>
      <c r="DD28" s="2" t="s">
        <v>3</v>
      </c>
      <c r="DE28" s="2" t="s">
        <v>22</v>
      </c>
      <c r="DF28" s="2" t="s">
        <v>22</v>
      </c>
      <c r="DG28" s="2" t="s">
        <v>22</v>
      </c>
      <c r="DH28" s="2" t="s">
        <v>3</v>
      </c>
      <c r="DI28" s="2" t="s">
        <v>22</v>
      </c>
      <c r="DJ28" s="2" t="s">
        <v>22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20</v>
      </c>
      <c r="DW28" s="2" t="s">
        <v>20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51696099</v>
      </c>
      <c r="EF28" s="2">
        <v>30</v>
      </c>
      <c r="EG28" s="2" t="s">
        <v>16</v>
      </c>
      <c r="EH28" s="2">
        <v>0</v>
      </c>
      <c r="EI28" s="2" t="s">
        <v>3</v>
      </c>
      <c r="EJ28" s="2">
        <v>1</v>
      </c>
      <c r="EK28" s="2">
        <v>16</v>
      </c>
      <c r="EL28" s="2" t="s">
        <v>23</v>
      </c>
      <c r="EM28" s="2" t="s">
        <v>24</v>
      </c>
      <c r="EN28" s="2"/>
      <c r="EO28" s="2" t="s">
        <v>25</v>
      </c>
      <c r="EP28" s="2"/>
      <c r="EQ28" s="2">
        <v>131072</v>
      </c>
      <c r="ER28" s="2">
        <v>2042.62</v>
      </c>
      <c r="ES28" s="2">
        <v>0</v>
      </c>
      <c r="ET28" s="2">
        <v>0</v>
      </c>
      <c r="EU28" s="2">
        <v>0</v>
      </c>
      <c r="EV28" s="2">
        <v>2042.62</v>
      </c>
      <c r="EW28" s="2">
        <v>192.7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105</v>
      </c>
      <c r="FY28" s="2">
        <v>77</v>
      </c>
      <c r="FZ28" s="2"/>
      <c r="GA28" s="2" t="s">
        <v>3</v>
      </c>
      <c r="GB28" s="2"/>
      <c r="GC28" s="2"/>
      <c r="GD28" s="2">
        <v>0</v>
      </c>
      <c r="GE28" s="2"/>
      <c r="GF28" s="2">
        <v>-2104602307</v>
      </c>
      <c r="GG28" s="2">
        <v>2</v>
      </c>
      <c r="GH28" s="2">
        <v>1</v>
      </c>
      <c r="GI28" s="2">
        <v>-2</v>
      </c>
      <c r="GJ28" s="2">
        <v>0</v>
      </c>
      <c r="GK28" s="2">
        <f>ROUND(R28*(R12)/100,2)</f>
        <v>0</v>
      </c>
      <c r="GL28" s="2">
        <f t="shared" ref="GL28:GL61" si="48">ROUND(IF(AND(BH28=3,BI28=3,FS28&lt;&gt;0),P28,0),2)</f>
        <v>0</v>
      </c>
      <c r="GM28" s="2">
        <f t="shared" ref="GM28:GM61" si="49">ROUND(O28+X28+Y28+GK28,2)+GX28</f>
        <v>1686.44</v>
      </c>
      <c r="GN28" s="2">
        <f t="shared" ref="GN28:GN61" si="50">IF(OR(BI28=0,BI28=1),GM28-GX28,0)</f>
        <v>1686.44</v>
      </c>
      <c r="GO28" s="2">
        <f t="shared" ref="GO28:GO61" si="51">IF(BI28=2,GM28-GX28,0)</f>
        <v>0</v>
      </c>
      <c r="GP28" s="2">
        <f t="shared" ref="GP28:GP61" si="52">IF(BI28=4,GM28-GX28,0)</f>
        <v>0</v>
      </c>
      <c r="GQ28" s="2"/>
      <c r="GR28" s="2">
        <v>0</v>
      </c>
      <c r="GS28" s="2">
        <v>0</v>
      </c>
      <c r="GT28" s="2">
        <v>0</v>
      </c>
      <c r="GU28" s="2" t="s">
        <v>3</v>
      </c>
      <c r="GV28" s="2">
        <f t="shared" ref="GV28:GV61" si="53">ROUND((GT28),6)</f>
        <v>0</v>
      </c>
      <c r="GW28" s="2">
        <v>1</v>
      </c>
      <c r="GX28" s="2">
        <f t="shared" ref="GX28:GX61" si="54">ROUND(HC28*I28,2)</f>
        <v>0</v>
      </c>
      <c r="GY28" s="2"/>
      <c r="GZ28" s="2"/>
      <c r="HA28" s="2">
        <v>0</v>
      </c>
      <c r="HB28" s="2">
        <v>0</v>
      </c>
      <c r="HC28" s="2">
        <f t="shared" ref="HC28:HC61" si="55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>
        <v>17</v>
      </c>
      <c r="B29">
        <v>1</v>
      </c>
      <c r="C29">
        <f>ROW(SmtRes!A2)</f>
        <v>2</v>
      </c>
      <c r="D29">
        <f>ROW(EtalonRes!A2)</f>
        <v>2</v>
      </c>
      <c r="E29" t="s">
        <v>17</v>
      </c>
      <c r="F29" t="s">
        <v>18</v>
      </c>
      <c r="G29" t="s">
        <v>19</v>
      </c>
      <c r="H29" t="s">
        <v>20</v>
      </c>
      <c r="I29">
        <f>ROUND(71.09*0.3/100,9)</f>
        <v>0.21326999999999999</v>
      </c>
      <c r="J29">
        <v>0</v>
      </c>
      <c r="K29">
        <f>ROUND(71.09*0.3/100,9)</f>
        <v>0.21326999999999999</v>
      </c>
      <c r="O29">
        <f t="shared" si="21"/>
        <v>20638.02</v>
      </c>
      <c r="P29">
        <f t="shared" si="22"/>
        <v>0</v>
      </c>
      <c r="Q29">
        <f t="shared" si="23"/>
        <v>0</v>
      </c>
      <c r="R29">
        <f t="shared" si="24"/>
        <v>0</v>
      </c>
      <c r="S29">
        <f t="shared" si="25"/>
        <v>20638.02</v>
      </c>
      <c r="T29">
        <f t="shared" si="26"/>
        <v>0</v>
      </c>
      <c r="U29">
        <f t="shared" si="27"/>
        <v>56.418138691199999</v>
      </c>
      <c r="V29">
        <f t="shared" si="28"/>
        <v>0</v>
      </c>
      <c r="W29">
        <f t="shared" si="29"/>
        <v>0</v>
      </c>
      <c r="X29">
        <f t="shared" si="30"/>
        <v>17955.080000000002</v>
      </c>
      <c r="Y29">
        <f t="shared" si="31"/>
        <v>8461.59</v>
      </c>
      <c r="AA29">
        <v>56616093</v>
      </c>
      <c r="AB29">
        <f t="shared" si="32"/>
        <v>2246.8820000000001</v>
      </c>
      <c r="AC29">
        <f t="shared" si="33"/>
        <v>0</v>
      </c>
      <c r="AD29">
        <f t="shared" si="34"/>
        <v>0</v>
      </c>
      <c r="AE29">
        <f t="shared" si="35"/>
        <v>0</v>
      </c>
      <c r="AF29">
        <f t="shared" si="35"/>
        <v>2246.8820000000001</v>
      </c>
      <c r="AG29">
        <f t="shared" si="36"/>
        <v>0</v>
      </c>
      <c r="AH29">
        <f t="shared" si="37"/>
        <v>211.97</v>
      </c>
      <c r="AI29">
        <f t="shared" si="37"/>
        <v>0</v>
      </c>
      <c r="AJ29">
        <f t="shared" si="38"/>
        <v>0</v>
      </c>
      <c r="AK29">
        <v>2042.62</v>
      </c>
      <c r="AL29">
        <v>0</v>
      </c>
      <c r="AM29">
        <v>0</v>
      </c>
      <c r="AN29">
        <v>0</v>
      </c>
      <c r="AO29">
        <v>2042.62</v>
      </c>
      <c r="AP29">
        <v>0</v>
      </c>
      <c r="AQ29">
        <v>192.7</v>
      </c>
      <c r="AR29">
        <v>0</v>
      </c>
      <c r="AS29">
        <v>0</v>
      </c>
      <c r="AT29">
        <v>87</v>
      </c>
      <c r="AU29">
        <v>41</v>
      </c>
      <c r="AV29">
        <v>1.248</v>
      </c>
      <c r="AW29">
        <v>1</v>
      </c>
      <c r="AZ29">
        <v>1</v>
      </c>
      <c r="BA29">
        <v>34.51</v>
      </c>
      <c r="BB29">
        <v>1</v>
      </c>
      <c r="BC29">
        <v>1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1</v>
      </c>
      <c r="BJ29" t="s">
        <v>21</v>
      </c>
      <c r="BM29">
        <v>16</v>
      </c>
      <c r="BN29">
        <v>0</v>
      </c>
      <c r="BO29" t="s">
        <v>18</v>
      </c>
      <c r="BP29">
        <v>1</v>
      </c>
      <c r="BQ29">
        <v>30</v>
      </c>
      <c r="BR29">
        <v>0</v>
      </c>
      <c r="BS29">
        <v>34.51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87</v>
      </c>
      <c r="CA29">
        <v>41</v>
      </c>
      <c r="CB29" t="s">
        <v>3</v>
      </c>
      <c r="CE29">
        <v>30</v>
      </c>
      <c r="CF29">
        <v>0</v>
      </c>
      <c r="CG29">
        <v>0</v>
      </c>
      <c r="CM29">
        <v>0</v>
      </c>
      <c r="CN29" t="s">
        <v>671</v>
      </c>
      <c r="CO29">
        <v>0</v>
      </c>
      <c r="CP29">
        <f t="shared" si="39"/>
        <v>20638.02</v>
      </c>
      <c r="CQ29">
        <f t="shared" si="40"/>
        <v>0</v>
      </c>
      <c r="CR29">
        <f t="shared" si="41"/>
        <v>0</v>
      </c>
      <c r="CS29">
        <f t="shared" si="42"/>
        <v>0</v>
      </c>
      <c r="CT29">
        <f t="shared" si="43"/>
        <v>96769.84</v>
      </c>
      <c r="CU29">
        <f t="shared" si="44"/>
        <v>0</v>
      </c>
      <c r="CV29">
        <f t="shared" si="45"/>
        <v>264.53856000000002</v>
      </c>
      <c r="CW29">
        <f t="shared" si="46"/>
        <v>0</v>
      </c>
      <c r="CX29">
        <f t="shared" si="47"/>
        <v>0</v>
      </c>
      <c r="CY29">
        <f>S29*(BZ29/100)</f>
        <v>17955.077400000002</v>
      </c>
      <c r="CZ29">
        <f>S29*(CA29/100)</f>
        <v>8461.5882000000001</v>
      </c>
      <c r="DC29" t="s">
        <v>3</v>
      </c>
      <c r="DD29" t="s">
        <v>3</v>
      </c>
      <c r="DE29" t="s">
        <v>22</v>
      </c>
      <c r="DF29" t="s">
        <v>22</v>
      </c>
      <c r="DG29" t="s">
        <v>22</v>
      </c>
      <c r="DH29" t="s">
        <v>3</v>
      </c>
      <c r="DI29" t="s">
        <v>22</v>
      </c>
      <c r="DJ29" t="s">
        <v>22</v>
      </c>
      <c r="DK29" t="s">
        <v>3</v>
      </c>
      <c r="DL29" t="s">
        <v>3</v>
      </c>
      <c r="DM29" t="s">
        <v>3</v>
      </c>
      <c r="DN29">
        <v>105</v>
      </c>
      <c r="DO29">
        <v>77</v>
      </c>
      <c r="DP29">
        <v>1.248</v>
      </c>
      <c r="DQ29">
        <v>1</v>
      </c>
      <c r="DU29">
        <v>1013</v>
      </c>
      <c r="DV29" t="s">
        <v>20</v>
      </c>
      <c r="DW29" t="s">
        <v>20</v>
      </c>
      <c r="DX29">
        <v>1</v>
      </c>
      <c r="DZ29" t="s">
        <v>3</v>
      </c>
      <c r="EA29" t="s">
        <v>3</v>
      </c>
      <c r="EB29" t="s">
        <v>3</v>
      </c>
      <c r="EC29" t="s">
        <v>3</v>
      </c>
      <c r="EE29">
        <v>51696099</v>
      </c>
      <c r="EF29">
        <v>30</v>
      </c>
      <c r="EG29" t="s">
        <v>16</v>
      </c>
      <c r="EH29">
        <v>0</v>
      </c>
      <c r="EI29" t="s">
        <v>3</v>
      </c>
      <c r="EJ29">
        <v>1</v>
      </c>
      <c r="EK29">
        <v>16</v>
      </c>
      <c r="EL29" t="s">
        <v>23</v>
      </c>
      <c r="EM29" t="s">
        <v>24</v>
      </c>
      <c r="EO29" t="s">
        <v>25</v>
      </c>
      <c r="EQ29">
        <v>131072</v>
      </c>
      <c r="ER29">
        <v>2042.62</v>
      </c>
      <c r="ES29">
        <v>0</v>
      </c>
      <c r="ET29">
        <v>0</v>
      </c>
      <c r="EU29">
        <v>0</v>
      </c>
      <c r="EV29">
        <v>2042.62</v>
      </c>
      <c r="EW29">
        <v>192.7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105</v>
      </c>
      <c r="FY29">
        <v>77</v>
      </c>
      <c r="GA29" t="s">
        <v>3</v>
      </c>
      <c r="GD29">
        <v>0</v>
      </c>
      <c r="GF29">
        <v>-2104602307</v>
      </c>
      <c r="GG29">
        <v>2</v>
      </c>
      <c r="GH29">
        <v>1</v>
      </c>
      <c r="GI29">
        <v>2</v>
      </c>
      <c r="GJ29">
        <v>0</v>
      </c>
      <c r="GK29">
        <f>ROUND(R29*(S12)/100,2)</f>
        <v>0</v>
      </c>
      <c r="GL29">
        <f t="shared" si="48"/>
        <v>0</v>
      </c>
      <c r="GM29">
        <f t="shared" si="49"/>
        <v>47054.69</v>
      </c>
      <c r="GN29">
        <f t="shared" si="50"/>
        <v>47054.69</v>
      </c>
      <c r="GO29">
        <f t="shared" si="51"/>
        <v>0</v>
      </c>
      <c r="GP29">
        <f t="shared" si="52"/>
        <v>0</v>
      </c>
      <c r="GR29">
        <v>0</v>
      </c>
      <c r="GS29">
        <v>3</v>
      </c>
      <c r="GT29">
        <v>0</v>
      </c>
      <c r="GU29" t="s">
        <v>3</v>
      </c>
      <c r="GV29">
        <f t="shared" si="53"/>
        <v>0</v>
      </c>
      <c r="GW29">
        <v>1</v>
      </c>
      <c r="GX29">
        <f t="shared" si="54"/>
        <v>0</v>
      </c>
      <c r="HA29">
        <v>0</v>
      </c>
      <c r="HB29">
        <v>0</v>
      </c>
      <c r="HC29">
        <f t="shared" si="55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55" x14ac:dyDescent="0.2">
      <c r="A30" s="2">
        <v>17</v>
      </c>
      <c r="B30" s="2">
        <v>1</v>
      </c>
      <c r="C30" s="2">
        <f>ROW(SmtRes!A6)</f>
        <v>6</v>
      </c>
      <c r="D30" s="2">
        <f>ROW(EtalonRes!A5)</f>
        <v>5</v>
      </c>
      <c r="E30" s="2" t="s">
        <v>26</v>
      </c>
      <c r="F30" s="2" t="s">
        <v>27</v>
      </c>
      <c r="G30" s="2" t="s">
        <v>28</v>
      </c>
      <c r="H30" s="2" t="s">
        <v>20</v>
      </c>
      <c r="I30" s="2">
        <f>ROUND(25.59/100,9)</f>
        <v>0.25590000000000002</v>
      </c>
      <c r="J30" s="2">
        <v>0</v>
      </c>
      <c r="K30" s="2">
        <f>ROUND(25.59/100,9)</f>
        <v>0.25590000000000002</v>
      </c>
      <c r="L30" s="2"/>
      <c r="M30" s="2"/>
      <c r="N30" s="2"/>
      <c r="O30" s="2">
        <f t="shared" si="21"/>
        <v>459.95</v>
      </c>
      <c r="P30" s="2">
        <f t="shared" si="22"/>
        <v>0</v>
      </c>
      <c r="Q30" s="2">
        <f t="shared" si="23"/>
        <v>449.83</v>
      </c>
      <c r="R30" s="2">
        <f t="shared" si="24"/>
        <v>44.45</v>
      </c>
      <c r="S30" s="2">
        <f t="shared" si="25"/>
        <v>10.119999999999999</v>
      </c>
      <c r="T30" s="2">
        <f t="shared" si="26"/>
        <v>0</v>
      </c>
      <c r="U30" s="2">
        <f t="shared" si="27"/>
        <v>0.98983143600000023</v>
      </c>
      <c r="V30" s="2">
        <f t="shared" si="28"/>
        <v>0</v>
      </c>
      <c r="W30" s="2">
        <f t="shared" si="29"/>
        <v>0</v>
      </c>
      <c r="X30" s="2">
        <f t="shared" si="30"/>
        <v>9.92</v>
      </c>
      <c r="Y30" s="2">
        <f t="shared" si="31"/>
        <v>7.79</v>
      </c>
      <c r="Z30" s="2"/>
      <c r="AA30" s="2">
        <v>56622586</v>
      </c>
      <c r="AB30" s="2">
        <f t="shared" si="32"/>
        <v>1507.8579999999999</v>
      </c>
      <c r="AC30" s="2">
        <f t="shared" si="33"/>
        <v>0</v>
      </c>
      <c r="AD30" s="2">
        <f t="shared" si="34"/>
        <v>1474.693</v>
      </c>
      <c r="AE30" s="2">
        <f t="shared" si="35"/>
        <v>145.72800000000001</v>
      </c>
      <c r="AF30" s="2">
        <f t="shared" si="35"/>
        <v>33.164999999999999</v>
      </c>
      <c r="AG30" s="2">
        <f t="shared" si="36"/>
        <v>0</v>
      </c>
      <c r="AH30" s="2">
        <f t="shared" si="37"/>
        <v>3.2450000000000006</v>
      </c>
      <c r="AI30" s="2">
        <f t="shared" si="37"/>
        <v>0</v>
      </c>
      <c r="AJ30" s="2">
        <f t="shared" si="38"/>
        <v>0</v>
      </c>
      <c r="AK30" s="2">
        <v>1370.78</v>
      </c>
      <c r="AL30" s="2">
        <v>0</v>
      </c>
      <c r="AM30" s="2">
        <v>1340.63</v>
      </c>
      <c r="AN30" s="2">
        <v>132.47999999999999</v>
      </c>
      <c r="AO30" s="2">
        <v>30.15</v>
      </c>
      <c r="AP30" s="2">
        <v>0</v>
      </c>
      <c r="AQ30" s="2">
        <v>2.95</v>
      </c>
      <c r="AR30" s="2">
        <v>0</v>
      </c>
      <c r="AS30" s="2">
        <v>0</v>
      </c>
      <c r="AT30" s="2">
        <v>98</v>
      </c>
      <c r="AU30" s="2">
        <v>77</v>
      </c>
      <c r="AV30" s="2">
        <v>1.1919999999999999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1</v>
      </c>
      <c r="BJ30" s="2" t="s">
        <v>29</v>
      </c>
      <c r="BK30" s="2"/>
      <c r="BL30" s="2"/>
      <c r="BM30" s="2">
        <v>2</v>
      </c>
      <c r="BN30" s="2">
        <v>0</v>
      </c>
      <c r="BO30" s="2" t="s">
        <v>3</v>
      </c>
      <c r="BP30" s="2">
        <v>0</v>
      </c>
      <c r="BQ30" s="2">
        <v>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98</v>
      </c>
      <c r="CA30" s="2">
        <v>77</v>
      </c>
      <c r="CB30" s="2" t="s">
        <v>3</v>
      </c>
      <c r="CC30" s="2"/>
      <c r="CD30" s="2"/>
      <c r="CE30" s="2">
        <v>30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671</v>
      </c>
      <c r="CO30" s="2">
        <v>0</v>
      </c>
      <c r="CP30" s="2">
        <f t="shared" si="39"/>
        <v>459.95</v>
      </c>
      <c r="CQ30" s="2">
        <f t="shared" si="40"/>
        <v>0</v>
      </c>
      <c r="CR30" s="2">
        <f t="shared" si="41"/>
        <v>1757.83</v>
      </c>
      <c r="CS30" s="2">
        <f t="shared" si="42"/>
        <v>173.71</v>
      </c>
      <c r="CT30" s="2">
        <f t="shared" si="43"/>
        <v>39.53</v>
      </c>
      <c r="CU30" s="2">
        <f t="shared" si="44"/>
        <v>0</v>
      </c>
      <c r="CV30" s="2">
        <f t="shared" si="45"/>
        <v>3.8680400000000006</v>
      </c>
      <c r="CW30" s="2">
        <f t="shared" si="46"/>
        <v>0</v>
      </c>
      <c r="CX30" s="2">
        <f t="shared" si="47"/>
        <v>0</v>
      </c>
      <c r="CY30" s="2">
        <f>((S30*BZ30)/100)</f>
        <v>9.9175999999999984</v>
      </c>
      <c r="CZ30" s="2">
        <f>((S30*CA30)/100)</f>
        <v>7.7923999999999989</v>
      </c>
      <c r="DA30" s="2"/>
      <c r="DB30" s="2"/>
      <c r="DC30" s="2" t="s">
        <v>3</v>
      </c>
      <c r="DD30" s="2" t="s">
        <v>3</v>
      </c>
      <c r="DE30" s="2" t="s">
        <v>22</v>
      </c>
      <c r="DF30" s="2" t="s">
        <v>22</v>
      </c>
      <c r="DG30" s="2" t="s">
        <v>22</v>
      </c>
      <c r="DH30" s="2" t="s">
        <v>3</v>
      </c>
      <c r="DI30" s="2" t="s">
        <v>22</v>
      </c>
      <c r="DJ30" s="2" t="s">
        <v>22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20</v>
      </c>
      <c r="DW30" s="2" t="s">
        <v>20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51696085</v>
      </c>
      <c r="EF30" s="2">
        <v>30</v>
      </c>
      <c r="EG30" s="2" t="s">
        <v>16</v>
      </c>
      <c r="EH30" s="2">
        <v>0</v>
      </c>
      <c r="EI30" s="2" t="s">
        <v>3</v>
      </c>
      <c r="EJ30" s="2">
        <v>1</v>
      </c>
      <c r="EK30" s="2">
        <v>2</v>
      </c>
      <c r="EL30" s="2" t="s">
        <v>30</v>
      </c>
      <c r="EM30" s="2" t="s">
        <v>31</v>
      </c>
      <c r="EN30" s="2"/>
      <c r="EO30" s="2" t="s">
        <v>25</v>
      </c>
      <c r="EP30" s="2"/>
      <c r="EQ30" s="2">
        <v>131072</v>
      </c>
      <c r="ER30" s="2">
        <v>1370.78</v>
      </c>
      <c r="ES30" s="2">
        <v>0</v>
      </c>
      <c r="ET30" s="2">
        <v>1340.63</v>
      </c>
      <c r="EU30" s="2">
        <v>132.47999999999999</v>
      </c>
      <c r="EV30" s="2">
        <v>30.15</v>
      </c>
      <c r="EW30" s="2">
        <v>2.95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98</v>
      </c>
      <c r="FY30" s="2">
        <v>77</v>
      </c>
      <c r="FZ30" s="2"/>
      <c r="GA30" s="2" t="s">
        <v>3</v>
      </c>
      <c r="GB30" s="2"/>
      <c r="GC30" s="2"/>
      <c r="GD30" s="2">
        <v>0</v>
      </c>
      <c r="GE30" s="2"/>
      <c r="GF30" s="2">
        <v>-1260581983</v>
      </c>
      <c r="GG30" s="2">
        <v>2</v>
      </c>
      <c r="GH30" s="2">
        <v>1</v>
      </c>
      <c r="GI30" s="2">
        <v>-2</v>
      </c>
      <c r="GJ30" s="2">
        <v>0</v>
      </c>
      <c r="GK30" s="2">
        <f>ROUND(R30*(R12)/100,2)</f>
        <v>77.790000000000006</v>
      </c>
      <c r="GL30" s="2">
        <f t="shared" si="48"/>
        <v>0</v>
      </c>
      <c r="GM30" s="2">
        <f t="shared" si="49"/>
        <v>555.45000000000005</v>
      </c>
      <c r="GN30" s="2">
        <f t="shared" si="50"/>
        <v>555.45000000000005</v>
      </c>
      <c r="GO30" s="2">
        <f t="shared" si="51"/>
        <v>0</v>
      </c>
      <c r="GP30" s="2">
        <f t="shared" si="52"/>
        <v>0</v>
      </c>
      <c r="GQ30" s="2"/>
      <c r="GR30" s="2">
        <v>0</v>
      </c>
      <c r="GS30" s="2">
        <v>0</v>
      </c>
      <c r="GT30" s="2">
        <v>0</v>
      </c>
      <c r="GU30" s="2" t="s">
        <v>3</v>
      </c>
      <c r="GV30" s="2">
        <f t="shared" si="53"/>
        <v>0</v>
      </c>
      <c r="GW30" s="2">
        <v>1</v>
      </c>
      <c r="GX30" s="2">
        <f t="shared" si="54"/>
        <v>0</v>
      </c>
      <c r="GY30" s="2"/>
      <c r="GZ30" s="2"/>
      <c r="HA30" s="2">
        <v>0</v>
      </c>
      <c r="HB30" s="2">
        <v>0</v>
      </c>
      <c r="HC30" s="2">
        <f t="shared" si="55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>
        <v>17</v>
      </c>
      <c r="B31">
        <v>1</v>
      </c>
      <c r="C31">
        <f>ROW(SmtRes!A10)</f>
        <v>10</v>
      </c>
      <c r="D31">
        <f>ROW(EtalonRes!A8)</f>
        <v>8</v>
      </c>
      <c r="E31" t="s">
        <v>26</v>
      </c>
      <c r="F31" t="s">
        <v>27</v>
      </c>
      <c r="G31" t="s">
        <v>28</v>
      </c>
      <c r="H31" t="s">
        <v>20</v>
      </c>
      <c r="I31">
        <f>ROUND(25.59/100,9)</f>
        <v>0.25590000000000002</v>
      </c>
      <c r="J31">
        <v>0</v>
      </c>
      <c r="K31">
        <f>ROUND(25.59/100,9)</f>
        <v>0.25590000000000002</v>
      </c>
      <c r="O31">
        <f t="shared" si="21"/>
        <v>5814.67</v>
      </c>
      <c r="P31">
        <f t="shared" si="22"/>
        <v>0</v>
      </c>
      <c r="Q31">
        <f t="shared" si="23"/>
        <v>5465.43</v>
      </c>
      <c r="R31">
        <f t="shared" si="24"/>
        <v>1533.97</v>
      </c>
      <c r="S31">
        <f t="shared" si="25"/>
        <v>349.24</v>
      </c>
      <c r="T31">
        <f t="shared" si="26"/>
        <v>0</v>
      </c>
      <c r="U31">
        <f t="shared" si="27"/>
        <v>0.98983143600000023</v>
      </c>
      <c r="V31">
        <f t="shared" si="28"/>
        <v>0</v>
      </c>
      <c r="W31">
        <f t="shared" si="29"/>
        <v>0</v>
      </c>
      <c r="X31">
        <f t="shared" si="30"/>
        <v>328.29</v>
      </c>
      <c r="Y31">
        <f t="shared" si="31"/>
        <v>178.11</v>
      </c>
      <c r="AA31">
        <v>56616093</v>
      </c>
      <c r="AB31">
        <f t="shared" si="32"/>
        <v>1507.8579999999999</v>
      </c>
      <c r="AC31">
        <f t="shared" si="33"/>
        <v>0</v>
      </c>
      <c r="AD31">
        <f t="shared" si="34"/>
        <v>1474.693</v>
      </c>
      <c r="AE31">
        <f t="shared" si="35"/>
        <v>145.72800000000001</v>
      </c>
      <c r="AF31">
        <f t="shared" si="35"/>
        <v>33.164999999999999</v>
      </c>
      <c r="AG31">
        <f t="shared" si="36"/>
        <v>0</v>
      </c>
      <c r="AH31">
        <f t="shared" si="37"/>
        <v>3.2450000000000006</v>
      </c>
      <c r="AI31">
        <f t="shared" si="37"/>
        <v>0</v>
      </c>
      <c r="AJ31">
        <f t="shared" si="38"/>
        <v>0</v>
      </c>
      <c r="AK31">
        <v>1370.78</v>
      </c>
      <c r="AL31">
        <v>0</v>
      </c>
      <c r="AM31">
        <v>1340.63</v>
      </c>
      <c r="AN31">
        <v>132.47999999999999</v>
      </c>
      <c r="AO31">
        <v>30.15</v>
      </c>
      <c r="AP31">
        <v>0</v>
      </c>
      <c r="AQ31">
        <v>2.95</v>
      </c>
      <c r="AR31">
        <v>0</v>
      </c>
      <c r="AS31">
        <v>0</v>
      </c>
      <c r="AT31">
        <v>94</v>
      </c>
      <c r="AU31">
        <v>51</v>
      </c>
      <c r="AV31">
        <v>1.1919999999999999</v>
      </c>
      <c r="AW31">
        <v>1</v>
      </c>
      <c r="AZ31">
        <v>1</v>
      </c>
      <c r="BA31">
        <v>34.51</v>
      </c>
      <c r="BB31">
        <v>12.15</v>
      </c>
      <c r="BC31">
        <v>1</v>
      </c>
      <c r="BD31" t="s">
        <v>3</v>
      </c>
      <c r="BE31" t="s">
        <v>3</v>
      </c>
      <c r="BF31" t="s">
        <v>3</v>
      </c>
      <c r="BG31" t="s">
        <v>3</v>
      </c>
      <c r="BH31">
        <v>0</v>
      </c>
      <c r="BI31">
        <v>1</v>
      </c>
      <c r="BJ31" t="s">
        <v>29</v>
      </c>
      <c r="BM31">
        <v>2</v>
      </c>
      <c r="BN31">
        <v>0</v>
      </c>
      <c r="BO31" t="s">
        <v>27</v>
      </c>
      <c r="BP31">
        <v>1</v>
      </c>
      <c r="BQ31">
        <v>30</v>
      </c>
      <c r="BR31">
        <v>0</v>
      </c>
      <c r="BS31">
        <v>34.51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94</v>
      </c>
      <c r="CA31">
        <v>51</v>
      </c>
      <c r="CB31" t="s">
        <v>3</v>
      </c>
      <c r="CE31">
        <v>30</v>
      </c>
      <c r="CF31">
        <v>0</v>
      </c>
      <c r="CG31">
        <v>0</v>
      </c>
      <c r="CM31">
        <v>0</v>
      </c>
      <c r="CN31" t="s">
        <v>671</v>
      </c>
      <c r="CO31">
        <v>0</v>
      </c>
      <c r="CP31">
        <f t="shared" si="39"/>
        <v>5814.67</v>
      </c>
      <c r="CQ31">
        <f t="shared" si="40"/>
        <v>0</v>
      </c>
      <c r="CR31">
        <f t="shared" si="41"/>
        <v>21357.63</v>
      </c>
      <c r="CS31">
        <f t="shared" si="42"/>
        <v>5994.73</v>
      </c>
      <c r="CT31">
        <f t="shared" si="43"/>
        <v>1364.18</v>
      </c>
      <c r="CU31">
        <f t="shared" si="44"/>
        <v>0</v>
      </c>
      <c r="CV31">
        <f t="shared" si="45"/>
        <v>3.8680400000000006</v>
      </c>
      <c r="CW31">
        <f t="shared" si="46"/>
        <v>0</v>
      </c>
      <c r="CX31">
        <f t="shared" si="47"/>
        <v>0</v>
      </c>
      <c r="CY31">
        <f>S31*(BZ31/100)</f>
        <v>328.28559999999999</v>
      </c>
      <c r="CZ31">
        <f>S31*(CA31/100)</f>
        <v>178.11240000000001</v>
      </c>
      <c r="DC31" t="s">
        <v>3</v>
      </c>
      <c r="DD31" t="s">
        <v>3</v>
      </c>
      <c r="DE31" t="s">
        <v>22</v>
      </c>
      <c r="DF31" t="s">
        <v>22</v>
      </c>
      <c r="DG31" t="s">
        <v>22</v>
      </c>
      <c r="DH31" t="s">
        <v>3</v>
      </c>
      <c r="DI31" t="s">
        <v>22</v>
      </c>
      <c r="DJ31" t="s">
        <v>22</v>
      </c>
      <c r="DK31" t="s">
        <v>3</v>
      </c>
      <c r="DL31" t="s">
        <v>3</v>
      </c>
      <c r="DM31" t="s">
        <v>3</v>
      </c>
      <c r="DN31">
        <v>98</v>
      </c>
      <c r="DO31">
        <v>77</v>
      </c>
      <c r="DP31">
        <v>1.1919999999999999</v>
      </c>
      <c r="DQ31">
        <v>1</v>
      </c>
      <c r="DU31">
        <v>1013</v>
      </c>
      <c r="DV31" t="s">
        <v>20</v>
      </c>
      <c r="DW31" t="s">
        <v>20</v>
      </c>
      <c r="DX31">
        <v>1</v>
      </c>
      <c r="DZ31" t="s">
        <v>3</v>
      </c>
      <c r="EA31" t="s">
        <v>3</v>
      </c>
      <c r="EB31" t="s">
        <v>3</v>
      </c>
      <c r="EC31" t="s">
        <v>3</v>
      </c>
      <c r="EE31">
        <v>51696085</v>
      </c>
      <c r="EF31">
        <v>30</v>
      </c>
      <c r="EG31" t="s">
        <v>16</v>
      </c>
      <c r="EH31">
        <v>0</v>
      </c>
      <c r="EI31" t="s">
        <v>3</v>
      </c>
      <c r="EJ31">
        <v>1</v>
      </c>
      <c r="EK31">
        <v>2</v>
      </c>
      <c r="EL31" t="s">
        <v>30</v>
      </c>
      <c r="EM31" t="s">
        <v>31</v>
      </c>
      <c r="EO31" t="s">
        <v>25</v>
      </c>
      <c r="EQ31">
        <v>131072</v>
      </c>
      <c r="ER31">
        <v>1370.78</v>
      </c>
      <c r="ES31">
        <v>0</v>
      </c>
      <c r="ET31">
        <v>1340.63</v>
      </c>
      <c r="EU31">
        <v>132.47999999999999</v>
      </c>
      <c r="EV31">
        <v>30.15</v>
      </c>
      <c r="EW31">
        <v>2.95</v>
      </c>
      <c r="EX31">
        <v>0</v>
      </c>
      <c r="EY31">
        <v>0</v>
      </c>
      <c r="FQ31">
        <v>0</v>
      </c>
      <c r="FR31">
        <v>0</v>
      </c>
      <c r="FS31">
        <v>0</v>
      </c>
      <c r="FX31">
        <v>98</v>
      </c>
      <c r="FY31">
        <v>77</v>
      </c>
      <c r="GA31" t="s">
        <v>3</v>
      </c>
      <c r="GD31">
        <v>0</v>
      </c>
      <c r="GF31">
        <v>-1260581983</v>
      </c>
      <c r="GG31">
        <v>2</v>
      </c>
      <c r="GH31">
        <v>1</v>
      </c>
      <c r="GI31">
        <v>2</v>
      </c>
      <c r="GJ31">
        <v>0</v>
      </c>
      <c r="GK31">
        <f>ROUND(R31*(S12)/100,2)</f>
        <v>2454.35</v>
      </c>
      <c r="GL31">
        <f t="shared" si="48"/>
        <v>0</v>
      </c>
      <c r="GM31">
        <f t="shared" si="49"/>
        <v>8775.42</v>
      </c>
      <c r="GN31">
        <f t="shared" si="50"/>
        <v>8775.42</v>
      </c>
      <c r="GO31">
        <f t="shared" si="51"/>
        <v>0</v>
      </c>
      <c r="GP31">
        <f t="shared" si="52"/>
        <v>0</v>
      </c>
      <c r="GR31">
        <v>0</v>
      </c>
      <c r="GS31">
        <v>3</v>
      </c>
      <c r="GT31">
        <v>0</v>
      </c>
      <c r="GU31" t="s">
        <v>3</v>
      </c>
      <c r="GV31">
        <f t="shared" si="53"/>
        <v>0</v>
      </c>
      <c r="GW31">
        <v>1</v>
      </c>
      <c r="GX31">
        <f t="shared" si="54"/>
        <v>0</v>
      </c>
      <c r="HA31">
        <v>0</v>
      </c>
      <c r="HB31">
        <v>0</v>
      </c>
      <c r="HC31">
        <f t="shared" si="55"/>
        <v>0</v>
      </c>
      <c r="HE31" t="s">
        <v>3</v>
      </c>
      <c r="HF31" t="s">
        <v>3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55" x14ac:dyDescent="0.2">
      <c r="A32" s="2">
        <v>17</v>
      </c>
      <c r="B32" s="2">
        <v>1</v>
      </c>
      <c r="C32" s="2">
        <f>ROW(SmtRes!A12)</f>
        <v>12</v>
      </c>
      <c r="D32" s="2">
        <f>ROW(EtalonRes!A10)</f>
        <v>10</v>
      </c>
      <c r="E32" s="2" t="s">
        <v>32</v>
      </c>
      <c r="F32" s="2" t="s">
        <v>33</v>
      </c>
      <c r="G32" s="2" t="s">
        <v>34</v>
      </c>
      <c r="H32" s="2" t="s">
        <v>20</v>
      </c>
      <c r="I32" s="2">
        <f>ROUND(71.09/100-I28-I30,9)</f>
        <v>0.24173</v>
      </c>
      <c r="J32" s="2">
        <v>0</v>
      </c>
      <c r="K32" s="2">
        <f>ROUND(71.09/100-I28-I30,9)</f>
        <v>0.24173</v>
      </c>
      <c r="L32" s="2"/>
      <c r="M32" s="2"/>
      <c r="N32" s="2"/>
      <c r="O32" s="2">
        <f t="shared" si="21"/>
        <v>299.27</v>
      </c>
      <c r="P32" s="2">
        <f t="shared" si="22"/>
        <v>0</v>
      </c>
      <c r="Q32" s="2">
        <f t="shared" si="23"/>
        <v>295.42</v>
      </c>
      <c r="R32" s="2">
        <f t="shared" si="24"/>
        <v>29.13</v>
      </c>
      <c r="S32" s="2">
        <f t="shared" si="25"/>
        <v>3.85</v>
      </c>
      <c r="T32" s="2">
        <f t="shared" si="26"/>
        <v>0</v>
      </c>
      <c r="U32" s="2">
        <f t="shared" si="27"/>
        <v>0.37717808743999998</v>
      </c>
      <c r="V32" s="2">
        <f t="shared" si="28"/>
        <v>0</v>
      </c>
      <c r="W32" s="2">
        <f t="shared" si="29"/>
        <v>0</v>
      </c>
      <c r="X32" s="2">
        <f t="shared" si="30"/>
        <v>3.77</v>
      </c>
      <c r="Y32" s="2">
        <f t="shared" si="31"/>
        <v>2.96</v>
      </c>
      <c r="Z32" s="2"/>
      <c r="AA32" s="2">
        <v>56622586</v>
      </c>
      <c r="AB32" s="2">
        <f t="shared" si="32"/>
        <v>1038.6420000000001</v>
      </c>
      <c r="AC32" s="2">
        <f t="shared" si="33"/>
        <v>0</v>
      </c>
      <c r="AD32" s="2">
        <f t="shared" si="34"/>
        <v>1025.2660000000001</v>
      </c>
      <c r="AE32" s="2">
        <f t="shared" si="35"/>
        <v>101.07899999999999</v>
      </c>
      <c r="AF32" s="2">
        <f t="shared" si="35"/>
        <v>13.375999999999999</v>
      </c>
      <c r="AG32" s="2">
        <f t="shared" si="36"/>
        <v>0</v>
      </c>
      <c r="AH32" s="2">
        <f t="shared" si="37"/>
        <v>1.3089999999999999</v>
      </c>
      <c r="AI32" s="2">
        <f t="shared" si="37"/>
        <v>0</v>
      </c>
      <c r="AJ32" s="2">
        <f t="shared" si="38"/>
        <v>0</v>
      </c>
      <c r="AK32" s="2">
        <v>944.22</v>
      </c>
      <c r="AL32" s="2">
        <v>0</v>
      </c>
      <c r="AM32" s="2">
        <v>932.06</v>
      </c>
      <c r="AN32" s="2">
        <v>91.89</v>
      </c>
      <c r="AO32" s="2">
        <v>12.16</v>
      </c>
      <c r="AP32" s="2">
        <v>0</v>
      </c>
      <c r="AQ32" s="2">
        <v>1.19</v>
      </c>
      <c r="AR32" s="2">
        <v>0</v>
      </c>
      <c r="AS32" s="2">
        <v>0</v>
      </c>
      <c r="AT32" s="2">
        <v>98</v>
      </c>
      <c r="AU32" s="2">
        <v>77</v>
      </c>
      <c r="AV32" s="2">
        <v>1.1919999999999999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1</v>
      </c>
      <c r="BJ32" s="2" t="s">
        <v>35</v>
      </c>
      <c r="BK32" s="2"/>
      <c r="BL32" s="2"/>
      <c r="BM32" s="2">
        <v>2</v>
      </c>
      <c r="BN32" s="2">
        <v>0</v>
      </c>
      <c r="BO32" s="2" t="s">
        <v>3</v>
      </c>
      <c r="BP32" s="2">
        <v>0</v>
      </c>
      <c r="BQ32" s="2">
        <v>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98</v>
      </c>
      <c r="CA32" s="2">
        <v>77</v>
      </c>
      <c r="CB32" s="2" t="s">
        <v>3</v>
      </c>
      <c r="CC32" s="2"/>
      <c r="CD32" s="2"/>
      <c r="CE32" s="2">
        <v>30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671</v>
      </c>
      <c r="CO32" s="2">
        <v>0</v>
      </c>
      <c r="CP32" s="2">
        <f t="shared" si="39"/>
        <v>299.27000000000004</v>
      </c>
      <c r="CQ32" s="2">
        <f t="shared" si="40"/>
        <v>0</v>
      </c>
      <c r="CR32" s="2">
        <f t="shared" si="41"/>
        <v>1222.1199999999999</v>
      </c>
      <c r="CS32" s="2">
        <f t="shared" si="42"/>
        <v>120.49</v>
      </c>
      <c r="CT32" s="2">
        <f t="shared" si="43"/>
        <v>15.94</v>
      </c>
      <c r="CU32" s="2">
        <f t="shared" si="44"/>
        <v>0</v>
      </c>
      <c r="CV32" s="2">
        <f t="shared" si="45"/>
        <v>1.5603279999999999</v>
      </c>
      <c r="CW32" s="2">
        <f t="shared" si="46"/>
        <v>0</v>
      </c>
      <c r="CX32" s="2">
        <f t="shared" si="47"/>
        <v>0</v>
      </c>
      <c r="CY32" s="2">
        <f>((S32*BZ32)/100)</f>
        <v>3.7730000000000001</v>
      </c>
      <c r="CZ32" s="2">
        <f>((S32*CA32)/100)</f>
        <v>2.9644999999999997</v>
      </c>
      <c r="DA32" s="2"/>
      <c r="DB32" s="2"/>
      <c r="DC32" s="2" t="s">
        <v>3</v>
      </c>
      <c r="DD32" s="2" t="s">
        <v>3</v>
      </c>
      <c r="DE32" s="2" t="s">
        <v>22</v>
      </c>
      <c r="DF32" s="2" t="s">
        <v>22</v>
      </c>
      <c r="DG32" s="2" t="s">
        <v>22</v>
      </c>
      <c r="DH32" s="2" t="s">
        <v>3</v>
      </c>
      <c r="DI32" s="2" t="s">
        <v>22</v>
      </c>
      <c r="DJ32" s="2" t="s">
        <v>22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20</v>
      </c>
      <c r="DW32" s="2" t="s">
        <v>20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51696085</v>
      </c>
      <c r="EF32" s="2">
        <v>30</v>
      </c>
      <c r="EG32" s="2" t="s">
        <v>16</v>
      </c>
      <c r="EH32" s="2">
        <v>0</v>
      </c>
      <c r="EI32" s="2" t="s">
        <v>3</v>
      </c>
      <c r="EJ32" s="2">
        <v>1</v>
      </c>
      <c r="EK32" s="2">
        <v>2</v>
      </c>
      <c r="EL32" s="2" t="s">
        <v>30</v>
      </c>
      <c r="EM32" s="2" t="s">
        <v>31</v>
      </c>
      <c r="EN32" s="2"/>
      <c r="EO32" s="2" t="s">
        <v>25</v>
      </c>
      <c r="EP32" s="2"/>
      <c r="EQ32" s="2">
        <v>131072</v>
      </c>
      <c r="ER32" s="2">
        <v>944.22</v>
      </c>
      <c r="ES32" s="2">
        <v>0</v>
      </c>
      <c r="ET32" s="2">
        <v>932.06</v>
      </c>
      <c r="EU32" s="2">
        <v>91.89</v>
      </c>
      <c r="EV32" s="2">
        <v>12.16</v>
      </c>
      <c r="EW32" s="2">
        <v>1.19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98</v>
      </c>
      <c r="FY32" s="2">
        <v>77</v>
      </c>
      <c r="FZ32" s="2"/>
      <c r="GA32" s="2" t="s">
        <v>3</v>
      </c>
      <c r="GB32" s="2"/>
      <c r="GC32" s="2"/>
      <c r="GD32" s="2">
        <v>0</v>
      </c>
      <c r="GE32" s="2"/>
      <c r="GF32" s="2">
        <v>864155608</v>
      </c>
      <c r="GG32" s="2">
        <v>2</v>
      </c>
      <c r="GH32" s="2">
        <v>1</v>
      </c>
      <c r="GI32" s="2">
        <v>-2</v>
      </c>
      <c r="GJ32" s="2">
        <v>0</v>
      </c>
      <c r="GK32" s="2">
        <f>ROUND(R32*(R12)/100,2)</f>
        <v>50.98</v>
      </c>
      <c r="GL32" s="2">
        <f t="shared" si="48"/>
        <v>0</v>
      </c>
      <c r="GM32" s="2">
        <f t="shared" si="49"/>
        <v>356.98</v>
      </c>
      <c r="GN32" s="2">
        <f t="shared" si="50"/>
        <v>356.98</v>
      </c>
      <c r="GO32" s="2">
        <f t="shared" si="51"/>
        <v>0</v>
      </c>
      <c r="GP32" s="2">
        <f t="shared" si="52"/>
        <v>0</v>
      </c>
      <c r="GQ32" s="2"/>
      <c r="GR32" s="2">
        <v>0</v>
      </c>
      <c r="GS32" s="2">
        <v>0</v>
      </c>
      <c r="GT32" s="2">
        <v>0</v>
      </c>
      <c r="GU32" s="2" t="s">
        <v>3</v>
      </c>
      <c r="GV32" s="2">
        <f t="shared" si="53"/>
        <v>0</v>
      </c>
      <c r="GW32" s="2">
        <v>1</v>
      </c>
      <c r="GX32" s="2">
        <f t="shared" si="54"/>
        <v>0</v>
      </c>
      <c r="GY32" s="2"/>
      <c r="GZ32" s="2"/>
      <c r="HA32" s="2">
        <v>0</v>
      </c>
      <c r="HB32" s="2">
        <v>0</v>
      </c>
      <c r="HC32" s="2">
        <f t="shared" si="55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>
        <v>17</v>
      </c>
      <c r="B33">
        <v>1</v>
      </c>
      <c r="C33">
        <f>ROW(SmtRes!A14)</f>
        <v>14</v>
      </c>
      <c r="D33">
        <f>ROW(EtalonRes!A12)</f>
        <v>12</v>
      </c>
      <c r="E33" t="s">
        <v>32</v>
      </c>
      <c r="F33" t="s">
        <v>33</v>
      </c>
      <c r="G33" t="s">
        <v>34</v>
      </c>
      <c r="H33" t="s">
        <v>20</v>
      </c>
      <c r="I33">
        <f>ROUND(71.09/100-I29-I31,9)</f>
        <v>0.24173</v>
      </c>
      <c r="J33">
        <v>0</v>
      </c>
      <c r="K33">
        <f>ROUND(71.09/100-I29-I31,9)</f>
        <v>0.24173</v>
      </c>
      <c r="O33">
        <f t="shared" si="21"/>
        <v>3728.12</v>
      </c>
      <c r="P33">
        <f t="shared" si="22"/>
        <v>0</v>
      </c>
      <c r="Q33">
        <f t="shared" si="23"/>
        <v>3595.26</v>
      </c>
      <c r="R33">
        <f t="shared" si="24"/>
        <v>1005.28</v>
      </c>
      <c r="S33">
        <f t="shared" si="25"/>
        <v>132.86000000000001</v>
      </c>
      <c r="T33">
        <f t="shared" si="26"/>
        <v>0</v>
      </c>
      <c r="U33">
        <f t="shared" si="27"/>
        <v>0.37717808743999998</v>
      </c>
      <c r="V33">
        <f t="shared" si="28"/>
        <v>0</v>
      </c>
      <c r="W33">
        <f t="shared" si="29"/>
        <v>0</v>
      </c>
      <c r="X33">
        <f t="shared" si="30"/>
        <v>124.89</v>
      </c>
      <c r="Y33">
        <f t="shared" si="31"/>
        <v>67.760000000000005</v>
      </c>
      <c r="AA33">
        <v>56616093</v>
      </c>
      <c r="AB33">
        <f t="shared" si="32"/>
        <v>1038.6420000000001</v>
      </c>
      <c r="AC33">
        <f t="shared" si="33"/>
        <v>0</v>
      </c>
      <c r="AD33">
        <f t="shared" si="34"/>
        <v>1025.2660000000001</v>
      </c>
      <c r="AE33">
        <f t="shared" si="35"/>
        <v>101.07899999999999</v>
      </c>
      <c r="AF33">
        <f t="shared" si="35"/>
        <v>13.375999999999999</v>
      </c>
      <c r="AG33">
        <f t="shared" si="36"/>
        <v>0</v>
      </c>
      <c r="AH33">
        <f t="shared" si="37"/>
        <v>1.3089999999999999</v>
      </c>
      <c r="AI33">
        <f t="shared" si="37"/>
        <v>0</v>
      </c>
      <c r="AJ33">
        <f t="shared" si="38"/>
        <v>0</v>
      </c>
      <c r="AK33">
        <v>944.22</v>
      </c>
      <c r="AL33">
        <v>0</v>
      </c>
      <c r="AM33">
        <v>932.06</v>
      </c>
      <c r="AN33">
        <v>91.89</v>
      </c>
      <c r="AO33">
        <v>12.16</v>
      </c>
      <c r="AP33">
        <v>0</v>
      </c>
      <c r="AQ33">
        <v>1.19</v>
      </c>
      <c r="AR33">
        <v>0</v>
      </c>
      <c r="AS33">
        <v>0</v>
      </c>
      <c r="AT33">
        <v>94</v>
      </c>
      <c r="AU33">
        <v>51</v>
      </c>
      <c r="AV33">
        <v>1.1919999999999999</v>
      </c>
      <c r="AW33">
        <v>1</v>
      </c>
      <c r="AZ33">
        <v>1</v>
      </c>
      <c r="BA33">
        <v>34.51</v>
      </c>
      <c r="BB33">
        <v>12.17</v>
      </c>
      <c r="BC33">
        <v>1</v>
      </c>
      <c r="BD33" t="s">
        <v>3</v>
      </c>
      <c r="BE33" t="s">
        <v>3</v>
      </c>
      <c r="BF33" t="s">
        <v>3</v>
      </c>
      <c r="BG33" t="s">
        <v>3</v>
      </c>
      <c r="BH33">
        <v>0</v>
      </c>
      <c r="BI33">
        <v>1</v>
      </c>
      <c r="BJ33" t="s">
        <v>35</v>
      </c>
      <c r="BM33">
        <v>2</v>
      </c>
      <c r="BN33">
        <v>0</v>
      </c>
      <c r="BO33" t="s">
        <v>33</v>
      </c>
      <c r="BP33">
        <v>1</v>
      </c>
      <c r="BQ33">
        <v>30</v>
      </c>
      <c r="BR33">
        <v>0</v>
      </c>
      <c r="BS33">
        <v>34.51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94</v>
      </c>
      <c r="CA33">
        <v>51</v>
      </c>
      <c r="CB33" t="s">
        <v>3</v>
      </c>
      <c r="CE33">
        <v>30</v>
      </c>
      <c r="CF33">
        <v>0</v>
      </c>
      <c r="CG33">
        <v>0</v>
      </c>
      <c r="CM33">
        <v>0</v>
      </c>
      <c r="CN33" t="s">
        <v>671</v>
      </c>
      <c r="CO33">
        <v>0</v>
      </c>
      <c r="CP33">
        <f t="shared" si="39"/>
        <v>3728.1200000000003</v>
      </c>
      <c r="CQ33">
        <f t="shared" si="40"/>
        <v>0</v>
      </c>
      <c r="CR33">
        <f t="shared" si="41"/>
        <v>14873.2</v>
      </c>
      <c r="CS33">
        <f t="shared" si="42"/>
        <v>4158.1099999999997</v>
      </c>
      <c r="CT33">
        <f t="shared" si="43"/>
        <v>550.09</v>
      </c>
      <c r="CU33">
        <f t="shared" si="44"/>
        <v>0</v>
      </c>
      <c r="CV33">
        <f t="shared" si="45"/>
        <v>1.5603279999999999</v>
      </c>
      <c r="CW33">
        <f t="shared" si="46"/>
        <v>0</v>
      </c>
      <c r="CX33">
        <f t="shared" si="47"/>
        <v>0</v>
      </c>
      <c r="CY33">
        <f>S33*(BZ33/100)</f>
        <v>124.8884</v>
      </c>
      <c r="CZ33">
        <f>S33*(CA33/100)</f>
        <v>67.758600000000001</v>
      </c>
      <c r="DC33" t="s">
        <v>3</v>
      </c>
      <c r="DD33" t="s">
        <v>3</v>
      </c>
      <c r="DE33" t="s">
        <v>22</v>
      </c>
      <c r="DF33" t="s">
        <v>22</v>
      </c>
      <c r="DG33" t="s">
        <v>22</v>
      </c>
      <c r="DH33" t="s">
        <v>3</v>
      </c>
      <c r="DI33" t="s">
        <v>22</v>
      </c>
      <c r="DJ33" t="s">
        <v>22</v>
      </c>
      <c r="DK33" t="s">
        <v>3</v>
      </c>
      <c r="DL33" t="s">
        <v>3</v>
      </c>
      <c r="DM33" t="s">
        <v>3</v>
      </c>
      <c r="DN33">
        <v>98</v>
      </c>
      <c r="DO33">
        <v>77</v>
      </c>
      <c r="DP33">
        <v>1.1919999999999999</v>
      </c>
      <c r="DQ33">
        <v>1</v>
      </c>
      <c r="DU33">
        <v>1013</v>
      </c>
      <c r="DV33" t="s">
        <v>20</v>
      </c>
      <c r="DW33" t="s">
        <v>20</v>
      </c>
      <c r="DX33">
        <v>1</v>
      </c>
      <c r="DZ33" t="s">
        <v>3</v>
      </c>
      <c r="EA33" t="s">
        <v>3</v>
      </c>
      <c r="EB33" t="s">
        <v>3</v>
      </c>
      <c r="EC33" t="s">
        <v>3</v>
      </c>
      <c r="EE33">
        <v>51696085</v>
      </c>
      <c r="EF33">
        <v>30</v>
      </c>
      <c r="EG33" t="s">
        <v>16</v>
      </c>
      <c r="EH33">
        <v>0</v>
      </c>
      <c r="EI33" t="s">
        <v>3</v>
      </c>
      <c r="EJ33">
        <v>1</v>
      </c>
      <c r="EK33">
        <v>2</v>
      </c>
      <c r="EL33" t="s">
        <v>30</v>
      </c>
      <c r="EM33" t="s">
        <v>31</v>
      </c>
      <c r="EO33" t="s">
        <v>25</v>
      </c>
      <c r="EQ33">
        <v>131072</v>
      </c>
      <c r="ER33">
        <v>944.22</v>
      </c>
      <c r="ES33">
        <v>0</v>
      </c>
      <c r="ET33">
        <v>932.06</v>
      </c>
      <c r="EU33">
        <v>91.89</v>
      </c>
      <c r="EV33">
        <v>12.16</v>
      </c>
      <c r="EW33">
        <v>1.19</v>
      </c>
      <c r="EX33">
        <v>0</v>
      </c>
      <c r="EY33">
        <v>0</v>
      </c>
      <c r="FQ33">
        <v>0</v>
      </c>
      <c r="FR33">
        <v>0</v>
      </c>
      <c r="FS33">
        <v>0</v>
      </c>
      <c r="FX33">
        <v>98</v>
      </c>
      <c r="FY33">
        <v>77</v>
      </c>
      <c r="GA33" t="s">
        <v>3</v>
      </c>
      <c r="GD33">
        <v>0</v>
      </c>
      <c r="GF33">
        <v>864155608</v>
      </c>
      <c r="GG33">
        <v>2</v>
      </c>
      <c r="GH33">
        <v>1</v>
      </c>
      <c r="GI33">
        <v>2</v>
      </c>
      <c r="GJ33">
        <v>0</v>
      </c>
      <c r="GK33">
        <f>ROUND(R33*(S12)/100,2)</f>
        <v>1608.45</v>
      </c>
      <c r="GL33">
        <f t="shared" si="48"/>
        <v>0</v>
      </c>
      <c r="GM33">
        <f t="shared" si="49"/>
        <v>5529.22</v>
      </c>
      <c r="GN33">
        <f t="shared" si="50"/>
        <v>5529.22</v>
      </c>
      <c r="GO33">
        <f t="shared" si="51"/>
        <v>0</v>
      </c>
      <c r="GP33">
        <f t="shared" si="52"/>
        <v>0</v>
      </c>
      <c r="GR33">
        <v>0</v>
      </c>
      <c r="GS33">
        <v>3</v>
      </c>
      <c r="GT33">
        <v>0</v>
      </c>
      <c r="GU33" t="s">
        <v>3</v>
      </c>
      <c r="GV33">
        <f t="shared" si="53"/>
        <v>0</v>
      </c>
      <c r="GW33">
        <v>1</v>
      </c>
      <c r="GX33">
        <f t="shared" si="54"/>
        <v>0</v>
      </c>
      <c r="HA33">
        <v>0</v>
      </c>
      <c r="HB33">
        <v>0</v>
      </c>
      <c r="HC33">
        <f t="shared" si="55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55" x14ac:dyDescent="0.2">
      <c r="A34" s="2">
        <v>17</v>
      </c>
      <c r="B34" s="2">
        <v>1</v>
      </c>
      <c r="C34" s="2">
        <f>ROW(SmtRes!A15)</f>
        <v>15</v>
      </c>
      <c r="D34" s="2">
        <f>ROW(EtalonRes!A13)</f>
        <v>13</v>
      </c>
      <c r="E34" s="2" t="s">
        <v>36</v>
      </c>
      <c r="F34" s="2" t="s">
        <v>37</v>
      </c>
      <c r="G34" s="2" t="s">
        <v>38</v>
      </c>
      <c r="H34" s="2" t="s">
        <v>20</v>
      </c>
      <c r="I34" s="2">
        <f>ROUND(45.5*0.3/100,9)</f>
        <v>0.13650000000000001</v>
      </c>
      <c r="J34" s="2">
        <v>0</v>
      </c>
      <c r="K34" s="2">
        <f>ROUND(45.5*0.3/100,9)</f>
        <v>0.13650000000000001</v>
      </c>
      <c r="L34" s="2"/>
      <c r="M34" s="2"/>
      <c r="N34" s="2"/>
      <c r="O34" s="2">
        <f t="shared" si="21"/>
        <v>196.97</v>
      </c>
      <c r="P34" s="2">
        <f t="shared" si="22"/>
        <v>0</v>
      </c>
      <c r="Q34" s="2">
        <f t="shared" si="23"/>
        <v>0</v>
      </c>
      <c r="R34" s="2">
        <f t="shared" si="24"/>
        <v>0</v>
      </c>
      <c r="S34" s="2">
        <f t="shared" si="25"/>
        <v>196.97</v>
      </c>
      <c r="T34" s="2">
        <f t="shared" si="26"/>
        <v>0</v>
      </c>
      <c r="U34" s="2">
        <f t="shared" si="27"/>
        <v>20.057925888000003</v>
      </c>
      <c r="V34" s="2">
        <f t="shared" si="28"/>
        <v>0</v>
      </c>
      <c r="W34" s="2">
        <f t="shared" si="29"/>
        <v>0</v>
      </c>
      <c r="X34" s="2">
        <f t="shared" si="30"/>
        <v>206.82</v>
      </c>
      <c r="Y34" s="2">
        <f t="shared" si="31"/>
        <v>151.66999999999999</v>
      </c>
      <c r="Z34" s="2"/>
      <c r="AA34" s="2">
        <v>56622586</v>
      </c>
      <c r="AB34" s="2">
        <f t="shared" si="32"/>
        <v>1156.2429999999999</v>
      </c>
      <c r="AC34" s="2">
        <f t="shared" si="33"/>
        <v>0</v>
      </c>
      <c r="AD34" s="2">
        <f t="shared" si="34"/>
        <v>0</v>
      </c>
      <c r="AE34" s="2">
        <f t="shared" si="35"/>
        <v>0</v>
      </c>
      <c r="AF34" s="2">
        <f t="shared" si="35"/>
        <v>1156.2429999999999</v>
      </c>
      <c r="AG34" s="2">
        <f t="shared" si="36"/>
        <v>0</v>
      </c>
      <c r="AH34" s="2">
        <f t="shared" si="37"/>
        <v>117.74400000000001</v>
      </c>
      <c r="AI34" s="2">
        <f t="shared" si="37"/>
        <v>0</v>
      </c>
      <c r="AJ34" s="2">
        <f t="shared" si="38"/>
        <v>0</v>
      </c>
      <c r="AK34" s="2">
        <v>1051.1300000000001</v>
      </c>
      <c r="AL34" s="2">
        <v>0</v>
      </c>
      <c r="AM34" s="2">
        <v>0</v>
      </c>
      <c r="AN34" s="2">
        <v>0</v>
      </c>
      <c r="AO34" s="2">
        <v>1051.1300000000001</v>
      </c>
      <c r="AP34" s="2">
        <v>0</v>
      </c>
      <c r="AQ34" s="2">
        <v>107.04</v>
      </c>
      <c r="AR34" s="2">
        <v>0</v>
      </c>
      <c r="AS34" s="2">
        <v>0</v>
      </c>
      <c r="AT34" s="2">
        <v>105</v>
      </c>
      <c r="AU34" s="2">
        <v>77</v>
      </c>
      <c r="AV34" s="2">
        <v>1.248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1</v>
      </c>
      <c r="BJ34" s="2" t="s">
        <v>39</v>
      </c>
      <c r="BK34" s="2"/>
      <c r="BL34" s="2"/>
      <c r="BM34" s="2">
        <v>16</v>
      </c>
      <c r="BN34" s="2">
        <v>0</v>
      </c>
      <c r="BO34" s="2" t="s">
        <v>3</v>
      </c>
      <c r="BP34" s="2">
        <v>0</v>
      </c>
      <c r="BQ34" s="2">
        <v>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105</v>
      </c>
      <c r="CA34" s="2">
        <v>77</v>
      </c>
      <c r="CB34" s="2" t="s">
        <v>3</v>
      </c>
      <c r="CC34" s="2"/>
      <c r="CD34" s="2"/>
      <c r="CE34" s="2">
        <v>30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671</v>
      </c>
      <c r="CO34" s="2">
        <v>0</v>
      </c>
      <c r="CP34" s="2">
        <f t="shared" si="39"/>
        <v>196.97</v>
      </c>
      <c r="CQ34" s="2">
        <f t="shared" si="40"/>
        <v>0</v>
      </c>
      <c r="CR34" s="2">
        <f t="shared" si="41"/>
        <v>0</v>
      </c>
      <c r="CS34" s="2">
        <f t="shared" si="42"/>
        <v>0</v>
      </c>
      <c r="CT34" s="2">
        <f t="shared" si="43"/>
        <v>1442.99</v>
      </c>
      <c r="CU34" s="2">
        <f t="shared" si="44"/>
        <v>0</v>
      </c>
      <c r="CV34" s="2">
        <f t="shared" si="45"/>
        <v>146.944512</v>
      </c>
      <c r="CW34" s="2">
        <f t="shared" si="46"/>
        <v>0</v>
      </c>
      <c r="CX34" s="2">
        <f t="shared" si="47"/>
        <v>0</v>
      </c>
      <c r="CY34" s="2">
        <f>((S34*BZ34)/100)</f>
        <v>206.81849999999997</v>
      </c>
      <c r="CZ34" s="2">
        <f>((S34*CA34)/100)</f>
        <v>151.6669</v>
      </c>
      <c r="DA34" s="2"/>
      <c r="DB34" s="2"/>
      <c r="DC34" s="2" t="s">
        <v>3</v>
      </c>
      <c r="DD34" s="2" t="s">
        <v>3</v>
      </c>
      <c r="DE34" s="2" t="s">
        <v>22</v>
      </c>
      <c r="DF34" s="2" t="s">
        <v>22</v>
      </c>
      <c r="DG34" s="2" t="s">
        <v>22</v>
      </c>
      <c r="DH34" s="2" t="s">
        <v>3</v>
      </c>
      <c r="DI34" s="2" t="s">
        <v>22</v>
      </c>
      <c r="DJ34" s="2" t="s">
        <v>22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20</v>
      </c>
      <c r="DW34" s="2" t="s">
        <v>20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51696099</v>
      </c>
      <c r="EF34" s="2">
        <v>30</v>
      </c>
      <c r="EG34" s="2" t="s">
        <v>16</v>
      </c>
      <c r="EH34" s="2">
        <v>0</v>
      </c>
      <c r="EI34" s="2" t="s">
        <v>3</v>
      </c>
      <c r="EJ34" s="2">
        <v>1</v>
      </c>
      <c r="EK34" s="2">
        <v>16</v>
      </c>
      <c r="EL34" s="2" t="s">
        <v>23</v>
      </c>
      <c r="EM34" s="2" t="s">
        <v>24</v>
      </c>
      <c r="EN34" s="2"/>
      <c r="EO34" s="2" t="s">
        <v>25</v>
      </c>
      <c r="EP34" s="2"/>
      <c r="EQ34" s="2">
        <v>131072</v>
      </c>
      <c r="ER34" s="2">
        <v>1051.1300000000001</v>
      </c>
      <c r="ES34" s="2">
        <v>0</v>
      </c>
      <c r="ET34" s="2">
        <v>0</v>
      </c>
      <c r="EU34" s="2">
        <v>0</v>
      </c>
      <c r="EV34" s="2">
        <v>1051.1300000000001</v>
      </c>
      <c r="EW34" s="2">
        <v>107.04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105</v>
      </c>
      <c r="FY34" s="2">
        <v>77</v>
      </c>
      <c r="FZ34" s="2"/>
      <c r="GA34" s="2" t="s">
        <v>3</v>
      </c>
      <c r="GB34" s="2"/>
      <c r="GC34" s="2"/>
      <c r="GD34" s="2">
        <v>0</v>
      </c>
      <c r="GE34" s="2"/>
      <c r="GF34" s="2">
        <v>1725378853</v>
      </c>
      <c r="GG34" s="2">
        <v>2</v>
      </c>
      <c r="GH34" s="2">
        <v>1</v>
      </c>
      <c r="GI34" s="2">
        <v>-2</v>
      </c>
      <c r="GJ34" s="2">
        <v>0</v>
      </c>
      <c r="GK34" s="2">
        <f>ROUND(R34*(R12)/100,2)</f>
        <v>0</v>
      </c>
      <c r="GL34" s="2">
        <f t="shared" si="48"/>
        <v>0</v>
      </c>
      <c r="GM34" s="2">
        <f t="shared" si="49"/>
        <v>555.46</v>
      </c>
      <c r="GN34" s="2">
        <f t="shared" si="50"/>
        <v>555.46</v>
      </c>
      <c r="GO34" s="2">
        <f t="shared" si="51"/>
        <v>0</v>
      </c>
      <c r="GP34" s="2">
        <f t="shared" si="52"/>
        <v>0</v>
      </c>
      <c r="GQ34" s="2"/>
      <c r="GR34" s="2">
        <v>0</v>
      </c>
      <c r="GS34" s="2">
        <v>0</v>
      </c>
      <c r="GT34" s="2">
        <v>0</v>
      </c>
      <c r="GU34" s="2" t="s">
        <v>3</v>
      </c>
      <c r="GV34" s="2">
        <f t="shared" si="53"/>
        <v>0</v>
      </c>
      <c r="GW34" s="2">
        <v>1</v>
      </c>
      <c r="GX34" s="2">
        <f t="shared" si="54"/>
        <v>0</v>
      </c>
      <c r="GY34" s="2"/>
      <c r="GZ34" s="2"/>
      <c r="HA34" s="2">
        <v>0</v>
      </c>
      <c r="HB34" s="2">
        <v>0</v>
      </c>
      <c r="HC34" s="2">
        <f t="shared" si="55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>
        <v>17</v>
      </c>
      <c r="B35">
        <v>1</v>
      </c>
      <c r="C35">
        <f>ROW(SmtRes!A16)</f>
        <v>16</v>
      </c>
      <c r="D35">
        <f>ROW(EtalonRes!A14)</f>
        <v>14</v>
      </c>
      <c r="E35" t="s">
        <v>36</v>
      </c>
      <c r="F35" t="s">
        <v>37</v>
      </c>
      <c r="G35" t="s">
        <v>38</v>
      </c>
      <c r="H35" t="s">
        <v>20</v>
      </c>
      <c r="I35">
        <f>ROUND(45.5*0.3/100,9)</f>
        <v>0.13650000000000001</v>
      </c>
      <c r="J35">
        <v>0</v>
      </c>
      <c r="K35">
        <f>ROUND(45.5*0.3/100,9)</f>
        <v>0.13650000000000001</v>
      </c>
      <c r="O35">
        <f t="shared" si="21"/>
        <v>6797.43</v>
      </c>
      <c r="P35">
        <f t="shared" si="22"/>
        <v>0</v>
      </c>
      <c r="Q35">
        <f t="shared" si="23"/>
        <v>0</v>
      </c>
      <c r="R35">
        <f t="shared" si="24"/>
        <v>0</v>
      </c>
      <c r="S35">
        <f t="shared" si="25"/>
        <v>6797.43</v>
      </c>
      <c r="T35">
        <f t="shared" si="26"/>
        <v>0</v>
      </c>
      <c r="U35">
        <f t="shared" si="27"/>
        <v>20.057925888000003</v>
      </c>
      <c r="V35">
        <f t="shared" si="28"/>
        <v>0</v>
      </c>
      <c r="W35">
        <f t="shared" si="29"/>
        <v>0</v>
      </c>
      <c r="X35">
        <f t="shared" si="30"/>
        <v>5913.76</v>
      </c>
      <c r="Y35">
        <f t="shared" si="31"/>
        <v>2786.95</v>
      </c>
      <c r="AA35">
        <v>56616093</v>
      </c>
      <c r="AB35">
        <f t="shared" si="32"/>
        <v>1156.2429999999999</v>
      </c>
      <c r="AC35">
        <f t="shared" si="33"/>
        <v>0</v>
      </c>
      <c r="AD35">
        <f t="shared" si="34"/>
        <v>0</v>
      </c>
      <c r="AE35">
        <f t="shared" si="35"/>
        <v>0</v>
      </c>
      <c r="AF35">
        <f t="shared" si="35"/>
        <v>1156.2429999999999</v>
      </c>
      <c r="AG35">
        <f t="shared" si="36"/>
        <v>0</v>
      </c>
      <c r="AH35">
        <f t="shared" si="37"/>
        <v>117.74400000000001</v>
      </c>
      <c r="AI35">
        <f t="shared" si="37"/>
        <v>0</v>
      </c>
      <c r="AJ35">
        <f t="shared" si="38"/>
        <v>0</v>
      </c>
      <c r="AK35">
        <v>1051.1300000000001</v>
      </c>
      <c r="AL35">
        <v>0</v>
      </c>
      <c r="AM35">
        <v>0</v>
      </c>
      <c r="AN35">
        <v>0</v>
      </c>
      <c r="AO35">
        <v>1051.1300000000001</v>
      </c>
      <c r="AP35">
        <v>0</v>
      </c>
      <c r="AQ35">
        <v>107.04</v>
      </c>
      <c r="AR35">
        <v>0</v>
      </c>
      <c r="AS35">
        <v>0</v>
      </c>
      <c r="AT35">
        <v>87</v>
      </c>
      <c r="AU35">
        <v>41</v>
      </c>
      <c r="AV35">
        <v>1.248</v>
      </c>
      <c r="AW35">
        <v>1</v>
      </c>
      <c r="AZ35">
        <v>1</v>
      </c>
      <c r="BA35">
        <v>34.51</v>
      </c>
      <c r="BB35">
        <v>1</v>
      </c>
      <c r="BC35">
        <v>1</v>
      </c>
      <c r="BD35" t="s">
        <v>3</v>
      </c>
      <c r="BE35" t="s">
        <v>3</v>
      </c>
      <c r="BF35" t="s">
        <v>3</v>
      </c>
      <c r="BG35" t="s">
        <v>3</v>
      </c>
      <c r="BH35">
        <v>0</v>
      </c>
      <c r="BI35">
        <v>1</v>
      </c>
      <c r="BJ35" t="s">
        <v>39</v>
      </c>
      <c r="BM35">
        <v>16</v>
      </c>
      <c r="BN35">
        <v>0</v>
      </c>
      <c r="BO35" t="s">
        <v>37</v>
      </c>
      <c r="BP35">
        <v>1</v>
      </c>
      <c r="BQ35">
        <v>30</v>
      </c>
      <c r="BR35">
        <v>0</v>
      </c>
      <c r="BS35">
        <v>34.51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87</v>
      </c>
      <c r="CA35">
        <v>41</v>
      </c>
      <c r="CB35" t="s">
        <v>3</v>
      </c>
      <c r="CE35">
        <v>30</v>
      </c>
      <c r="CF35">
        <v>0</v>
      </c>
      <c r="CG35">
        <v>0</v>
      </c>
      <c r="CM35">
        <v>0</v>
      </c>
      <c r="CN35" t="s">
        <v>671</v>
      </c>
      <c r="CO35">
        <v>0</v>
      </c>
      <c r="CP35">
        <f t="shared" si="39"/>
        <v>6797.43</v>
      </c>
      <c r="CQ35">
        <f t="shared" si="40"/>
        <v>0</v>
      </c>
      <c r="CR35">
        <f t="shared" si="41"/>
        <v>0</v>
      </c>
      <c r="CS35">
        <f t="shared" si="42"/>
        <v>0</v>
      </c>
      <c r="CT35">
        <f t="shared" si="43"/>
        <v>49797.58</v>
      </c>
      <c r="CU35">
        <f t="shared" si="44"/>
        <v>0</v>
      </c>
      <c r="CV35">
        <f t="shared" si="45"/>
        <v>146.944512</v>
      </c>
      <c r="CW35">
        <f t="shared" si="46"/>
        <v>0</v>
      </c>
      <c r="CX35">
        <f t="shared" si="47"/>
        <v>0</v>
      </c>
      <c r="CY35">
        <f>S35*(BZ35/100)</f>
        <v>5913.7641000000003</v>
      </c>
      <c r="CZ35">
        <f>S35*(CA35/100)</f>
        <v>2786.9463000000001</v>
      </c>
      <c r="DC35" t="s">
        <v>3</v>
      </c>
      <c r="DD35" t="s">
        <v>3</v>
      </c>
      <c r="DE35" t="s">
        <v>22</v>
      </c>
      <c r="DF35" t="s">
        <v>22</v>
      </c>
      <c r="DG35" t="s">
        <v>22</v>
      </c>
      <c r="DH35" t="s">
        <v>3</v>
      </c>
      <c r="DI35" t="s">
        <v>22</v>
      </c>
      <c r="DJ35" t="s">
        <v>22</v>
      </c>
      <c r="DK35" t="s">
        <v>3</v>
      </c>
      <c r="DL35" t="s">
        <v>3</v>
      </c>
      <c r="DM35" t="s">
        <v>3</v>
      </c>
      <c r="DN35">
        <v>105</v>
      </c>
      <c r="DO35">
        <v>77</v>
      </c>
      <c r="DP35">
        <v>1.248</v>
      </c>
      <c r="DQ35">
        <v>1</v>
      </c>
      <c r="DU35">
        <v>1013</v>
      </c>
      <c r="DV35" t="s">
        <v>20</v>
      </c>
      <c r="DW35" t="s">
        <v>20</v>
      </c>
      <c r="DX35">
        <v>1</v>
      </c>
      <c r="DZ35" t="s">
        <v>3</v>
      </c>
      <c r="EA35" t="s">
        <v>3</v>
      </c>
      <c r="EB35" t="s">
        <v>3</v>
      </c>
      <c r="EC35" t="s">
        <v>3</v>
      </c>
      <c r="EE35">
        <v>51696099</v>
      </c>
      <c r="EF35">
        <v>30</v>
      </c>
      <c r="EG35" t="s">
        <v>16</v>
      </c>
      <c r="EH35">
        <v>0</v>
      </c>
      <c r="EI35" t="s">
        <v>3</v>
      </c>
      <c r="EJ35">
        <v>1</v>
      </c>
      <c r="EK35">
        <v>16</v>
      </c>
      <c r="EL35" t="s">
        <v>23</v>
      </c>
      <c r="EM35" t="s">
        <v>24</v>
      </c>
      <c r="EO35" t="s">
        <v>25</v>
      </c>
      <c r="EQ35">
        <v>131072</v>
      </c>
      <c r="ER35">
        <v>1051.1300000000001</v>
      </c>
      <c r="ES35">
        <v>0</v>
      </c>
      <c r="ET35">
        <v>0</v>
      </c>
      <c r="EU35">
        <v>0</v>
      </c>
      <c r="EV35">
        <v>1051.1300000000001</v>
      </c>
      <c r="EW35">
        <v>107.04</v>
      </c>
      <c r="EX35">
        <v>0</v>
      </c>
      <c r="EY35">
        <v>0</v>
      </c>
      <c r="FQ35">
        <v>0</v>
      </c>
      <c r="FR35">
        <v>0</v>
      </c>
      <c r="FS35">
        <v>0</v>
      </c>
      <c r="FX35">
        <v>105</v>
      </c>
      <c r="FY35">
        <v>77</v>
      </c>
      <c r="GA35" t="s">
        <v>3</v>
      </c>
      <c r="GD35">
        <v>0</v>
      </c>
      <c r="GF35">
        <v>1725378853</v>
      </c>
      <c r="GG35">
        <v>2</v>
      </c>
      <c r="GH35">
        <v>1</v>
      </c>
      <c r="GI35">
        <v>2</v>
      </c>
      <c r="GJ35">
        <v>0</v>
      </c>
      <c r="GK35">
        <f>ROUND(R35*(S12)/100,2)</f>
        <v>0</v>
      </c>
      <c r="GL35">
        <f t="shared" si="48"/>
        <v>0</v>
      </c>
      <c r="GM35">
        <f t="shared" si="49"/>
        <v>15498.14</v>
      </c>
      <c r="GN35">
        <f t="shared" si="50"/>
        <v>15498.14</v>
      </c>
      <c r="GO35">
        <f t="shared" si="51"/>
        <v>0</v>
      </c>
      <c r="GP35">
        <f t="shared" si="52"/>
        <v>0</v>
      </c>
      <c r="GR35">
        <v>0</v>
      </c>
      <c r="GS35">
        <v>3</v>
      </c>
      <c r="GT35">
        <v>0</v>
      </c>
      <c r="GU35" t="s">
        <v>3</v>
      </c>
      <c r="GV35">
        <f t="shared" si="53"/>
        <v>0</v>
      </c>
      <c r="GW35">
        <v>1</v>
      </c>
      <c r="GX35">
        <f t="shared" si="54"/>
        <v>0</v>
      </c>
      <c r="HA35">
        <v>0</v>
      </c>
      <c r="HB35">
        <v>0</v>
      </c>
      <c r="HC35">
        <f t="shared" si="55"/>
        <v>0</v>
      </c>
      <c r="HE35" t="s">
        <v>3</v>
      </c>
      <c r="HF35" t="s">
        <v>3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S35">
        <v>0</v>
      </c>
      <c r="IK35">
        <v>0</v>
      </c>
    </row>
    <row r="36" spans="1:255" x14ac:dyDescent="0.2">
      <c r="A36" s="2">
        <v>17</v>
      </c>
      <c r="B36" s="2">
        <v>1</v>
      </c>
      <c r="C36" s="2">
        <f>ROW(SmtRes!A18)</f>
        <v>18</v>
      </c>
      <c r="D36" s="2">
        <f>ROW(EtalonRes!A16)</f>
        <v>16</v>
      </c>
      <c r="E36" s="2" t="s">
        <v>40</v>
      </c>
      <c r="F36" s="2" t="s">
        <v>33</v>
      </c>
      <c r="G36" s="2" t="s">
        <v>34</v>
      </c>
      <c r="H36" s="2" t="s">
        <v>20</v>
      </c>
      <c r="I36" s="2">
        <f>ROUND(45.5*0.7/100,9)</f>
        <v>0.31850000000000001</v>
      </c>
      <c r="J36" s="2">
        <v>0</v>
      </c>
      <c r="K36" s="2">
        <f>ROUND(45.5*0.7/100,9)</f>
        <v>0.31850000000000001</v>
      </c>
      <c r="L36" s="2"/>
      <c r="M36" s="2"/>
      <c r="N36" s="2"/>
      <c r="O36" s="2">
        <f t="shared" si="21"/>
        <v>352.86</v>
      </c>
      <c r="P36" s="2">
        <f t="shared" si="22"/>
        <v>0</v>
      </c>
      <c r="Q36" s="2">
        <f>(ROUND((ROUND(((((ET36*1.1)*0.9))*AV36*I36),2)*BB36),2)+ROUND((ROUND(((AE36-(((EU36*1.1)*0.9)))*AV36*I36),2)*BS36),2))</f>
        <v>350.32</v>
      </c>
      <c r="R36" s="2">
        <f t="shared" si="24"/>
        <v>34.54</v>
      </c>
      <c r="S36" s="2">
        <f t="shared" si="25"/>
        <v>2.54</v>
      </c>
      <c r="T36" s="2">
        <f t="shared" si="26"/>
        <v>0</v>
      </c>
      <c r="U36" s="2">
        <f t="shared" si="27"/>
        <v>0.248482234</v>
      </c>
      <c r="V36" s="2">
        <f t="shared" si="28"/>
        <v>0</v>
      </c>
      <c r="W36" s="2">
        <f t="shared" si="29"/>
        <v>0</v>
      </c>
      <c r="X36" s="2">
        <f t="shared" si="30"/>
        <v>2.4900000000000002</v>
      </c>
      <c r="Y36" s="2">
        <f t="shared" si="31"/>
        <v>1.96</v>
      </c>
      <c r="Z36" s="2"/>
      <c r="AA36" s="2">
        <v>56622586</v>
      </c>
      <c r="AB36" s="2">
        <f t="shared" si="32"/>
        <v>929.42740000000003</v>
      </c>
      <c r="AC36" s="2">
        <f>ROUND(((ES36*1)),6)</f>
        <v>0</v>
      </c>
      <c r="AD36" s="2">
        <f>ROUND((((((ET36*1.1)*0.9))-(((EU36*1.1)*0.9)))+AE36),6)</f>
        <v>922.73940000000005</v>
      </c>
      <c r="AE36" s="2">
        <f>ROUND((((EU36*1.1)*0.9)),6)</f>
        <v>90.971100000000007</v>
      </c>
      <c r="AF36" s="2">
        <f>ROUND((((EV36*1.1)*0.5)),6)</f>
        <v>6.6879999999999997</v>
      </c>
      <c r="AG36" s="2">
        <f t="shared" si="36"/>
        <v>0</v>
      </c>
      <c r="AH36" s="2">
        <f>(((EW36*1.1)*0.5))</f>
        <v>0.65449999999999997</v>
      </c>
      <c r="AI36" s="2">
        <f>(((EX36*1.1)*0.9))</f>
        <v>0</v>
      </c>
      <c r="AJ36" s="2">
        <f t="shared" si="38"/>
        <v>0</v>
      </c>
      <c r="AK36" s="2">
        <v>944.22</v>
      </c>
      <c r="AL36" s="2">
        <v>0</v>
      </c>
      <c r="AM36" s="2">
        <v>932.06</v>
      </c>
      <c r="AN36" s="2">
        <v>91.89</v>
      </c>
      <c r="AO36" s="2">
        <v>12.16</v>
      </c>
      <c r="AP36" s="2">
        <v>0</v>
      </c>
      <c r="AQ36" s="2">
        <v>1.19</v>
      </c>
      <c r="AR36" s="2">
        <v>0</v>
      </c>
      <c r="AS36" s="2">
        <v>0</v>
      </c>
      <c r="AT36" s="2">
        <v>98</v>
      </c>
      <c r="AU36" s="2">
        <v>77</v>
      </c>
      <c r="AV36" s="2">
        <v>1.1919999999999999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1</v>
      </c>
      <c r="BJ36" s="2" t="s">
        <v>35</v>
      </c>
      <c r="BK36" s="2"/>
      <c r="BL36" s="2"/>
      <c r="BM36" s="2">
        <v>2</v>
      </c>
      <c r="BN36" s="2">
        <v>0</v>
      </c>
      <c r="BO36" s="2" t="s">
        <v>3</v>
      </c>
      <c r="BP36" s="2">
        <v>0</v>
      </c>
      <c r="BQ36" s="2">
        <v>30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98</v>
      </c>
      <c r="CA36" s="2">
        <v>77</v>
      </c>
      <c r="CB36" s="2" t="s">
        <v>3</v>
      </c>
      <c r="CC36" s="2"/>
      <c r="CD36" s="2"/>
      <c r="CE36" s="2">
        <v>30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672</v>
      </c>
      <c r="CO36" s="2">
        <v>0</v>
      </c>
      <c r="CP36" s="2">
        <f t="shared" si="39"/>
        <v>352.86</v>
      </c>
      <c r="CQ36" s="2">
        <f t="shared" si="40"/>
        <v>0</v>
      </c>
      <c r="CR36" s="2">
        <f>(ROUND((ROUND(((((ET36*1.1)*0.9))*AV36*1),2)*BB36),2)+ROUND((ROUND(((AE36-(((EU36*1.1)*0.9)))*AV36*1),2)*BS36),2))</f>
        <v>1099.9100000000001</v>
      </c>
      <c r="CS36" s="2">
        <f t="shared" si="42"/>
        <v>108.44</v>
      </c>
      <c r="CT36" s="2">
        <f t="shared" si="43"/>
        <v>7.97</v>
      </c>
      <c r="CU36" s="2">
        <f t="shared" si="44"/>
        <v>0</v>
      </c>
      <c r="CV36" s="2">
        <f t="shared" si="45"/>
        <v>0.78016399999999997</v>
      </c>
      <c r="CW36" s="2">
        <f t="shared" si="46"/>
        <v>0</v>
      </c>
      <c r="CX36" s="2">
        <f t="shared" si="47"/>
        <v>0</v>
      </c>
      <c r="CY36" s="2">
        <f>((S36*BZ36)/100)</f>
        <v>2.4892000000000003</v>
      </c>
      <c r="CZ36" s="2">
        <f>((S36*CA36)/100)</f>
        <v>1.9558000000000002</v>
      </c>
      <c r="DA36" s="2"/>
      <c r="DB36" s="2"/>
      <c r="DC36" s="2" t="s">
        <v>3</v>
      </c>
      <c r="DD36" s="2" t="s">
        <v>41</v>
      </c>
      <c r="DE36" s="2" t="s">
        <v>42</v>
      </c>
      <c r="DF36" s="2" t="s">
        <v>42</v>
      </c>
      <c r="DG36" s="2" t="s">
        <v>43</v>
      </c>
      <c r="DH36" s="2" t="s">
        <v>3</v>
      </c>
      <c r="DI36" s="2" t="s">
        <v>43</v>
      </c>
      <c r="DJ36" s="2" t="s">
        <v>42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20</v>
      </c>
      <c r="DW36" s="2" t="s">
        <v>20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51696085</v>
      </c>
      <c r="EF36" s="2">
        <v>30</v>
      </c>
      <c r="EG36" s="2" t="s">
        <v>16</v>
      </c>
      <c r="EH36" s="2">
        <v>0</v>
      </c>
      <c r="EI36" s="2" t="s">
        <v>3</v>
      </c>
      <c r="EJ36" s="2">
        <v>1</v>
      </c>
      <c r="EK36" s="2">
        <v>2</v>
      </c>
      <c r="EL36" s="2" t="s">
        <v>30</v>
      </c>
      <c r="EM36" s="2" t="s">
        <v>31</v>
      </c>
      <c r="EN36" s="2"/>
      <c r="EO36" s="2" t="s">
        <v>44</v>
      </c>
      <c r="EP36" s="2"/>
      <c r="EQ36" s="2">
        <v>131072</v>
      </c>
      <c r="ER36" s="2">
        <v>944.22</v>
      </c>
      <c r="ES36" s="2">
        <v>0</v>
      </c>
      <c r="ET36" s="2">
        <v>932.06</v>
      </c>
      <c r="EU36" s="2">
        <v>91.89</v>
      </c>
      <c r="EV36" s="2">
        <v>12.16</v>
      </c>
      <c r="EW36" s="2">
        <v>1.19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98</v>
      </c>
      <c r="FY36" s="2">
        <v>77</v>
      </c>
      <c r="FZ36" s="2"/>
      <c r="GA36" s="2" t="s">
        <v>3</v>
      </c>
      <c r="GB36" s="2"/>
      <c r="GC36" s="2"/>
      <c r="GD36" s="2">
        <v>0</v>
      </c>
      <c r="GE36" s="2"/>
      <c r="GF36" s="2">
        <v>864155608</v>
      </c>
      <c r="GG36" s="2">
        <v>2</v>
      </c>
      <c r="GH36" s="2">
        <v>1</v>
      </c>
      <c r="GI36" s="2">
        <v>-2</v>
      </c>
      <c r="GJ36" s="2">
        <v>0</v>
      </c>
      <c r="GK36" s="2">
        <f>ROUND(R36*(R12)/100,2)</f>
        <v>60.45</v>
      </c>
      <c r="GL36" s="2">
        <f t="shared" si="48"/>
        <v>0</v>
      </c>
      <c r="GM36" s="2">
        <f t="shared" si="49"/>
        <v>417.76</v>
      </c>
      <c r="GN36" s="2">
        <f t="shared" si="50"/>
        <v>417.76</v>
      </c>
      <c r="GO36" s="2">
        <f t="shared" si="51"/>
        <v>0</v>
      </c>
      <c r="GP36" s="2">
        <f t="shared" si="52"/>
        <v>0</v>
      </c>
      <c r="GQ36" s="2"/>
      <c r="GR36" s="2">
        <v>0</v>
      </c>
      <c r="GS36" s="2">
        <v>0</v>
      </c>
      <c r="GT36" s="2">
        <v>0</v>
      </c>
      <c r="GU36" s="2" t="s">
        <v>3</v>
      </c>
      <c r="GV36" s="2">
        <f t="shared" si="53"/>
        <v>0</v>
      </c>
      <c r="GW36" s="2">
        <v>1</v>
      </c>
      <c r="GX36" s="2">
        <f t="shared" si="54"/>
        <v>0</v>
      </c>
      <c r="GY36" s="2"/>
      <c r="GZ36" s="2"/>
      <c r="HA36" s="2">
        <v>0</v>
      </c>
      <c r="HB36" s="2">
        <v>0</v>
      </c>
      <c r="HC36" s="2">
        <f t="shared" si="55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>
        <v>17</v>
      </c>
      <c r="B37">
        <v>1</v>
      </c>
      <c r="C37">
        <f>ROW(SmtRes!A20)</f>
        <v>20</v>
      </c>
      <c r="D37">
        <f>ROW(EtalonRes!A18)</f>
        <v>18</v>
      </c>
      <c r="E37" t="s">
        <v>40</v>
      </c>
      <c r="F37" t="s">
        <v>33</v>
      </c>
      <c r="G37" t="s">
        <v>34</v>
      </c>
      <c r="H37" t="s">
        <v>20</v>
      </c>
      <c r="I37">
        <f>ROUND(45.5*0.7/100,9)</f>
        <v>0.31850000000000001</v>
      </c>
      <c r="J37">
        <v>0</v>
      </c>
      <c r="K37">
        <f>ROUND(45.5*0.7/100,9)</f>
        <v>0.31850000000000001</v>
      </c>
      <c r="O37">
        <f t="shared" si="21"/>
        <v>4351.05</v>
      </c>
      <c r="P37">
        <f t="shared" si="22"/>
        <v>0</v>
      </c>
      <c r="Q37">
        <f>(ROUND((ROUND(((((ET37*1.1)*0.9))*AV37*I37),2)*BB37),2)+ROUND((ROUND(((AE37-(((EU37*1.1)*0.9)))*AV37*I37),2)*BS37),2))</f>
        <v>4263.3900000000003</v>
      </c>
      <c r="R37">
        <f t="shared" si="24"/>
        <v>1191.98</v>
      </c>
      <c r="S37">
        <f t="shared" si="25"/>
        <v>87.66</v>
      </c>
      <c r="T37">
        <f t="shared" si="26"/>
        <v>0</v>
      </c>
      <c r="U37">
        <f t="shared" si="27"/>
        <v>0.248482234</v>
      </c>
      <c r="V37">
        <f t="shared" si="28"/>
        <v>0</v>
      </c>
      <c r="W37">
        <f t="shared" si="29"/>
        <v>0</v>
      </c>
      <c r="X37">
        <f t="shared" si="30"/>
        <v>82.4</v>
      </c>
      <c r="Y37">
        <f t="shared" si="31"/>
        <v>44.71</v>
      </c>
      <c r="AA37">
        <v>56616093</v>
      </c>
      <c r="AB37">
        <f t="shared" si="32"/>
        <v>929.42740000000003</v>
      </c>
      <c r="AC37">
        <f>ROUND(((ES37*1)),6)</f>
        <v>0</v>
      </c>
      <c r="AD37">
        <f>ROUND((((((ET37*1.1)*0.9))-(((EU37*1.1)*0.9)))+AE37),6)</f>
        <v>922.73940000000005</v>
      </c>
      <c r="AE37">
        <f>ROUND((((EU37*1.1)*0.9)),6)</f>
        <v>90.971100000000007</v>
      </c>
      <c r="AF37">
        <f>ROUND((((EV37*1.1)*0.5)),6)</f>
        <v>6.6879999999999997</v>
      </c>
      <c r="AG37">
        <f t="shared" si="36"/>
        <v>0</v>
      </c>
      <c r="AH37">
        <f>(((EW37*1.1)*0.5))</f>
        <v>0.65449999999999997</v>
      </c>
      <c r="AI37">
        <f>(((EX37*1.1)*0.9))</f>
        <v>0</v>
      </c>
      <c r="AJ37">
        <f t="shared" si="38"/>
        <v>0</v>
      </c>
      <c r="AK37">
        <v>944.22</v>
      </c>
      <c r="AL37">
        <v>0</v>
      </c>
      <c r="AM37">
        <v>932.06</v>
      </c>
      <c r="AN37">
        <v>91.89</v>
      </c>
      <c r="AO37">
        <v>12.16</v>
      </c>
      <c r="AP37">
        <v>0</v>
      </c>
      <c r="AQ37">
        <v>1.19</v>
      </c>
      <c r="AR37">
        <v>0</v>
      </c>
      <c r="AS37">
        <v>0</v>
      </c>
      <c r="AT37">
        <v>94</v>
      </c>
      <c r="AU37">
        <v>51</v>
      </c>
      <c r="AV37">
        <v>1.1919999999999999</v>
      </c>
      <c r="AW37">
        <v>1</v>
      </c>
      <c r="AZ37">
        <v>1</v>
      </c>
      <c r="BA37">
        <v>34.51</v>
      </c>
      <c r="BB37">
        <v>12.17</v>
      </c>
      <c r="BC37">
        <v>1</v>
      </c>
      <c r="BD37" t="s">
        <v>3</v>
      </c>
      <c r="BE37" t="s">
        <v>3</v>
      </c>
      <c r="BF37" t="s">
        <v>3</v>
      </c>
      <c r="BG37" t="s">
        <v>3</v>
      </c>
      <c r="BH37">
        <v>0</v>
      </c>
      <c r="BI37">
        <v>1</v>
      </c>
      <c r="BJ37" t="s">
        <v>35</v>
      </c>
      <c r="BM37">
        <v>2</v>
      </c>
      <c r="BN37">
        <v>0</v>
      </c>
      <c r="BO37" t="s">
        <v>33</v>
      </c>
      <c r="BP37">
        <v>1</v>
      </c>
      <c r="BQ37">
        <v>30</v>
      </c>
      <c r="BR37">
        <v>0</v>
      </c>
      <c r="BS37">
        <v>34.51</v>
      </c>
      <c r="BT37">
        <v>1</v>
      </c>
      <c r="BU37">
        <v>1</v>
      </c>
      <c r="BV37">
        <v>1</v>
      </c>
      <c r="BW37">
        <v>1</v>
      </c>
      <c r="BX37">
        <v>1</v>
      </c>
      <c r="BY37" t="s">
        <v>3</v>
      </c>
      <c r="BZ37">
        <v>94</v>
      </c>
      <c r="CA37">
        <v>51</v>
      </c>
      <c r="CB37" t="s">
        <v>3</v>
      </c>
      <c r="CE37">
        <v>30</v>
      </c>
      <c r="CF37">
        <v>0</v>
      </c>
      <c r="CG37">
        <v>0</v>
      </c>
      <c r="CM37">
        <v>0</v>
      </c>
      <c r="CN37" t="s">
        <v>672</v>
      </c>
      <c r="CO37">
        <v>0</v>
      </c>
      <c r="CP37">
        <f t="shared" si="39"/>
        <v>4351.05</v>
      </c>
      <c r="CQ37">
        <f t="shared" si="40"/>
        <v>0</v>
      </c>
      <c r="CR37">
        <f>(ROUND((ROUND(((((ET37*1.1)*0.9))*AV37*1),2)*BB37),2)+ROUND((ROUND(((AE37-(((EU37*1.1)*0.9)))*AV37*1),2)*BS37),2))</f>
        <v>13385.9</v>
      </c>
      <c r="CS37">
        <f t="shared" si="42"/>
        <v>3742.26</v>
      </c>
      <c r="CT37">
        <f t="shared" si="43"/>
        <v>275.04000000000002</v>
      </c>
      <c r="CU37">
        <f t="shared" si="44"/>
        <v>0</v>
      </c>
      <c r="CV37">
        <f t="shared" si="45"/>
        <v>0.78016399999999997</v>
      </c>
      <c r="CW37">
        <f t="shared" si="46"/>
        <v>0</v>
      </c>
      <c r="CX37">
        <f t="shared" si="47"/>
        <v>0</v>
      </c>
      <c r="CY37">
        <f>S37*(BZ37/100)</f>
        <v>82.400399999999991</v>
      </c>
      <c r="CZ37">
        <f>S37*(CA37/100)</f>
        <v>44.706600000000002</v>
      </c>
      <c r="DC37" t="s">
        <v>3</v>
      </c>
      <c r="DD37" t="s">
        <v>41</v>
      </c>
      <c r="DE37" t="s">
        <v>42</v>
      </c>
      <c r="DF37" t="s">
        <v>42</v>
      </c>
      <c r="DG37" t="s">
        <v>43</v>
      </c>
      <c r="DH37" t="s">
        <v>3</v>
      </c>
      <c r="DI37" t="s">
        <v>43</v>
      </c>
      <c r="DJ37" t="s">
        <v>42</v>
      </c>
      <c r="DK37" t="s">
        <v>3</v>
      </c>
      <c r="DL37" t="s">
        <v>3</v>
      </c>
      <c r="DM37" t="s">
        <v>3</v>
      </c>
      <c r="DN37">
        <v>98</v>
      </c>
      <c r="DO37">
        <v>77</v>
      </c>
      <c r="DP37">
        <v>1.1919999999999999</v>
      </c>
      <c r="DQ37">
        <v>1</v>
      </c>
      <c r="DU37">
        <v>1013</v>
      </c>
      <c r="DV37" t="s">
        <v>20</v>
      </c>
      <c r="DW37" t="s">
        <v>20</v>
      </c>
      <c r="DX37">
        <v>1</v>
      </c>
      <c r="DZ37" t="s">
        <v>3</v>
      </c>
      <c r="EA37" t="s">
        <v>3</v>
      </c>
      <c r="EB37" t="s">
        <v>3</v>
      </c>
      <c r="EC37" t="s">
        <v>3</v>
      </c>
      <c r="EE37">
        <v>51696085</v>
      </c>
      <c r="EF37">
        <v>30</v>
      </c>
      <c r="EG37" t="s">
        <v>16</v>
      </c>
      <c r="EH37">
        <v>0</v>
      </c>
      <c r="EI37" t="s">
        <v>3</v>
      </c>
      <c r="EJ37">
        <v>1</v>
      </c>
      <c r="EK37">
        <v>2</v>
      </c>
      <c r="EL37" t="s">
        <v>30</v>
      </c>
      <c r="EM37" t="s">
        <v>31</v>
      </c>
      <c r="EO37" t="s">
        <v>44</v>
      </c>
      <c r="EQ37">
        <v>131072</v>
      </c>
      <c r="ER37">
        <v>944.22</v>
      </c>
      <c r="ES37">
        <v>0</v>
      </c>
      <c r="ET37">
        <v>932.06</v>
      </c>
      <c r="EU37">
        <v>91.89</v>
      </c>
      <c r="EV37">
        <v>12.16</v>
      </c>
      <c r="EW37">
        <v>1.19</v>
      </c>
      <c r="EX37">
        <v>0</v>
      </c>
      <c r="EY37">
        <v>0</v>
      </c>
      <c r="FQ37">
        <v>0</v>
      </c>
      <c r="FR37">
        <v>0</v>
      </c>
      <c r="FS37">
        <v>0</v>
      </c>
      <c r="FX37">
        <v>98</v>
      </c>
      <c r="FY37">
        <v>77</v>
      </c>
      <c r="GA37" t="s">
        <v>3</v>
      </c>
      <c r="GD37">
        <v>0</v>
      </c>
      <c r="GF37">
        <v>864155608</v>
      </c>
      <c r="GG37">
        <v>2</v>
      </c>
      <c r="GH37">
        <v>1</v>
      </c>
      <c r="GI37">
        <v>2</v>
      </c>
      <c r="GJ37">
        <v>0</v>
      </c>
      <c r="GK37">
        <f>ROUND(R37*(S12)/100,2)</f>
        <v>1907.17</v>
      </c>
      <c r="GL37">
        <f t="shared" si="48"/>
        <v>0</v>
      </c>
      <c r="GM37">
        <f t="shared" si="49"/>
        <v>6385.33</v>
      </c>
      <c r="GN37">
        <f t="shared" si="50"/>
        <v>6385.33</v>
      </c>
      <c r="GO37">
        <f t="shared" si="51"/>
        <v>0</v>
      </c>
      <c r="GP37">
        <f t="shared" si="52"/>
        <v>0</v>
      </c>
      <c r="GR37">
        <v>0</v>
      </c>
      <c r="GS37">
        <v>3</v>
      </c>
      <c r="GT37">
        <v>0</v>
      </c>
      <c r="GU37" t="s">
        <v>3</v>
      </c>
      <c r="GV37">
        <f t="shared" si="53"/>
        <v>0</v>
      </c>
      <c r="GW37">
        <v>1</v>
      </c>
      <c r="GX37">
        <f t="shared" si="54"/>
        <v>0</v>
      </c>
      <c r="HA37">
        <v>0</v>
      </c>
      <c r="HB37">
        <v>0</v>
      </c>
      <c r="HC37">
        <f t="shared" si="55"/>
        <v>0</v>
      </c>
      <c r="HE37" t="s">
        <v>3</v>
      </c>
      <c r="HF37" t="s">
        <v>3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HS37">
        <v>0</v>
      </c>
      <c r="IK37">
        <v>0</v>
      </c>
    </row>
    <row r="38" spans="1:255" x14ac:dyDescent="0.2">
      <c r="A38" s="2">
        <v>17</v>
      </c>
      <c r="B38" s="2">
        <v>1</v>
      </c>
      <c r="C38" s="2">
        <f>ROW(SmtRes!A24)</f>
        <v>24</v>
      </c>
      <c r="D38" s="2">
        <f>ROW(EtalonRes!A22)</f>
        <v>22</v>
      </c>
      <c r="E38" s="2" t="s">
        <v>45</v>
      </c>
      <c r="F38" s="2" t="s">
        <v>46</v>
      </c>
      <c r="G38" s="2" t="s">
        <v>47</v>
      </c>
      <c r="H38" s="2" t="s">
        <v>48</v>
      </c>
      <c r="I38" s="2">
        <f>ROUND(33/1000,9)</f>
        <v>3.3000000000000002E-2</v>
      </c>
      <c r="J38" s="2">
        <v>0</v>
      </c>
      <c r="K38" s="2">
        <f>ROUND(33/1000,9)</f>
        <v>3.3000000000000002E-2</v>
      </c>
      <c r="L38" s="2"/>
      <c r="M38" s="2"/>
      <c r="N38" s="2"/>
      <c r="O38" s="2">
        <f t="shared" si="21"/>
        <v>757.31</v>
      </c>
      <c r="P38" s="2">
        <f t="shared" si="22"/>
        <v>697.55</v>
      </c>
      <c r="Q38" s="2">
        <f t="shared" ref="Q38:Q61" si="56">(ROUND((ROUND((((ET38*1.1))*AV38*I38),2)*BB38),2)+ROUND((ROUND(((AE38-((EU38*1.1)))*AV38*I38),2)*BS38),2))</f>
        <v>0</v>
      </c>
      <c r="R38" s="2">
        <f t="shared" si="24"/>
        <v>0</v>
      </c>
      <c r="S38" s="2">
        <f t="shared" si="25"/>
        <v>59.76</v>
      </c>
      <c r="T38" s="2">
        <f t="shared" si="26"/>
        <v>0</v>
      </c>
      <c r="U38" s="2">
        <f t="shared" si="27"/>
        <v>5.3450297999999998</v>
      </c>
      <c r="V38" s="2">
        <f t="shared" si="28"/>
        <v>0</v>
      </c>
      <c r="W38" s="2">
        <f t="shared" si="29"/>
        <v>0</v>
      </c>
      <c r="X38" s="2">
        <f t="shared" si="30"/>
        <v>66.930000000000007</v>
      </c>
      <c r="Y38" s="2">
        <f t="shared" si="31"/>
        <v>41.83</v>
      </c>
      <c r="Z38" s="2"/>
      <c r="AA38" s="2">
        <v>56622586</v>
      </c>
      <c r="AB38" s="2">
        <f t="shared" si="32"/>
        <v>21251.263999999999</v>
      </c>
      <c r="AC38" s="2">
        <f t="shared" ref="AC38:AC51" si="57">ROUND((ES38),6)</f>
        <v>19554.14</v>
      </c>
      <c r="AD38" s="2">
        <f t="shared" ref="AD38:AD61" si="58">ROUND(((((ET38*1.1))-((EU38*1.1)))+AE38),6)</f>
        <v>0</v>
      </c>
      <c r="AE38" s="2">
        <f t="shared" ref="AE38:AE61" si="59">ROUND(((EU38*1.1)),6)</f>
        <v>0</v>
      </c>
      <c r="AF38" s="2">
        <f t="shared" ref="AF38:AF61" si="60">ROUND(((EV38*1.1)),6)</f>
        <v>1697.124</v>
      </c>
      <c r="AG38" s="2">
        <f t="shared" si="36"/>
        <v>0</v>
      </c>
      <c r="AH38" s="2">
        <f t="shared" ref="AH38:AH61" si="61">((EW38*1.1))</f>
        <v>151.80000000000001</v>
      </c>
      <c r="AI38" s="2">
        <f t="shared" ref="AI38:AI61" si="62">((EX38*1.1))</f>
        <v>0</v>
      </c>
      <c r="AJ38" s="2">
        <f t="shared" si="38"/>
        <v>0</v>
      </c>
      <c r="AK38" s="2">
        <v>21096.98</v>
      </c>
      <c r="AL38" s="2">
        <v>19554.14</v>
      </c>
      <c r="AM38" s="2">
        <v>0</v>
      </c>
      <c r="AN38" s="2">
        <v>0</v>
      </c>
      <c r="AO38" s="2">
        <v>1542.84</v>
      </c>
      <c r="AP38" s="2">
        <v>0</v>
      </c>
      <c r="AQ38" s="2">
        <v>138</v>
      </c>
      <c r="AR38" s="2">
        <v>0</v>
      </c>
      <c r="AS38" s="2">
        <v>0</v>
      </c>
      <c r="AT38" s="2">
        <v>112</v>
      </c>
      <c r="AU38" s="2">
        <v>70</v>
      </c>
      <c r="AV38" s="2">
        <v>1.0669999999999999</v>
      </c>
      <c r="AW38" s="2">
        <v>1.081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1</v>
      </c>
      <c r="BJ38" s="2" t="s">
        <v>49</v>
      </c>
      <c r="BK38" s="2"/>
      <c r="BL38" s="2"/>
      <c r="BM38" s="2">
        <v>242</v>
      </c>
      <c r="BN38" s="2">
        <v>0</v>
      </c>
      <c r="BO38" s="2" t="s">
        <v>3</v>
      </c>
      <c r="BP38" s="2">
        <v>0</v>
      </c>
      <c r="BQ38" s="2">
        <v>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112</v>
      </c>
      <c r="CA38" s="2">
        <v>70</v>
      </c>
      <c r="CB38" s="2" t="s">
        <v>3</v>
      </c>
      <c r="CC38" s="2"/>
      <c r="CD38" s="2"/>
      <c r="CE38" s="2">
        <v>30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671</v>
      </c>
      <c r="CO38" s="2">
        <v>0</v>
      </c>
      <c r="CP38" s="2">
        <f t="shared" si="39"/>
        <v>757.31</v>
      </c>
      <c r="CQ38" s="2">
        <f t="shared" si="40"/>
        <v>21138.03</v>
      </c>
      <c r="CR38" s="2">
        <f t="shared" ref="CR38:CR61" si="63">(ROUND((ROUND((((ET38*1.1))*AV38*1),2)*BB38),2)+ROUND((ROUND(((AE38-((EU38*1.1)))*AV38*1),2)*BS38),2))</f>
        <v>0</v>
      </c>
      <c r="CS38" s="2">
        <f t="shared" si="42"/>
        <v>0</v>
      </c>
      <c r="CT38" s="2">
        <f t="shared" si="43"/>
        <v>1810.83</v>
      </c>
      <c r="CU38" s="2">
        <f t="shared" si="44"/>
        <v>0</v>
      </c>
      <c r="CV38" s="2">
        <f t="shared" si="45"/>
        <v>161.97059999999999</v>
      </c>
      <c r="CW38" s="2">
        <f t="shared" si="46"/>
        <v>0</v>
      </c>
      <c r="CX38" s="2">
        <f t="shared" si="47"/>
        <v>0</v>
      </c>
      <c r="CY38" s="2">
        <f>((S38*BZ38)/100)</f>
        <v>66.931200000000004</v>
      </c>
      <c r="CZ38" s="2">
        <f>((S38*CA38)/100)</f>
        <v>41.832000000000001</v>
      </c>
      <c r="DA38" s="2"/>
      <c r="DB38" s="2"/>
      <c r="DC38" s="2" t="s">
        <v>3</v>
      </c>
      <c r="DD38" s="2" t="s">
        <v>3</v>
      </c>
      <c r="DE38" s="2" t="s">
        <v>22</v>
      </c>
      <c r="DF38" s="2" t="s">
        <v>22</v>
      </c>
      <c r="DG38" s="2" t="s">
        <v>22</v>
      </c>
      <c r="DH38" s="2" t="s">
        <v>3</v>
      </c>
      <c r="DI38" s="2" t="s">
        <v>22</v>
      </c>
      <c r="DJ38" s="2" t="s">
        <v>22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48</v>
      </c>
      <c r="DW38" s="2" t="s">
        <v>48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51696281</v>
      </c>
      <c r="EF38" s="2">
        <v>30</v>
      </c>
      <c r="EG38" s="2" t="s">
        <v>16</v>
      </c>
      <c r="EH38" s="2">
        <v>0</v>
      </c>
      <c r="EI38" s="2" t="s">
        <v>3</v>
      </c>
      <c r="EJ38" s="2">
        <v>1</v>
      </c>
      <c r="EK38" s="2">
        <v>242</v>
      </c>
      <c r="EL38" s="2" t="s">
        <v>50</v>
      </c>
      <c r="EM38" s="2" t="s">
        <v>51</v>
      </c>
      <c r="EN38" s="2"/>
      <c r="EO38" s="2" t="s">
        <v>25</v>
      </c>
      <c r="EP38" s="2"/>
      <c r="EQ38" s="2">
        <v>131072</v>
      </c>
      <c r="ER38" s="2">
        <v>21096.98</v>
      </c>
      <c r="ES38" s="2">
        <v>19554.14</v>
      </c>
      <c r="ET38" s="2">
        <v>0</v>
      </c>
      <c r="EU38" s="2">
        <v>0</v>
      </c>
      <c r="EV38" s="2">
        <v>1542.84</v>
      </c>
      <c r="EW38" s="2">
        <v>138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112</v>
      </c>
      <c r="FY38" s="2">
        <v>70</v>
      </c>
      <c r="FZ38" s="2"/>
      <c r="GA38" s="2" t="s">
        <v>3</v>
      </c>
      <c r="GB38" s="2"/>
      <c r="GC38" s="2"/>
      <c r="GD38" s="2">
        <v>0</v>
      </c>
      <c r="GE38" s="2"/>
      <c r="GF38" s="2">
        <v>-1700748837</v>
      </c>
      <c r="GG38" s="2">
        <v>2</v>
      </c>
      <c r="GH38" s="2">
        <v>1</v>
      </c>
      <c r="GI38" s="2">
        <v>-2</v>
      </c>
      <c r="GJ38" s="2">
        <v>0</v>
      </c>
      <c r="GK38" s="2">
        <f>ROUND(R38*(R12)/100,2)</f>
        <v>0</v>
      </c>
      <c r="GL38" s="2">
        <f t="shared" si="48"/>
        <v>0</v>
      </c>
      <c r="GM38" s="2">
        <f t="shared" si="49"/>
        <v>866.07</v>
      </c>
      <c r="GN38" s="2">
        <f t="shared" si="50"/>
        <v>866.07</v>
      </c>
      <c r="GO38" s="2">
        <f t="shared" si="51"/>
        <v>0</v>
      </c>
      <c r="GP38" s="2">
        <f t="shared" si="52"/>
        <v>0</v>
      </c>
      <c r="GQ38" s="2"/>
      <c r="GR38" s="2">
        <v>0</v>
      </c>
      <c r="GS38" s="2">
        <v>0</v>
      </c>
      <c r="GT38" s="2">
        <v>0</v>
      </c>
      <c r="GU38" s="2" t="s">
        <v>3</v>
      </c>
      <c r="GV38" s="2">
        <f t="shared" si="53"/>
        <v>0</v>
      </c>
      <c r="GW38" s="2">
        <v>1</v>
      </c>
      <c r="GX38" s="2">
        <f t="shared" si="54"/>
        <v>0</v>
      </c>
      <c r="GY38" s="2"/>
      <c r="GZ38" s="2"/>
      <c r="HA38" s="2">
        <v>0</v>
      </c>
      <c r="HB38" s="2">
        <v>0</v>
      </c>
      <c r="HC38" s="2">
        <f t="shared" si="55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>
        <v>17</v>
      </c>
      <c r="B39">
        <v>1</v>
      </c>
      <c r="C39">
        <f>ROW(SmtRes!A28)</f>
        <v>28</v>
      </c>
      <c r="D39">
        <f>ROW(EtalonRes!A26)</f>
        <v>26</v>
      </c>
      <c r="E39" t="s">
        <v>45</v>
      </c>
      <c r="F39" t="s">
        <v>46</v>
      </c>
      <c r="G39" t="s">
        <v>47</v>
      </c>
      <c r="H39" t="s">
        <v>48</v>
      </c>
      <c r="I39">
        <f>ROUND(33/1000,9)</f>
        <v>3.3000000000000002E-2</v>
      </c>
      <c r="J39">
        <v>0</v>
      </c>
      <c r="K39">
        <f>ROUND(33/1000,9)</f>
        <v>3.3000000000000002E-2</v>
      </c>
      <c r="O39">
        <f t="shared" si="21"/>
        <v>7398.58</v>
      </c>
      <c r="P39">
        <f t="shared" si="22"/>
        <v>5336.26</v>
      </c>
      <c r="Q39">
        <f t="shared" si="56"/>
        <v>0</v>
      </c>
      <c r="R39">
        <f t="shared" si="24"/>
        <v>0</v>
      </c>
      <c r="S39">
        <f t="shared" si="25"/>
        <v>2062.3200000000002</v>
      </c>
      <c r="T39">
        <f t="shared" si="26"/>
        <v>0</v>
      </c>
      <c r="U39">
        <f t="shared" si="27"/>
        <v>5.3450297999999998</v>
      </c>
      <c r="V39">
        <f t="shared" si="28"/>
        <v>0</v>
      </c>
      <c r="W39">
        <f t="shared" si="29"/>
        <v>0</v>
      </c>
      <c r="X39">
        <f t="shared" si="30"/>
        <v>1897.33</v>
      </c>
      <c r="Y39">
        <f t="shared" si="31"/>
        <v>845.55</v>
      </c>
      <c r="AA39">
        <v>56616093</v>
      </c>
      <c r="AB39">
        <f t="shared" si="32"/>
        <v>21251.263999999999</v>
      </c>
      <c r="AC39">
        <f t="shared" si="57"/>
        <v>19554.14</v>
      </c>
      <c r="AD39">
        <f t="shared" si="58"/>
        <v>0</v>
      </c>
      <c r="AE39">
        <f t="shared" si="59"/>
        <v>0</v>
      </c>
      <c r="AF39">
        <f t="shared" si="60"/>
        <v>1697.124</v>
      </c>
      <c r="AG39">
        <f t="shared" si="36"/>
        <v>0</v>
      </c>
      <c r="AH39">
        <f t="shared" si="61"/>
        <v>151.80000000000001</v>
      </c>
      <c r="AI39">
        <f t="shared" si="62"/>
        <v>0</v>
      </c>
      <c r="AJ39">
        <f t="shared" si="38"/>
        <v>0</v>
      </c>
      <c r="AK39">
        <v>21096.98</v>
      </c>
      <c r="AL39">
        <v>19554.14</v>
      </c>
      <c r="AM39">
        <v>0</v>
      </c>
      <c r="AN39">
        <v>0</v>
      </c>
      <c r="AO39">
        <v>1542.84</v>
      </c>
      <c r="AP39">
        <v>0</v>
      </c>
      <c r="AQ39">
        <v>138</v>
      </c>
      <c r="AR39">
        <v>0</v>
      </c>
      <c r="AS39">
        <v>0</v>
      </c>
      <c r="AT39">
        <v>92</v>
      </c>
      <c r="AU39">
        <v>41</v>
      </c>
      <c r="AV39">
        <v>1.0669999999999999</v>
      </c>
      <c r="AW39">
        <v>1.081</v>
      </c>
      <c r="AZ39">
        <v>1</v>
      </c>
      <c r="BA39">
        <v>34.51</v>
      </c>
      <c r="BB39">
        <v>1</v>
      </c>
      <c r="BC39">
        <v>7.65</v>
      </c>
      <c r="BD39" t="s">
        <v>3</v>
      </c>
      <c r="BE39" t="s">
        <v>3</v>
      </c>
      <c r="BF39" t="s">
        <v>3</v>
      </c>
      <c r="BG39" t="s">
        <v>3</v>
      </c>
      <c r="BH39">
        <v>0</v>
      </c>
      <c r="BI39">
        <v>1</v>
      </c>
      <c r="BJ39" t="s">
        <v>49</v>
      </c>
      <c r="BM39">
        <v>242</v>
      </c>
      <c r="BN39">
        <v>0</v>
      </c>
      <c r="BO39" t="s">
        <v>46</v>
      </c>
      <c r="BP39">
        <v>1</v>
      </c>
      <c r="BQ39">
        <v>30</v>
      </c>
      <c r="BR39">
        <v>0</v>
      </c>
      <c r="BS39">
        <v>34.51</v>
      </c>
      <c r="BT39">
        <v>1</v>
      </c>
      <c r="BU39">
        <v>1</v>
      </c>
      <c r="BV39">
        <v>1</v>
      </c>
      <c r="BW39">
        <v>1</v>
      </c>
      <c r="BX39">
        <v>1</v>
      </c>
      <c r="BY39" t="s">
        <v>3</v>
      </c>
      <c r="BZ39">
        <v>92</v>
      </c>
      <c r="CA39">
        <v>41</v>
      </c>
      <c r="CB39" t="s">
        <v>3</v>
      </c>
      <c r="CE39">
        <v>30</v>
      </c>
      <c r="CF39">
        <v>0</v>
      </c>
      <c r="CG39">
        <v>0</v>
      </c>
      <c r="CM39">
        <v>0</v>
      </c>
      <c r="CN39" t="s">
        <v>671</v>
      </c>
      <c r="CO39">
        <v>0</v>
      </c>
      <c r="CP39">
        <f t="shared" si="39"/>
        <v>7398.58</v>
      </c>
      <c r="CQ39">
        <f t="shared" si="40"/>
        <v>161705.93</v>
      </c>
      <c r="CR39">
        <f t="shared" si="63"/>
        <v>0</v>
      </c>
      <c r="CS39">
        <f t="shared" si="42"/>
        <v>0</v>
      </c>
      <c r="CT39">
        <f t="shared" si="43"/>
        <v>62491.74</v>
      </c>
      <c r="CU39">
        <f t="shared" si="44"/>
        <v>0</v>
      </c>
      <c r="CV39">
        <f t="shared" si="45"/>
        <v>161.97059999999999</v>
      </c>
      <c r="CW39">
        <f t="shared" si="46"/>
        <v>0</v>
      </c>
      <c r="CX39">
        <f t="shared" si="47"/>
        <v>0</v>
      </c>
      <c r="CY39">
        <f>S39*(BZ39/100)</f>
        <v>1897.3344000000002</v>
      </c>
      <c r="CZ39">
        <f>S39*(CA39/100)</f>
        <v>845.55119999999999</v>
      </c>
      <c r="DC39" t="s">
        <v>3</v>
      </c>
      <c r="DD39" t="s">
        <v>3</v>
      </c>
      <c r="DE39" t="s">
        <v>22</v>
      </c>
      <c r="DF39" t="s">
        <v>22</v>
      </c>
      <c r="DG39" t="s">
        <v>22</v>
      </c>
      <c r="DH39" t="s">
        <v>3</v>
      </c>
      <c r="DI39" t="s">
        <v>22</v>
      </c>
      <c r="DJ39" t="s">
        <v>22</v>
      </c>
      <c r="DK39" t="s">
        <v>3</v>
      </c>
      <c r="DL39" t="s">
        <v>3</v>
      </c>
      <c r="DM39" t="s">
        <v>3</v>
      </c>
      <c r="DN39">
        <v>112</v>
      </c>
      <c r="DO39">
        <v>70</v>
      </c>
      <c r="DP39">
        <v>1.0669999999999999</v>
      </c>
      <c r="DQ39">
        <v>1.081</v>
      </c>
      <c r="DU39">
        <v>1013</v>
      </c>
      <c r="DV39" t="s">
        <v>48</v>
      </c>
      <c r="DW39" t="s">
        <v>48</v>
      </c>
      <c r="DX39">
        <v>1</v>
      </c>
      <c r="DZ39" t="s">
        <v>3</v>
      </c>
      <c r="EA39" t="s">
        <v>3</v>
      </c>
      <c r="EB39" t="s">
        <v>3</v>
      </c>
      <c r="EC39" t="s">
        <v>3</v>
      </c>
      <c r="EE39">
        <v>51696281</v>
      </c>
      <c r="EF39">
        <v>30</v>
      </c>
      <c r="EG39" t="s">
        <v>16</v>
      </c>
      <c r="EH39">
        <v>0</v>
      </c>
      <c r="EI39" t="s">
        <v>3</v>
      </c>
      <c r="EJ39">
        <v>1</v>
      </c>
      <c r="EK39">
        <v>242</v>
      </c>
      <c r="EL39" t="s">
        <v>50</v>
      </c>
      <c r="EM39" t="s">
        <v>51</v>
      </c>
      <c r="EO39" t="s">
        <v>25</v>
      </c>
      <c r="EQ39">
        <v>131072</v>
      </c>
      <c r="ER39">
        <v>21096.98</v>
      </c>
      <c r="ES39">
        <v>19554.14</v>
      </c>
      <c r="ET39">
        <v>0</v>
      </c>
      <c r="EU39">
        <v>0</v>
      </c>
      <c r="EV39">
        <v>1542.84</v>
      </c>
      <c r="EW39">
        <v>138</v>
      </c>
      <c r="EX39">
        <v>0</v>
      </c>
      <c r="EY39">
        <v>0</v>
      </c>
      <c r="FQ39">
        <v>0</v>
      </c>
      <c r="FR39">
        <v>0</v>
      </c>
      <c r="FS39">
        <v>0</v>
      </c>
      <c r="FX39">
        <v>112</v>
      </c>
      <c r="FY39">
        <v>70</v>
      </c>
      <c r="GA39" t="s">
        <v>3</v>
      </c>
      <c r="GD39">
        <v>0</v>
      </c>
      <c r="GF39">
        <v>-1700748837</v>
      </c>
      <c r="GG39">
        <v>2</v>
      </c>
      <c r="GH39">
        <v>1</v>
      </c>
      <c r="GI39">
        <v>2</v>
      </c>
      <c r="GJ39">
        <v>0</v>
      </c>
      <c r="GK39">
        <f>ROUND(R39*(S12)/100,2)</f>
        <v>0</v>
      </c>
      <c r="GL39">
        <f t="shared" si="48"/>
        <v>0</v>
      </c>
      <c r="GM39">
        <f t="shared" si="49"/>
        <v>10141.459999999999</v>
      </c>
      <c r="GN39">
        <f t="shared" si="50"/>
        <v>10141.459999999999</v>
      </c>
      <c r="GO39">
        <f t="shared" si="51"/>
        <v>0</v>
      </c>
      <c r="GP39">
        <f t="shared" si="52"/>
        <v>0</v>
      </c>
      <c r="GR39">
        <v>0</v>
      </c>
      <c r="GS39">
        <v>3</v>
      </c>
      <c r="GT39">
        <v>0</v>
      </c>
      <c r="GU39" t="s">
        <v>3</v>
      </c>
      <c r="GV39">
        <f t="shared" si="53"/>
        <v>0</v>
      </c>
      <c r="GW39">
        <v>1</v>
      </c>
      <c r="GX39">
        <f t="shared" si="54"/>
        <v>0</v>
      </c>
      <c r="HA39">
        <v>0</v>
      </c>
      <c r="HB39">
        <v>0</v>
      </c>
      <c r="HC39">
        <f t="shared" si="55"/>
        <v>0</v>
      </c>
      <c r="HE39" t="s">
        <v>3</v>
      </c>
      <c r="HF39" t="s">
        <v>3</v>
      </c>
      <c r="HM39" t="s">
        <v>3</v>
      </c>
      <c r="HN39" t="s">
        <v>3</v>
      </c>
      <c r="HO39" t="s">
        <v>3</v>
      </c>
      <c r="HP39" t="s">
        <v>3</v>
      </c>
      <c r="HQ39" t="s">
        <v>3</v>
      </c>
      <c r="HS39">
        <v>0</v>
      </c>
      <c r="IK39">
        <v>0</v>
      </c>
    </row>
    <row r="40" spans="1:255" x14ac:dyDescent="0.2">
      <c r="A40" s="2">
        <v>17</v>
      </c>
      <c r="B40" s="2">
        <v>1</v>
      </c>
      <c r="C40" s="2"/>
      <c r="D40" s="2"/>
      <c r="E40" s="2" t="s">
        <v>52</v>
      </c>
      <c r="F40" s="2" t="s">
        <v>53</v>
      </c>
      <c r="G40" s="2" t="s">
        <v>54</v>
      </c>
      <c r="H40" s="2" t="s">
        <v>55</v>
      </c>
      <c r="I40" s="2">
        <v>0</v>
      </c>
      <c r="J40" s="2">
        <v>0</v>
      </c>
      <c r="K40" s="2">
        <v>0</v>
      </c>
      <c r="L40" s="2"/>
      <c r="M40" s="2"/>
      <c r="N40" s="2"/>
      <c r="O40" s="2">
        <f t="shared" si="21"/>
        <v>0</v>
      </c>
      <c r="P40" s="2">
        <f t="shared" si="22"/>
        <v>0</v>
      </c>
      <c r="Q40" s="2">
        <f t="shared" si="56"/>
        <v>0</v>
      </c>
      <c r="R40" s="2">
        <f t="shared" si="24"/>
        <v>0</v>
      </c>
      <c r="S40" s="2">
        <f t="shared" si="25"/>
        <v>0</v>
      </c>
      <c r="T40" s="2">
        <f t="shared" si="26"/>
        <v>0</v>
      </c>
      <c r="U40" s="2">
        <f t="shared" si="27"/>
        <v>0</v>
      </c>
      <c r="V40" s="2">
        <f t="shared" si="28"/>
        <v>0</v>
      </c>
      <c r="W40" s="2">
        <f t="shared" si="29"/>
        <v>0</v>
      </c>
      <c r="X40" s="2">
        <f t="shared" si="30"/>
        <v>0</v>
      </c>
      <c r="Y40" s="2">
        <f t="shared" si="31"/>
        <v>0</v>
      </c>
      <c r="Z40" s="2"/>
      <c r="AA40" s="2">
        <v>56622586</v>
      </c>
      <c r="AB40" s="2">
        <f t="shared" si="32"/>
        <v>15.01</v>
      </c>
      <c r="AC40" s="2">
        <f t="shared" si="57"/>
        <v>15.01</v>
      </c>
      <c r="AD40" s="2">
        <f t="shared" si="58"/>
        <v>0</v>
      </c>
      <c r="AE40" s="2">
        <f t="shared" si="59"/>
        <v>0</v>
      </c>
      <c r="AF40" s="2">
        <f t="shared" si="60"/>
        <v>0</v>
      </c>
      <c r="AG40" s="2">
        <f t="shared" si="36"/>
        <v>0</v>
      </c>
      <c r="AH40" s="2">
        <f t="shared" si="61"/>
        <v>0</v>
      </c>
      <c r="AI40" s="2">
        <f t="shared" si="62"/>
        <v>0</v>
      </c>
      <c r="AJ40" s="2">
        <f t="shared" si="38"/>
        <v>0</v>
      </c>
      <c r="AK40" s="2">
        <v>15.01</v>
      </c>
      <c r="AL40" s="2">
        <v>15.01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1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3</v>
      </c>
      <c r="BI40" s="2">
        <v>1</v>
      </c>
      <c r="BJ40" s="2" t="s">
        <v>56</v>
      </c>
      <c r="BK40" s="2"/>
      <c r="BL40" s="2"/>
      <c r="BM40" s="2">
        <v>1617</v>
      </c>
      <c r="BN40" s="2">
        <v>0</v>
      </c>
      <c r="BO40" s="2" t="s">
        <v>3</v>
      </c>
      <c r="BP40" s="2">
        <v>0</v>
      </c>
      <c r="BQ40" s="2">
        <v>200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0</v>
      </c>
      <c r="CA40" s="2">
        <v>0</v>
      </c>
      <c r="CB40" s="2" t="s">
        <v>3</v>
      </c>
      <c r="CC40" s="2"/>
      <c r="CD40" s="2"/>
      <c r="CE40" s="2">
        <v>30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671</v>
      </c>
      <c r="CO40" s="2">
        <v>0</v>
      </c>
      <c r="CP40" s="2">
        <f t="shared" si="39"/>
        <v>0</v>
      </c>
      <c r="CQ40" s="2">
        <f t="shared" si="40"/>
        <v>15.01</v>
      </c>
      <c r="CR40" s="2">
        <f t="shared" si="63"/>
        <v>0</v>
      </c>
      <c r="CS40" s="2">
        <f t="shared" si="42"/>
        <v>0</v>
      </c>
      <c r="CT40" s="2">
        <f t="shared" si="43"/>
        <v>0</v>
      </c>
      <c r="CU40" s="2">
        <f t="shared" si="44"/>
        <v>0</v>
      </c>
      <c r="CV40" s="2">
        <f t="shared" si="45"/>
        <v>0</v>
      </c>
      <c r="CW40" s="2">
        <f t="shared" si="46"/>
        <v>0</v>
      </c>
      <c r="CX40" s="2">
        <f t="shared" si="47"/>
        <v>0</v>
      </c>
      <c r="CY40" s="2">
        <f>((S40*BZ40)/100)</f>
        <v>0</v>
      </c>
      <c r="CZ40" s="2">
        <f>((S40*CA40)/100)</f>
        <v>0</v>
      </c>
      <c r="DA40" s="2"/>
      <c r="DB40" s="2"/>
      <c r="DC40" s="2" t="s">
        <v>3</v>
      </c>
      <c r="DD40" s="2" t="s">
        <v>3</v>
      </c>
      <c r="DE40" s="2" t="s">
        <v>22</v>
      </c>
      <c r="DF40" s="2" t="s">
        <v>22</v>
      </c>
      <c r="DG40" s="2" t="s">
        <v>22</v>
      </c>
      <c r="DH40" s="2" t="s">
        <v>3</v>
      </c>
      <c r="DI40" s="2" t="s">
        <v>22</v>
      </c>
      <c r="DJ40" s="2" t="s">
        <v>22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1003</v>
      </c>
      <c r="DV40" s="2" t="s">
        <v>55</v>
      </c>
      <c r="DW40" s="2" t="s">
        <v>55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51697656</v>
      </c>
      <c r="EF40" s="2">
        <v>200</v>
      </c>
      <c r="EG40" s="2" t="s">
        <v>57</v>
      </c>
      <c r="EH40" s="2">
        <v>0</v>
      </c>
      <c r="EI40" s="2" t="s">
        <v>3</v>
      </c>
      <c r="EJ40" s="2">
        <v>1</v>
      </c>
      <c r="EK40" s="2">
        <v>1617</v>
      </c>
      <c r="EL40" s="2" t="s">
        <v>58</v>
      </c>
      <c r="EM40" s="2" t="s">
        <v>59</v>
      </c>
      <c r="EN40" s="2"/>
      <c r="EO40" s="2" t="s">
        <v>25</v>
      </c>
      <c r="EP40" s="2"/>
      <c r="EQ40" s="2">
        <v>131072</v>
      </c>
      <c r="ER40" s="2">
        <v>15.01</v>
      </c>
      <c r="ES40" s="2">
        <v>15.01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0</v>
      </c>
      <c r="FY40" s="2">
        <v>0</v>
      </c>
      <c r="FZ40" s="2"/>
      <c r="GA40" s="2" t="s">
        <v>3</v>
      </c>
      <c r="GB40" s="2"/>
      <c r="GC40" s="2"/>
      <c r="GD40" s="2">
        <v>0</v>
      </c>
      <c r="GE40" s="2"/>
      <c r="GF40" s="2">
        <v>1181244062</v>
      </c>
      <c r="GG40" s="2">
        <v>2</v>
      </c>
      <c r="GH40" s="2">
        <v>1</v>
      </c>
      <c r="GI40" s="2">
        <v>-2</v>
      </c>
      <c r="GJ40" s="2">
        <v>0</v>
      </c>
      <c r="GK40" s="2">
        <f>ROUND(R40*(R12)/100,2)</f>
        <v>0</v>
      </c>
      <c r="GL40" s="2">
        <f t="shared" si="48"/>
        <v>0</v>
      </c>
      <c r="GM40" s="2">
        <f t="shared" si="49"/>
        <v>0</v>
      </c>
      <c r="GN40" s="2">
        <f t="shared" si="50"/>
        <v>0</v>
      </c>
      <c r="GO40" s="2">
        <f t="shared" si="51"/>
        <v>0</v>
      </c>
      <c r="GP40" s="2">
        <f t="shared" si="52"/>
        <v>0</v>
      </c>
      <c r="GQ40" s="2"/>
      <c r="GR40" s="2">
        <v>0</v>
      </c>
      <c r="GS40" s="2">
        <v>0</v>
      </c>
      <c r="GT40" s="2">
        <v>0</v>
      </c>
      <c r="GU40" s="2" t="s">
        <v>3</v>
      </c>
      <c r="GV40" s="2">
        <f t="shared" si="53"/>
        <v>0</v>
      </c>
      <c r="GW40" s="2">
        <v>1</v>
      </c>
      <c r="GX40" s="2">
        <f t="shared" si="54"/>
        <v>0</v>
      </c>
      <c r="GY40" s="2"/>
      <c r="GZ40" s="2"/>
      <c r="HA40" s="2">
        <v>0</v>
      </c>
      <c r="HB40" s="2">
        <v>0</v>
      </c>
      <c r="HC40" s="2">
        <f t="shared" si="55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>
        <v>17</v>
      </c>
      <c r="B41">
        <v>1</v>
      </c>
      <c r="E41" t="s">
        <v>52</v>
      </c>
      <c r="F41" t="s">
        <v>53</v>
      </c>
      <c r="G41" t="s">
        <v>54</v>
      </c>
      <c r="H41" t="s">
        <v>55</v>
      </c>
      <c r="I41">
        <v>0</v>
      </c>
      <c r="J41">
        <v>0</v>
      </c>
      <c r="K41">
        <v>0</v>
      </c>
      <c r="O41">
        <f t="shared" si="21"/>
        <v>0</v>
      </c>
      <c r="P41">
        <f t="shared" si="22"/>
        <v>0</v>
      </c>
      <c r="Q41">
        <f t="shared" si="56"/>
        <v>0</v>
      </c>
      <c r="R41">
        <f t="shared" si="24"/>
        <v>0</v>
      </c>
      <c r="S41">
        <f t="shared" si="25"/>
        <v>0</v>
      </c>
      <c r="T41">
        <f t="shared" si="26"/>
        <v>0</v>
      </c>
      <c r="U41">
        <f t="shared" si="27"/>
        <v>0</v>
      </c>
      <c r="V41">
        <f t="shared" si="28"/>
        <v>0</v>
      </c>
      <c r="W41">
        <f t="shared" si="29"/>
        <v>0</v>
      </c>
      <c r="X41">
        <f t="shared" si="30"/>
        <v>0</v>
      </c>
      <c r="Y41">
        <f t="shared" si="31"/>
        <v>0</v>
      </c>
      <c r="AA41">
        <v>56616093</v>
      </c>
      <c r="AB41">
        <f t="shared" si="32"/>
        <v>15.01</v>
      </c>
      <c r="AC41">
        <f t="shared" si="57"/>
        <v>15.01</v>
      </c>
      <c r="AD41">
        <f t="shared" si="58"/>
        <v>0</v>
      </c>
      <c r="AE41">
        <f t="shared" si="59"/>
        <v>0</v>
      </c>
      <c r="AF41">
        <f t="shared" si="60"/>
        <v>0</v>
      </c>
      <c r="AG41">
        <f t="shared" si="36"/>
        <v>0</v>
      </c>
      <c r="AH41">
        <f t="shared" si="61"/>
        <v>0</v>
      </c>
      <c r="AI41">
        <f t="shared" si="62"/>
        <v>0</v>
      </c>
      <c r="AJ41">
        <f t="shared" si="38"/>
        <v>0</v>
      </c>
      <c r="AK41">
        <v>15.01</v>
      </c>
      <c r="AL41">
        <v>15.01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1</v>
      </c>
      <c r="AZ41">
        <v>1</v>
      </c>
      <c r="BA41">
        <v>1</v>
      </c>
      <c r="BB41">
        <v>1</v>
      </c>
      <c r="BC41">
        <v>9.11</v>
      </c>
      <c r="BD41" t="s">
        <v>3</v>
      </c>
      <c r="BE41" t="s">
        <v>3</v>
      </c>
      <c r="BF41" t="s">
        <v>3</v>
      </c>
      <c r="BG41" t="s">
        <v>3</v>
      </c>
      <c r="BH41">
        <v>3</v>
      </c>
      <c r="BI41">
        <v>1</v>
      </c>
      <c r="BJ41" t="s">
        <v>56</v>
      </c>
      <c r="BM41">
        <v>1617</v>
      </c>
      <c r="BN41">
        <v>0</v>
      </c>
      <c r="BO41" t="s">
        <v>53</v>
      </c>
      <c r="BP41">
        <v>1</v>
      </c>
      <c r="BQ41">
        <v>200</v>
      </c>
      <c r="BR41">
        <v>0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 t="s">
        <v>3</v>
      </c>
      <c r="BZ41">
        <v>0</v>
      </c>
      <c r="CA41">
        <v>0</v>
      </c>
      <c r="CB41" t="s">
        <v>3</v>
      </c>
      <c r="CE41">
        <v>30</v>
      </c>
      <c r="CF41">
        <v>0</v>
      </c>
      <c r="CG41">
        <v>0</v>
      </c>
      <c r="CM41">
        <v>0</v>
      </c>
      <c r="CN41" t="s">
        <v>671</v>
      </c>
      <c r="CO41">
        <v>0</v>
      </c>
      <c r="CP41">
        <f t="shared" si="39"/>
        <v>0</v>
      </c>
      <c r="CQ41">
        <f t="shared" si="40"/>
        <v>136.74</v>
      </c>
      <c r="CR41">
        <f t="shared" si="63"/>
        <v>0</v>
      </c>
      <c r="CS41">
        <f t="shared" si="42"/>
        <v>0</v>
      </c>
      <c r="CT41">
        <f t="shared" si="43"/>
        <v>0</v>
      </c>
      <c r="CU41">
        <f t="shared" si="44"/>
        <v>0</v>
      </c>
      <c r="CV41">
        <f t="shared" si="45"/>
        <v>0</v>
      </c>
      <c r="CW41">
        <f t="shared" si="46"/>
        <v>0</v>
      </c>
      <c r="CX41">
        <f t="shared" si="47"/>
        <v>0</v>
      </c>
      <c r="CY41">
        <f>S41*(BZ41/100)</f>
        <v>0</v>
      </c>
      <c r="CZ41">
        <f>S41*(CA41/100)</f>
        <v>0</v>
      </c>
      <c r="DC41" t="s">
        <v>3</v>
      </c>
      <c r="DD41" t="s">
        <v>3</v>
      </c>
      <c r="DE41" t="s">
        <v>22</v>
      </c>
      <c r="DF41" t="s">
        <v>22</v>
      </c>
      <c r="DG41" t="s">
        <v>22</v>
      </c>
      <c r="DH41" t="s">
        <v>3</v>
      </c>
      <c r="DI41" t="s">
        <v>22</v>
      </c>
      <c r="DJ41" t="s">
        <v>22</v>
      </c>
      <c r="DK41" t="s">
        <v>3</v>
      </c>
      <c r="DL41" t="s">
        <v>3</v>
      </c>
      <c r="DM41" t="s">
        <v>3</v>
      </c>
      <c r="DN41">
        <v>0</v>
      </c>
      <c r="DO41">
        <v>0</v>
      </c>
      <c r="DP41">
        <v>1</v>
      </c>
      <c r="DQ41">
        <v>1</v>
      </c>
      <c r="DU41">
        <v>1003</v>
      </c>
      <c r="DV41" t="s">
        <v>55</v>
      </c>
      <c r="DW41" t="s">
        <v>55</v>
      </c>
      <c r="DX41">
        <v>1</v>
      </c>
      <c r="DZ41" t="s">
        <v>3</v>
      </c>
      <c r="EA41" t="s">
        <v>3</v>
      </c>
      <c r="EB41" t="s">
        <v>3</v>
      </c>
      <c r="EC41" t="s">
        <v>3</v>
      </c>
      <c r="EE41">
        <v>51697656</v>
      </c>
      <c r="EF41">
        <v>200</v>
      </c>
      <c r="EG41" t="s">
        <v>57</v>
      </c>
      <c r="EH41">
        <v>0</v>
      </c>
      <c r="EI41" t="s">
        <v>3</v>
      </c>
      <c r="EJ41">
        <v>1</v>
      </c>
      <c r="EK41">
        <v>1617</v>
      </c>
      <c r="EL41" t="s">
        <v>58</v>
      </c>
      <c r="EM41" t="s">
        <v>59</v>
      </c>
      <c r="EO41" t="s">
        <v>25</v>
      </c>
      <c r="EQ41">
        <v>131072</v>
      </c>
      <c r="ER41">
        <v>15.01</v>
      </c>
      <c r="ES41">
        <v>15.01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FQ41">
        <v>0</v>
      </c>
      <c r="FR41">
        <v>0</v>
      </c>
      <c r="FS41">
        <v>0</v>
      </c>
      <c r="FX41">
        <v>0</v>
      </c>
      <c r="FY41">
        <v>0</v>
      </c>
      <c r="GA41" t="s">
        <v>3</v>
      </c>
      <c r="GD41">
        <v>0</v>
      </c>
      <c r="GF41">
        <v>1181244062</v>
      </c>
      <c r="GG41">
        <v>2</v>
      </c>
      <c r="GH41">
        <v>1</v>
      </c>
      <c r="GI41">
        <v>2</v>
      </c>
      <c r="GJ41">
        <v>0</v>
      </c>
      <c r="GK41">
        <f>ROUND(R41*(S12)/100,2)</f>
        <v>0</v>
      </c>
      <c r="GL41">
        <f t="shared" si="48"/>
        <v>0</v>
      </c>
      <c r="GM41">
        <f t="shared" si="49"/>
        <v>0</v>
      </c>
      <c r="GN41">
        <f t="shared" si="50"/>
        <v>0</v>
      </c>
      <c r="GO41">
        <f t="shared" si="51"/>
        <v>0</v>
      </c>
      <c r="GP41">
        <f t="shared" si="52"/>
        <v>0</v>
      </c>
      <c r="GR41">
        <v>0</v>
      </c>
      <c r="GS41">
        <v>3</v>
      </c>
      <c r="GT41">
        <v>0</v>
      </c>
      <c r="GU41" t="s">
        <v>3</v>
      </c>
      <c r="GV41">
        <f t="shared" si="53"/>
        <v>0</v>
      </c>
      <c r="GW41">
        <v>1</v>
      </c>
      <c r="GX41">
        <f t="shared" si="54"/>
        <v>0</v>
      </c>
      <c r="HA41">
        <v>0</v>
      </c>
      <c r="HB41">
        <v>0</v>
      </c>
      <c r="HC41">
        <f t="shared" si="55"/>
        <v>0</v>
      </c>
      <c r="HE41" t="s">
        <v>3</v>
      </c>
      <c r="HF41" t="s">
        <v>3</v>
      </c>
      <c r="HM41" t="s">
        <v>3</v>
      </c>
      <c r="HN41" t="s">
        <v>3</v>
      </c>
      <c r="HO41" t="s">
        <v>3</v>
      </c>
      <c r="HP41" t="s">
        <v>3</v>
      </c>
      <c r="HQ41" t="s">
        <v>3</v>
      </c>
      <c r="HS41">
        <v>0</v>
      </c>
      <c r="IK41">
        <v>0</v>
      </c>
    </row>
    <row r="42" spans="1:255" x14ac:dyDescent="0.2">
      <c r="A42" s="2">
        <v>17</v>
      </c>
      <c r="B42" s="2">
        <v>1</v>
      </c>
      <c r="C42" s="2"/>
      <c r="D42" s="2"/>
      <c r="E42" s="2" t="s">
        <v>60</v>
      </c>
      <c r="F42" s="2" t="s">
        <v>61</v>
      </c>
      <c r="G42" s="2" t="s">
        <v>62</v>
      </c>
      <c r="H42" s="2" t="s">
        <v>55</v>
      </c>
      <c r="I42" s="2">
        <v>0</v>
      </c>
      <c r="J42" s="2">
        <v>0</v>
      </c>
      <c r="K42" s="2">
        <v>0</v>
      </c>
      <c r="L42" s="2"/>
      <c r="M42" s="2"/>
      <c r="N42" s="2"/>
      <c r="O42" s="2">
        <f t="shared" si="21"/>
        <v>0</v>
      </c>
      <c r="P42" s="2">
        <f t="shared" si="22"/>
        <v>0</v>
      </c>
      <c r="Q42" s="2">
        <f t="shared" si="56"/>
        <v>0</v>
      </c>
      <c r="R42" s="2">
        <f t="shared" si="24"/>
        <v>0</v>
      </c>
      <c r="S42" s="2">
        <f t="shared" si="25"/>
        <v>0</v>
      </c>
      <c r="T42" s="2">
        <f t="shared" si="26"/>
        <v>0</v>
      </c>
      <c r="U42" s="2">
        <f t="shared" si="27"/>
        <v>0</v>
      </c>
      <c r="V42" s="2">
        <f t="shared" si="28"/>
        <v>0</v>
      </c>
      <c r="W42" s="2">
        <f t="shared" si="29"/>
        <v>0</v>
      </c>
      <c r="X42" s="2">
        <f t="shared" si="30"/>
        <v>0</v>
      </c>
      <c r="Y42" s="2">
        <f t="shared" si="31"/>
        <v>0</v>
      </c>
      <c r="Z42" s="2"/>
      <c r="AA42" s="2">
        <v>56622586</v>
      </c>
      <c r="AB42" s="2">
        <f t="shared" si="32"/>
        <v>24.4</v>
      </c>
      <c r="AC42" s="2">
        <f t="shared" si="57"/>
        <v>24.4</v>
      </c>
      <c r="AD42" s="2">
        <f t="shared" si="58"/>
        <v>0</v>
      </c>
      <c r="AE42" s="2">
        <f t="shared" si="59"/>
        <v>0</v>
      </c>
      <c r="AF42" s="2">
        <f t="shared" si="60"/>
        <v>0</v>
      </c>
      <c r="AG42" s="2">
        <f t="shared" si="36"/>
        <v>0</v>
      </c>
      <c r="AH42" s="2">
        <f t="shared" si="61"/>
        <v>0</v>
      </c>
      <c r="AI42" s="2">
        <f t="shared" si="62"/>
        <v>0</v>
      </c>
      <c r="AJ42" s="2">
        <f t="shared" si="38"/>
        <v>0</v>
      </c>
      <c r="AK42" s="2">
        <v>24.4</v>
      </c>
      <c r="AL42" s="2">
        <v>24.4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3</v>
      </c>
      <c r="BI42" s="2">
        <v>1</v>
      </c>
      <c r="BJ42" s="2" t="s">
        <v>63</v>
      </c>
      <c r="BK42" s="2"/>
      <c r="BL42" s="2"/>
      <c r="BM42" s="2">
        <v>1617</v>
      </c>
      <c r="BN42" s="2">
        <v>0</v>
      </c>
      <c r="BO42" s="2" t="s">
        <v>3</v>
      </c>
      <c r="BP42" s="2">
        <v>0</v>
      </c>
      <c r="BQ42" s="2">
        <v>200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0</v>
      </c>
      <c r="CA42" s="2">
        <v>0</v>
      </c>
      <c r="CB42" s="2" t="s">
        <v>3</v>
      </c>
      <c r="CC42" s="2"/>
      <c r="CD42" s="2"/>
      <c r="CE42" s="2">
        <v>30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671</v>
      </c>
      <c r="CO42" s="2">
        <v>0</v>
      </c>
      <c r="CP42" s="2">
        <f t="shared" si="39"/>
        <v>0</v>
      </c>
      <c r="CQ42" s="2">
        <f t="shared" si="40"/>
        <v>24.4</v>
      </c>
      <c r="CR42" s="2">
        <f t="shared" si="63"/>
        <v>0</v>
      </c>
      <c r="CS42" s="2">
        <f t="shared" si="42"/>
        <v>0</v>
      </c>
      <c r="CT42" s="2">
        <f t="shared" si="43"/>
        <v>0</v>
      </c>
      <c r="CU42" s="2">
        <f t="shared" si="44"/>
        <v>0</v>
      </c>
      <c r="CV42" s="2">
        <f t="shared" si="45"/>
        <v>0</v>
      </c>
      <c r="CW42" s="2">
        <f t="shared" si="46"/>
        <v>0</v>
      </c>
      <c r="CX42" s="2">
        <f t="shared" si="47"/>
        <v>0</v>
      </c>
      <c r="CY42" s="2">
        <f>((S42*BZ42)/100)</f>
        <v>0</v>
      </c>
      <c r="CZ42" s="2">
        <f>((S42*CA42)/100)</f>
        <v>0</v>
      </c>
      <c r="DA42" s="2"/>
      <c r="DB42" s="2"/>
      <c r="DC42" s="2" t="s">
        <v>3</v>
      </c>
      <c r="DD42" s="2" t="s">
        <v>3</v>
      </c>
      <c r="DE42" s="2" t="s">
        <v>22</v>
      </c>
      <c r="DF42" s="2" t="s">
        <v>22</v>
      </c>
      <c r="DG42" s="2" t="s">
        <v>22</v>
      </c>
      <c r="DH42" s="2" t="s">
        <v>3</v>
      </c>
      <c r="DI42" s="2" t="s">
        <v>22</v>
      </c>
      <c r="DJ42" s="2" t="s">
        <v>22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1003</v>
      </c>
      <c r="DV42" s="2" t="s">
        <v>55</v>
      </c>
      <c r="DW42" s="2" t="s">
        <v>55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51697656</v>
      </c>
      <c r="EF42" s="2">
        <v>200</v>
      </c>
      <c r="EG42" s="2" t="s">
        <v>57</v>
      </c>
      <c r="EH42" s="2">
        <v>0</v>
      </c>
      <c r="EI42" s="2" t="s">
        <v>3</v>
      </c>
      <c r="EJ42" s="2">
        <v>1</v>
      </c>
      <c r="EK42" s="2">
        <v>1617</v>
      </c>
      <c r="EL42" s="2" t="s">
        <v>58</v>
      </c>
      <c r="EM42" s="2" t="s">
        <v>59</v>
      </c>
      <c r="EN42" s="2"/>
      <c r="EO42" s="2" t="s">
        <v>25</v>
      </c>
      <c r="EP42" s="2"/>
      <c r="EQ42" s="2">
        <v>131072</v>
      </c>
      <c r="ER42" s="2">
        <v>24.4</v>
      </c>
      <c r="ES42" s="2">
        <v>24.4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0</v>
      </c>
      <c r="FY42" s="2">
        <v>0</v>
      </c>
      <c r="FZ42" s="2"/>
      <c r="GA42" s="2" t="s">
        <v>3</v>
      </c>
      <c r="GB42" s="2"/>
      <c r="GC42" s="2"/>
      <c r="GD42" s="2">
        <v>0</v>
      </c>
      <c r="GE42" s="2"/>
      <c r="GF42" s="2">
        <v>-1982695880</v>
      </c>
      <c r="GG42" s="2">
        <v>2</v>
      </c>
      <c r="GH42" s="2">
        <v>1</v>
      </c>
      <c r="GI42" s="2">
        <v>-2</v>
      </c>
      <c r="GJ42" s="2">
        <v>0</v>
      </c>
      <c r="GK42" s="2">
        <f>ROUND(R42*(R12)/100,2)</f>
        <v>0</v>
      </c>
      <c r="GL42" s="2">
        <f t="shared" si="48"/>
        <v>0</v>
      </c>
      <c r="GM42" s="2">
        <f t="shared" si="49"/>
        <v>0</v>
      </c>
      <c r="GN42" s="2">
        <f t="shared" si="50"/>
        <v>0</v>
      </c>
      <c r="GO42" s="2">
        <f t="shared" si="51"/>
        <v>0</v>
      </c>
      <c r="GP42" s="2">
        <f t="shared" si="52"/>
        <v>0</v>
      </c>
      <c r="GQ42" s="2"/>
      <c r="GR42" s="2">
        <v>0</v>
      </c>
      <c r="GS42" s="2">
        <v>0</v>
      </c>
      <c r="GT42" s="2">
        <v>0</v>
      </c>
      <c r="GU42" s="2" t="s">
        <v>3</v>
      </c>
      <c r="GV42" s="2">
        <f t="shared" si="53"/>
        <v>0</v>
      </c>
      <c r="GW42" s="2">
        <v>1</v>
      </c>
      <c r="GX42" s="2">
        <f t="shared" si="54"/>
        <v>0</v>
      </c>
      <c r="GY42" s="2"/>
      <c r="GZ42" s="2"/>
      <c r="HA42" s="2">
        <v>0</v>
      </c>
      <c r="HB42" s="2">
        <v>0</v>
      </c>
      <c r="HC42" s="2">
        <f t="shared" si="55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>
        <v>17</v>
      </c>
      <c r="B43">
        <v>1</v>
      </c>
      <c r="E43" t="s">
        <v>60</v>
      </c>
      <c r="F43" t="s">
        <v>61</v>
      </c>
      <c r="G43" t="s">
        <v>62</v>
      </c>
      <c r="H43" t="s">
        <v>55</v>
      </c>
      <c r="I43">
        <v>0</v>
      </c>
      <c r="J43">
        <v>0</v>
      </c>
      <c r="K43">
        <v>0</v>
      </c>
      <c r="O43">
        <f t="shared" si="21"/>
        <v>0</v>
      </c>
      <c r="P43">
        <f t="shared" si="22"/>
        <v>0</v>
      </c>
      <c r="Q43">
        <f t="shared" si="56"/>
        <v>0</v>
      </c>
      <c r="R43">
        <f t="shared" si="24"/>
        <v>0</v>
      </c>
      <c r="S43">
        <f t="shared" si="25"/>
        <v>0</v>
      </c>
      <c r="T43">
        <f t="shared" si="26"/>
        <v>0</v>
      </c>
      <c r="U43">
        <f t="shared" si="27"/>
        <v>0</v>
      </c>
      <c r="V43">
        <f t="shared" si="28"/>
        <v>0</v>
      </c>
      <c r="W43">
        <f t="shared" si="29"/>
        <v>0</v>
      </c>
      <c r="X43">
        <f t="shared" si="30"/>
        <v>0</v>
      </c>
      <c r="Y43">
        <f t="shared" si="31"/>
        <v>0</v>
      </c>
      <c r="AA43">
        <v>56616093</v>
      </c>
      <c r="AB43">
        <f t="shared" si="32"/>
        <v>24.4</v>
      </c>
      <c r="AC43">
        <f t="shared" si="57"/>
        <v>24.4</v>
      </c>
      <c r="AD43">
        <f t="shared" si="58"/>
        <v>0</v>
      </c>
      <c r="AE43">
        <f t="shared" si="59"/>
        <v>0</v>
      </c>
      <c r="AF43">
        <f t="shared" si="60"/>
        <v>0</v>
      </c>
      <c r="AG43">
        <f t="shared" si="36"/>
        <v>0</v>
      </c>
      <c r="AH43">
        <f t="shared" si="61"/>
        <v>0</v>
      </c>
      <c r="AI43">
        <f t="shared" si="62"/>
        <v>0</v>
      </c>
      <c r="AJ43">
        <f t="shared" si="38"/>
        <v>0</v>
      </c>
      <c r="AK43">
        <v>24.4</v>
      </c>
      <c r="AL43">
        <v>24.4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1</v>
      </c>
      <c r="AZ43">
        <v>1</v>
      </c>
      <c r="BA43">
        <v>1</v>
      </c>
      <c r="BB43">
        <v>1</v>
      </c>
      <c r="BC43">
        <v>9.2200000000000006</v>
      </c>
      <c r="BD43" t="s">
        <v>3</v>
      </c>
      <c r="BE43" t="s">
        <v>3</v>
      </c>
      <c r="BF43" t="s">
        <v>3</v>
      </c>
      <c r="BG43" t="s">
        <v>3</v>
      </c>
      <c r="BH43">
        <v>3</v>
      </c>
      <c r="BI43">
        <v>1</v>
      </c>
      <c r="BJ43" t="s">
        <v>63</v>
      </c>
      <c r="BM43">
        <v>1617</v>
      </c>
      <c r="BN43">
        <v>0</v>
      </c>
      <c r="BO43" t="s">
        <v>61</v>
      </c>
      <c r="BP43">
        <v>1</v>
      </c>
      <c r="BQ43">
        <v>200</v>
      </c>
      <c r="BR43">
        <v>0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 t="s">
        <v>3</v>
      </c>
      <c r="BZ43">
        <v>0</v>
      </c>
      <c r="CA43">
        <v>0</v>
      </c>
      <c r="CB43" t="s">
        <v>3</v>
      </c>
      <c r="CE43">
        <v>30</v>
      </c>
      <c r="CF43">
        <v>0</v>
      </c>
      <c r="CG43">
        <v>0</v>
      </c>
      <c r="CM43">
        <v>0</v>
      </c>
      <c r="CN43" t="s">
        <v>671</v>
      </c>
      <c r="CO43">
        <v>0</v>
      </c>
      <c r="CP43">
        <f t="shared" si="39"/>
        <v>0</v>
      </c>
      <c r="CQ43">
        <f t="shared" si="40"/>
        <v>224.97</v>
      </c>
      <c r="CR43">
        <f t="shared" si="63"/>
        <v>0</v>
      </c>
      <c r="CS43">
        <f t="shared" si="42"/>
        <v>0</v>
      </c>
      <c r="CT43">
        <f t="shared" si="43"/>
        <v>0</v>
      </c>
      <c r="CU43">
        <f t="shared" si="44"/>
        <v>0</v>
      </c>
      <c r="CV43">
        <f t="shared" si="45"/>
        <v>0</v>
      </c>
      <c r="CW43">
        <f t="shared" si="46"/>
        <v>0</v>
      </c>
      <c r="CX43">
        <f t="shared" si="47"/>
        <v>0</v>
      </c>
      <c r="CY43">
        <f>S43*(BZ43/100)</f>
        <v>0</v>
      </c>
      <c r="CZ43">
        <f>S43*(CA43/100)</f>
        <v>0</v>
      </c>
      <c r="DC43" t="s">
        <v>3</v>
      </c>
      <c r="DD43" t="s">
        <v>3</v>
      </c>
      <c r="DE43" t="s">
        <v>22</v>
      </c>
      <c r="DF43" t="s">
        <v>22</v>
      </c>
      <c r="DG43" t="s">
        <v>22</v>
      </c>
      <c r="DH43" t="s">
        <v>3</v>
      </c>
      <c r="DI43" t="s">
        <v>22</v>
      </c>
      <c r="DJ43" t="s">
        <v>22</v>
      </c>
      <c r="DK43" t="s">
        <v>3</v>
      </c>
      <c r="DL43" t="s">
        <v>3</v>
      </c>
      <c r="DM43" t="s">
        <v>3</v>
      </c>
      <c r="DN43">
        <v>0</v>
      </c>
      <c r="DO43">
        <v>0</v>
      </c>
      <c r="DP43">
        <v>1</v>
      </c>
      <c r="DQ43">
        <v>1</v>
      </c>
      <c r="DU43">
        <v>1003</v>
      </c>
      <c r="DV43" t="s">
        <v>55</v>
      </c>
      <c r="DW43" t="s">
        <v>55</v>
      </c>
      <c r="DX43">
        <v>1</v>
      </c>
      <c r="DZ43" t="s">
        <v>3</v>
      </c>
      <c r="EA43" t="s">
        <v>3</v>
      </c>
      <c r="EB43" t="s">
        <v>3</v>
      </c>
      <c r="EC43" t="s">
        <v>3</v>
      </c>
      <c r="EE43">
        <v>51697656</v>
      </c>
      <c r="EF43">
        <v>200</v>
      </c>
      <c r="EG43" t="s">
        <v>57</v>
      </c>
      <c r="EH43">
        <v>0</v>
      </c>
      <c r="EI43" t="s">
        <v>3</v>
      </c>
      <c r="EJ43">
        <v>1</v>
      </c>
      <c r="EK43">
        <v>1617</v>
      </c>
      <c r="EL43" t="s">
        <v>58</v>
      </c>
      <c r="EM43" t="s">
        <v>59</v>
      </c>
      <c r="EO43" t="s">
        <v>25</v>
      </c>
      <c r="EQ43">
        <v>131072</v>
      </c>
      <c r="ER43">
        <v>24.4</v>
      </c>
      <c r="ES43">
        <v>24.4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FQ43">
        <v>0</v>
      </c>
      <c r="FR43">
        <v>0</v>
      </c>
      <c r="FS43">
        <v>0</v>
      </c>
      <c r="FX43">
        <v>0</v>
      </c>
      <c r="FY43">
        <v>0</v>
      </c>
      <c r="GA43" t="s">
        <v>3</v>
      </c>
      <c r="GD43">
        <v>0</v>
      </c>
      <c r="GF43">
        <v>-1982695880</v>
      </c>
      <c r="GG43">
        <v>2</v>
      </c>
      <c r="GH43">
        <v>1</v>
      </c>
      <c r="GI43">
        <v>2</v>
      </c>
      <c r="GJ43">
        <v>0</v>
      </c>
      <c r="GK43">
        <f>ROUND(R43*(S12)/100,2)</f>
        <v>0</v>
      </c>
      <c r="GL43">
        <f t="shared" si="48"/>
        <v>0</v>
      </c>
      <c r="GM43">
        <f t="shared" si="49"/>
        <v>0</v>
      </c>
      <c r="GN43">
        <f t="shared" si="50"/>
        <v>0</v>
      </c>
      <c r="GO43">
        <f t="shared" si="51"/>
        <v>0</v>
      </c>
      <c r="GP43">
        <f t="shared" si="52"/>
        <v>0</v>
      </c>
      <c r="GR43">
        <v>0</v>
      </c>
      <c r="GS43">
        <v>3</v>
      </c>
      <c r="GT43">
        <v>0</v>
      </c>
      <c r="GU43" t="s">
        <v>3</v>
      </c>
      <c r="GV43">
        <f t="shared" si="53"/>
        <v>0</v>
      </c>
      <c r="GW43">
        <v>1</v>
      </c>
      <c r="GX43">
        <f t="shared" si="54"/>
        <v>0</v>
      </c>
      <c r="HA43">
        <v>0</v>
      </c>
      <c r="HB43">
        <v>0</v>
      </c>
      <c r="HC43">
        <f t="shared" si="55"/>
        <v>0</v>
      </c>
      <c r="HE43" t="s">
        <v>3</v>
      </c>
      <c r="HF43" t="s">
        <v>3</v>
      </c>
      <c r="HM43" t="s">
        <v>3</v>
      </c>
      <c r="HN43" t="s">
        <v>3</v>
      </c>
      <c r="HO43" t="s">
        <v>3</v>
      </c>
      <c r="HP43" t="s">
        <v>3</v>
      </c>
      <c r="HQ43" t="s">
        <v>3</v>
      </c>
      <c r="HS43">
        <v>0</v>
      </c>
      <c r="IK43">
        <v>0</v>
      </c>
    </row>
    <row r="44" spans="1:255" x14ac:dyDescent="0.2">
      <c r="A44" s="2">
        <v>17</v>
      </c>
      <c r="B44" s="2">
        <v>1</v>
      </c>
      <c r="C44" s="2">
        <f>ROW(SmtRes!A32)</f>
        <v>32</v>
      </c>
      <c r="D44" s="2">
        <f>ROW(EtalonRes!A31)</f>
        <v>31</v>
      </c>
      <c r="E44" s="2" t="s">
        <v>64</v>
      </c>
      <c r="F44" s="2" t="s">
        <v>65</v>
      </c>
      <c r="G44" s="2" t="s">
        <v>66</v>
      </c>
      <c r="H44" s="2" t="s">
        <v>67</v>
      </c>
      <c r="I44" s="2">
        <f>ROUND(53/1000,9)</f>
        <v>5.2999999999999999E-2</v>
      </c>
      <c r="J44" s="2">
        <v>0</v>
      </c>
      <c r="K44" s="2">
        <f>ROUND(53/1000,9)</f>
        <v>5.2999999999999999E-2</v>
      </c>
      <c r="L44" s="2"/>
      <c r="M44" s="2"/>
      <c r="N44" s="2"/>
      <c r="O44" s="2">
        <f t="shared" si="21"/>
        <v>114.2</v>
      </c>
      <c r="P44" s="2">
        <f t="shared" si="22"/>
        <v>0</v>
      </c>
      <c r="Q44" s="2">
        <f t="shared" si="56"/>
        <v>16.09</v>
      </c>
      <c r="R44" s="2">
        <f t="shared" si="24"/>
        <v>1.77</v>
      </c>
      <c r="S44" s="2">
        <f t="shared" si="25"/>
        <v>98.11</v>
      </c>
      <c r="T44" s="2">
        <f t="shared" si="26"/>
        <v>0</v>
      </c>
      <c r="U44" s="2">
        <f t="shared" si="27"/>
        <v>9.1971718850000013</v>
      </c>
      <c r="V44" s="2">
        <f t="shared" si="28"/>
        <v>0</v>
      </c>
      <c r="W44" s="2">
        <f t="shared" si="29"/>
        <v>0</v>
      </c>
      <c r="X44" s="2">
        <f t="shared" si="30"/>
        <v>109.88</v>
      </c>
      <c r="Y44" s="2">
        <f t="shared" si="31"/>
        <v>68.680000000000007</v>
      </c>
      <c r="Z44" s="2"/>
      <c r="AA44" s="2">
        <v>56622586</v>
      </c>
      <c r="AB44" s="2">
        <f t="shared" si="32"/>
        <v>2019.49</v>
      </c>
      <c r="AC44" s="2">
        <f t="shared" si="57"/>
        <v>0</v>
      </c>
      <c r="AD44" s="2">
        <f t="shared" si="58"/>
        <v>284.58100000000002</v>
      </c>
      <c r="AE44" s="2">
        <f t="shared" si="59"/>
        <v>31.228999999999999</v>
      </c>
      <c r="AF44" s="2">
        <f t="shared" si="60"/>
        <v>1734.9090000000001</v>
      </c>
      <c r="AG44" s="2">
        <f t="shared" si="36"/>
        <v>0</v>
      </c>
      <c r="AH44" s="2">
        <f t="shared" si="61"/>
        <v>162.63500000000002</v>
      </c>
      <c r="AI44" s="2">
        <f t="shared" si="62"/>
        <v>0</v>
      </c>
      <c r="AJ44" s="2">
        <f t="shared" si="38"/>
        <v>0</v>
      </c>
      <c r="AK44" s="2">
        <v>1835.9</v>
      </c>
      <c r="AL44" s="2">
        <v>0</v>
      </c>
      <c r="AM44" s="2">
        <v>258.70999999999998</v>
      </c>
      <c r="AN44" s="2">
        <v>28.39</v>
      </c>
      <c r="AO44" s="2">
        <v>1577.19</v>
      </c>
      <c r="AP44" s="2">
        <v>0</v>
      </c>
      <c r="AQ44" s="2">
        <v>147.85</v>
      </c>
      <c r="AR44" s="2">
        <v>0</v>
      </c>
      <c r="AS44" s="2">
        <v>0</v>
      </c>
      <c r="AT44" s="2">
        <v>112</v>
      </c>
      <c r="AU44" s="2">
        <v>70</v>
      </c>
      <c r="AV44" s="2">
        <v>1.0669999999999999</v>
      </c>
      <c r="AW44" s="2">
        <v>1.081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1</v>
      </c>
      <c r="BJ44" s="2" t="s">
        <v>68</v>
      </c>
      <c r="BK44" s="2"/>
      <c r="BL44" s="2"/>
      <c r="BM44" s="2">
        <v>2254</v>
      </c>
      <c r="BN44" s="2">
        <v>0</v>
      </c>
      <c r="BO44" s="2" t="s">
        <v>3</v>
      </c>
      <c r="BP44" s="2">
        <v>0</v>
      </c>
      <c r="BQ44" s="2">
        <v>30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112</v>
      </c>
      <c r="CA44" s="2">
        <v>70</v>
      </c>
      <c r="CB44" s="2" t="s">
        <v>3</v>
      </c>
      <c r="CC44" s="2"/>
      <c r="CD44" s="2"/>
      <c r="CE44" s="2">
        <v>30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671</v>
      </c>
      <c r="CO44" s="2">
        <v>0</v>
      </c>
      <c r="CP44" s="2">
        <f t="shared" si="39"/>
        <v>114.2</v>
      </c>
      <c r="CQ44" s="2">
        <f t="shared" si="40"/>
        <v>0</v>
      </c>
      <c r="CR44" s="2">
        <f t="shared" si="63"/>
        <v>303.64999999999998</v>
      </c>
      <c r="CS44" s="2">
        <f t="shared" si="42"/>
        <v>33.32</v>
      </c>
      <c r="CT44" s="2">
        <f t="shared" si="43"/>
        <v>1851.15</v>
      </c>
      <c r="CU44" s="2">
        <f t="shared" si="44"/>
        <v>0</v>
      </c>
      <c r="CV44" s="2">
        <f t="shared" si="45"/>
        <v>173.53154500000002</v>
      </c>
      <c r="CW44" s="2">
        <f t="shared" si="46"/>
        <v>0</v>
      </c>
      <c r="CX44" s="2">
        <f t="shared" si="47"/>
        <v>0</v>
      </c>
      <c r="CY44" s="2">
        <f>((S44*BZ44)/100)</f>
        <v>109.8832</v>
      </c>
      <c r="CZ44" s="2">
        <f>((S44*CA44)/100)</f>
        <v>68.676999999999992</v>
      </c>
      <c r="DA44" s="2"/>
      <c r="DB44" s="2"/>
      <c r="DC44" s="2" t="s">
        <v>3</v>
      </c>
      <c r="DD44" s="2" t="s">
        <v>3</v>
      </c>
      <c r="DE44" s="2" t="s">
        <v>22</v>
      </c>
      <c r="DF44" s="2" t="s">
        <v>22</v>
      </c>
      <c r="DG44" s="2" t="s">
        <v>22</v>
      </c>
      <c r="DH44" s="2" t="s">
        <v>3</v>
      </c>
      <c r="DI44" s="2" t="s">
        <v>22</v>
      </c>
      <c r="DJ44" s="2" t="s">
        <v>22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67</v>
      </c>
      <c r="DW44" s="2" t="s">
        <v>67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51698335</v>
      </c>
      <c r="EF44" s="2">
        <v>30</v>
      </c>
      <c r="EG44" s="2" t="s">
        <v>16</v>
      </c>
      <c r="EH44" s="2">
        <v>0</v>
      </c>
      <c r="EI44" s="2" t="s">
        <v>3</v>
      </c>
      <c r="EJ44" s="2">
        <v>1</v>
      </c>
      <c r="EK44" s="2">
        <v>2254</v>
      </c>
      <c r="EL44" s="2" t="s">
        <v>69</v>
      </c>
      <c r="EM44" s="2" t="s">
        <v>70</v>
      </c>
      <c r="EN44" s="2"/>
      <c r="EO44" s="2" t="s">
        <v>25</v>
      </c>
      <c r="EP44" s="2"/>
      <c r="EQ44" s="2">
        <v>131072</v>
      </c>
      <c r="ER44" s="2">
        <v>1835.9</v>
      </c>
      <c r="ES44" s="2">
        <v>0</v>
      </c>
      <c r="ET44" s="2">
        <v>258.70999999999998</v>
      </c>
      <c r="EU44" s="2">
        <v>28.39</v>
      </c>
      <c r="EV44" s="2">
        <v>1577.19</v>
      </c>
      <c r="EW44" s="2">
        <v>147.85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112</v>
      </c>
      <c r="FY44" s="2">
        <v>70</v>
      </c>
      <c r="FZ44" s="2"/>
      <c r="GA44" s="2" t="s">
        <v>3</v>
      </c>
      <c r="GB44" s="2"/>
      <c r="GC44" s="2"/>
      <c r="GD44" s="2">
        <v>0</v>
      </c>
      <c r="GE44" s="2"/>
      <c r="GF44" s="2">
        <v>-1068329133</v>
      </c>
      <c r="GG44" s="2">
        <v>2</v>
      </c>
      <c r="GH44" s="2">
        <v>1</v>
      </c>
      <c r="GI44" s="2">
        <v>-2</v>
      </c>
      <c r="GJ44" s="2">
        <v>0</v>
      </c>
      <c r="GK44" s="2">
        <f>ROUND(R44*(R12)/100,2)</f>
        <v>3.1</v>
      </c>
      <c r="GL44" s="2">
        <f t="shared" si="48"/>
        <v>0</v>
      </c>
      <c r="GM44" s="2">
        <f t="shared" si="49"/>
        <v>295.86</v>
      </c>
      <c r="GN44" s="2">
        <f t="shared" si="50"/>
        <v>295.86</v>
      </c>
      <c r="GO44" s="2">
        <f t="shared" si="51"/>
        <v>0</v>
      </c>
      <c r="GP44" s="2">
        <f t="shared" si="52"/>
        <v>0</v>
      </c>
      <c r="GQ44" s="2"/>
      <c r="GR44" s="2">
        <v>0</v>
      </c>
      <c r="GS44" s="2">
        <v>0</v>
      </c>
      <c r="GT44" s="2">
        <v>0</v>
      </c>
      <c r="GU44" s="2" t="s">
        <v>3</v>
      </c>
      <c r="GV44" s="2">
        <f t="shared" si="53"/>
        <v>0</v>
      </c>
      <c r="GW44" s="2">
        <v>1</v>
      </c>
      <c r="GX44" s="2">
        <f t="shared" si="54"/>
        <v>0</v>
      </c>
      <c r="GY44" s="2"/>
      <c r="GZ44" s="2"/>
      <c r="HA44" s="2">
        <v>0</v>
      </c>
      <c r="HB44" s="2">
        <v>0</v>
      </c>
      <c r="HC44" s="2">
        <f t="shared" si="55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>
        <v>17</v>
      </c>
      <c r="B45">
        <v>1</v>
      </c>
      <c r="C45">
        <f>ROW(SmtRes!A36)</f>
        <v>36</v>
      </c>
      <c r="D45">
        <f>ROW(EtalonRes!A36)</f>
        <v>36</v>
      </c>
      <c r="E45" t="s">
        <v>64</v>
      </c>
      <c r="F45" t="s">
        <v>65</v>
      </c>
      <c r="G45" t="s">
        <v>66</v>
      </c>
      <c r="H45" t="s">
        <v>67</v>
      </c>
      <c r="I45">
        <f>ROUND(53/1000,9)</f>
        <v>5.2999999999999999E-2</v>
      </c>
      <c r="J45">
        <v>0</v>
      </c>
      <c r="K45">
        <f>ROUND(53/1000,9)</f>
        <v>5.2999999999999999E-2</v>
      </c>
      <c r="O45">
        <f t="shared" si="21"/>
        <v>3575.64</v>
      </c>
      <c r="P45">
        <f t="shared" si="22"/>
        <v>0</v>
      </c>
      <c r="Q45">
        <f t="shared" si="56"/>
        <v>189.86</v>
      </c>
      <c r="R45">
        <f t="shared" si="24"/>
        <v>61.08</v>
      </c>
      <c r="S45">
        <f t="shared" si="25"/>
        <v>3385.78</v>
      </c>
      <c r="T45">
        <f t="shared" si="26"/>
        <v>0</v>
      </c>
      <c r="U45">
        <f t="shared" si="27"/>
        <v>9.1971718850000013</v>
      </c>
      <c r="V45">
        <f t="shared" si="28"/>
        <v>0</v>
      </c>
      <c r="W45">
        <f t="shared" si="29"/>
        <v>0</v>
      </c>
      <c r="X45">
        <f t="shared" si="30"/>
        <v>3114.92</v>
      </c>
      <c r="Y45">
        <f t="shared" si="31"/>
        <v>1388.17</v>
      </c>
      <c r="AA45">
        <v>56616093</v>
      </c>
      <c r="AB45">
        <f t="shared" si="32"/>
        <v>2019.49</v>
      </c>
      <c r="AC45">
        <f t="shared" si="57"/>
        <v>0</v>
      </c>
      <c r="AD45">
        <f t="shared" si="58"/>
        <v>284.58100000000002</v>
      </c>
      <c r="AE45">
        <f t="shared" si="59"/>
        <v>31.228999999999999</v>
      </c>
      <c r="AF45">
        <f t="shared" si="60"/>
        <v>1734.9090000000001</v>
      </c>
      <c r="AG45">
        <f t="shared" si="36"/>
        <v>0</v>
      </c>
      <c r="AH45">
        <f t="shared" si="61"/>
        <v>162.63500000000002</v>
      </c>
      <c r="AI45">
        <f t="shared" si="62"/>
        <v>0</v>
      </c>
      <c r="AJ45">
        <f t="shared" si="38"/>
        <v>0</v>
      </c>
      <c r="AK45">
        <v>1835.9</v>
      </c>
      <c r="AL45">
        <v>0</v>
      </c>
      <c r="AM45">
        <v>258.70999999999998</v>
      </c>
      <c r="AN45">
        <v>28.39</v>
      </c>
      <c r="AO45">
        <v>1577.19</v>
      </c>
      <c r="AP45">
        <v>0</v>
      </c>
      <c r="AQ45">
        <v>147.85</v>
      </c>
      <c r="AR45">
        <v>0</v>
      </c>
      <c r="AS45">
        <v>0</v>
      </c>
      <c r="AT45">
        <v>92</v>
      </c>
      <c r="AU45">
        <v>41</v>
      </c>
      <c r="AV45">
        <v>1.0669999999999999</v>
      </c>
      <c r="AW45">
        <v>1.081</v>
      </c>
      <c r="AZ45">
        <v>1</v>
      </c>
      <c r="BA45">
        <v>34.51</v>
      </c>
      <c r="BB45">
        <v>11.8</v>
      </c>
      <c r="BC45">
        <v>1</v>
      </c>
      <c r="BD45" t="s">
        <v>3</v>
      </c>
      <c r="BE45" t="s">
        <v>3</v>
      </c>
      <c r="BF45" t="s">
        <v>3</v>
      </c>
      <c r="BG45" t="s">
        <v>3</v>
      </c>
      <c r="BH45">
        <v>0</v>
      </c>
      <c r="BI45">
        <v>1</v>
      </c>
      <c r="BJ45" t="s">
        <v>68</v>
      </c>
      <c r="BM45">
        <v>2254</v>
      </c>
      <c r="BN45">
        <v>0</v>
      </c>
      <c r="BO45" t="s">
        <v>65</v>
      </c>
      <c r="BP45">
        <v>1</v>
      </c>
      <c r="BQ45">
        <v>30</v>
      </c>
      <c r="BR45">
        <v>0</v>
      </c>
      <c r="BS45">
        <v>34.51</v>
      </c>
      <c r="BT45">
        <v>1</v>
      </c>
      <c r="BU45">
        <v>1</v>
      </c>
      <c r="BV45">
        <v>1</v>
      </c>
      <c r="BW45">
        <v>1</v>
      </c>
      <c r="BX45">
        <v>1</v>
      </c>
      <c r="BY45" t="s">
        <v>3</v>
      </c>
      <c r="BZ45">
        <v>92</v>
      </c>
      <c r="CA45">
        <v>41</v>
      </c>
      <c r="CB45" t="s">
        <v>3</v>
      </c>
      <c r="CE45">
        <v>30</v>
      </c>
      <c r="CF45">
        <v>0</v>
      </c>
      <c r="CG45">
        <v>0</v>
      </c>
      <c r="CM45">
        <v>0</v>
      </c>
      <c r="CN45" t="s">
        <v>671</v>
      </c>
      <c r="CO45">
        <v>0</v>
      </c>
      <c r="CP45">
        <f t="shared" si="39"/>
        <v>3575.6400000000003</v>
      </c>
      <c r="CQ45">
        <f t="shared" si="40"/>
        <v>0</v>
      </c>
      <c r="CR45">
        <f t="shared" si="63"/>
        <v>3583.07</v>
      </c>
      <c r="CS45">
        <f t="shared" si="42"/>
        <v>1149.8699999999999</v>
      </c>
      <c r="CT45">
        <f t="shared" si="43"/>
        <v>63883.19</v>
      </c>
      <c r="CU45">
        <f t="shared" si="44"/>
        <v>0</v>
      </c>
      <c r="CV45">
        <f t="shared" si="45"/>
        <v>173.53154500000002</v>
      </c>
      <c r="CW45">
        <f t="shared" si="46"/>
        <v>0</v>
      </c>
      <c r="CX45">
        <f t="shared" si="47"/>
        <v>0</v>
      </c>
      <c r="CY45">
        <f>S45*(BZ45/100)</f>
        <v>3114.9176000000002</v>
      </c>
      <c r="CZ45">
        <f>S45*(CA45/100)</f>
        <v>1388.1697999999999</v>
      </c>
      <c r="DC45" t="s">
        <v>3</v>
      </c>
      <c r="DD45" t="s">
        <v>3</v>
      </c>
      <c r="DE45" t="s">
        <v>22</v>
      </c>
      <c r="DF45" t="s">
        <v>22</v>
      </c>
      <c r="DG45" t="s">
        <v>22</v>
      </c>
      <c r="DH45" t="s">
        <v>3</v>
      </c>
      <c r="DI45" t="s">
        <v>22</v>
      </c>
      <c r="DJ45" t="s">
        <v>22</v>
      </c>
      <c r="DK45" t="s">
        <v>3</v>
      </c>
      <c r="DL45" t="s">
        <v>3</v>
      </c>
      <c r="DM45" t="s">
        <v>3</v>
      </c>
      <c r="DN45">
        <v>112</v>
      </c>
      <c r="DO45">
        <v>70</v>
      </c>
      <c r="DP45">
        <v>1.0669999999999999</v>
      </c>
      <c r="DQ45">
        <v>1.081</v>
      </c>
      <c r="DU45">
        <v>1013</v>
      </c>
      <c r="DV45" t="s">
        <v>67</v>
      </c>
      <c r="DW45" t="s">
        <v>67</v>
      </c>
      <c r="DX45">
        <v>1</v>
      </c>
      <c r="DZ45" t="s">
        <v>3</v>
      </c>
      <c r="EA45" t="s">
        <v>3</v>
      </c>
      <c r="EB45" t="s">
        <v>3</v>
      </c>
      <c r="EC45" t="s">
        <v>3</v>
      </c>
      <c r="EE45">
        <v>51698335</v>
      </c>
      <c r="EF45">
        <v>30</v>
      </c>
      <c r="EG45" t="s">
        <v>16</v>
      </c>
      <c r="EH45">
        <v>0</v>
      </c>
      <c r="EI45" t="s">
        <v>3</v>
      </c>
      <c r="EJ45">
        <v>1</v>
      </c>
      <c r="EK45">
        <v>2254</v>
      </c>
      <c r="EL45" t="s">
        <v>69</v>
      </c>
      <c r="EM45" t="s">
        <v>70</v>
      </c>
      <c r="EO45" t="s">
        <v>25</v>
      </c>
      <c r="EQ45">
        <v>131072</v>
      </c>
      <c r="ER45">
        <v>1835.9</v>
      </c>
      <c r="ES45">
        <v>0</v>
      </c>
      <c r="ET45">
        <v>258.70999999999998</v>
      </c>
      <c r="EU45">
        <v>28.39</v>
      </c>
      <c r="EV45">
        <v>1577.19</v>
      </c>
      <c r="EW45">
        <v>147.85</v>
      </c>
      <c r="EX45">
        <v>0</v>
      </c>
      <c r="EY45">
        <v>0</v>
      </c>
      <c r="FQ45">
        <v>0</v>
      </c>
      <c r="FR45">
        <v>0</v>
      </c>
      <c r="FS45">
        <v>0</v>
      </c>
      <c r="FX45">
        <v>112</v>
      </c>
      <c r="FY45">
        <v>70</v>
      </c>
      <c r="GA45" t="s">
        <v>3</v>
      </c>
      <c r="GD45">
        <v>0</v>
      </c>
      <c r="GF45">
        <v>-1068329133</v>
      </c>
      <c r="GG45">
        <v>2</v>
      </c>
      <c r="GH45">
        <v>1</v>
      </c>
      <c r="GI45">
        <v>2</v>
      </c>
      <c r="GJ45">
        <v>0</v>
      </c>
      <c r="GK45">
        <f>ROUND(R45*(S12)/100,2)</f>
        <v>97.73</v>
      </c>
      <c r="GL45">
        <f t="shared" si="48"/>
        <v>0</v>
      </c>
      <c r="GM45">
        <f t="shared" si="49"/>
        <v>8176.46</v>
      </c>
      <c r="GN45">
        <f t="shared" si="50"/>
        <v>8176.46</v>
      </c>
      <c r="GO45">
        <f t="shared" si="51"/>
        <v>0</v>
      </c>
      <c r="GP45">
        <f t="shared" si="52"/>
        <v>0</v>
      </c>
      <c r="GR45">
        <v>0</v>
      </c>
      <c r="GS45">
        <v>3</v>
      </c>
      <c r="GT45">
        <v>0</v>
      </c>
      <c r="GU45" t="s">
        <v>3</v>
      </c>
      <c r="GV45">
        <f t="shared" si="53"/>
        <v>0</v>
      </c>
      <c r="GW45">
        <v>1</v>
      </c>
      <c r="GX45">
        <f t="shared" si="54"/>
        <v>0</v>
      </c>
      <c r="HA45">
        <v>0</v>
      </c>
      <c r="HB45">
        <v>0</v>
      </c>
      <c r="HC45">
        <f t="shared" si="55"/>
        <v>0</v>
      </c>
      <c r="HE45" t="s">
        <v>3</v>
      </c>
      <c r="HF45" t="s">
        <v>3</v>
      </c>
      <c r="HM45" t="s">
        <v>3</v>
      </c>
      <c r="HN45" t="s">
        <v>3</v>
      </c>
      <c r="HO45" t="s">
        <v>3</v>
      </c>
      <c r="HP45" t="s">
        <v>3</v>
      </c>
      <c r="HQ45" t="s">
        <v>3</v>
      </c>
      <c r="HS45">
        <v>0</v>
      </c>
      <c r="IK45">
        <v>0</v>
      </c>
    </row>
    <row r="46" spans="1:255" x14ac:dyDescent="0.2">
      <c r="A46" s="2">
        <v>17</v>
      </c>
      <c r="B46" s="2">
        <v>1</v>
      </c>
      <c r="C46" s="2">
        <f>ROW(SmtRes!A40)</f>
        <v>40</v>
      </c>
      <c r="D46" s="2">
        <f>ROW(EtalonRes!A41)</f>
        <v>41</v>
      </c>
      <c r="E46" s="2" t="s">
        <v>71</v>
      </c>
      <c r="F46" s="2" t="s">
        <v>65</v>
      </c>
      <c r="G46" s="2" t="s">
        <v>66</v>
      </c>
      <c r="H46" s="2" t="s">
        <v>67</v>
      </c>
      <c r="I46" s="2">
        <v>0</v>
      </c>
      <c r="J46" s="2">
        <v>0</v>
      </c>
      <c r="K46" s="2">
        <v>0</v>
      </c>
      <c r="L46" s="2"/>
      <c r="M46" s="2"/>
      <c r="N46" s="2"/>
      <c r="O46" s="2">
        <f t="shared" si="21"/>
        <v>0</v>
      </c>
      <c r="P46" s="2">
        <f t="shared" si="22"/>
        <v>0</v>
      </c>
      <c r="Q46" s="2">
        <f t="shared" si="56"/>
        <v>0</v>
      </c>
      <c r="R46" s="2">
        <f t="shared" si="24"/>
        <v>0</v>
      </c>
      <c r="S46" s="2">
        <f t="shared" si="25"/>
        <v>0</v>
      </c>
      <c r="T46" s="2">
        <f t="shared" si="26"/>
        <v>0</v>
      </c>
      <c r="U46" s="2">
        <f t="shared" si="27"/>
        <v>0</v>
      </c>
      <c r="V46" s="2">
        <f t="shared" si="28"/>
        <v>0</v>
      </c>
      <c r="W46" s="2">
        <f t="shared" si="29"/>
        <v>0</v>
      </c>
      <c r="X46" s="2">
        <f t="shared" si="30"/>
        <v>0</v>
      </c>
      <c r="Y46" s="2">
        <f t="shared" si="31"/>
        <v>0</v>
      </c>
      <c r="Z46" s="2"/>
      <c r="AA46" s="2">
        <v>56622586</v>
      </c>
      <c r="AB46" s="2">
        <f t="shared" si="32"/>
        <v>2019.49</v>
      </c>
      <c r="AC46" s="2">
        <f t="shared" si="57"/>
        <v>0</v>
      </c>
      <c r="AD46" s="2">
        <f t="shared" si="58"/>
        <v>284.58100000000002</v>
      </c>
      <c r="AE46" s="2">
        <f t="shared" si="59"/>
        <v>31.228999999999999</v>
      </c>
      <c r="AF46" s="2">
        <f t="shared" si="60"/>
        <v>1734.9090000000001</v>
      </c>
      <c r="AG46" s="2">
        <f t="shared" si="36"/>
        <v>0</v>
      </c>
      <c r="AH46" s="2">
        <f t="shared" si="61"/>
        <v>162.63500000000002</v>
      </c>
      <c r="AI46" s="2">
        <f t="shared" si="62"/>
        <v>0</v>
      </c>
      <c r="AJ46" s="2">
        <f t="shared" si="38"/>
        <v>0</v>
      </c>
      <c r="AK46" s="2">
        <v>1835.9</v>
      </c>
      <c r="AL46" s="2">
        <v>0</v>
      </c>
      <c r="AM46" s="2">
        <v>258.70999999999998</v>
      </c>
      <c r="AN46" s="2">
        <v>28.39</v>
      </c>
      <c r="AO46" s="2">
        <v>1577.19</v>
      </c>
      <c r="AP46" s="2">
        <v>0</v>
      </c>
      <c r="AQ46" s="2">
        <v>147.85</v>
      </c>
      <c r="AR46" s="2">
        <v>0</v>
      </c>
      <c r="AS46" s="2">
        <v>0</v>
      </c>
      <c r="AT46" s="2">
        <v>112</v>
      </c>
      <c r="AU46" s="2">
        <v>70</v>
      </c>
      <c r="AV46" s="2">
        <v>1.0669999999999999</v>
      </c>
      <c r="AW46" s="2">
        <v>1.081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1</v>
      </c>
      <c r="BJ46" s="2" t="s">
        <v>68</v>
      </c>
      <c r="BK46" s="2"/>
      <c r="BL46" s="2"/>
      <c r="BM46" s="2">
        <v>2254</v>
      </c>
      <c r="BN46" s="2">
        <v>0</v>
      </c>
      <c r="BO46" s="2" t="s">
        <v>3</v>
      </c>
      <c r="BP46" s="2">
        <v>0</v>
      </c>
      <c r="BQ46" s="2">
        <v>30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112</v>
      </c>
      <c r="CA46" s="2">
        <v>70</v>
      </c>
      <c r="CB46" s="2" t="s">
        <v>3</v>
      </c>
      <c r="CC46" s="2"/>
      <c r="CD46" s="2"/>
      <c r="CE46" s="2">
        <v>30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671</v>
      </c>
      <c r="CO46" s="2">
        <v>0</v>
      </c>
      <c r="CP46" s="2">
        <f t="shared" si="39"/>
        <v>0</v>
      </c>
      <c r="CQ46" s="2">
        <f t="shared" si="40"/>
        <v>0</v>
      </c>
      <c r="CR46" s="2">
        <f t="shared" si="63"/>
        <v>303.64999999999998</v>
      </c>
      <c r="CS46" s="2">
        <f t="shared" si="42"/>
        <v>33.32</v>
      </c>
      <c r="CT46" s="2">
        <f t="shared" si="43"/>
        <v>1851.15</v>
      </c>
      <c r="CU46" s="2">
        <f t="shared" si="44"/>
        <v>0</v>
      </c>
      <c r="CV46" s="2">
        <f t="shared" si="45"/>
        <v>173.53154500000002</v>
      </c>
      <c r="CW46" s="2">
        <f t="shared" si="46"/>
        <v>0</v>
      </c>
      <c r="CX46" s="2">
        <f t="shared" si="47"/>
        <v>0</v>
      </c>
      <c r="CY46" s="2">
        <f>((S46*BZ46)/100)</f>
        <v>0</v>
      </c>
      <c r="CZ46" s="2">
        <f>((S46*CA46)/100)</f>
        <v>0</v>
      </c>
      <c r="DA46" s="2"/>
      <c r="DB46" s="2"/>
      <c r="DC46" s="2" t="s">
        <v>3</v>
      </c>
      <c r="DD46" s="2" t="s">
        <v>3</v>
      </c>
      <c r="DE46" s="2" t="s">
        <v>22</v>
      </c>
      <c r="DF46" s="2" t="s">
        <v>22</v>
      </c>
      <c r="DG46" s="2" t="s">
        <v>22</v>
      </c>
      <c r="DH46" s="2" t="s">
        <v>3</v>
      </c>
      <c r="DI46" s="2" t="s">
        <v>22</v>
      </c>
      <c r="DJ46" s="2" t="s">
        <v>22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67</v>
      </c>
      <c r="DW46" s="2" t="s">
        <v>67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51698335</v>
      </c>
      <c r="EF46" s="2">
        <v>30</v>
      </c>
      <c r="EG46" s="2" t="s">
        <v>16</v>
      </c>
      <c r="EH46" s="2">
        <v>0</v>
      </c>
      <c r="EI46" s="2" t="s">
        <v>3</v>
      </c>
      <c r="EJ46" s="2">
        <v>1</v>
      </c>
      <c r="EK46" s="2">
        <v>2254</v>
      </c>
      <c r="EL46" s="2" t="s">
        <v>69</v>
      </c>
      <c r="EM46" s="2" t="s">
        <v>70</v>
      </c>
      <c r="EN46" s="2"/>
      <c r="EO46" s="2" t="s">
        <v>25</v>
      </c>
      <c r="EP46" s="2"/>
      <c r="EQ46" s="2">
        <v>131072</v>
      </c>
      <c r="ER46" s="2">
        <v>1835.9</v>
      </c>
      <c r="ES46" s="2">
        <v>0</v>
      </c>
      <c r="ET46" s="2">
        <v>258.70999999999998</v>
      </c>
      <c r="EU46" s="2">
        <v>28.39</v>
      </c>
      <c r="EV46" s="2">
        <v>1577.19</v>
      </c>
      <c r="EW46" s="2">
        <v>147.85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112</v>
      </c>
      <c r="FY46" s="2">
        <v>70</v>
      </c>
      <c r="FZ46" s="2"/>
      <c r="GA46" s="2" t="s">
        <v>3</v>
      </c>
      <c r="GB46" s="2"/>
      <c r="GC46" s="2"/>
      <c r="GD46" s="2">
        <v>0</v>
      </c>
      <c r="GE46" s="2"/>
      <c r="GF46" s="2">
        <v>-1068329133</v>
      </c>
      <c r="GG46" s="2">
        <v>2</v>
      </c>
      <c r="GH46" s="2">
        <v>1</v>
      </c>
      <c r="GI46" s="2">
        <v>-2</v>
      </c>
      <c r="GJ46" s="2">
        <v>0</v>
      </c>
      <c r="GK46" s="2">
        <f>ROUND(R46*(R12)/100,2)</f>
        <v>0</v>
      </c>
      <c r="GL46" s="2">
        <f t="shared" si="48"/>
        <v>0</v>
      </c>
      <c r="GM46" s="2">
        <f t="shared" si="49"/>
        <v>0</v>
      </c>
      <c r="GN46" s="2">
        <f t="shared" si="50"/>
        <v>0</v>
      </c>
      <c r="GO46" s="2">
        <f t="shared" si="51"/>
        <v>0</v>
      </c>
      <c r="GP46" s="2">
        <f t="shared" si="52"/>
        <v>0</v>
      </c>
      <c r="GQ46" s="2"/>
      <c r="GR46" s="2">
        <v>0</v>
      </c>
      <c r="GS46" s="2">
        <v>0</v>
      </c>
      <c r="GT46" s="2">
        <v>0</v>
      </c>
      <c r="GU46" s="2" t="s">
        <v>3</v>
      </c>
      <c r="GV46" s="2">
        <f t="shared" si="53"/>
        <v>0</v>
      </c>
      <c r="GW46" s="2">
        <v>1</v>
      </c>
      <c r="GX46" s="2">
        <f t="shared" si="54"/>
        <v>0</v>
      </c>
      <c r="GY46" s="2"/>
      <c r="GZ46" s="2"/>
      <c r="HA46" s="2">
        <v>0</v>
      </c>
      <c r="HB46" s="2">
        <v>0</v>
      </c>
      <c r="HC46" s="2">
        <f t="shared" si="55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>
        <v>17</v>
      </c>
      <c r="B47">
        <v>1</v>
      </c>
      <c r="C47">
        <f>ROW(SmtRes!A44)</f>
        <v>44</v>
      </c>
      <c r="D47">
        <f>ROW(EtalonRes!A46)</f>
        <v>46</v>
      </c>
      <c r="E47" t="s">
        <v>71</v>
      </c>
      <c r="F47" t="s">
        <v>65</v>
      </c>
      <c r="G47" t="s">
        <v>66</v>
      </c>
      <c r="H47" t="s">
        <v>67</v>
      </c>
      <c r="I47">
        <v>0</v>
      </c>
      <c r="J47">
        <v>0</v>
      </c>
      <c r="K47">
        <v>0</v>
      </c>
      <c r="O47">
        <f t="shared" si="21"/>
        <v>0</v>
      </c>
      <c r="P47">
        <f t="shared" si="22"/>
        <v>0</v>
      </c>
      <c r="Q47">
        <f t="shared" si="56"/>
        <v>0</v>
      </c>
      <c r="R47">
        <f t="shared" si="24"/>
        <v>0</v>
      </c>
      <c r="S47">
        <f t="shared" si="25"/>
        <v>0</v>
      </c>
      <c r="T47">
        <f t="shared" si="26"/>
        <v>0</v>
      </c>
      <c r="U47">
        <f t="shared" si="27"/>
        <v>0</v>
      </c>
      <c r="V47">
        <f t="shared" si="28"/>
        <v>0</v>
      </c>
      <c r="W47">
        <f t="shared" si="29"/>
        <v>0</v>
      </c>
      <c r="X47">
        <f t="shared" si="30"/>
        <v>0</v>
      </c>
      <c r="Y47">
        <f t="shared" si="31"/>
        <v>0</v>
      </c>
      <c r="AA47">
        <v>56616093</v>
      </c>
      <c r="AB47">
        <f t="shared" si="32"/>
        <v>2019.49</v>
      </c>
      <c r="AC47">
        <f t="shared" si="57"/>
        <v>0</v>
      </c>
      <c r="AD47">
        <f t="shared" si="58"/>
        <v>284.58100000000002</v>
      </c>
      <c r="AE47">
        <f t="shared" si="59"/>
        <v>31.228999999999999</v>
      </c>
      <c r="AF47">
        <f t="shared" si="60"/>
        <v>1734.9090000000001</v>
      </c>
      <c r="AG47">
        <f t="shared" si="36"/>
        <v>0</v>
      </c>
      <c r="AH47">
        <f t="shared" si="61"/>
        <v>162.63500000000002</v>
      </c>
      <c r="AI47">
        <f t="shared" si="62"/>
        <v>0</v>
      </c>
      <c r="AJ47">
        <f t="shared" si="38"/>
        <v>0</v>
      </c>
      <c r="AK47">
        <v>1835.9</v>
      </c>
      <c r="AL47">
        <v>0</v>
      </c>
      <c r="AM47">
        <v>258.70999999999998</v>
      </c>
      <c r="AN47">
        <v>28.39</v>
      </c>
      <c r="AO47">
        <v>1577.19</v>
      </c>
      <c r="AP47">
        <v>0</v>
      </c>
      <c r="AQ47">
        <v>147.85</v>
      </c>
      <c r="AR47">
        <v>0</v>
      </c>
      <c r="AS47">
        <v>0</v>
      </c>
      <c r="AT47">
        <v>92</v>
      </c>
      <c r="AU47">
        <v>41</v>
      </c>
      <c r="AV47">
        <v>1.0669999999999999</v>
      </c>
      <c r="AW47">
        <v>1.081</v>
      </c>
      <c r="AZ47">
        <v>1</v>
      </c>
      <c r="BA47">
        <v>34.51</v>
      </c>
      <c r="BB47">
        <v>11.8</v>
      </c>
      <c r="BC47">
        <v>1</v>
      </c>
      <c r="BD47" t="s">
        <v>3</v>
      </c>
      <c r="BE47" t="s">
        <v>3</v>
      </c>
      <c r="BF47" t="s">
        <v>3</v>
      </c>
      <c r="BG47" t="s">
        <v>3</v>
      </c>
      <c r="BH47">
        <v>0</v>
      </c>
      <c r="BI47">
        <v>1</v>
      </c>
      <c r="BJ47" t="s">
        <v>68</v>
      </c>
      <c r="BM47">
        <v>2254</v>
      </c>
      <c r="BN47">
        <v>0</v>
      </c>
      <c r="BO47" t="s">
        <v>65</v>
      </c>
      <c r="BP47">
        <v>1</v>
      </c>
      <c r="BQ47">
        <v>30</v>
      </c>
      <c r="BR47">
        <v>0</v>
      </c>
      <c r="BS47">
        <v>34.51</v>
      </c>
      <c r="BT47">
        <v>1</v>
      </c>
      <c r="BU47">
        <v>1</v>
      </c>
      <c r="BV47">
        <v>1</v>
      </c>
      <c r="BW47">
        <v>1</v>
      </c>
      <c r="BX47">
        <v>1</v>
      </c>
      <c r="BY47" t="s">
        <v>3</v>
      </c>
      <c r="BZ47">
        <v>92</v>
      </c>
      <c r="CA47">
        <v>41</v>
      </c>
      <c r="CB47" t="s">
        <v>3</v>
      </c>
      <c r="CE47">
        <v>30</v>
      </c>
      <c r="CF47">
        <v>0</v>
      </c>
      <c r="CG47">
        <v>0</v>
      </c>
      <c r="CM47">
        <v>0</v>
      </c>
      <c r="CN47" t="s">
        <v>671</v>
      </c>
      <c r="CO47">
        <v>0</v>
      </c>
      <c r="CP47">
        <f t="shared" si="39"/>
        <v>0</v>
      </c>
      <c r="CQ47">
        <f t="shared" si="40"/>
        <v>0</v>
      </c>
      <c r="CR47">
        <f t="shared" si="63"/>
        <v>3583.07</v>
      </c>
      <c r="CS47">
        <f t="shared" si="42"/>
        <v>1149.8699999999999</v>
      </c>
      <c r="CT47">
        <f t="shared" si="43"/>
        <v>63883.19</v>
      </c>
      <c r="CU47">
        <f t="shared" si="44"/>
        <v>0</v>
      </c>
      <c r="CV47">
        <f t="shared" si="45"/>
        <v>173.53154500000002</v>
      </c>
      <c r="CW47">
        <f t="shared" si="46"/>
        <v>0</v>
      </c>
      <c r="CX47">
        <f t="shared" si="47"/>
        <v>0</v>
      </c>
      <c r="CY47">
        <f>S47*(BZ47/100)</f>
        <v>0</v>
      </c>
      <c r="CZ47">
        <f>S47*(CA47/100)</f>
        <v>0</v>
      </c>
      <c r="DC47" t="s">
        <v>3</v>
      </c>
      <c r="DD47" t="s">
        <v>3</v>
      </c>
      <c r="DE47" t="s">
        <v>22</v>
      </c>
      <c r="DF47" t="s">
        <v>22</v>
      </c>
      <c r="DG47" t="s">
        <v>22</v>
      </c>
      <c r="DH47" t="s">
        <v>3</v>
      </c>
      <c r="DI47" t="s">
        <v>22</v>
      </c>
      <c r="DJ47" t="s">
        <v>22</v>
      </c>
      <c r="DK47" t="s">
        <v>3</v>
      </c>
      <c r="DL47" t="s">
        <v>3</v>
      </c>
      <c r="DM47" t="s">
        <v>3</v>
      </c>
      <c r="DN47">
        <v>112</v>
      </c>
      <c r="DO47">
        <v>70</v>
      </c>
      <c r="DP47">
        <v>1.0669999999999999</v>
      </c>
      <c r="DQ47">
        <v>1.081</v>
      </c>
      <c r="DU47">
        <v>1013</v>
      </c>
      <c r="DV47" t="s">
        <v>67</v>
      </c>
      <c r="DW47" t="s">
        <v>67</v>
      </c>
      <c r="DX47">
        <v>1</v>
      </c>
      <c r="DZ47" t="s">
        <v>3</v>
      </c>
      <c r="EA47" t="s">
        <v>3</v>
      </c>
      <c r="EB47" t="s">
        <v>3</v>
      </c>
      <c r="EC47" t="s">
        <v>3</v>
      </c>
      <c r="EE47">
        <v>51698335</v>
      </c>
      <c r="EF47">
        <v>30</v>
      </c>
      <c r="EG47" t="s">
        <v>16</v>
      </c>
      <c r="EH47">
        <v>0</v>
      </c>
      <c r="EI47" t="s">
        <v>3</v>
      </c>
      <c r="EJ47">
        <v>1</v>
      </c>
      <c r="EK47">
        <v>2254</v>
      </c>
      <c r="EL47" t="s">
        <v>69</v>
      </c>
      <c r="EM47" t="s">
        <v>70</v>
      </c>
      <c r="EO47" t="s">
        <v>25</v>
      </c>
      <c r="EQ47">
        <v>131072</v>
      </c>
      <c r="ER47">
        <v>1835.9</v>
      </c>
      <c r="ES47">
        <v>0</v>
      </c>
      <c r="ET47">
        <v>258.70999999999998</v>
      </c>
      <c r="EU47">
        <v>28.39</v>
      </c>
      <c r="EV47">
        <v>1577.19</v>
      </c>
      <c r="EW47">
        <v>147.85</v>
      </c>
      <c r="EX47">
        <v>0</v>
      </c>
      <c r="EY47">
        <v>0</v>
      </c>
      <c r="FQ47">
        <v>0</v>
      </c>
      <c r="FR47">
        <v>0</v>
      </c>
      <c r="FS47">
        <v>0</v>
      </c>
      <c r="FX47">
        <v>112</v>
      </c>
      <c r="FY47">
        <v>70</v>
      </c>
      <c r="GA47" t="s">
        <v>3</v>
      </c>
      <c r="GD47">
        <v>0</v>
      </c>
      <c r="GF47">
        <v>-1068329133</v>
      </c>
      <c r="GG47">
        <v>2</v>
      </c>
      <c r="GH47">
        <v>1</v>
      </c>
      <c r="GI47">
        <v>2</v>
      </c>
      <c r="GJ47">
        <v>0</v>
      </c>
      <c r="GK47">
        <f>ROUND(R47*(S12)/100,2)</f>
        <v>0</v>
      </c>
      <c r="GL47">
        <f t="shared" si="48"/>
        <v>0</v>
      </c>
      <c r="GM47">
        <f t="shared" si="49"/>
        <v>0</v>
      </c>
      <c r="GN47">
        <f t="shared" si="50"/>
        <v>0</v>
      </c>
      <c r="GO47">
        <f t="shared" si="51"/>
        <v>0</v>
      </c>
      <c r="GP47">
        <f t="shared" si="52"/>
        <v>0</v>
      </c>
      <c r="GR47">
        <v>0</v>
      </c>
      <c r="GS47">
        <v>3</v>
      </c>
      <c r="GT47">
        <v>0</v>
      </c>
      <c r="GU47" t="s">
        <v>3</v>
      </c>
      <c r="GV47">
        <f t="shared" si="53"/>
        <v>0</v>
      </c>
      <c r="GW47">
        <v>1</v>
      </c>
      <c r="GX47">
        <f t="shared" si="54"/>
        <v>0</v>
      </c>
      <c r="HA47">
        <v>0</v>
      </c>
      <c r="HB47">
        <v>0</v>
      </c>
      <c r="HC47">
        <f t="shared" si="55"/>
        <v>0</v>
      </c>
      <c r="HE47" t="s">
        <v>3</v>
      </c>
      <c r="HF47" t="s">
        <v>3</v>
      </c>
      <c r="HM47" t="s">
        <v>3</v>
      </c>
      <c r="HN47" t="s">
        <v>3</v>
      </c>
      <c r="HO47" t="s">
        <v>3</v>
      </c>
      <c r="HP47" t="s">
        <v>3</v>
      </c>
      <c r="HQ47" t="s">
        <v>3</v>
      </c>
      <c r="HS47">
        <v>0</v>
      </c>
      <c r="IK47">
        <v>0</v>
      </c>
    </row>
    <row r="48" spans="1:255" x14ac:dyDescent="0.2">
      <c r="A48" s="2">
        <v>17</v>
      </c>
      <c r="B48" s="2">
        <v>1</v>
      </c>
      <c r="C48" s="2">
        <f>ROW(SmtRes!A49)</f>
        <v>49</v>
      </c>
      <c r="D48" s="2">
        <f>ROW(EtalonRes!A52)</f>
        <v>52</v>
      </c>
      <c r="E48" s="2" t="s">
        <v>72</v>
      </c>
      <c r="F48" s="2" t="s">
        <v>73</v>
      </c>
      <c r="G48" s="2" t="s">
        <v>74</v>
      </c>
      <c r="H48" s="2" t="s">
        <v>67</v>
      </c>
      <c r="I48" s="2">
        <f>ROUND(340/1000,9)</f>
        <v>0.34</v>
      </c>
      <c r="J48" s="2">
        <v>0</v>
      </c>
      <c r="K48" s="2">
        <f>ROUND(340/1000,9)</f>
        <v>0.34</v>
      </c>
      <c r="L48" s="2"/>
      <c r="M48" s="2"/>
      <c r="N48" s="2"/>
      <c r="O48" s="2">
        <f t="shared" si="21"/>
        <v>568.22</v>
      </c>
      <c r="P48" s="2">
        <f t="shared" si="22"/>
        <v>0</v>
      </c>
      <c r="Q48" s="2">
        <f t="shared" si="56"/>
        <v>102.15</v>
      </c>
      <c r="R48" s="2">
        <f t="shared" si="24"/>
        <v>11.21</v>
      </c>
      <c r="S48" s="2">
        <f t="shared" si="25"/>
        <v>466.07</v>
      </c>
      <c r="T48" s="2">
        <f t="shared" si="26"/>
        <v>0</v>
      </c>
      <c r="U48" s="2">
        <f t="shared" si="27"/>
        <v>43.018452400000001</v>
      </c>
      <c r="V48" s="2">
        <f t="shared" si="28"/>
        <v>0</v>
      </c>
      <c r="W48" s="2">
        <f t="shared" si="29"/>
        <v>0</v>
      </c>
      <c r="X48" s="2">
        <f t="shared" si="30"/>
        <v>522</v>
      </c>
      <c r="Y48" s="2">
        <f t="shared" si="31"/>
        <v>326.25</v>
      </c>
      <c r="Z48" s="2"/>
      <c r="AA48" s="2">
        <v>56622586</v>
      </c>
      <c r="AB48" s="2">
        <f t="shared" si="32"/>
        <v>1566.279</v>
      </c>
      <c r="AC48" s="2">
        <f t="shared" si="57"/>
        <v>0</v>
      </c>
      <c r="AD48" s="2">
        <f t="shared" si="58"/>
        <v>281.56700000000001</v>
      </c>
      <c r="AE48" s="2">
        <f t="shared" si="59"/>
        <v>30.888000000000002</v>
      </c>
      <c r="AF48" s="2">
        <f t="shared" si="60"/>
        <v>1284.712</v>
      </c>
      <c r="AG48" s="2">
        <f t="shared" si="36"/>
        <v>0</v>
      </c>
      <c r="AH48" s="2">
        <f t="shared" si="61"/>
        <v>118.58000000000001</v>
      </c>
      <c r="AI48" s="2">
        <f t="shared" si="62"/>
        <v>0</v>
      </c>
      <c r="AJ48" s="2">
        <f t="shared" si="38"/>
        <v>0</v>
      </c>
      <c r="AK48" s="2">
        <v>1423.89</v>
      </c>
      <c r="AL48" s="2">
        <v>0</v>
      </c>
      <c r="AM48" s="2">
        <v>255.97</v>
      </c>
      <c r="AN48" s="2">
        <v>28.08</v>
      </c>
      <c r="AO48" s="2">
        <v>1167.92</v>
      </c>
      <c r="AP48" s="2">
        <v>0</v>
      </c>
      <c r="AQ48" s="2">
        <v>107.8</v>
      </c>
      <c r="AR48" s="2">
        <v>0</v>
      </c>
      <c r="AS48" s="2">
        <v>0</v>
      </c>
      <c r="AT48" s="2">
        <v>112</v>
      </c>
      <c r="AU48" s="2">
        <v>70</v>
      </c>
      <c r="AV48" s="2">
        <v>1.0669999999999999</v>
      </c>
      <c r="AW48" s="2">
        <v>1.081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0</v>
      </c>
      <c r="BI48" s="2">
        <v>1</v>
      </c>
      <c r="BJ48" s="2" t="s">
        <v>75</v>
      </c>
      <c r="BK48" s="2"/>
      <c r="BL48" s="2"/>
      <c r="BM48" s="2">
        <v>2254</v>
      </c>
      <c r="BN48" s="2">
        <v>0</v>
      </c>
      <c r="BO48" s="2" t="s">
        <v>3</v>
      </c>
      <c r="BP48" s="2">
        <v>0</v>
      </c>
      <c r="BQ48" s="2">
        <v>30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112</v>
      </c>
      <c r="CA48" s="2">
        <v>70</v>
      </c>
      <c r="CB48" s="2" t="s">
        <v>3</v>
      </c>
      <c r="CC48" s="2"/>
      <c r="CD48" s="2"/>
      <c r="CE48" s="2">
        <v>30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671</v>
      </c>
      <c r="CO48" s="2">
        <v>0</v>
      </c>
      <c r="CP48" s="2">
        <f t="shared" si="39"/>
        <v>568.22</v>
      </c>
      <c r="CQ48" s="2">
        <f t="shared" si="40"/>
        <v>0</v>
      </c>
      <c r="CR48" s="2">
        <f t="shared" si="63"/>
        <v>300.43</v>
      </c>
      <c r="CS48" s="2">
        <f t="shared" si="42"/>
        <v>32.96</v>
      </c>
      <c r="CT48" s="2">
        <f t="shared" si="43"/>
        <v>1370.79</v>
      </c>
      <c r="CU48" s="2">
        <f t="shared" si="44"/>
        <v>0</v>
      </c>
      <c r="CV48" s="2">
        <f t="shared" si="45"/>
        <v>126.52486</v>
      </c>
      <c r="CW48" s="2">
        <f t="shared" si="46"/>
        <v>0</v>
      </c>
      <c r="CX48" s="2">
        <f t="shared" si="47"/>
        <v>0</v>
      </c>
      <c r="CY48" s="2">
        <f>((S48*BZ48)/100)</f>
        <v>521.99839999999995</v>
      </c>
      <c r="CZ48" s="2">
        <f>((S48*CA48)/100)</f>
        <v>326.24899999999997</v>
      </c>
      <c r="DA48" s="2"/>
      <c r="DB48" s="2"/>
      <c r="DC48" s="2" t="s">
        <v>3</v>
      </c>
      <c r="DD48" s="2" t="s">
        <v>3</v>
      </c>
      <c r="DE48" s="2" t="s">
        <v>22</v>
      </c>
      <c r="DF48" s="2" t="s">
        <v>22</v>
      </c>
      <c r="DG48" s="2" t="s">
        <v>22</v>
      </c>
      <c r="DH48" s="2" t="s">
        <v>3</v>
      </c>
      <c r="DI48" s="2" t="s">
        <v>22</v>
      </c>
      <c r="DJ48" s="2" t="s">
        <v>22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1013</v>
      </c>
      <c r="DV48" s="2" t="s">
        <v>67</v>
      </c>
      <c r="DW48" s="2" t="s">
        <v>67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51698335</v>
      </c>
      <c r="EF48" s="2">
        <v>30</v>
      </c>
      <c r="EG48" s="2" t="s">
        <v>16</v>
      </c>
      <c r="EH48" s="2">
        <v>0</v>
      </c>
      <c r="EI48" s="2" t="s">
        <v>3</v>
      </c>
      <c r="EJ48" s="2">
        <v>1</v>
      </c>
      <c r="EK48" s="2">
        <v>2254</v>
      </c>
      <c r="EL48" s="2" t="s">
        <v>69</v>
      </c>
      <c r="EM48" s="2" t="s">
        <v>70</v>
      </c>
      <c r="EN48" s="2"/>
      <c r="EO48" s="2" t="s">
        <v>25</v>
      </c>
      <c r="EP48" s="2"/>
      <c r="EQ48" s="2">
        <v>131072</v>
      </c>
      <c r="ER48" s="2">
        <v>1423.89</v>
      </c>
      <c r="ES48" s="2">
        <v>0</v>
      </c>
      <c r="ET48" s="2">
        <v>255.97</v>
      </c>
      <c r="EU48" s="2">
        <v>28.08</v>
      </c>
      <c r="EV48" s="2">
        <v>1167.92</v>
      </c>
      <c r="EW48" s="2">
        <v>107.8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112</v>
      </c>
      <c r="FY48" s="2">
        <v>70</v>
      </c>
      <c r="FZ48" s="2"/>
      <c r="GA48" s="2" t="s">
        <v>3</v>
      </c>
      <c r="GB48" s="2"/>
      <c r="GC48" s="2"/>
      <c r="GD48" s="2">
        <v>0</v>
      </c>
      <c r="GE48" s="2"/>
      <c r="GF48" s="2">
        <v>-654616270</v>
      </c>
      <c r="GG48" s="2">
        <v>2</v>
      </c>
      <c r="GH48" s="2">
        <v>1</v>
      </c>
      <c r="GI48" s="2">
        <v>-2</v>
      </c>
      <c r="GJ48" s="2">
        <v>0</v>
      </c>
      <c r="GK48" s="2">
        <f>ROUND(R48*(R12)/100,2)</f>
        <v>19.62</v>
      </c>
      <c r="GL48" s="2">
        <f t="shared" si="48"/>
        <v>0</v>
      </c>
      <c r="GM48" s="2">
        <f t="shared" si="49"/>
        <v>1436.09</v>
      </c>
      <c r="GN48" s="2">
        <f t="shared" si="50"/>
        <v>1436.09</v>
      </c>
      <c r="GO48" s="2">
        <f t="shared" si="51"/>
        <v>0</v>
      </c>
      <c r="GP48" s="2">
        <f t="shared" si="52"/>
        <v>0</v>
      </c>
      <c r="GQ48" s="2"/>
      <c r="GR48" s="2">
        <v>0</v>
      </c>
      <c r="GS48" s="2">
        <v>0</v>
      </c>
      <c r="GT48" s="2">
        <v>0</v>
      </c>
      <c r="GU48" s="2" t="s">
        <v>3</v>
      </c>
      <c r="GV48" s="2">
        <f t="shared" si="53"/>
        <v>0</v>
      </c>
      <c r="GW48" s="2">
        <v>1</v>
      </c>
      <c r="GX48" s="2">
        <f t="shared" si="54"/>
        <v>0</v>
      </c>
      <c r="GY48" s="2"/>
      <c r="GZ48" s="2"/>
      <c r="HA48" s="2">
        <v>0</v>
      </c>
      <c r="HB48" s="2">
        <v>0</v>
      </c>
      <c r="HC48" s="2">
        <f t="shared" si="55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>
        <v>17</v>
      </c>
      <c r="B49">
        <v>1</v>
      </c>
      <c r="C49">
        <f>ROW(SmtRes!A54)</f>
        <v>54</v>
      </c>
      <c r="D49">
        <f>ROW(EtalonRes!A58)</f>
        <v>58</v>
      </c>
      <c r="E49" t="s">
        <v>72</v>
      </c>
      <c r="F49" t="s">
        <v>73</v>
      </c>
      <c r="G49" t="s">
        <v>74</v>
      </c>
      <c r="H49" t="s">
        <v>67</v>
      </c>
      <c r="I49">
        <f>ROUND(340/1000,9)</f>
        <v>0.34</v>
      </c>
      <c r="J49">
        <v>0</v>
      </c>
      <c r="K49">
        <f>ROUND(340/1000,9)</f>
        <v>0.34</v>
      </c>
      <c r="O49">
        <f t="shared" si="21"/>
        <v>17289.45</v>
      </c>
      <c r="P49">
        <f t="shared" si="22"/>
        <v>0</v>
      </c>
      <c r="Q49">
        <f t="shared" si="56"/>
        <v>1205.3699999999999</v>
      </c>
      <c r="R49">
        <f t="shared" si="24"/>
        <v>386.86</v>
      </c>
      <c r="S49">
        <f t="shared" si="25"/>
        <v>16084.08</v>
      </c>
      <c r="T49">
        <f t="shared" si="26"/>
        <v>0</v>
      </c>
      <c r="U49">
        <f t="shared" si="27"/>
        <v>43.018452400000001</v>
      </c>
      <c r="V49">
        <f t="shared" si="28"/>
        <v>0</v>
      </c>
      <c r="W49">
        <f t="shared" si="29"/>
        <v>0</v>
      </c>
      <c r="X49">
        <f t="shared" si="30"/>
        <v>14797.35</v>
      </c>
      <c r="Y49">
        <f t="shared" si="31"/>
        <v>6594.47</v>
      </c>
      <c r="AA49">
        <v>56616093</v>
      </c>
      <c r="AB49">
        <f t="shared" si="32"/>
        <v>1566.279</v>
      </c>
      <c r="AC49">
        <f t="shared" si="57"/>
        <v>0</v>
      </c>
      <c r="AD49">
        <f t="shared" si="58"/>
        <v>281.56700000000001</v>
      </c>
      <c r="AE49">
        <f t="shared" si="59"/>
        <v>30.888000000000002</v>
      </c>
      <c r="AF49">
        <f t="shared" si="60"/>
        <v>1284.712</v>
      </c>
      <c r="AG49">
        <f t="shared" si="36"/>
        <v>0</v>
      </c>
      <c r="AH49">
        <f t="shared" si="61"/>
        <v>118.58000000000001</v>
      </c>
      <c r="AI49">
        <f t="shared" si="62"/>
        <v>0</v>
      </c>
      <c r="AJ49">
        <f t="shared" si="38"/>
        <v>0</v>
      </c>
      <c r="AK49">
        <v>1423.89</v>
      </c>
      <c r="AL49">
        <v>0</v>
      </c>
      <c r="AM49">
        <v>255.97</v>
      </c>
      <c r="AN49">
        <v>28.08</v>
      </c>
      <c r="AO49">
        <v>1167.92</v>
      </c>
      <c r="AP49">
        <v>0</v>
      </c>
      <c r="AQ49">
        <v>107.8</v>
      </c>
      <c r="AR49">
        <v>0</v>
      </c>
      <c r="AS49">
        <v>0</v>
      </c>
      <c r="AT49">
        <v>92</v>
      </c>
      <c r="AU49">
        <v>41</v>
      </c>
      <c r="AV49">
        <v>1.0669999999999999</v>
      </c>
      <c r="AW49">
        <v>1.081</v>
      </c>
      <c r="AZ49">
        <v>1</v>
      </c>
      <c r="BA49">
        <v>34.51</v>
      </c>
      <c r="BB49">
        <v>11.8</v>
      </c>
      <c r="BC49">
        <v>1</v>
      </c>
      <c r="BD49" t="s">
        <v>3</v>
      </c>
      <c r="BE49" t="s">
        <v>3</v>
      </c>
      <c r="BF49" t="s">
        <v>3</v>
      </c>
      <c r="BG49" t="s">
        <v>3</v>
      </c>
      <c r="BH49">
        <v>0</v>
      </c>
      <c r="BI49">
        <v>1</v>
      </c>
      <c r="BJ49" t="s">
        <v>75</v>
      </c>
      <c r="BM49">
        <v>2254</v>
      </c>
      <c r="BN49">
        <v>0</v>
      </c>
      <c r="BO49" t="s">
        <v>73</v>
      </c>
      <c r="BP49">
        <v>1</v>
      </c>
      <c r="BQ49">
        <v>30</v>
      </c>
      <c r="BR49">
        <v>0</v>
      </c>
      <c r="BS49">
        <v>34.51</v>
      </c>
      <c r="BT49">
        <v>1</v>
      </c>
      <c r="BU49">
        <v>1</v>
      </c>
      <c r="BV49">
        <v>1</v>
      </c>
      <c r="BW49">
        <v>1</v>
      </c>
      <c r="BX49">
        <v>1</v>
      </c>
      <c r="BY49" t="s">
        <v>3</v>
      </c>
      <c r="BZ49">
        <v>92</v>
      </c>
      <c r="CA49">
        <v>41</v>
      </c>
      <c r="CB49" t="s">
        <v>3</v>
      </c>
      <c r="CE49">
        <v>30</v>
      </c>
      <c r="CF49">
        <v>0</v>
      </c>
      <c r="CG49">
        <v>0</v>
      </c>
      <c r="CM49">
        <v>0</v>
      </c>
      <c r="CN49" t="s">
        <v>671</v>
      </c>
      <c r="CO49">
        <v>0</v>
      </c>
      <c r="CP49">
        <f t="shared" si="39"/>
        <v>17289.45</v>
      </c>
      <c r="CQ49">
        <f t="shared" si="40"/>
        <v>0</v>
      </c>
      <c r="CR49">
        <f t="shared" si="63"/>
        <v>3545.07</v>
      </c>
      <c r="CS49">
        <f t="shared" si="42"/>
        <v>1137.45</v>
      </c>
      <c r="CT49">
        <f t="shared" si="43"/>
        <v>47305.96</v>
      </c>
      <c r="CU49">
        <f t="shared" si="44"/>
        <v>0</v>
      </c>
      <c r="CV49">
        <f t="shared" si="45"/>
        <v>126.52486</v>
      </c>
      <c r="CW49">
        <f t="shared" si="46"/>
        <v>0</v>
      </c>
      <c r="CX49">
        <f t="shared" si="47"/>
        <v>0</v>
      </c>
      <c r="CY49">
        <f>S49*(BZ49/100)</f>
        <v>14797.3536</v>
      </c>
      <c r="CZ49">
        <f>S49*(CA49/100)</f>
        <v>6594.4727999999996</v>
      </c>
      <c r="DC49" t="s">
        <v>3</v>
      </c>
      <c r="DD49" t="s">
        <v>3</v>
      </c>
      <c r="DE49" t="s">
        <v>22</v>
      </c>
      <c r="DF49" t="s">
        <v>22</v>
      </c>
      <c r="DG49" t="s">
        <v>22</v>
      </c>
      <c r="DH49" t="s">
        <v>3</v>
      </c>
      <c r="DI49" t="s">
        <v>22</v>
      </c>
      <c r="DJ49" t="s">
        <v>22</v>
      </c>
      <c r="DK49" t="s">
        <v>3</v>
      </c>
      <c r="DL49" t="s">
        <v>3</v>
      </c>
      <c r="DM49" t="s">
        <v>3</v>
      </c>
      <c r="DN49">
        <v>112</v>
      </c>
      <c r="DO49">
        <v>70</v>
      </c>
      <c r="DP49">
        <v>1.0669999999999999</v>
      </c>
      <c r="DQ49">
        <v>1.081</v>
      </c>
      <c r="DU49">
        <v>1013</v>
      </c>
      <c r="DV49" t="s">
        <v>67</v>
      </c>
      <c r="DW49" t="s">
        <v>67</v>
      </c>
      <c r="DX49">
        <v>1</v>
      </c>
      <c r="DZ49" t="s">
        <v>3</v>
      </c>
      <c r="EA49" t="s">
        <v>3</v>
      </c>
      <c r="EB49" t="s">
        <v>3</v>
      </c>
      <c r="EC49" t="s">
        <v>3</v>
      </c>
      <c r="EE49">
        <v>51698335</v>
      </c>
      <c r="EF49">
        <v>30</v>
      </c>
      <c r="EG49" t="s">
        <v>16</v>
      </c>
      <c r="EH49">
        <v>0</v>
      </c>
      <c r="EI49" t="s">
        <v>3</v>
      </c>
      <c r="EJ49">
        <v>1</v>
      </c>
      <c r="EK49">
        <v>2254</v>
      </c>
      <c r="EL49" t="s">
        <v>69</v>
      </c>
      <c r="EM49" t="s">
        <v>70</v>
      </c>
      <c r="EO49" t="s">
        <v>25</v>
      </c>
      <c r="EQ49">
        <v>131072</v>
      </c>
      <c r="ER49">
        <v>1423.89</v>
      </c>
      <c r="ES49">
        <v>0</v>
      </c>
      <c r="ET49">
        <v>255.97</v>
      </c>
      <c r="EU49">
        <v>28.08</v>
      </c>
      <c r="EV49">
        <v>1167.92</v>
      </c>
      <c r="EW49">
        <v>107.8</v>
      </c>
      <c r="EX49">
        <v>0</v>
      </c>
      <c r="EY49">
        <v>0</v>
      </c>
      <c r="FQ49">
        <v>0</v>
      </c>
      <c r="FR49">
        <v>0</v>
      </c>
      <c r="FS49">
        <v>0</v>
      </c>
      <c r="FX49">
        <v>112</v>
      </c>
      <c r="FY49">
        <v>70</v>
      </c>
      <c r="GA49" t="s">
        <v>3</v>
      </c>
      <c r="GD49">
        <v>0</v>
      </c>
      <c r="GF49">
        <v>-654616270</v>
      </c>
      <c r="GG49">
        <v>2</v>
      </c>
      <c r="GH49">
        <v>1</v>
      </c>
      <c r="GI49">
        <v>2</v>
      </c>
      <c r="GJ49">
        <v>0</v>
      </c>
      <c r="GK49">
        <f>ROUND(R49*(S12)/100,2)</f>
        <v>618.98</v>
      </c>
      <c r="GL49">
        <f t="shared" si="48"/>
        <v>0</v>
      </c>
      <c r="GM49">
        <f t="shared" si="49"/>
        <v>39300.25</v>
      </c>
      <c r="GN49">
        <f t="shared" si="50"/>
        <v>39300.25</v>
      </c>
      <c r="GO49">
        <f t="shared" si="51"/>
        <v>0</v>
      </c>
      <c r="GP49">
        <f t="shared" si="52"/>
        <v>0</v>
      </c>
      <c r="GR49">
        <v>0</v>
      </c>
      <c r="GS49">
        <v>3</v>
      </c>
      <c r="GT49">
        <v>0</v>
      </c>
      <c r="GU49" t="s">
        <v>3</v>
      </c>
      <c r="GV49">
        <f t="shared" si="53"/>
        <v>0</v>
      </c>
      <c r="GW49">
        <v>1</v>
      </c>
      <c r="GX49">
        <f t="shared" si="54"/>
        <v>0</v>
      </c>
      <c r="HA49">
        <v>0</v>
      </c>
      <c r="HB49">
        <v>0</v>
      </c>
      <c r="HC49">
        <f t="shared" si="55"/>
        <v>0</v>
      </c>
      <c r="HE49" t="s">
        <v>3</v>
      </c>
      <c r="HF49" t="s">
        <v>3</v>
      </c>
      <c r="HM49" t="s">
        <v>3</v>
      </c>
      <c r="HN49" t="s">
        <v>3</v>
      </c>
      <c r="HO49" t="s">
        <v>3</v>
      </c>
      <c r="HP49" t="s">
        <v>3</v>
      </c>
      <c r="HQ49" t="s">
        <v>3</v>
      </c>
      <c r="HS49">
        <v>0</v>
      </c>
      <c r="IK49">
        <v>0</v>
      </c>
    </row>
    <row r="50" spans="1:255" x14ac:dyDescent="0.2">
      <c r="A50" s="2">
        <v>17</v>
      </c>
      <c r="B50" s="2">
        <v>1</v>
      </c>
      <c r="C50" s="2">
        <f>ROW(SmtRes!A59)</f>
        <v>59</v>
      </c>
      <c r="D50" s="2">
        <f>ROW(EtalonRes!A64)</f>
        <v>64</v>
      </c>
      <c r="E50" s="2" t="s">
        <v>76</v>
      </c>
      <c r="F50" s="2" t="s">
        <v>73</v>
      </c>
      <c r="G50" s="2" t="s">
        <v>74</v>
      </c>
      <c r="H50" s="2" t="s">
        <v>67</v>
      </c>
      <c r="I50" s="2">
        <v>0</v>
      </c>
      <c r="J50" s="2">
        <v>0</v>
      </c>
      <c r="K50" s="2">
        <v>0</v>
      </c>
      <c r="L50" s="2"/>
      <c r="M50" s="2"/>
      <c r="N50" s="2"/>
      <c r="O50" s="2">
        <f t="shared" si="21"/>
        <v>0</v>
      </c>
      <c r="P50" s="2">
        <f t="shared" si="22"/>
        <v>0</v>
      </c>
      <c r="Q50" s="2">
        <f t="shared" si="56"/>
        <v>0</v>
      </c>
      <c r="R50" s="2">
        <f t="shared" si="24"/>
        <v>0</v>
      </c>
      <c r="S50" s="2">
        <f t="shared" si="25"/>
        <v>0</v>
      </c>
      <c r="T50" s="2">
        <f t="shared" si="26"/>
        <v>0</v>
      </c>
      <c r="U50" s="2">
        <f t="shared" si="27"/>
        <v>0</v>
      </c>
      <c r="V50" s="2">
        <f t="shared" si="28"/>
        <v>0</v>
      </c>
      <c r="W50" s="2">
        <f t="shared" si="29"/>
        <v>0</v>
      </c>
      <c r="X50" s="2">
        <f t="shared" si="30"/>
        <v>0</v>
      </c>
      <c r="Y50" s="2">
        <f t="shared" si="31"/>
        <v>0</v>
      </c>
      <c r="Z50" s="2"/>
      <c r="AA50" s="2">
        <v>56622586</v>
      </c>
      <c r="AB50" s="2">
        <f t="shared" si="32"/>
        <v>1566.279</v>
      </c>
      <c r="AC50" s="2">
        <f t="shared" si="57"/>
        <v>0</v>
      </c>
      <c r="AD50" s="2">
        <f t="shared" si="58"/>
        <v>281.56700000000001</v>
      </c>
      <c r="AE50" s="2">
        <f t="shared" si="59"/>
        <v>30.888000000000002</v>
      </c>
      <c r="AF50" s="2">
        <f t="shared" si="60"/>
        <v>1284.712</v>
      </c>
      <c r="AG50" s="2">
        <f t="shared" si="36"/>
        <v>0</v>
      </c>
      <c r="AH50" s="2">
        <f t="shared" si="61"/>
        <v>118.58000000000001</v>
      </c>
      <c r="AI50" s="2">
        <f t="shared" si="62"/>
        <v>0</v>
      </c>
      <c r="AJ50" s="2">
        <f t="shared" si="38"/>
        <v>0</v>
      </c>
      <c r="AK50" s="2">
        <v>1423.89</v>
      </c>
      <c r="AL50" s="2">
        <v>0</v>
      </c>
      <c r="AM50" s="2">
        <v>255.97</v>
      </c>
      <c r="AN50" s="2">
        <v>28.08</v>
      </c>
      <c r="AO50" s="2">
        <v>1167.92</v>
      </c>
      <c r="AP50" s="2">
        <v>0</v>
      </c>
      <c r="AQ50" s="2">
        <v>107.8</v>
      </c>
      <c r="AR50" s="2">
        <v>0</v>
      </c>
      <c r="AS50" s="2">
        <v>0</v>
      </c>
      <c r="AT50" s="2">
        <v>112</v>
      </c>
      <c r="AU50" s="2">
        <v>70</v>
      </c>
      <c r="AV50" s="2">
        <v>1.0669999999999999</v>
      </c>
      <c r="AW50" s="2">
        <v>1.081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1</v>
      </c>
      <c r="BJ50" s="2" t="s">
        <v>75</v>
      </c>
      <c r="BK50" s="2"/>
      <c r="BL50" s="2"/>
      <c r="BM50" s="2">
        <v>2254</v>
      </c>
      <c r="BN50" s="2">
        <v>0</v>
      </c>
      <c r="BO50" s="2" t="s">
        <v>3</v>
      </c>
      <c r="BP50" s="2">
        <v>0</v>
      </c>
      <c r="BQ50" s="2">
        <v>30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112</v>
      </c>
      <c r="CA50" s="2">
        <v>70</v>
      </c>
      <c r="CB50" s="2" t="s">
        <v>3</v>
      </c>
      <c r="CC50" s="2"/>
      <c r="CD50" s="2"/>
      <c r="CE50" s="2">
        <v>30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671</v>
      </c>
      <c r="CO50" s="2">
        <v>0</v>
      </c>
      <c r="CP50" s="2">
        <f t="shared" si="39"/>
        <v>0</v>
      </c>
      <c r="CQ50" s="2">
        <f t="shared" si="40"/>
        <v>0</v>
      </c>
      <c r="CR50" s="2">
        <f t="shared" si="63"/>
        <v>300.43</v>
      </c>
      <c r="CS50" s="2">
        <f t="shared" si="42"/>
        <v>32.96</v>
      </c>
      <c r="CT50" s="2">
        <f t="shared" si="43"/>
        <v>1370.79</v>
      </c>
      <c r="CU50" s="2">
        <f t="shared" si="44"/>
        <v>0</v>
      </c>
      <c r="CV50" s="2">
        <f t="shared" si="45"/>
        <v>126.52486</v>
      </c>
      <c r="CW50" s="2">
        <f t="shared" si="46"/>
        <v>0</v>
      </c>
      <c r="CX50" s="2">
        <f t="shared" si="47"/>
        <v>0</v>
      </c>
      <c r="CY50" s="2">
        <f>((S50*BZ50)/100)</f>
        <v>0</v>
      </c>
      <c r="CZ50" s="2">
        <f>((S50*CA50)/100)</f>
        <v>0</v>
      </c>
      <c r="DA50" s="2"/>
      <c r="DB50" s="2"/>
      <c r="DC50" s="2" t="s">
        <v>3</v>
      </c>
      <c r="DD50" s="2" t="s">
        <v>3</v>
      </c>
      <c r="DE50" s="2" t="s">
        <v>22</v>
      </c>
      <c r="DF50" s="2" t="s">
        <v>22</v>
      </c>
      <c r="DG50" s="2" t="s">
        <v>22</v>
      </c>
      <c r="DH50" s="2" t="s">
        <v>3</v>
      </c>
      <c r="DI50" s="2" t="s">
        <v>22</v>
      </c>
      <c r="DJ50" s="2" t="s">
        <v>22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1013</v>
      </c>
      <c r="DV50" s="2" t="s">
        <v>67</v>
      </c>
      <c r="DW50" s="2" t="s">
        <v>67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51698335</v>
      </c>
      <c r="EF50" s="2">
        <v>30</v>
      </c>
      <c r="EG50" s="2" t="s">
        <v>16</v>
      </c>
      <c r="EH50" s="2">
        <v>0</v>
      </c>
      <c r="EI50" s="2" t="s">
        <v>3</v>
      </c>
      <c r="EJ50" s="2">
        <v>1</v>
      </c>
      <c r="EK50" s="2">
        <v>2254</v>
      </c>
      <c r="EL50" s="2" t="s">
        <v>69</v>
      </c>
      <c r="EM50" s="2" t="s">
        <v>70</v>
      </c>
      <c r="EN50" s="2"/>
      <c r="EO50" s="2" t="s">
        <v>25</v>
      </c>
      <c r="EP50" s="2"/>
      <c r="EQ50" s="2">
        <v>131072</v>
      </c>
      <c r="ER50" s="2">
        <v>1423.89</v>
      </c>
      <c r="ES50" s="2">
        <v>0</v>
      </c>
      <c r="ET50" s="2">
        <v>255.97</v>
      </c>
      <c r="EU50" s="2">
        <v>28.08</v>
      </c>
      <c r="EV50" s="2">
        <v>1167.92</v>
      </c>
      <c r="EW50" s="2">
        <v>107.8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112</v>
      </c>
      <c r="FY50" s="2">
        <v>70</v>
      </c>
      <c r="FZ50" s="2"/>
      <c r="GA50" s="2" t="s">
        <v>3</v>
      </c>
      <c r="GB50" s="2"/>
      <c r="GC50" s="2"/>
      <c r="GD50" s="2">
        <v>0</v>
      </c>
      <c r="GE50" s="2"/>
      <c r="GF50" s="2">
        <v>-654616270</v>
      </c>
      <c r="GG50" s="2">
        <v>2</v>
      </c>
      <c r="GH50" s="2">
        <v>1</v>
      </c>
      <c r="GI50" s="2">
        <v>-2</v>
      </c>
      <c r="GJ50" s="2">
        <v>0</v>
      </c>
      <c r="GK50" s="2">
        <f>ROUND(R50*(R12)/100,2)</f>
        <v>0</v>
      </c>
      <c r="GL50" s="2">
        <f t="shared" si="48"/>
        <v>0</v>
      </c>
      <c r="GM50" s="2">
        <f t="shared" si="49"/>
        <v>0</v>
      </c>
      <c r="GN50" s="2">
        <f t="shared" si="50"/>
        <v>0</v>
      </c>
      <c r="GO50" s="2">
        <f t="shared" si="51"/>
        <v>0</v>
      </c>
      <c r="GP50" s="2">
        <f t="shared" si="52"/>
        <v>0</v>
      </c>
      <c r="GQ50" s="2"/>
      <c r="GR50" s="2">
        <v>0</v>
      </c>
      <c r="GS50" s="2">
        <v>0</v>
      </c>
      <c r="GT50" s="2">
        <v>0</v>
      </c>
      <c r="GU50" s="2" t="s">
        <v>3</v>
      </c>
      <c r="GV50" s="2">
        <f t="shared" si="53"/>
        <v>0</v>
      </c>
      <c r="GW50" s="2">
        <v>1</v>
      </c>
      <c r="GX50" s="2">
        <f t="shared" si="54"/>
        <v>0</v>
      </c>
      <c r="GY50" s="2"/>
      <c r="GZ50" s="2"/>
      <c r="HA50" s="2">
        <v>0</v>
      </c>
      <c r="HB50" s="2">
        <v>0</v>
      </c>
      <c r="HC50" s="2">
        <f t="shared" si="55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>
        <v>17</v>
      </c>
      <c r="B51">
        <v>1</v>
      </c>
      <c r="C51">
        <f>ROW(SmtRes!A64)</f>
        <v>64</v>
      </c>
      <c r="D51">
        <f>ROW(EtalonRes!A70)</f>
        <v>70</v>
      </c>
      <c r="E51" t="s">
        <v>76</v>
      </c>
      <c r="F51" t="s">
        <v>73</v>
      </c>
      <c r="G51" t="s">
        <v>74</v>
      </c>
      <c r="H51" t="s">
        <v>67</v>
      </c>
      <c r="I51">
        <v>0</v>
      </c>
      <c r="J51">
        <v>0</v>
      </c>
      <c r="K51">
        <v>0</v>
      </c>
      <c r="O51">
        <f t="shared" si="21"/>
        <v>0</v>
      </c>
      <c r="P51">
        <f t="shared" si="22"/>
        <v>0</v>
      </c>
      <c r="Q51">
        <f t="shared" si="56"/>
        <v>0</v>
      </c>
      <c r="R51">
        <f t="shared" si="24"/>
        <v>0</v>
      </c>
      <c r="S51">
        <f t="shared" si="25"/>
        <v>0</v>
      </c>
      <c r="T51">
        <f t="shared" si="26"/>
        <v>0</v>
      </c>
      <c r="U51">
        <f t="shared" si="27"/>
        <v>0</v>
      </c>
      <c r="V51">
        <f t="shared" si="28"/>
        <v>0</v>
      </c>
      <c r="W51">
        <f t="shared" si="29"/>
        <v>0</v>
      </c>
      <c r="X51">
        <f t="shared" si="30"/>
        <v>0</v>
      </c>
      <c r="Y51">
        <f t="shared" si="31"/>
        <v>0</v>
      </c>
      <c r="AA51">
        <v>56616093</v>
      </c>
      <c r="AB51">
        <f t="shared" si="32"/>
        <v>1566.279</v>
      </c>
      <c r="AC51">
        <f t="shared" si="57"/>
        <v>0</v>
      </c>
      <c r="AD51">
        <f t="shared" si="58"/>
        <v>281.56700000000001</v>
      </c>
      <c r="AE51">
        <f t="shared" si="59"/>
        <v>30.888000000000002</v>
      </c>
      <c r="AF51">
        <f t="shared" si="60"/>
        <v>1284.712</v>
      </c>
      <c r="AG51">
        <f t="shared" si="36"/>
        <v>0</v>
      </c>
      <c r="AH51">
        <f t="shared" si="61"/>
        <v>118.58000000000001</v>
      </c>
      <c r="AI51">
        <f t="shared" si="62"/>
        <v>0</v>
      </c>
      <c r="AJ51">
        <f t="shared" si="38"/>
        <v>0</v>
      </c>
      <c r="AK51">
        <v>1423.89</v>
      </c>
      <c r="AL51">
        <v>0</v>
      </c>
      <c r="AM51">
        <v>255.97</v>
      </c>
      <c r="AN51">
        <v>28.08</v>
      </c>
      <c r="AO51">
        <v>1167.92</v>
      </c>
      <c r="AP51">
        <v>0</v>
      </c>
      <c r="AQ51">
        <v>107.8</v>
      </c>
      <c r="AR51">
        <v>0</v>
      </c>
      <c r="AS51">
        <v>0</v>
      </c>
      <c r="AT51">
        <v>92</v>
      </c>
      <c r="AU51">
        <v>41</v>
      </c>
      <c r="AV51">
        <v>1.0669999999999999</v>
      </c>
      <c r="AW51">
        <v>1.081</v>
      </c>
      <c r="AZ51">
        <v>1</v>
      </c>
      <c r="BA51">
        <v>34.51</v>
      </c>
      <c r="BB51">
        <v>11.8</v>
      </c>
      <c r="BC51">
        <v>1</v>
      </c>
      <c r="BD51" t="s">
        <v>3</v>
      </c>
      <c r="BE51" t="s">
        <v>3</v>
      </c>
      <c r="BF51" t="s">
        <v>3</v>
      </c>
      <c r="BG51" t="s">
        <v>3</v>
      </c>
      <c r="BH51">
        <v>0</v>
      </c>
      <c r="BI51">
        <v>1</v>
      </c>
      <c r="BJ51" t="s">
        <v>75</v>
      </c>
      <c r="BM51">
        <v>2254</v>
      </c>
      <c r="BN51">
        <v>0</v>
      </c>
      <c r="BO51" t="s">
        <v>73</v>
      </c>
      <c r="BP51">
        <v>1</v>
      </c>
      <c r="BQ51">
        <v>30</v>
      </c>
      <c r="BR51">
        <v>0</v>
      </c>
      <c r="BS51">
        <v>34.51</v>
      </c>
      <c r="BT51">
        <v>1</v>
      </c>
      <c r="BU51">
        <v>1</v>
      </c>
      <c r="BV51">
        <v>1</v>
      </c>
      <c r="BW51">
        <v>1</v>
      </c>
      <c r="BX51">
        <v>1</v>
      </c>
      <c r="BY51" t="s">
        <v>3</v>
      </c>
      <c r="BZ51">
        <v>92</v>
      </c>
      <c r="CA51">
        <v>41</v>
      </c>
      <c r="CB51" t="s">
        <v>3</v>
      </c>
      <c r="CE51">
        <v>30</v>
      </c>
      <c r="CF51">
        <v>0</v>
      </c>
      <c r="CG51">
        <v>0</v>
      </c>
      <c r="CM51">
        <v>0</v>
      </c>
      <c r="CN51" t="s">
        <v>671</v>
      </c>
      <c r="CO51">
        <v>0</v>
      </c>
      <c r="CP51">
        <f t="shared" si="39"/>
        <v>0</v>
      </c>
      <c r="CQ51">
        <f t="shared" si="40"/>
        <v>0</v>
      </c>
      <c r="CR51">
        <f t="shared" si="63"/>
        <v>3545.07</v>
      </c>
      <c r="CS51">
        <f t="shared" si="42"/>
        <v>1137.45</v>
      </c>
      <c r="CT51">
        <f t="shared" si="43"/>
        <v>47305.96</v>
      </c>
      <c r="CU51">
        <f t="shared" si="44"/>
        <v>0</v>
      </c>
      <c r="CV51">
        <f t="shared" si="45"/>
        <v>126.52486</v>
      </c>
      <c r="CW51">
        <f t="shared" si="46"/>
        <v>0</v>
      </c>
      <c r="CX51">
        <f t="shared" si="47"/>
        <v>0</v>
      </c>
      <c r="CY51">
        <f>S51*(BZ51/100)</f>
        <v>0</v>
      </c>
      <c r="CZ51">
        <f>S51*(CA51/100)</f>
        <v>0</v>
      </c>
      <c r="DC51" t="s">
        <v>3</v>
      </c>
      <c r="DD51" t="s">
        <v>3</v>
      </c>
      <c r="DE51" t="s">
        <v>22</v>
      </c>
      <c r="DF51" t="s">
        <v>22</v>
      </c>
      <c r="DG51" t="s">
        <v>22</v>
      </c>
      <c r="DH51" t="s">
        <v>3</v>
      </c>
      <c r="DI51" t="s">
        <v>22</v>
      </c>
      <c r="DJ51" t="s">
        <v>22</v>
      </c>
      <c r="DK51" t="s">
        <v>3</v>
      </c>
      <c r="DL51" t="s">
        <v>3</v>
      </c>
      <c r="DM51" t="s">
        <v>3</v>
      </c>
      <c r="DN51">
        <v>112</v>
      </c>
      <c r="DO51">
        <v>70</v>
      </c>
      <c r="DP51">
        <v>1.0669999999999999</v>
      </c>
      <c r="DQ51">
        <v>1.081</v>
      </c>
      <c r="DU51">
        <v>1013</v>
      </c>
      <c r="DV51" t="s">
        <v>67</v>
      </c>
      <c r="DW51" t="s">
        <v>67</v>
      </c>
      <c r="DX51">
        <v>1</v>
      </c>
      <c r="DZ51" t="s">
        <v>3</v>
      </c>
      <c r="EA51" t="s">
        <v>3</v>
      </c>
      <c r="EB51" t="s">
        <v>3</v>
      </c>
      <c r="EC51" t="s">
        <v>3</v>
      </c>
      <c r="EE51">
        <v>51698335</v>
      </c>
      <c r="EF51">
        <v>30</v>
      </c>
      <c r="EG51" t="s">
        <v>16</v>
      </c>
      <c r="EH51">
        <v>0</v>
      </c>
      <c r="EI51" t="s">
        <v>3</v>
      </c>
      <c r="EJ51">
        <v>1</v>
      </c>
      <c r="EK51">
        <v>2254</v>
      </c>
      <c r="EL51" t="s">
        <v>69</v>
      </c>
      <c r="EM51" t="s">
        <v>70</v>
      </c>
      <c r="EO51" t="s">
        <v>25</v>
      </c>
      <c r="EQ51">
        <v>131072</v>
      </c>
      <c r="ER51">
        <v>1423.89</v>
      </c>
      <c r="ES51">
        <v>0</v>
      </c>
      <c r="ET51">
        <v>255.97</v>
      </c>
      <c r="EU51">
        <v>28.08</v>
      </c>
      <c r="EV51">
        <v>1167.92</v>
      </c>
      <c r="EW51">
        <v>107.8</v>
      </c>
      <c r="EX51">
        <v>0</v>
      </c>
      <c r="EY51">
        <v>0</v>
      </c>
      <c r="FQ51">
        <v>0</v>
      </c>
      <c r="FR51">
        <v>0</v>
      </c>
      <c r="FS51">
        <v>0</v>
      </c>
      <c r="FX51">
        <v>112</v>
      </c>
      <c r="FY51">
        <v>70</v>
      </c>
      <c r="GA51" t="s">
        <v>3</v>
      </c>
      <c r="GD51">
        <v>0</v>
      </c>
      <c r="GF51">
        <v>-654616270</v>
      </c>
      <c r="GG51">
        <v>2</v>
      </c>
      <c r="GH51">
        <v>1</v>
      </c>
      <c r="GI51">
        <v>2</v>
      </c>
      <c r="GJ51">
        <v>0</v>
      </c>
      <c r="GK51">
        <f>ROUND(R51*(S12)/100,2)</f>
        <v>0</v>
      </c>
      <c r="GL51">
        <f t="shared" si="48"/>
        <v>0</v>
      </c>
      <c r="GM51">
        <f t="shared" si="49"/>
        <v>0</v>
      </c>
      <c r="GN51">
        <f t="shared" si="50"/>
        <v>0</v>
      </c>
      <c r="GO51">
        <f t="shared" si="51"/>
        <v>0</v>
      </c>
      <c r="GP51">
        <f t="shared" si="52"/>
        <v>0</v>
      </c>
      <c r="GR51">
        <v>0</v>
      </c>
      <c r="GS51">
        <v>3</v>
      </c>
      <c r="GT51">
        <v>0</v>
      </c>
      <c r="GU51" t="s">
        <v>3</v>
      </c>
      <c r="GV51">
        <f t="shared" si="53"/>
        <v>0</v>
      </c>
      <c r="GW51">
        <v>1</v>
      </c>
      <c r="GX51">
        <f t="shared" si="54"/>
        <v>0</v>
      </c>
      <c r="HA51">
        <v>0</v>
      </c>
      <c r="HB51">
        <v>0</v>
      </c>
      <c r="HC51">
        <f t="shared" si="55"/>
        <v>0</v>
      </c>
      <c r="HE51" t="s">
        <v>3</v>
      </c>
      <c r="HF51" t="s">
        <v>3</v>
      </c>
      <c r="HM51" t="s">
        <v>3</v>
      </c>
      <c r="HN51" t="s">
        <v>3</v>
      </c>
      <c r="HO51" t="s">
        <v>3</v>
      </c>
      <c r="HP51" t="s">
        <v>3</v>
      </c>
      <c r="HQ51" t="s">
        <v>3</v>
      </c>
      <c r="HS51">
        <v>0</v>
      </c>
      <c r="IK51">
        <v>0</v>
      </c>
    </row>
    <row r="52" spans="1:255" x14ac:dyDescent="0.2">
      <c r="A52" s="2">
        <v>17</v>
      </c>
      <c r="B52" s="2">
        <v>1</v>
      </c>
      <c r="C52" s="2"/>
      <c r="D52" s="2"/>
      <c r="E52" s="2" t="s">
        <v>77</v>
      </c>
      <c r="F52" s="2" t="s">
        <v>78</v>
      </c>
      <c r="G52" s="2" t="s">
        <v>79</v>
      </c>
      <c r="H52" s="2" t="s">
        <v>55</v>
      </c>
      <c r="I52" s="2">
        <v>393</v>
      </c>
      <c r="J52" s="2">
        <v>0</v>
      </c>
      <c r="K52" s="2">
        <v>393</v>
      </c>
      <c r="L52" s="2"/>
      <c r="M52" s="2"/>
      <c r="N52" s="2"/>
      <c r="O52" s="2">
        <f t="shared" si="21"/>
        <v>37296.01</v>
      </c>
      <c r="P52" s="2">
        <f t="shared" si="22"/>
        <v>37296.01</v>
      </c>
      <c r="Q52" s="2">
        <f t="shared" si="56"/>
        <v>0</v>
      </c>
      <c r="R52" s="2">
        <f t="shared" si="24"/>
        <v>0</v>
      </c>
      <c r="S52" s="2">
        <f t="shared" si="25"/>
        <v>0</v>
      </c>
      <c r="T52" s="2">
        <f t="shared" si="26"/>
        <v>0</v>
      </c>
      <c r="U52" s="2">
        <f t="shared" si="27"/>
        <v>0</v>
      </c>
      <c r="V52" s="2">
        <f t="shared" si="28"/>
        <v>0</v>
      </c>
      <c r="W52" s="2">
        <f t="shared" si="29"/>
        <v>0</v>
      </c>
      <c r="X52" s="2">
        <f t="shared" si="30"/>
        <v>0</v>
      </c>
      <c r="Y52" s="2">
        <f t="shared" si="31"/>
        <v>0</v>
      </c>
      <c r="Z52" s="2"/>
      <c r="AA52" s="2">
        <v>56622586</v>
      </c>
      <c r="AB52" s="2">
        <f t="shared" si="32"/>
        <v>94.900800000000004</v>
      </c>
      <c r="AC52" s="2">
        <f>ROUND(((ES52*1.02)),6)</f>
        <v>94.900800000000004</v>
      </c>
      <c r="AD52" s="2">
        <f t="shared" si="58"/>
        <v>0</v>
      </c>
      <c r="AE52" s="2">
        <f t="shared" si="59"/>
        <v>0</v>
      </c>
      <c r="AF52" s="2">
        <f t="shared" si="60"/>
        <v>0</v>
      </c>
      <c r="AG52" s="2">
        <f t="shared" si="36"/>
        <v>0</v>
      </c>
      <c r="AH52" s="2">
        <f t="shared" si="61"/>
        <v>0</v>
      </c>
      <c r="AI52" s="2">
        <f t="shared" si="62"/>
        <v>0</v>
      </c>
      <c r="AJ52" s="2">
        <f t="shared" si="38"/>
        <v>0</v>
      </c>
      <c r="AK52" s="2">
        <v>93.04</v>
      </c>
      <c r="AL52" s="2">
        <v>93.04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1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3</v>
      </c>
      <c r="BI52" s="2">
        <v>1</v>
      </c>
      <c r="BJ52" s="2" t="s">
        <v>3</v>
      </c>
      <c r="BK52" s="2"/>
      <c r="BL52" s="2"/>
      <c r="BM52" s="2">
        <v>400002</v>
      </c>
      <c r="BN52" s="2">
        <v>0</v>
      </c>
      <c r="BO52" s="2" t="s">
        <v>3</v>
      </c>
      <c r="BP52" s="2">
        <v>0</v>
      </c>
      <c r="BQ52" s="2">
        <v>202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0</v>
      </c>
      <c r="CA52" s="2">
        <v>0</v>
      </c>
      <c r="CB52" s="2" t="s">
        <v>3</v>
      </c>
      <c r="CC52" s="2"/>
      <c r="CD52" s="2"/>
      <c r="CE52" s="2">
        <v>30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671</v>
      </c>
      <c r="CO52" s="2">
        <v>0</v>
      </c>
      <c r="CP52" s="2">
        <f t="shared" si="39"/>
        <v>37296.01</v>
      </c>
      <c r="CQ52" s="2">
        <f t="shared" si="40"/>
        <v>94.9</v>
      </c>
      <c r="CR52" s="2">
        <f t="shared" si="63"/>
        <v>0</v>
      </c>
      <c r="CS52" s="2">
        <f t="shared" si="42"/>
        <v>0</v>
      </c>
      <c r="CT52" s="2">
        <f t="shared" si="43"/>
        <v>0</v>
      </c>
      <c r="CU52" s="2">
        <f t="shared" si="44"/>
        <v>0</v>
      </c>
      <c r="CV52" s="2">
        <f t="shared" si="45"/>
        <v>0</v>
      </c>
      <c r="CW52" s="2">
        <f t="shared" si="46"/>
        <v>0</v>
      </c>
      <c r="CX52" s="2">
        <f t="shared" si="47"/>
        <v>0</v>
      </c>
      <c r="CY52" s="2">
        <f>((S52*BZ52)/100)</f>
        <v>0</v>
      </c>
      <c r="CZ52" s="2">
        <f>((S52*CA52)/100)</f>
        <v>0</v>
      </c>
      <c r="DA52" s="2"/>
      <c r="DB52" s="2"/>
      <c r="DC52" s="2" t="s">
        <v>3</v>
      </c>
      <c r="DD52" s="2" t="s">
        <v>80</v>
      </c>
      <c r="DE52" s="2" t="s">
        <v>22</v>
      </c>
      <c r="DF52" s="2" t="s">
        <v>22</v>
      </c>
      <c r="DG52" s="2" t="s">
        <v>22</v>
      </c>
      <c r="DH52" s="2" t="s">
        <v>3</v>
      </c>
      <c r="DI52" s="2" t="s">
        <v>22</v>
      </c>
      <c r="DJ52" s="2" t="s">
        <v>22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1003</v>
      </c>
      <c r="DV52" s="2" t="s">
        <v>55</v>
      </c>
      <c r="DW52" s="2" t="s">
        <v>55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51698006</v>
      </c>
      <c r="EF52" s="2">
        <v>202</v>
      </c>
      <c r="EG52" s="2" t="s">
        <v>81</v>
      </c>
      <c r="EH52" s="2">
        <v>0</v>
      </c>
      <c r="EI52" s="2" t="s">
        <v>3</v>
      </c>
      <c r="EJ52" s="2">
        <v>1</v>
      </c>
      <c r="EK52" s="2">
        <v>400002</v>
      </c>
      <c r="EL52" s="2" t="s">
        <v>82</v>
      </c>
      <c r="EM52" s="2" t="s">
        <v>81</v>
      </c>
      <c r="EN52" s="2"/>
      <c r="EO52" s="2" t="s">
        <v>25</v>
      </c>
      <c r="EP52" s="2"/>
      <c r="EQ52" s="2">
        <v>131072</v>
      </c>
      <c r="ER52" s="2">
        <v>118.07</v>
      </c>
      <c r="ES52" s="2">
        <v>93.04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0</v>
      </c>
      <c r="FY52" s="2">
        <v>0</v>
      </c>
      <c r="FZ52" s="2"/>
      <c r="GA52" s="2" t="s">
        <v>83</v>
      </c>
      <c r="GB52" s="2"/>
      <c r="GC52" s="2"/>
      <c r="GD52" s="2">
        <v>0</v>
      </c>
      <c r="GE52" s="2"/>
      <c r="GF52" s="2">
        <v>955410639</v>
      </c>
      <c r="GG52" s="2">
        <v>2</v>
      </c>
      <c r="GH52" s="2">
        <v>4</v>
      </c>
      <c r="GI52" s="2">
        <v>3</v>
      </c>
      <c r="GJ52" s="2">
        <v>0</v>
      </c>
      <c r="GK52" s="2">
        <f>ROUND(R52*(R12)/100,2)</f>
        <v>0</v>
      </c>
      <c r="GL52" s="2">
        <f t="shared" si="48"/>
        <v>0</v>
      </c>
      <c r="GM52" s="2">
        <f t="shared" si="49"/>
        <v>37296.01</v>
      </c>
      <c r="GN52" s="2">
        <f t="shared" si="50"/>
        <v>37296.01</v>
      </c>
      <c r="GO52" s="2">
        <f t="shared" si="51"/>
        <v>0</v>
      </c>
      <c r="GP52" s="2">
        <f t="shared" si="52"/>
        <v>0</v>
      </c>
      <c r="GQ52" s="2"/>
      <c r="GR52" s="2">
        <v>0</v>
      </c>
      <c r="GS52" s="2">
        <v>2</v>
      </c>
      <c r="GT52" s="2">
        <v>0</v>
      </c>
      <c r="GU52" s="2" t="s">
        <v>3</v>
      </c>
      <c r="GV52" s="2">
        <f t="shared" si="53"/>
        <v>0</v>
      </c>
      <c r="GW52" s="2">
        <v>1</v>
      </c>
      <c r="GX52" s="2">
        <f t="shared" si="54"/>
        <v>0</v>
      </c>
      <c r="GY52" s="2"/>
      <c r="GZ52" s="2"/>
      <c r="HA52" s="2">
        <v>0</v>
      </c>
      <c r="HB52" s="2">
        <v>0</v>
      </c>
      <c r="HC52" s="2">
        <f t="shared" si="55"/>
        <v>0</v>
      </c>
      <c r="HD52" s="2"/>
      <c r="HE52" s="2" t="s">
        <v>84</v>
      </c>
      <c r="HF52" s="2" t="s">
        <v>84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>
        <v>17</v>
      </c>
      <c r="B53">
        <v>1</v>
      </c>
      <c r="E53" t="s">
        <v>77</v>
      </c>
      <c r="F53" t="s">
        <v>78</v>
      </c>
      <c r="G53" t="s">
        <v>79</v>
      </c>
      <c r="H53" t="s">
        <v>55</v>
      </c>
      <c r="I53">
        <v>393</v>
      </c>
      <c r="J53">
        <v>0</v>
      </c>
      <c r="K53">
        <v>393</v>
      </c>
      <c r="O53">
        <f t="shared" si="21"/>
        <v>363263.14</v>
      </c>
      <c r="P53">
        <f t="shared" si="22"/>
        <v>363263.14</v>
      </c>
      <c r="Q53">
        <f t="shared" si="56"/>
        <v>0</v>
      </c>
      <c r="R53">
        <f t="shared" si="24"/>
        <v>0</v>
      </c>
      <c r="S53">
        <f t="shared" si="25"/>
        <v>0</v>
      </c>
      <c r="T53">
        <f t="shared" si="26"/>
        <v>0</v>
      </c>
      <c r="U53">
        <f t="shared" si="27"/>
        <v>0</v>
      </c>
      <c r="V53">
        <f t="shared" si="28"/>
        <v>0</v>
      </c>
      <c r="W53">
        <f t="shared" si="29"/>
        <v>0</v>
      </c>
      <c r="X53">
        <f t="shared" si="30"/>
        <v>0</v>
      </c>
      <c r="Y53">
        <f t="shared" si="31"/>
        <v>0</v>
      </c>
      <c r="AA53">
        <v>56616093</v>
      </c>
      <c r="AB53">
        <f t="shared" si="32"/>
        <v>94.900800000000004</v>
      </c>
      <c r="AC53">
        <f>ROUND(((ES53*1.02)),6)</f>
        <v>94.900800000000004</v>
      </c>
      <c r="AD53">
        <f t="shared" si="58"/>
        <v>0</v>
      </c>
      <c r="AE53">
        <f t="shared" si="59"/>
        <v>0</v>
      </c>
      <c r="AF53">
        <f t="shared" si="60"/>
        <v>0</v>
      </c>
      <c r="AG53">
        <f t="shared" si="36"/>
        <v>0</v>
      </c>
      <c r="AH53">
        <f t="shared" si="61"/>
        <v>0</v>
      </c>
      <c r="AI53">
        <f t="shared" si="62"/>
        <v>0</v>
      </c>
      <c r="AJ53">
        <f t="shared" si="38"/>
        <v>0</v>
      </c>
      <c r="AK53">
        <v>93.04</v>
      </c>
      <c r="AL53">
        <v>93.04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1</v>
      </c>
      <c r="AZ53">
        <v>1</v>
      </c>
      <c r="BA53">
        <v>1</v>
      </c>
      <c r="BB53">
        <v>1</v>
      </c>
      <c r="BC53">
        <v>9.74</v>
      </c>
      <c r="BD53" t="s">
        <v>3</v>
      </c>
      <c r="BE53" t="s">
        <v>3</v>
      </c>
      <c r="BF53" t="s">
        <v>3</v>
      </c>
      <c r="BG53" t="s">
        <v>3</v>
      </c>
      <c r="BH53">
        <v>3</v>
      </c>
      <c r="BI53">
        <v>1</v>
      </c>
      <c r="BJ53" t="s">
        <v>3</v>
      </c>
      <c r="BM53">
        <v>400002</v>
      </c>
      <c r="BN53">
        <v>0</v>
      </c>
      <c r="BO53" t="s">
        <v>3</v>
      </c>
      <c r="BP53">
        <v>0</v>
      </c>
      <c r="BQ53">
        <v>202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 t="s">
        <v>3</v>
      </c>
      <c r="BZ53">
        <v>0</v>
      </c>
      <c r="CA53">
        <v>0</v>
      </c>
      <c r="CB53" t="s">
        <v>3</v>
      </c>
      <c r="CE53">
        <v>30</v>
      </c>
      <c r="CF53">
        <v>0</v>
      </c>
      <c r="CG53">
        <v>0</v>
      </c>
      <c r="CM53">
        <v>0</v>
      </c>
      <c r="CN53" t="s">
        <v>671</v>
      </c>
      <c r="CO53">
        <v>0</v>
      </c>
      <c r="CP53">
        <f t="shared" si="39"/>
        <v>363263.14</v>
      </c>
      <c r="CQ53">
        <f t="shared" si="40"/>
        <v>924.33</v>
      </c>
      <c r="CR53">
        <f t="shared" si="63"/>
        <v>0</v>
      </c>
      <c r="CS53">
        <f t="shared" si="42"/>
        <v>0</v>
      </c>
      <c r="CT53">
        <f t="shared" si="43"/>
        <v>0</v>
      </c>
      <c r="CU53">
        <f t="shared" si="44"/>
        <v>0</v>
      </c>
      <c r="CV53">
        <f t="shared" si="45"/>
        <v>0</v>
      </c>
      <c r="CW53">
        <f t="shared" si="46"/>
        <v>0</v>
      </c>
      <c r="CX53">
        <f t="shared" si="47"/>
        <v>0</v>
      </c>
      <c r="CY53">
        <f>S53*(BZ53/100)</f>
        <v>0</v>
      </c>
      <c r="CZ53">
        <f>S53*(CA53/100)</f>
        <v>0</v>
      </c>
      <c r="DC53" t="s">
        <v>3</v>
      </c>
      <c r="DD53" t="s">
        <v>80</v>
      </c>
      <c r="DE53" t="s">
        <v>22</v>
      </c>
      <c r="DF53" t="s">
        <v>22</v>
      </c>
      <c r="DG53" t="s">
        <v>22</v>
      </c>
      <c r="DH53" t="s">
        <v>3</v>
      </c>
      <c r="DI53" t="s">
        <v>22</v>
      </c>
      <c r="DJ53" t="s">
        <v>22</v>
      </c>
      <c r="DK53" t="s">
        <v>3</v>
      </c>
      <c r="DL53" t="s">
        <v>3</v>
      </c>
      <c r="DM53" t="s">
        <v>3</v>
      </c>
      <c r="DN53">
        <v>0</v>
      </c>
      <c r="DO53">
        <v>0</v>
      </c>
      <c r="DP53">
        <v>1</v>
      </c>
      <c r="DQ53">
        <v>1</v>
      </c>
      <c r="DU53">
        <v>1003</v>
      </c>
      <c r="DV53" t="s">
        <v>55</v>
      </c>
      <c r="DW53" t="s">
        <v>55</v>
      </c>
      <c r="DX53">
        <v>1</v>
      </c>
      <c r="DZ53" t="s">
        <v>3</v>
      </c>
      <c r="EA53" t="s">
        <v>3</v>
      </c>
      <c r="EB53" t="s">
        <v>3</v>
      </c>
      <c r="EC53" t="s">
        <v>3</v>
      </c>
      <c r="EE53">
        <v>51698006</v>
      </c>
      <c r="EF53">
        <v>202</v>
      </c>
      <c r="EG53" t="s">
        <v>81</v>
      </c>
      <c r="EH53">
        <v>0</v>
      </c>
      <c r="EI53" t="s">
        <v>3</v>
      </c>
      <c r="EJ53">
        <v>1</v>
      </c>
      <c r="EK53">
        <v>400002</v>
      </c>
      <c r="EL53" t="s">
        <v>82</v>
      </c>
      <c r="EM53" t="s">
        <v>81</v>
      </c>
      <c r="EO53" t="s">
        <v>25</v>
      </c>
      <c r="EQ53">
        <v>131072</v>
      </c>
      <c r="ER53">
        <v>93.04</v>
      </c>
      <c r="ES53">
        <v>93.04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5</v>
      </c>
      <c r="FC53">
        <v>0</v>
      </c>
      <c r="FD53">
        <v>18</v>
      </c>
      <c r="FF53">
        <v>906.23</v>
      </c>
      <c r="FQ53">
        <v>0</v>
      </c>
      <c r="FR53">
        <v>0</v>
      </c>
      <c r="FS53">
        <v>0</v>
      </c>
      <c r="FX53">
        <v>0</v>
      </c>
      <c r="FY53">
        <v>0</v>
      </c>
      <c r="GA53" t="s">
        <v>83</v>
      </c>
      <c r="GD53">
        <v>0</v>
      </c>
      <c r="GF53">
        <v>955410639</v>
      </c>
      <c r="GG53">
        <v>2</v>
      </c>
      <c r="GH53">
        <v>3</v>
      </c>
      <c r="GI53">
        <v>3</v>
      </c>
      <c r="GJ53">
        <v>0</v>
      </c>
      <c r="GK53">
        <f>ROUND(R53*(S12)/100,2)</f>
        <v>0</v>
      </c>
      <c r="GL53">
        <f t="shared" si="48"/>
        <v>0</v>
      </c>
      <c r="GM53">
        <f t="shared" si="49"/>
        <v>363263.14</v>
      </c>
      <c r="GN53">
        <f t="shared" si="50"/>
        <v>363263.14</v>
      </c>
      <c r="GO53">
        <f t="shared" si="51"/>
        <v>0</v>
      </c>
      <c r="GP53">
        <f t="shared" si="52"/>
        <v>0</v>
      </c>
      <c r="GR53">
        <v>1</v>
      </c>
      <c r="GS53">
        <v>1</v>
      </c>
      <c r="GT53">
        <v>0</v>
      </c>
      <c r="GU53" t="s">
        <v>3</v>
      </c>
      <c r="GV53">
        <f t="shared" si="53"/>
        <v>0</v>
      </c>
      <c r="GW53">
        <v>1</v>
      </c>
      <c r="GX53">
        <f t="shared" si="54"/>
        <v>0</v>
      </c>
      <c r="HA53">
        <v>0</v>
      </c>
      <c r="HB53">
        <v>0</v>
      </c>
      <c r="HC53">
        <f t="shared" si="55"/>
        <v>0</v>
      </c>
      <c r="HE53" t="s">
        <v>84</v>
      </c>
      <c r="HF53" t="s">
        <v>84</v>
      </c>
      <c r="HM53" t="s">
        <v>3</v>
      </c>
      <c r="HN53" t="s">
        <v>3</v>
      </c>
      <c r="HO53" t="s">
        <v>3</v>
      </c>
      <c r="HP53" t="s">
        <v>3</v>
      </c>
      <c r="HQ53" t="s">
        <v>3</v>
      </c>
      <c r="HS53">
        <v>0</v>
      </c>
      <c r="IK53">
        <v>0</v>
      </c>
    </row>
    <row r="54" spans="1:255" x14ac:dyDescent="0.2">
      <c r="A54" s="2">
        <v>17</v>
      </c>
      <c r="B54" s="2">
        <v>1</v>
      </c>
      <c r="C54" s="2"/>
      <c r="D54" s="2"/>
      <c r="E54" s="2" t="s">
        <v>85</v>
      </c>
      <c r="F54" s="2" t="s">
        <v>86</v>
      </c>
      <c r="G54" s="2" t="s">
        <v>87</v>
      </c>
      <c r="H54" s="2" t="s">
        <v>88</v>
      </c>
      <c r="I54" s="2">
        <v>36</v>
      </c>
      <c r="J54" s="2">
        <v>0</v>
      </c>
      <c r="K54" s="2">
        <v>36</v>
      </c>
      <c r="L54" s="2"/>
      <c r="M54" s="2"/>
      <c r="N54" s="2"/>
      <c r="O54" s="2">
        <f t="shared" si="21"/>
        <v>140.4</v>
      </c>
      <c r="P54" s="2">
        <f t="shared" si="22"/>
        <v>140.4</v>
      </c>
      <c r="Q54" s="2">
        <f t="shared" si="56"/>
        <v>0</v>
      </c>
      <c r="R54" s="2">
        <f t="shared" si="24"/>
        <v>0</v>
      </c>
      <c r="S54" s="2">
        <f t="shared" si="25"/>
        <v>0</v>
      </c>
      <c r="T54" s="2">
        <f t="shared" si="26"/>
        <v>0</v>
      </c>
      <c r="U54" s="2">
        <f t="shared" si="27"/>
        <v>0</v>
      </c>
      <c r="V54" s="2">
        <f t="shared" si="28"/>
        <v>0</v>
      </c>
      <c r="W54" s="2">
        <f t="shared" si="29"/>
        <v>0</v>
      </c>
      <c r="X54" s="2">
        <f t="shared" si="30"/>
        <v>0</v>
      </c>
      <c r="Y54" s="2">
        <f t="shared" si="31"/>
        <v>0</v>
      </c>
      <c r="Z54" s="2"/>
      <c r="AA54" s="2">
        <v>56622586</v>
      </c>
      <c r="AB54" s="2">
        <f t="shared" si="32"/>
        <v>3.9</v>
      </c>
      <c r="AC54" s="2">
        <f t="shared" ref="AC54:AC59" si="64">ROUND((ES54),6)</f>
        <v>3.9</v>
      </c>
      <c r="AD54" s="2">
        <f t="shared" si="58"/>
        <v>0</v>
      </c>
      <c r="AE54" s="2">
        <f t="shared" si="59"/>
        <v>0</v>
      </c>
      <c r="AF54" s="2">
        <f t="shared" si="60"/>
        <v>0</v>
      </c>
      <c r="AG54" s="2">
        <f t="shared" si="36"/>
        <v>0</v>
      </c>
      <c r="AH54" s="2">
        <f t="shared" si="61"/>
        <v>0</v>
      </c>
      <c r="AI54" s="2">
        <f t="shared" si="62"/>
        <v>0</v>
      </c>
      <c r="AJ54" s="2">
        <f t="shared" si="38"/>
        <v>0</v>
      </c>
      <c r="AK54" s="2">
        <v>3.9</v>
      </c>
      <c r="AL54" s="2">
        <v>3.9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1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3</v>
      </c>
      <c r="BI54" s="2">
        <v>1</v>
      </c>
      <c r="BJ54" s="2" t="s">
        <v>89</v>
      </c>
      <c r="BK54" s="2"/>
      <c r="BL54" s="2"/>
      <c r="BM54" s="2">
        <v>1617</v>
      </c>
      <c r="BN54" s="2">
        <v>0</v>
      </c>
      <c r="BO54" s="2" t="s">
        <v>3</v>
      </c>
      <c r="BP54" s="2">
        <v>0</v>
      </c>
      <c r="BQ54" s="2">
        <v>200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0</v>
      </c>
      <c r="CA54" s="2">
        <v>0</v>
      </c>
      <c r="CB54" s="2" t="s">
        <v>3</v>
      </c>
      <c r="CC54" s="2"/>
      <c r="CD54" s="2"/>
      <c r="CE54" s="2">
        <v>30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671</v>
      </c>
      <c r="CO54" s="2">
        <v>0</v>
      </c>
      <c r="CP54" s="2">
        <f t="shared" si="39"/>
        <v>140.4</v>
      </c>
      <c r="CQ54" s="2">
        <f t="shared" si="40"/>
        <v>3.9</v>
      </c>
      <c r="CR54" s="2">
        <f t="shared" si="63"/>
        <v>0</v>
      </c>
      <c r="CS54" s="2">
        <f t="shared" si="42"/>
        <v>0</v>
      </c>
      <c r="CT54" s="2">
        <f t="shared" si="43"/>
        <v>0</v>
      </c>
      <c r="CU54" s="2">
        <f t="shared" si="44"/>
        <v>0</v>
      </c>
      <c r="CV54" s="2">
        <f t="shared" si="45"/>
        <v>0</v>
      </c>
      <c r="CW54" s="2">
        <f t="shared" si="46"/>
        <v>0</v>
      </c>
      <c r="CX54" s="2">
        <f t="shared" si="47"/>
        <v>0</v>
      </c>
      <c r="CY54" s="2">
        <f>((S54*BZ54)/100)</f>
        <v>0</v>
      </c>
      <c r="CZ54" s="2">
        <f>((S54*CA54)/100)</f>
        <v>0</v>
      </c>
      <c r="DA54" s="2"/>
      <c r="DB54" s="2"/>
      <c r="DC54" s="2" t="s">
        <v>3</v>
      </c>
      <c r="DD54" s="2" t="s">
        <v>3</v>
      </c>
      <c r="DE54" s="2" t="s">
        <v>22</v>
      </c>
      <c r="DF54" s="2" t="s">
        <v>22</v>
      </c>
      <c r="DG54" s="2" t="s">
        <v>22</v>
      </c>
      <c r="DH54" s="2" t="s">
        <v>3</v>
      </c>
      <c r="DI54" s="2" t="s">
        <v>22</v>
      </c>
      <c r="DJ54" s="2" t="s">
        <v>22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1010</v>
      </c>
      <c r="DV54" s="2" t="s">
        <v>88</v>
      </c>
      <c r="DW54" s="2" t="s">
        <v>88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51697656</v>
      </c>
      <c r="EF54" s="2">
        <v>200</v>
      </c>
      <c r="EG54" s="2" t="s">
        <v>57</v>
      </c>
      <c r="EH54" s="2">
        <v>0</v>
      </c>
      <c r="EI54" s="2" t="s">
        <v>3</v>
      </c>
      <c r="EJ54" s="2">
        <v>1</v>
      </c>
      <c r="EK54" s="2">
        <v>1617</v>
      </c>
      <c r="EL54" s="2" t="s">
        <v>58</v>
      </c>
      <c r="EM54" s="2" t="s">
        <v>59</v>
      </c>
      <c r="EN54" s="2"/>
      <c r="EO54" s="2" t="s">
        <v>25</v>
      </c>
      <c r="EP54" s="2"/>
      <c r="EQ54" s="2">
        <v>131072</v>
      </c>
      <c r="ER54" s="2">
        <v>3.9</v>
      </c>
      <c r="ES54" s="2">
        <v>3.9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0</v>
      </c>
      <c r="FY54" s="2">
        <v>0</v>
      </c>
      <c r="FZ54" s="2"/>
      <c r="GA54" s="2" t="s">
        <v>3</v>
      </c>
      <c r="GB54" s="2"/>
      <c r="GC54" s="2"/>
      <c r="GD54" s="2">
        <v>0</v>
      </c>
      <c r="GE54" s="2"/>
      <c r="GF54" s="2">
        <v>-1761022056</v>
      </c>
      <c r="GG54" s="2">
        <v>2</v>
      </c>
      <c r="GH54" s="2">
        <v>1</v>
      </c>
      <c r="GI54" s="2">
        <v>-2</v>
      </c>
      <c r="GJ54" s="2">
        <v>0</v>
      </c>
      <c r="GK54" s="2">
        <f>ROUND(R54*(R12)/100,2)</f>
        <v>0</v>
      </c>
      <c r="GL54" s="2">
        <f t="shared" si="48"/>
        <v>0</v>
      </c>
      <c r="GM54" s="2">
        <f t="shared" si="49"/>
        <v>140.4</v>
      </c>
      <c r="GN54" s="2">
        <f t="shared" si="50"/>
        <v>140.4</v>
      </c>
      <c r="GO54" s="2">
        <f t="shared" si="51"/>
        <v>0</v>
      </c>
      <c r="GP54" s="2">
        <f t="shared" si="52"/>
        <v>0</v>
      </c>
      <c r="GQ54" s="2"/>
      <c r="GR54" s="2">
        <v>0</v>
      </c>
      <c r="GS54" s="2">
        <v>0</v>
      </c>
      <c r="GT54" s="2">
        <v>0</v>
      </c>
      <c r="GU54" s="2" t="s">
        <v>3</v>
      </c>
      <c r="GV54" s="2">
        <f t="shared" si="53"/>
        <v>0</v>
      </c>
      <c r="GW54" s="2">
        <v>1</v>
      </c>
      <c r="GX54" s="2">
        <f t="shared" si="54"/>
        <v>0</v>
      </c>
      <c r="GY54" s="2"/>
      <c r="GZ54" s="2"/>
      <c r="HA54" s="2">
        <v>0</v>
      </c>
      <c r="HB54" s="2">
        <v>0</v>
      </c>
      <c r="HC54" s="2">
        <f t="shared" si="55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">
      <c r="A55">
        <v>17</v>
      </c>
      <c r="B55">
        <v>1</v>
      </c>
      <c r="E55" t="s">
        <v>85</v>
      </c>
      <c r="F55" t="s">
        <v>86</v>
      </c>
      <c r="G55" t="s">
        <v>87</v>
      </c>
      <c r="H55" t="s">
        <v>88</v>
      </c>
      <c r="I55">
        <v>36</v>
      </c>
      <c r="J55">
        <v>0</v>
      </c>
      <c r="K55">
        <v>36</v>
      </c>
      <c r="O55">
        <f t="shared" si="21"/>
        <v>1955.77</v>
      </c>
      <c r="P55">
        <f t="shared" si="22"/>
        <v>1955.77</v>
      </c>
      <c r="Q55">
        <f t="shared" si="56"/>
        <v>0</v>
      </c>
      <c r="R55">
        <f t="shared" si="24"/>
        <v>0</v>
      </c>
      <c r="S55">
        <f t="shared" si="25"/>
        <v>0</v>
      </c>
      <c r="T55">
        <f t="shared" si="26"/>
        <v>0</v>
      </c>
      <c r="U55">
        <f t="shared" si="27"/>
        <v>0</v>
      </c>
      <c r="V55">
        <f t="shared" si="28"/>
        <v>0</v>
      </c>
      <c r="W55">
        <f t="shared" si="29"/>
        <v>0</v>
      </c>
      <c r="X55">
        <f t="shared" si="30"/>
        <v>0</v>
      </c>
      <c r="Y55">
        <f t="shared" si="31"/>
        <v>0</v>
      </c>
      <c r="AA55">
        <v>56616093</v>
      </c>
      <c r="AB55">
        <f t="shared" si="32"/>
        <v>3.9</v>
      </c>
      <c r="AC55">
        <f t="shared" si="64"/>
        <v>3.9</v>
      </c>
      <c r="AD55">
        <f t="shared" si="58"/>
        <v>0</v>
      </c>
      <c r="AE55">
        <f t="shared" si="59"/>
        <v>0</v>
      </c>
      <c r="AF55">
        <f t="shared" si="60"/>
        <v>0</v>
      </c>
      <c r="AG55">
        <f t="shared" si="36"/>
        <v>0</v>
      </c>
      <c r="AH55">
        <f t="shared" si="61"/>
        <v>0</v>
      </c>
      <c r="AI55">
        <f t="shared" si="62"/>
        <v>0</v>
      </c>
      <c r="AJ55">
        <f t="shared" si="38"/>
        <v>0</v>
      </c>
      <c r="AK55">
        <v>3.9</v>
      </c>
      <c r="AL55">
        <v>3.9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1</v>
      </c>
      <c r="AZ55">
        <v>1</v>
      </c>
      <c r="BA55">
        <v>1</v>
      </c>
      <c r="BB55">
        <v>1</v>
      </c>
      <c r="BC55">
        <v>13.93</v>
      </c>
      <c r="BD55" t="s">
        <v>3</v>
      </c>
      <c r="BE55" t="s">
        <v>3</v>
      </c>
      <c r="BF55" t="s">
        <v>3</v>
      </c>
      <c r="BG55" t="s">
        <v>3</v>
      </c>
      <c r="BH55">
        <v>3</v>
      </c>
      <c r="BI55">
        <v>1</v>
      </c>
      <c r="BJ55" t="s">
        <v>89</v>
      </c>
      <c r="BM55">
        <v>1617</v>
      </c>
      <c r="BN55">
        <v>0</v>
      </c>
      <c r="BO55" t="s">
        <v>86</v>
      </c>
      <c r="BP55">
        <v>1</v>
      </c>
      <c r="BQ55">
        <v>200</v>
      </c>
      <c r="BR55">
        <v>0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 t="s">
        <v>3</v>
      </c>
      <c r="BZ55">
        <v>0</v>
      </c>
      <c r="CA55">
        <v>0</v>
      </c>
      <c r="CB55" t="s">
        <v>3</v>
      </c>
      <c r="CE55">
        <v>30</v>
      </c>
      <c r="CF55">
        <v>0</v>
      </c>
      <c r="CG55">
        <v>0</v>
      </c>
      <c r="CM55">
        <v>0</v>
      </c>
      <c r="CN55" t="s">
        <v>671</v>
      </c>
      <c r="CO55">
        <v>0</v>
      </c>
      <c r="CP55">
        <f t="shared" si="39"/>
        <v>1955.77</v>
      </c>
      <c r="CQ55">
        <f t="shared" si="40"/>
        <v>54.33</v>
      </c>
      <c r="CR55">
        <f t="shared" si="63"/>
        <v>0</v>
      </c>
      <c r="CS55">
        <f t="shared" si="42"/>
        <v>0</v>
      </c>
      <c r="CT55">
        <f t="shared" si="43"/>
        <v>0</v>
      </c>
      <c r="CU55">
        <f t="shared" si="44"/>
        <v>0</v>
      </c>
      <c r="CV55">
        <f t="shared" si="45"/>
        <v>0</v>
      </c>
      <c r="CW55">
        <f t="shared" si="46"/>
        <v>0</v>
      </c>
      <c r="CX55">
        <f t="shared" si="47"/>
        <v>0</v>
      </c>
      <c r="CY55">
        <f>S55*(BZ55/100)</f>
        <v>0</v>
      </c>
      <c r="CZ55">
        <f>S55*(CA55/100)</f>
        <v>0</v>
      </c>
      <c r="DC55" t="s">
        <v>3</v>
      </c>
      <c r="DD55" t="s">
        <v>3</v>
      </c>
      <c r="DE55" t="s">
        <v>22</v>
      </c>
      <c r="DF55" t="s">
        <v>22</v>
      </c>
      <c r="DG55" t="s">
        <v>22</v>
      </c>
      <c r="DH55" t="s">
        <v>3</v>
      </c>
      <c r="DI55" t="s">
        <v>22</v>
      </c>
      <c r="DJ55" t="s">
        <v>22</v>
      </c>
      <c r="DK55" t="s">
        <v>3</v>
      </c>
      <c r="DL55" t="s">
        <v>3</v>
      </c>
      <c r="DM55" t="s">
        <v>3</v>
      </c>
      <c r="DN55">
        <v>0</v>
      </c>
      <c r="DO55">
        <v>0</v>
      </c>
      <c r="DP55">
        <v>1</v>
      </c>
      <c r="DQ55">
        <v>1</v>
      </c>
      <c r="DU55">
        <v>1010</v>
      </c>
      <c r="DV55" t="s">
        <v>88</v>
      </c>
      <c r="DW55" t="s">
        <v>88</v>
      </c>
      <c r="DX55">
        <v>1</v>
      </c>
      <c r="DZ55" t="s">
        <v>3</v>
      </c>
      <c r="EA55" t="s">
        <v>3</v>
      </c>
      <c r="EB55" t="s">
        <v>3</v>
      </c>
      <c r="EC55" t="s">
        <v>3</v>
      </c>
      <c r="EE55">
        <v>51697656</v>
      </c>
      <c r="EF55">
        <v>200</v>
      </c>
      <c r="EG55" t="s">
        <v>57</v>
      </c>
      <c r="EH55">
        <v>0</v>
      </c>
      <c r="EI55" t="s">
        <v>3</v>
      </c>
      <c r="EJ55">
        <v>1</v>
      </c>
      <c r="EK55">
        <v>1617</v>
      </c>
      <c r="EL55" t="s">
        <v>58</v>
      </c>
      <c r="EM55" t="s">
        <v>59</v>
      </c>
      <c r="EO55" t="s">
        <v>25</v>
      </c>
      <c r="EQ55">
        <v>131072</v>
      </c>
      <c r="ER55">
        <v>3.9</v>
      </c>
      <c r="ES55">
        <v>3.9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FQ55">
        <v>0</v>
      </c>
      <c r="FR55">
        <v>0</v>
      </c>
      <c r="FS55">
        <v>0</v>
      </c>
      <c r="FX55">
        <v>0</v>
      </c>
      <c r="FY55">
        <v>0</v>
      </c>
      <c r="GA55" t="s">
        <v>3</v>
      </c>
      <c r="GD55">
        <v>0</v>
      </c>
      <c r="GF55">
        <v>-1761022056</v>
      </c>
      <c r="GG55">
        <v>2</v>
      </c>
      <c r="GH55">
        <v>1</v>
      </c>
      <c r="GI55">
        <v>2</v>
      </c>
      <c r="GJ55">
        <v>0</v>
      </c>
      <c r="GK55">
        <f>ROUND(R55*(S12)/100,2)</f>
        <v>0</v>
      </c>
      <c r="GL55">
        <f t="shared" si="48"/>
        <v>0</v>
      </c>
      <c r="GM55">
        <f t="shared" si="49"/>
        <v>1955.77</v>
      </c>
      <c r="GN55">
        <f t="shared" si="50"/>
        <v>1955.77</v>
      </c>
      <c r="GO55">
        <f t="shared" si="51"/>
        <v>0</v>
      </c>
      <c r="GP55">
        <f t="shared" si="52"/>
        <v>0</v>
      </c>
      <c r="GR55">
        <v>0</v>
      </c>
      <c r="GS55">
        <v>3</v>
      </c>
      <c r="GT55">
        <v>0</v>
      </c>
      <c r="GU55" t="s">
        <v>3</v>
      </c>
      <c r="GV55">
        <f t="shared" si="53"/>
        <v>0</v>
      </c>
      <c r="GW55">
        <v>1</v>
      </c>
      <c r="GX55">
        <f t="shared" si="54"/>
        <v>0</v>
      </c>
      <c r="HA55">
        <v>0</v>
      </c>
      <c r="HB55">
        <v>0</v>
      </c>
      <c r="HC55">
        <f t="shared" si="55"/>
        <v>0</v>
      </c>
      <c r="HE55" t="s">
        <v>3</v>
      </c>
      <c r="HF55" t="s">
        <v>3</v>
      </c>
      <c r="HM55" t="s">
        <v>3</v>
      </c>
      <c r="HN55" t="s">
        <v>3</v>
      </c>
      <c r="HO55" t="s">
        <v>3</v>
      </c>
      <c r="HP55" t="s">
        <v>3</v>
      </c>
      <c r="HQ55" t="s">
        <v>3</v>
      </c>
      <c r="HS55">
        <v>0</v>
      </c>
      <c r="IK55">
        <v>0</v>
      </c>
    </row>
    <row r="56" spans="1:255" x14ac:dyDescent="0.2">
      <c r="A56" s="2">
        <v>17</v>
      </c>
      <c r="B56" s="2">
        <v>1</v>
      </c>
      <c r="C56" s="2"/>
      <c r="D56" s="2"/>
      <c r="E56" s="2" t="s">
        <v>90</v>
      </c>
      <c r="F56" s="2" t="s">
        <v>91</v>
      </c>
      <c r="G56" s="2" t="s">
        <v>92</v>
      </c>
      <c r="H56" s="2" t="s">
        <v>93</v>
      </c>
      <c r="I56" s="2">
        <v>23.46</v>
      </c>
      <c r="J56" s="2">
        <v>0</v>
      </c>
      <c r="K56" s="2">
        <v>23.46</v>
      </c>
      <c r="L56" s="2"/>
      <c r="M56" s="2"/>
      <c r="N56" s="2"/>
      <c r="O56" s="2">
        <f t="shared" si="21"/>
        <v>2463.0700000000002</v>
      </c>
      <c r="P56" s="2">
        <f t="shared" si="22"/>
        <v>2463.0700000000002</v>
      </c>
      <c r="Q56" s="2">
        <f t="shared" si="56"/>
        <v>0</v>
      </c>
      <c r="R56" s="2">
        <f t="shared" si="24"/>
        <v>0</v>
      </c>
      <c r="S56" s="2">
        <f t="shared" si="25"/>
        <v>0</v>
      </c>
      <c r="T56" s="2">
        <f t="shared" si="26"/>
        <v>0</v>
      </c>
      <c r="U56" s="2">
        <f t="shared" si="27"/>
        <v>0</v>
      </c>
      <c r="V56" s="2">
        <f t="shared" si="28"/>
        <v>0</v>
      </c>
      <c r="W56" s="2">
        <f t="shared" si="29"/>
        <v>0</v>
      </c>
      <c r="X56" s="2">
        <f t="shared" si="30"/>
        <v>0</v>
      </c>
      <c r="Y56" s="2">
        <f t="shared" si="31"/>
        <v>0</v>
      </c>
      <c r="Z56" s="2"/>
      <c r="AA56" s="2">
        <v>56622586</v>
      </c>
      <c r="AB56" s="2">
        <f t="shared" si="32"/>
        <v>104.99</v>
      </c>
      <c r="AC56" s="2">
        <f t="shared" si="64"/>
        <v>104.99</v>
      </c>
      <c r="AD56" s="2">
        <f t="shared" si="58"/>
        <v>0</v>
      </c>
      <c r="AE56" s="2">
        <f t="shared" si="59"/>
        <v>0</v>
      </c>
      <c r="AF56" s="2">
        <f t="shared" si="60"/>
        <v>0</v>
      </c>
      <c r="AG56" s="2">
        <f t="shared" si="36"/>
        <v>0</v>
      </c>
      <c r="AH56" s="2">
        <f t="shared" si="61"/>
        <v>0</v>
      </c>
      <c r="AI56" s="2">
        <f t="shared" si="62"/>
        <v>0</v>
      </c>
      <c r="AJ56" s="2">
        <f t="shared" si="38"/>
        <v>0</v>
      </c>
      <c r="AK56" s="2">
        <v>104.99</v>
      </c>
      <c r="AL56" s="2">
        <v>104.99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1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3</v>
      </c>
      <c r="BI56" s="2">
        <v>1</v>
      </c>
      <c r="BJ56" s="2" t="s">
        <v>94</v>
      </c>
      <c r="BK56" s="2"/>
      <c r="BL56" s="2"/>
      <c r="BM56" s="2">
        <v>1617</v>
      </c>
      <c r="BN56" s="2">
        <v>0</v>
      </c>
      <c r="BO56" s="2" t="s">
        <v>3</v>
      </c>
      <c r="BP56" s="2">
        <v>0</v>
      </c>
      <c r="BQ56" s="2">
        <v>200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0</v>
      </c>
      <c r="CA56" s="2">
        <v>0</v>
      </c>
      <c r="CB56" s="2" t="s">
        <v>3</v>
      </c>
      <c r="CC56" s="2"/>
      <c r="CD56" s="2"/>
      <c r="CE56" s="2">
        <v>30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671</v>
      </c>
      <c r="CO56" s="2">
        <v>0</v>
      </c>
      <c r="CP56" s="2">
        <f t="shared" si="39"/>
        <v>2463.0700000000002</v>
      </c>
      <c r="CQ56" s="2">
        <f t="shared" si="40"/>
        <v>104.99</v>
      </c>
      <c r="CR56" s="2">
        <f t="shared" si="63"/>
        <v>0</v>
      </c>
      <c r="CS56" s="2">
        <f t="shared" si="42"/>
        <v>0</v>
      </c>
      <c r="CT56" s="2">
        <f t="shared" si="43"/>
        <v>0</v>
      </c>
      <c r="CU56" s="2">
        <f t="shared" si="44"/>
        <v>0</v>
      </c>
      <c r="CV56" s="2">
        <f t="shared" si="45"/>
        <v>0</v>
      </c>
      <c r="CW56" s="2">
        <f t="shared" si="46"/>
        <v>0</v>
      </c>
      <c r="CX56" s="2">
        <f t="shared" si="47"/>
        <v>0</v>
      </c>
      <c r="CY56" s="2">
        <f>((S56*BZ56)/100)</f>
        <v>0</v>
      </c>
      <c r="CZ56" s="2">
        <f>((S56*CA56)/100)</f>
        <v>0</v>
      </c>
      <c r="DA56" s="2"/>
      <c r="DB56" s="2"/>
      <c r="DC56" s="2" t="s">
        <v>3</v>
      </c>
      <c r="DD56" s="2" t="s">
        <v>3</v>
      </c>
      <c r="DE56" s="2" t="s">
        <v>22</v>
      </c>
      <c r="DF56" s="2" t="s">
        <v>22</v>
      </c>
      <c r="DG56" s="2" t="s">
        <v>22</v>
      </c>
      <c r="DH56" s="2" t="s">
        <v>3</v>
      </c>
      <c r="DI56" s="2" t="s">
        <v>22</v>
      </c>
      <c r="DJ56" s="2" t="s">
        <v>22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1007</v>
      </c>
      <c r="DV56" s="2" t="s">
        <v>93</v>
      </c>
      <c r="DW56" s="2" t="s">
        <v>93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51697656</v>
      </c>
      <c r="EF56" s="2">
        <v>200</v>
      </c>
      <c r="EG56" s="2" t="s">
        <v>57</v>
      </c>
      <c r="EH56" s="2">
        <v>0</v>
      </c>
      <c r="EI56" s="2" t="s">
        <v>3</v>
      </c>
      <c r="EJ56" s="2">
        <v>1</v>
      </c>
      <c r="EK56" s="2">
        <v>1617</v>
      </c>
      <c r="EL56" s="2" t="s">
        <v>58</v>
      </c>
      <c r="EM56" s="2" t="s">
        <v>59</v>
      </c>
      <c r="EN56" s="2"/>
      <c r="EO56" s="2" t="s">
        <v>25</v>
      </c>
      <c r="EP56" s="2"/>
      <c r="EQ56" s="2">
        <v>131072</v>
      </c>
      <c r="ER56" s="2">
        <v>104.99</v>
      </c>
      <c r="ES56" s="2">
        <v>104.99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0</v>
      </c>
      <c r="FY56" s="2">
        <v>0</v>
      </c>
      <c r="FZ56" s="2"/>
      <c r="GA56" s="2" t="s">
        <v>3</v>
      </c>
      <c r="GB56" s="2"/>
      <c r="GC56" s="2"/>
      <c r="GD56" s="2">
        <v>0</v>
      </c>
      <c r="GE56" s="2"/>
      <c r="GF56" s="2">
        <v>-449487181</v>
      </c>
      <c r="GG56" s="2">
        <v>2</v>
      </c>
      <c r="GH56" s="2">
        <v>1</v>
      </c>
      <c r="GI56" s="2">
        <v>-2</v>
      </c>
      <c r="GJ56" s="2">
        <v>0</v>
      </c>
      <c r="GK56" s="2">
        <f>ROUND(R56*(R12)/100,2)</f>
        <v>0</v>
      </c>
      <c r="GL56" s="2">
        <f t="shared" si="48"/>
        <v>0</v>
      </c>
      <c r="GM56" s="2">
        <f t="shared" si="49"/>
        <v>2463.0700000000002</v>
      </c>
      <c r="GN56" s="2">
        <f t="shared" si="50"/>
        <v>2463.0700000000002</v>
      </c>
      <c r="GO56" s="2">
        <f t="shared" si="51"/>
        <v>0</v>
      </c>
      <c r="GP56" s="2">
        <f t="shared" si="52"/>
        <v>0</v>
      </c>
      <c r="GQ56" s="2"/>
      <c r="GR56" s="2">
        <v>0</v>
      </c>
      <c r="GS56" s="2">
        <v>0</v>
      </c>
      <c r="GT56" s="2">
        <v>0</v>
      </c>
      <c r="GU56" s="2" t="s">
        <v>3</v>
      </c>
      <c r="GV56" s="2">
        <f t="shared" si="53"/>
        <v>0</v>
      </c>
      <c r="GW56" s="2">
        <v>1</v>
      </c>
      <c r="GX56" s="2">
        <f t="shared" si="54"/>
        <v>0</v>
      </c>
      <c r="GY56" s="2"/>
      <c r="GZ56" s="2"/>
      <c r="HA56" s="2">
        <v>0</v>
      </c>
      <c r="HB56" s="2">
        <v>0</v>
      </c>
      <c r="HC56" s="2">
        <f t="shared" si="55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">
      <c r="A57">
        <v>17</v>
      </c>
      <c r="B57">
        <v>1</v>
      </c>
      <c r="E57" t="s">
        <v>90</v>
      </c>
      <c r="F57" t="s">
        <v>91</v>
      </c>
      <c r="G57" t="s">
        <v>92</v>
      </c>
      <c r="H57" t="s">
        <v>93</v>
      </c>
      <c r="I57">
        <v>23.46</v>
      </c>
      <c r="J57">
        <v>0</v>
      </c>
      <c r="K57">
        <v>23.46</v>
      </c>
      <c r="O57">
        <f t="shared" si="21"/>
        <v>18941.009999999998</v>
      </c>
      <c r="P57">
        <f t="shared" si="22"/>
        <v>18941.009999999998</v>
      </c>
      <c r="Q57">
        <f t="shared" si="56"/>
        <v>0</v>
      </c>
      <c r="R57">
        <f t="shared" si="24"/>
        <v>0</v>
      </c>
      <c r="S57">
        <f t="shared" si="25"/>
        <v>0</v>
      </c>
      <c r="T57">
        <f t="shared" si="26"/>
        <v>0</v>
      </c>
      <c r="U57">
        <f t="shared" si="27"/>
        <v>0</v>
      </c>
      <c r="V57">
        <f t="shared" si="28"/>
        <v>0</v>
      </c>
      <c r="W57">
        <f t="shared" si="29"/>
        <v>0</v>
      </c>
      <c r="X57">
        <f t="shared" si="30"/>
        <v>0</v>
      </c>
      <c r="Y57">
        <f t="shared" si="31"/>
        <v>0</v>
      </c>
      <c r="AA57">
        <v>56616093</v>
      </c>
      <c r="AB57">
        <f t="shared" si="32"/>
        <v>104.99</v>
      </c>
      <c r="AC57">
        <f t="shared" si="64"/>
        <v>104.99</v>
      </c>
      <c r="AD57">
        <f t="shared" si="58"/>
        <v>0</v>
      </c>
      <c r="AE57">
        <f t="shared" si="59"/>
        <v>0</v>
      </c>
      <c r="AF57">
        <f t="shared" si="60"/>
        <v>0</v>
      </c>
      <c r="AG57">
        <f t="shared" si="36"/>
        <v>0</v>
      </c>
      <c r="AH57">
        <f t="shared" si="61"/>
        <v>0</v>
      </c>
      <c r="AI57">
        <f t="shared" si="62"/>
        <v>0</v>
      </c>
      <c r="AJ57">
        <f t="shared" si="38"/>
        <v>0</v>
      </c>
      <c r="AK57">
        <v>104.99</v>
      </c>
      <c r="AL57">
        <v>104.99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1</v>
      </c>
      <c r="AZ57">
        <v>1</v>
      </c>
      <c r="BA57">
        <v>1</v>
      </c>
      <c r="BB57">
        <v>1</v>
      </c>
      <c r="BC57">
        <v>7.69</v>
      </c>
      <c r="BD57" t="s">
        <v>3</v>
      </c>
      <c r="BE57" t="s">
        <v>3</v>
      </c>
      <c r="BF57" t="s">
        <v>3</v>
      </c>
      <c r="BG57" t="s">
        <v>3</v>
      </c>
      <c r="BH57">
        <v>3</v>
      </c>
      <c r="BI57">
        <v>1</v>
      </c>
      <c r="BJ57" t="s">
        <v>94</v>
      </c>
      <c r="BM57">
        <v>1617</v>
      </c>
      <c r="BN57">
        <v>0</v>
      </c>
      <c r="BO57" t="s">
        <v>91</v>
      </c>
      <c r="BP57">
        <v>1</v>
      </c>
      <c r="BQ57">
        <v>200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 t="s">
        <v>3</v>
      </c>
      <c r="BZ57">
        <v>0</v>
      </c>
      <c r="CA57">
        <v>0</v>
      </c>
      <c r="CB57" t="s">
        <v>3</v>
      </c>
      <c r="CE57">
        <v>30</v>
      </c>
      <c r="CF57">
        <v>0</v>
      </c>
      <c r="CG57">
        <v>0</v>
      </c>
      <c r="CM57">
        <v>0</v>
      </c>
      <c r="CN57" t="s">
        <v>671</v>
      </c>
      <c r="CO57">
        <v>0</v>
      </c>
      <c r="CP57">
        <f t="shared" si="39"/>
        <v>18941.009999999998</v>
      </c>
      <c r="CQ57">
        <f t="shared" si="40"/>
        <v>807.37</v>
      </c>
      <c r="CR57">
        <f t="shared" si="63"/>
        <v>0</v>
      </c>
      <c r="CS57">
        <f t="shared" si="42"/>
        <v>0</v>
      </c>
      <c r="CT57">
        <f t="shared" si="43"/>
        <v>0</v>
      </c>
      <c r="CU57">
        <f t="shared" si="44"/>
        <v>0</v>
      </c>
      <c r="CV57">
        <f t="shared" si="45"/>
        <v>0</v>
      </c>
      <c r="CW57">
        <f t="shared" si="46"/>
        <v>0</v>
      </c>
      <c r="CX57">
        <f t="shared" si="47"/>
        <v>0</v>
      </c>
      <c r="CY57">
        <f>S57*(BZ57/100)</f>
        <v>0</v>
      </c>
      <c r="CZ57">
        <f>S57*(CA57/100)</f>
        <v>0</v>
      </c>
      <c r="DC57" t="s">
        <v>3</v>
      </c>
      <c r="DD57" t="s">
        <v>3</v>
      </c>
      <c r="DE57" t="s">
        <v>22</v>
      </c>
      <c r="DF57" t="s">
        <v>22</v>
      </c>
      <c r="DG57" t="s">
        <v>22</v>
      </c>
      <c r="DH57" t="s">
        <v>3</v>
      </c>
      <c r="DI57" t="s">
        <v>22</v>
      </c>
      <c r="DJ57" t="s">
        <v>22</v>
      </c>
      <c r="DK57" t="s">
        <v>3</v>
      </c>
      <c r="DL57" t="s">
        <v>3</v>
      </c>
      <c r="DM57" t="s">
        <v>3</v>
      </c>
      <c r="DN57">
        <v>0</v>
      </c>
      <c r="DO57">
        <v>0</v>
      </c>
      <c r="DP57">
        <v>1</v>
      </c>
      <c r="DQ57">
        <v>1</v>
      </c>
      <c r="DU57">
        <v>1007</v>
      </c>
      <c r="DV57" t="s">
        <v>93</v>
      </c>
      <c r="DW57" t="s">
        <v>93</v>
      </c>
      <c r="DX57">
        <v>1</v>
      </c>
      <c r="DZ57" t="s">
        <v>3</v>
      </c>
      <c r="EA57" t="s">
        <v>3</v>
      </c>
      <c r="EB57" t="s">
        <v>3</v>
      </c>
      <c r="EC57" t="s">
        <v>3</v>
      </c>
      <c r="EE57">
        <v>51697656</v>
      </c>
      <c r="EF57">
        <v>200</v>
      </c>
      <c r="EG57" t="s">
        <v>57</v>
      </c>
      <c r="EH57">
        <v>0</v>
      </c>
      <c r="EI57" t="s">
        <v>3</v>
      </c>
      <c r="EJ57">
        <v>1</v>
      </c>
      <c r="EK57">
        <v>1617</v>
      </c>
      <c r="EL57" t="s">
        <v>58</v>
      </c>
      <c r="EM57" t="s">
        <v>59</v>
      </c>
      <c r="EO57" t="s">
        <v>25</v>
      </c>
      <c r="EQ57">
        <v>131072</v>
      </c>
      <c r="ER57">
        <v>104.99</v>
      </c>
      <c r="ES57">
        <v>104.99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FQ57">
        <v>0</v>
      </c>
      <c r="FR57">
        <v>0</v>
      </c>
      <c r="FS57">
        <v>0</v>
      </c>
      <c r="FX57">
        <v>0</v>
      </c>
      <c r="FY57">
        <v>0</v>
      </c>
      <c r="GA57" t="s">
        <v>3</v>
      </c>
      <c r="GD57">
        <v>0</v>
      </c>
      <c r="GF57">
        <v>-449487181</v>
      </c>
      <c r="GG57">
        <v>2</v>
      </c>
      <c r="GH57">
        <v>1</v>
      </c>
      <c r="GI57">
        <v>2</v>
      </c>
      <c r="GJ57">
        <v>0</v>
      </c>
      <c r="GK57">
        <f>ROUND(R57*(S12)/100,2)</f>
        <v>0</v>
      </c>
      <c r="GL57">
        <f t="shared" si="48"/>
        <v>0</v>
      </c>
      <c r="GM57">
        <f t="shared" si="49"/>
        <v>18941.009999999998</v>
      </c>
      <c r="GN57">
        <f t="shared" si="50"/>
        <v>18941.009999999998</v>
      </c>
      <c r="GO57">
        <f t="shared" si="51"/>
        <v>0</v>
      </c>
      <c r="GP57">
        <f t="shared" si="52"/>
        <v>0</v>
      </c>
      <c r="GR57">
        <v>0</v>
      </c>
      <c r="GS57">
        <v>3</v>
      </c>
      <c r="GT57">
        <v>0</v>
      </c>
      <c r="GU57" t="s">
        <v>3</v>
      </c>
      <c r="GV57">
        <f t="shared" si="53"/>
        <v>0</v>
      </c>
      <c r="GW57">
        <v>1</v>
      </c>
      <c r="GX57">
        <f t="shared" si="54"/>
        <v>0</v>
      </c>
      <c r="HA57">
        <v>0</v>
      </c>
      <c r="HB57">
        <v>0</v>
      </c>
      <c r="HC57">
        <f t="shared" si="55"/>
        <v>0</v>
      </c>
      <c r="HE57" t="s">
        <v>3</v>
      </c>
      <c r="HF57" t="s">
        <v>3</v>
      </c>
      <c r="HM57" t="s">
        <v>3</v>
      </c>
      <c r="HN57" t="s">
        <v>3</v>
      </c>
      <c r="HO57" t="s">
        <v>3</v>
      </c>
      <c r="HP57" t="s">
        <v>3</v>
      </c>
      <c r="HQ57" t="s">
        <v>3</v>
      </c>
      <c r="HS57">
        <v>0</v>
      </c>
      <c r="IK57">
        <v>0</v>
      </c>
    </row>
    <row r="58" spans="1:255" x14ac:dyDescent="0.2">
      <c r="A58" s="2">
        <v>17</v>
      </c>
      <c r="B58" s="2">
        <v>1</v>
      </c>
      <c r="C58" s="2">
        <f>ROW(SmtRes!A73)</f>
        <v>73</v>
      </c>
      <c r="D58" s="2">
        <f>ROW(EtalonRes!A81)</f>
        <v>81</v>
      </c>
      <c r="E58" s="2" t="s">
        <v>95</v>
      </c>
      <c r="F58" s="2" t="s">
        <v>96</v>
      </c>
      <c r="G58" s="2" t="s">
        <v>97</v>
      </c>
      <c r="H58" s="2" t="s">
        <v>98</v>
      </c>
      <c r="I58" s="2">
        <v>0</v>
      </c>
      <c r="J58" s="2">
        <v>0</v>
      </c>
      <c r="K58" s="2">
        <v>0</v>
      </c>
      <c r="L58" s="2"/>
      <c r="M58" s="2"/>
      <c r="N58" s="2"/>
      <c r="O58" s="2">
        <f t="shared" si="21"/>
        <v>0</v>
      </c>
      <c r="P58" s="2">
        <f t="shared" si="22"/>
        <v>0</v>
      </c>
      <c r="Q58" s="2">
        <f t="shared" si="56"/>
        <v>0</v>
      </c>
      <c r="R58" s="2">
        <f t="shared" si="24"/>
        <v>0</v>
      </c>
      <c r="S58" s="2">
        <f t="shared" si="25"/>
        <v>0</v>
      </c>
      <c r="T58" s="2">
        <f t="shared" si="26"/>
        <v>0</v>
      </c>
      <c r="U58" s="2">
        <f t="shared" si="27"/>
        <v>0</v>
      </c>
      <c r="V58" s="2">
        <f t="shared" si="28"/>
        <v>0</v>
      </c>
      <c r="W58" s="2">
        <f t="shared" si="29"/>
        <v>0</v>
      </c>
      <c r="X58" s="2">
        <f t="shared" si="30"/>
        <v>0</v>
      </c>
      <c r="Y58" s="2">
        <f t="shared" si="31"/>
        <v>0</v>
      </c>
      <c r="Z58" s="2"/>
      <c r="AA58" s="2">
        <v>56622586</v>
      </c>
      <c r="AB58" s="2">
        <f t="shared" si="32"/>
        <v>3080.0039999999999</v>
      </c>
      <c r="AC58" s="2">
        <f t="shared" si="64"/>
        <v>516.41</v>
      </c>
      <c r="AD58" s="2">
        <f t="shared" si="58"/>
        <v>439.59300000000002</v>
      </c>
      <c r="AE58" s="2">
        <f t="shared" si="59"/>
        <v>0.64900000000000002</v>
      </c>
      <c r="AF58" s="2">
        <f t="shared" si="60"/>
        <v>2124.0010000000002</v>
      </c>
      <c r="AG58" s="2">
        <f t="shared" si="36"/>
        <v>0</v>
      </c>
      <c r="AH58" s="2">
        <f t="shared" si="61"/>
        <v>148.5</v>
      </c>
      <c r="AI58" s="2">
        <f t="shared" si="62"/>
        <v>0</v>
      </c>
      <c r="AJ58" s="2">
        <f t="shared" si="38"/>
        <v>0</v>
      </c>
      <c r="AK58" s="2">
        <v>2846.95</v>
      </c>
      <c r="AL58" s="2">
        <v>516.41</v>
      </c>
      <c r="AM58" s="2">
        <v>399.63</v>
      </c>
      <c r="AN58" s="2">
        <v>0.59</v>
      </c>
      <c r="AO58" s="2">
        <v>1930.91</v>
      </c>
      <c r="AP58" s="2">
        <v>0</v>
      </c>
      <c r="AQ58" s="2">
        <v>135</v>
      </c>
      <c r="AR58" s="2">
        <v>0</v>
      </c>
      <c r="AS58" s="2">
        <v>0</v>
      </c>
      <c r="AT58" s="2">
        <v>105</v>
      </c>
      <c r="AU58" s="2">
        <v>77</v>
      </c>
      <c r="AV58" s="2">
        <v>1.0469999999999999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0</v>
      </c>
      <c r="BI58" s="2">
        <v>1</v>
      </c>
      <c r="BJ58" s="2" t="s">
        <v>99</v>
      </c>
      <c r="BK58" s="2"/>
      <c r="BL58" s="2"/>
      <c r="BM58" s="2">
        <v>99</v>
      </c>
      <c r="BN58" s="2">
        <v>0</v>
      </c>
      <c r="BO58" s="2" t="s">
        <v>3</v>
      </c>
      <c r="BP58" s="2">
        <v>0</v>
      </c>
      <c r="BQ58" s="2">
        <v>30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105</v>
      </c>
      <c r="CA58" s="2">
        <v>77</v>
      </c>
      <c r="CB58" s="2" t="s">
        <v>3</v>
      </c>
      <c r="CC58" s="2"/>
      <c r="CD58" s="2"/>
      <c r="CE58" s="2">
        <v>30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671</v>
      </c>
      <c r="CO58" s="2">
        <v>0</v>
      </c>
      <c r="CP58" s="2">
        <f t="shared" si="39"/>
        <v>0</v>
      </c>
      <c r="CQ58" s="2">
        <f t="shared" si="40"/>
        <v>516.41</v>
      </c>
      <c r="CR58" s="2">
        <f t="shared" si="63"/>
        <v>460.25</v>
      </c>
      <c r="CS58" s="2">
        <f t="shared" si="42"/>
        <v>0.68</v>
      </c>
      <c r="CT58" s="2">
        <f t="shared" si="43"/>
        <v>2223.83</v>
      </c>
      <c r="CU58" s="2">
        <f t="shared" si="44"/>
        <v>0</v>
      </c>
      <c r="CV58" s="2">
        <f t="shared" si="45"/>
        <v>155.4795</v>
      </c>
      <c r="CW58" s="2">
        <f t="shared" si="46"/>
        <v>0</v>
      </c>
      <c r="CX58" s="2">
        <f t="shared" si="47"/>
        <v>0</v>
      </c>
      <c r="CY58" s="2">
        <f>((S58*BZ58)/100)</f>
        <v>0</v>
      </c>
      <c r="CZ58" s="2">
        <f>((S58*CA58)/100)</f>
        <v>0</v>
      </c>
      <c r="DA58" s="2"/>
      <c r="DB58" s="2"/>
      <c r="DC58" s="2" t="s">
        <v>3</v>
      </c>
      <c r="DD58" s="2" t="s">
        <v>3</v>
      </c>
      <c r="DE58" s="2" t="s">
        <v>22</v>
      </c>
      <c r="DF58" s="2" t="s">
        <v>22</v>
      </c>
      <c r="DG58" s="2" t="s">
        <v>22</v>
      </c>
      <c r="DH58" s="2" t="s">
        <v>3</v>
      </c>
      <c r="DI58" s="2" t="s">
        <v>22</v>
      </c>
      <c r="DJ58" s="2" t="s">
        <v>22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1013</v>
      </c>
      <c r="DV58" s="2" t="s">
        <v>98</v>
      </c>
      <c r="DW58" s="2" t="s">
        <v>98</v>
      </c>
      <c r="DX58" s="2">
        <v>1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51696138</v>
      </c>
      <c r="EF58" s="2">
        <v>30</v>
      </c>
      <c r="EG58" s="2" t="s">
        <v>16</v>
      </c>
      <c r="EH58" s="2">
        <v>0</v>
      </c>
      <c r="EI58" s="2" t="s">
        <v>3</v>
      </c>
      <c r="EJ58" s="2">
        <v>1</v>
      </c>
      <c r="EK58" s="2">
        <v>99</v>
      </c>
      <c r="EL58" s="2" t="s">
        <v>100</v>
      </c>
      <c r="EM58" s="2" t="s">
        <v>101</v>
      </c>
      <c r="EN58" s="2"/>
      <c r="EO58" s="2" t="s">
        <v>25</v>
      </c>
      <c r="EP58" s="2"/>
      <c r="EQ58" s="2">
        <v>131072</v>
      </c>
      <c r="ER58" s="2">
        <v>2846.95</v>
      </c>
      <c r="ES58" s="2">
        <v>516.41</v>
      </c>
      <c r="ET58" s="2">
        <v>399.63</v>
      </c>
      <c r="EU58" s="2">
        <v>0.59</v>
      </c>
      <c r="EV58" s="2">
        <v>1930.91</v>
      </c>
      <c r="EW58" s="2">
        <v>135</v>
      </c>
      <c r="EX58" s="2">
        <v>0</v>
      </c>
      <c r="EY58" s="2">
        <v>0</v>
      </c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105</v>
      </c>
      <c r="FY58" s="2">
        <v>77</v>
      </c>
      <c r="FZ58" s="2"/>
      <c r="GA58" s="2" t="s">
        <v>3</v>
      </c>
      <c r="GB58" s="2"/>
      <c r="GC58" s="2"/>
      <c r="GD58" s="2">
        <v>0</v>
      </c>
      <c r="GE58" s="2"/>
      <c r="GF58" s="2">
        <v>448414653</v>
      </c>
      <c r="GG58" s="2">
        <v>2</v>
      </c>
      <c r="GH58" s="2">
        <v>1</v>
      </c>
      <c r="GI58" s="2">
        <v>-2</v>
      </c>
      <c r="GJ58" s="2">
        <v>0</v>
      </c>
      <c r="GK58" s="2">
        <f>ROUND(R58*(R12)/100,2)</f>
        <v>0</v>
      </c>
      <c r="GL58" s="2">
        <f t="shared" si="48"/>
        <v>0</v>
      </c>
      <c r="GM58" s="2">
        <f t="shared" si="49"/>
        <v>0</v>
      </c>
      <c r="GN58" s="2">
        <f t="shared" si="50"/>
        <v>0</v>
      </c>
      <c r="GO58" s="2">
        <f t="shared" si="51"/>
        <v>0</v>
      </c>
      <c r="GP58" s="2">
        <f t="shared" si="52"/>
        <v>0</v>
      </c>
      <c r="GQ58" s="2"/>
      <c r="GR58" s="2">
        <v>0</v>
      </c>
      <c r="GS58" s="2">
        <v>0</v>
      </c>
      <c r="GT58" s="2">
        <v>0</v>
      </c>
      <c r="GU58" s="2" t="s">
        <v>3</v>
      </c>
      <c r="GV58" s="2">
        <f t="shared" si="53"/>
        <v>0</v>
      </c>
      <c r="GW58" s="2">
        <v>1</v>
      </c>
      <c r="GX58" s="2">
        <f t="shared" si="54"/>
        <v>0</v>
      </c>
      <c r="GY58" s="2"/>
      <c r="GZ58" s="2"/>
      <c r="HA58" s="2">
        <v>0</v>
      </c>
      <c r="HB58" s="2">
        <v>0</v>
      </c>
      <c r="HC58" s="2">
        <f t="shared" si="55"/>
        <v>0</v>
      </c>
      <c r="HD58" s="2"/>
      <c r="HE58" s="2" t="s">
        <v>3</v>
      </c>
      <c r="HF58" s="2" t="s">
        <v>3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">
      <c r="A59">
        <v>17</v>
      </c>
      <c r="B59">
        <v>1</v>
      </c>
      <c r="C59">
        <f>ROW(SmtRes!A82)</f>
        <v>82</v>
      </c>
      <c r="D59">
        <f>ROW(EtalonRes!A92)</f>
        <v>92</v>
      </c>
      <c r="E59" t="s">
        <v>95</v>
      </c>
      <c r="F59" t="s">
        <v>96</v>
      </c>
      <c r="G59" t="s">
        <v>97</v>
      </c>
      <c r="H59" t="s">
        <v>98</v>
      </c>
      <c r="I59">
        <v>0</v>
      </c>
      <c r="J59">
        <v>0</v>
      </c>
      <c r="K59">
        <v>0</v>
      </c>
      <c r="O59">
        <f t="shared" si="21"/>
        <v>0</v>
      </c>
      <c r="P59">
        <f t="shared" si="22"/>
        <v>0</v>
      </c>
      <c r="Q59">
        <f t="shared" si="56"/>
        <v>0</v>
      </c>
      <c r="R59">
        <f t="shared" si="24"/>
        <v>0</v>
      </c>
      <c r="S59">
        <f t="shared" si="25"/>
        <v>0</v>
      </c>
      <c r="T59">
        <f t="shared" si="26"/>
        <v>0</v>
      </c>
      <c r="U59">
        <f t="shared" si="27"/>
        <v>0</v>
      </c>
      <c r="V59">
        <f t="shared" si="28"/>
        <v>0</v>
      </c>
      <c r="W59">
        <f t="shared" si="29"/>
        <v>0</v>
      </c>
      <c r="X59">
        <f t="shared" si="30"/>
        <v>0</v>
      </c>
      <c r="Y59">
        <f t="shared" si="31"/>
        <v>0</v>
      </c>
      <c r="AA59">
        <v>56616093</v>
      </c>
      <c r="AB59">
        <f t="shared" si="32"/>
        <v>3080.0039999999999</v>
      </c>
      <c r="AC59">
        <f t="shared" si="64"/>
        <v>516.41</v>
      </c>
      <c r="AD59">
        <f t="shared" si="58"/>
        <v>439.59300000000002</v>
      </c>
      <c r="AE59">
        <f t="shared" si="59"/>
        <v>0.64900000000000002</v>
      </c>
      <c r="AF59">
        <f t="shared" si="60"/>
        <v>2124.0010000000002</v>
      </c>
      <c r="AG59">
        <f t="shared" si="36"/>
        <v>0</v>
      </c>
      <c r="AH59">
        <f t="shared" si="61"/>
        <v>148.5</v>
      </c>
      <c r="AI59">
        <f t="shared" si="62"/>
        <v>0</v>
      </c>
      <c r="AJ59">
        <f t="shared" si="38"/>
        <v>0</v>
      </c>
      <c r="AK59">
        <v>2846.95</v>
      </c>
      <c r="AL59">
        <v>516.41</v>
      </c>
      <c r="AM59">
        <v>399.63</v>
      </c>
      <c r="AN59">
        <v>0.59</v>
      </c>
      <c r="AO59">
        <v>1930.91</v>
      </c>
      <c r="AP59">
        <v>0</v>
      </c>
      <c r="AQ59">
        <v>135</v>
      </c>
      <c r="AR59">
        <v>0</v>
      </c>
      <c r="AS59">
        <v>0</v>
      </c>
      <c r="AT59">
        <v>87</v>
      </c>
      <c r="AU59">
        <v>41</v>
      </c>
      <c r="AV59">
        <v>1.0469999999999999</v>
      </c>
      <c r="AW59">
        <v>1</v>
      </c>
      <c r="AZ59">
        <v>1</v>
      </c>
      <c r="BA59">
        <v>34.51</v>
      </c>
      <c r="BB59">
        <v>9.31</v>
      </c>
      <c r="BC59">
        <v>3.33</v>
      </c>
      <c r="BD59" t="s">
        <v>3</v>
      </c>
      <c r="BE59" t="s">
        <v>3</v>
      </c>
      <c r="BF59" t="s">
        <v>3</v>
      </c>
      <c r="BG59" t="s">
        <v>3</v>
      </c>
      <c r="BH59">
        <v>0</v>
      </c>
      <c r="BI59">
        <v>1</v>
      </c>
      <c r="BJ59" t="s">
        <v>99</v>
      </c>
      <c r="BM59">
        <v>99</v>
      </c>
      <c r="BN59">
        <v>0</v>
      </c>
      <c r="BO59" t="s">
        <v>96</v>
      </c>
      <c r="BP59">
        <v>1</v>
      </c>
      <c r="BQ59">
        <v>30</v>
      </c>
      <c r="BR59">
        <v>0</v>
      </c>
      <c r="BS59">
        <v>34.51</v>
      </c>
      <c r="BT59">
        <v>1</v>
      </c>
      <c r="BU59">
        <v>1</v>
      </c>
      <c r="BV59">
        <v>1</v>
      </c>
      <c r="BW59">
        <v>1</v>
      </c>
      <c r="BX59">
        <v>1</v>
      </c>
      <c r="BY59" t="s">
        <v>3</v>
      </c>
      <c r="BZ59">
        <v>87</v>
      </c>
      <c r="CA59">
        <v>41</v>
      </c>
      <c r="CB59" t="s">
        <v>3</v>
      </c>
      <c r="CE59">
        <v>30</v>
      </c>
      <c r="CF59">
        <v>0</v>
      </c>
      <c r="CG59">
        <v>0</v>
      </c>
      <c r="CM59">
        <v>0</v>
      </c>
      <c r="CN59" t="s">
        <v>671</v>
      </c>
      <c r="CO59">
        <v>0</v>
      </c>
      <c r="CP59">
        <f t="shared" si="39"/>
        <v>0</v>
      </c>
      <c r="CQ59">
        <f t="shared" si="40"/>
        <v>1719.65</v>
      </c>
      <c r="CR59">
        <f t="shared" si="63"/>
        <v>4284.93</v>
      </c>
      <c r="CS59">
        <f t="shared" si="42"/>
        <v>23.47</v>
      </c>
      <c r="CT59">
        <f t="shared" si="43"/>
        <v>76744.37</v>
      </c>
      <c r="CU59">
        <f t="shared" si="44"/>
        <v>0</v>
      </c>
      <c r="CV59">
        <f t="shared" si="45"/>
        <v>155.4795</v>
      </c>
      <c r="CW59">
        <f t="shared" si="46"/>
        <v>0</v>
      </c>
      <c r="CX59">
        <f t="shared" si="47"/>
        <v>0</v>
      </c>
      <c r="CY59">
        <f>S59*(BZ59/100)</f>
        <v>0</v>
      </c>
      <c r="CZ59">
        <f>S59*(CA59/100)</f>
        <v>0</v>
      </c>
      <c r="DC59" t="s">
        <v>3</v>
      </c>
      <c r="DD59" t="s">
        <v>3</v>
      </c>
      <c r="DE59" t="s">
        <v>22</v>
      </c>
      <c r="DF59" t="s">
        <v>22</v>
      </c>
      <c r="DG59" t="s">
        <v>22</v>
      </c>
      <c r="DH59" t="s">
        <v>3</v>
      </c>
      <c r="DI59" t="s">
        <v>22</v>
      </c>
      <c r="DJ59" t="s">
        <v>22</v>
      </c>
      <c r="DK59" t="s">
        <v>3</v>
      </c>
      <c r="DL59" t="s">
        <v>3</v>
      </c>
      <c r="DM59" t="s">
        <v>3</v>
      </c>
      <c r="DN59">
        <v>105</v>
      </c>
      <c r="DO59">
        <v>77</v>
      </c>
      <c r="DP59">
        <v>1.0469999999999999</v>
      </c>
      <c r="DQ59">
        <v>1</v>
      </c>
      <c r="DU59">
        <v>1013</v>
      </c>
      <c r="DV59" t="s">
        <v>98</v>
      </c>
      <c r="DW59" t="s">
        <v>98</v>
      </c>
      <c r="DX59">
        <v>1</v>
      </c>
      <c r="DZ59" t="s">
        <v>3</v>
      </c>
      <c r="EA59" t="s">
        <v>3</v>
      </c>
      <c r="EB59" t="s">
        <v>3</v>
      </c>
      <c r="EC59" t="s">
        <v>3</v>
      </c>
      <c r="EE59">
        <v>51696138</v>
      </c>
      <c r="EF59">
        <v>30</v>
      </c>
      <c r="EG59" t="s">
        <v>16</v>
      </c>
      <c r="EH59">
        <v>0</v>
      </c>
      <c r="EI59" t="s">
        <v>3</v>
      </c>
      <c r="EJ59">
        <v>1</v>
      </c>
      <c r="EK59">
        <v>99</v>
      </c>
      <c r="EL59" t="s">
        <v>100</v>
      </c>
      <c r="EM59" t="s">
        <v>101</v>
      </c>
      <c r="EO59" t="s">
        <v>25</v>
      </c>
      <c r="EQ59">
        <v>131072</v>
      </c>
      <c r="ER59">
        <v>2846.95</v>
      </c>
      <c r="ES59">
        <v>516.41</v>
      </c>
      <c r="ET59">
        <v>399.63</v>
      </c>
      <c r="EU59">
        <v>0.59</v>
      </c>
      <c r="EV59">
        <v>1930.91</v>
      </c>
      <c r="EW59">
        <v>135</v>
      </c>
      <c r="EX59">
        <v>0</v>
      </c>
      <c r="EY59">
        <v>0</v>
      </c>
      <c r="FQ59">
        <v>0</v>
      </c>
      <c r="FR59">
        <v>0</v>
      </c>
      <c r="FS59">
        <v>0</v>
      </c>
      <c r="FX59">
        <v>105</v>
      </c>
      <c r="FY59">
        <v>77</v>
      </c>
      <c r="GA59" t="s">
        <v>3</v>
      </c>
      <c r="GD59">
        <v>0</v>
      </c>
      <c r="GF59">
        <v>448414653</v>
      </c>
      <c r="GG59">
        <v>2</v>
      </c>
      <c r="GH59">
        <v>1</v>
      </c>
      <c r="GI59">
        <v>2</v>
      </c>
      <c r="GJ59">
        <v>0</v>
      </c>
      <c r="GK59">
        <f>ROUND(R59*(S12)/100,2)</f>
        <v>0</v>
      </c>
      <c r="GL59">
        <f t="shared" si="48"/>
        <v>0</v>
      </c>
      <c r="GM59">
        <f t="shared" si="49"/>
        <v>0</v>
      </c>
      <c r="GN59">
        <f t="shared" si="50"/>
        <v>0</v>
      </c>
      <c r="GO59">
        <f t="shared" si="51"/>
        <v>0</v>
      </c>
      <c r="GP59">
        <f t="shared" si="52"/>
        <v>0</v>
      </c>
      <c r="GR59">
        <v>0</v>
      </c>
      <c r="GS59">
        <v>3</v>
      </c>
      <c r="GT59">
        <v>0</v>
      </c>
      <c r="GU59" t="s">
        <v>3</v>
      </c>
      <c r="GV59">
        <f t="shared" si="53"/>
        <v>0</v>
      </c>
      <c r="GW59">
        <v>1</v>
      </c>
      <c r="GX59">
        <f t="shared" si="54"/>
        <v>0</v>
      </c>
      <c r="HA59">
        <v>0</v>
      </c>
      <c r="HB59">
        <v>0</v>
      </c>
      <c r="HC59">
        <f t="shared" si="55"/>
        <v>0</v>
      </c>
      <c r="HE59" t="s">
        <v>3</v>
      </c>
      <c r="HF59" t="s">
        <v>3</v>
      </c>
      <c r="HM59" t="s">
        <v>3</v>
      </c>
      <c r="HN59" t="s">
        <v>3</v>
      </c>
      <c r="HO59" t="s">
        <v>3</v>
      </c>
      <c r="HP59" t="s">
        <v>3</v>
      </c>
      <c r="HQ59" t="s">
        <v>3</v>
      </c>
      <c r="HS59">
        <v>0</v>
      </c>
      <c r="IK59">
        <v>0</v>
      </c>
    </row>
    <row r="60" spans="1:255" x14ac:dyDescent="0.2">
      <c r="A60" s="2">
        <v>17</v>
      </c>
      <c r="B60" s="2">
        <v>1</v>
      </c>
      <c r="C60" s="2"/>
      <c r="D60" s="2"/>
      <c r="E60" s="2" t="s">
        <v>102</v>
      </c>
      <c r="F60" s="2" t="s">
        <v>78</v>
      </c>
      <c r="G60" s="2" t="s">
        <v>103</v>
      </c>
      <c r="H60" s="2" t="s">
        <v>104</v>
      </c>
      <c r="I60" s="2">
        <f>ROUND(I58*100*1.36,9)</f>
        <v>0</v>
      </c>
      <c r="J60" s="2">
        <v>0</v>
      </c>
      <c r="K60" s="2">
        <f>ROUND(I58*100*1.36,9)</f>
        <v>0</v>
      </c>
      <c r="L60" s="2"/>
      <c r="M60" s="2"/>
      <c r="N60" s="2"/>
      <c r="O60" s="2">
        <f t="shared" si="21"/>
        <v>0</v>
      </c>
      <c r="P60" s="2">
        <f t="shared" si="22"/>
        <v>0</v>
      </c>
      <c r="Q60" s="2">
        <f t="shared" si="56"/>
        <v>0</v>
      </c>
      <c r="R60" s="2">
        <f t="shared" si="24"/>
        <v>0</v>
      </c>
      <c r="S60" s="2">
        <f t="shared" si="25"/>
        <v>0</v>
      </c>
      <c r="T60" s="2">
        <f t="shared" si="26"/>
        <v>0</v>
      </c>
      <c r="U60" s="2">
        <f t="shared" si="27"/>
        <v>0</v>
      </c>
      <c r="V60" s="2">
        <f t="shared" si="28"/>
        <v>0</v>
      </c>
      <c r="W60" s="2">
        <f t="shared" si="29"/>
        <v>0</v>
      </c>
      <c r="X60" s="2">
        <f t="shared" si="30"/>
        <v>0</v>
      </c>
      <c r="Y60" s="2">
        <f t="shared" si="31"/>
        <v>0</v>
      </c>
      <c r="Z60" s="2"/>
      <c r="AA60" s="2">
        <v>56622586</v>
      </c>
      <c r="AB60" s="2">
        <f t="shared" si="32"/>
        <v>466.65</v>
      </c>
      <c r="AC60" s="2">
        <f>ROUND(((ES60*1.02)),6)</f>
        <v>466.65</v>
      </c>
      <c r="AD60" s="2">
        <f t="shared" si="58"/>
        <v>0</v>
      </c>
      <c r="AE60" s="2">
        <f t="shared" si="59"/>
        <v>0</v>
      </c>
      <c r="AF60" s="2">
        <f t="shared" si="60"/>
        <v>0</v>
      </c>
      <c r="AG60" s="2">
        <f t="shared" si="36"/>
        <v>0</v>
      </c>
      <c r="AH60" s="2">
        <f t="shared" si="61"/>
        <v>0</v>
      </c>
      <c r="AI60" s="2">
        <f t="shared" si="62"/>
        <v>0</v>
      </c>
      <c r="AJ60" s="2">
        <f t="shared" si="38"/>
        <v>0</v>
      </c>
      <c r="AK60" s="2">
        <v>457.5</v>
      </c>
      <c r="AL60" s="2">
        <v>457.5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1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3</v>
      </c>
      <c r="BI60" s="2">
        <v>1</v>
      </c>
      <c r="BJ60" s="2" t="s">
        <v>3</v>
      </c>
      <c r="BK60" s="2"/>
      <c r="BL60" s="2"/>
      <c r="BM60" s="2">
        <v>400002</v>
      </c>
      <c r="BN60" s="2">
        <v>0</v>
      </c>
      <c r="BO60" s="2" t="s">
        <v>3</v>
      </c>
      <c r="BP60" s="2">
        <v>0</v>
      </c>
      <c r="BQ60" s="2">
        <v>202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0</v>
      </c>
      <c r="CA60" s="2">
        <v>0</v>
      </c>
      <c r="CB60" s="2" t="s">
        <v>3</v>
      </c>
      <c r="CC60" s="2"/>
      <c r="CD60" s="2"/>
      <c r="CE60" s="2">
        <v>30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671</v>
      </c>
      <c r="CO60" s="2">
        <v>0</v>
      </c>
      <c r="CP60" s="2">
        <f t="shared" si="39"/>
        <v>0</v>
      </c>
      <c r="CQ60" s="2">
        <f t="shared" si="40"/>
        <v>466.65</v>
      </c>
      <c r="CR60" s="2">
        <f t="shared" si="63"/>
        <v>0</v>
      </c>
      <c r="CS60" s="2">
        <f t="shared" si="42"/>
        <v>0</v>
      </c>
      <c r="CT60" s="2">
        <f t="shared" si="43"/>
        <v>0</v>
      </c>
      <c r="CU60" s="2">
        <f t="shared" si="44"/>
        <v>0</v>
      </c>
      <c r="CV60" s="2">
        <f t="shared" si="45"/>
        <v>0</v>
      </c>
      <c r="CW60" s="2">
        <f t="shared" si="46"/>
        <v>0</v>
      </c>
      <c r="CX60" s="2">
        <f t="shared" si="47"/>
        <v>0</v>
      </c>
      <c r="CY60" s="2">
        <f>((S60*BZ60)/100)</f>
        <v>0</v>
      </c>
      <c r="CZ60" s="2">
        <f>((S60*CA60)/100)</f>
        <v>0</v>
      </c>
      <c r="DA60" s="2"/>
      <c r="DB60" s="2"/>
      <c r="DC60" s="2" t="s">
        <v>3</v>
      </c>
      <c r="DD60" s="2" t="s">
        <v>80</v>
      </c>
      <c r="DE60" s="2" t="s">
        <v>22</v>
      </c>
      <c r="DF60" s="2" t="s">
        <v>22</v>
      </c>
      <c r="DG60" s="2" t="s">
        <v>22</v>
      </c>
      <c r="DH60" s="2" t="s">
        <v>3</v>
      </c>
      <c r="DI60" s="2" t="s">
        <v>22</v>
      </c>
      <c r="DJ60" s="2" t="s">
        <v>22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1009</v>
      </c>
      <c r="DV60" s="2" t="s">
        <v>104</v>
      </c>
      <c r="DW60" s="2" t="s">
        <v>104</v>
      </c>
      <c r="DX60" s="2">
        <v>1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51698006</v>
      </c>
      <c r="EF60" s="2">
        <v>202</v>
      </c>
      <c r="EG60" s="2" t="s">
        <v>81</v>
      </c>
      <c r="EH60" s="2">
        <v>0</v>
      </c>
      <c r="EI60" s="2" t="s">
        <v>3</v>
      </c>
      <c r="EJ60" s="2">
        <v>1</v>
      </c>
      <c r="EK60" s="2">
        <v>400002</v>
      </c>
      <c r="EL60" s="2" t="s">
        <v>82</v>
      </c>
      <c r="EM60" s="2" t="s">
        <v>81</v>
      </c>
      <c r="EN60" s="2"/>
      <c r="EO60" s="2" t="s">
        <v>25</v>
      </c>
      <c r="EP60" s="2"/>
      <c r="EQ60" s="2">
        <v>131072</v>
      </c>
      <c r="ER60" s="2">
        <v>46.97</v>
      </c>
      <c r="ES60" s="2">
        <v>457.5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0</v>
      </c>
      <c r="FT60" s="2"/>
      <c r="FU60" s="2"/>
      <c r="FV60" s="2"/>
      <c r="FW60" s="2"/>
      <c r="FX60" s="2">
        <v>0</v>
      </c>
      <c r="FY60" s="2">
        <v>0</v>
      </c>
      <c r="FZ60" s="2"/>
      <c r="GA60" s="2" t="s">
        <v>105</v>
      </c>
      <c r="GB60" s="2"/>
      <c r="GC60" s="2"/>
      <c r="GD60" s="2">
        <v>0</v>
      </c>
      <c r="GE60" s="2"/>
      <c r="GF60" s="2">
        <v>-1971647847</v>
      </c>
      <c r="GG60" s="2">
        <v>2</v>
      </c>
      <c r="GH60" s="2">
        <v>4</v>
      </c>
      <c r="GI60" s="2">
        <v>3</v>
      </c>
      <c r="GJ60" s="2">
        <v>0</v>
      </c>
      <c r="GK60" s="2">
        <f>ROUND(R60*(R12)/100,2)</f>
        <v>0</v>
      </c>
      <c r="GL60" s="2">
        <f t="shared" si="48"/>
        <v>0</v>
      </c>
      <c r="GM60" s="2">
        <f t="shared" si="49"/>
        <v>0</v>
      </c>
      <c r="GN60" s="2">
        <f t="shared" si="50"/>
        <v>0</v>
      </c>
      <c r="GO60" s="2">
        <f t="shared" si="51"/>
        <v>0</v>
      </c>
      <c r="GP60" s="2">
        <f t="shared" si="52"/>
        <v>0</v>
      </c>
      <c r="GQ60" s="2"/>
      <c r="GR60" s="2">
        <v>0</v>
      </c>
      <c r="GS60" s="2">
        <v>2</v>
      </c>
      <c r="GT60" s="2">
        <v>0</v>
      </c>
      <c r="GU60" s="2" t="s">
        <v>3</v>
      </c>
      <c r="GV60" s="2">
        <f t="shared" si="53"/>
        <v>0</v>
      </c>
      <c r="GW60" s="2">
        <v>1</v>
      </c>
      <c r="GX60" s="2">
        <f t="shared" si="54"/>
        <v>0</v>
      </c>
      <c r="GY60" s="2"/>
      <c r="GZ60" s="2"/>
      <c r="HA60" s="2">
        <v>0</v>
      </c>
      <c r="HB60" s="2">
        <v>0</v>
      </c>
      <c r="HC60" s="2">
        <f t="shared" si="55"/>
        <v>0</v>
      </c>
      <c r="HD60" s="2"/>
      <c r="HE60" s="2" t="s">
        <v>84</v>
      </c>
      <c r="HF60" s="2" t="s">
        <v>84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">
      <c r="A61">
        <v>17</v>
      </c>
      <c r="B61">
        <v>1</v>
      </c>
      <c r="E61" t="s">
        <v>102</v>
      </c>
      <c r="F61" t="s">
        <v>78</v>
      </c>
      <c r="G61" t="s">
        <v>103</v>
      </c>
      <c r="H61" t="s">
        <v>104</v>
      </c>
      <c r="I61">
        <f>ROUND(I59*100*1.36,9)</f>
        <v>0</v>
      </c>
      <c r="J61">
        <v>0</v>
      </c>
      <c r="K61">
        <f>ROUND(I59*100*1.36,9)</f>
        <v>0</v>
      </c>
      <c r="O61">
        <f t="shared" si="21"/>
        <v>0</v>
      </c>
      <c r="P61">
        <f t="shared" si="22"/>
        <v>0</v>
      </c>
      <c r="Q61">
        <f t="shared" si="56"/>
        <v>0</v>
      </c>
      <c r="R61">
        <f t="shared" si="24"/>
        <v>0</v>
      </c>
      <c r="S61">
        <f t="shared" si="25"/>
        <v>0</v>
      </c>
      <c r="T61">
        <f t="shared" si="26"/>
        <v>0</v>
      </c>
      <c r="U61">
        <f t="shared" si="27"/>
        <v>0</v>
      </c>
      <c r="V61">
        <f t="shared" si="28"/>
        <v>0</v>
      </c>
      <c r="W61">
        <f t="shared" si="29"/>
        <v>0</v>
      </c>
      <c r="X61">
        <f t="shared" si="30"/>
        <v>0</v>
      </c>
      <c r="Y61">
        <f t="shared" si="31"/>
        <v>0</v>
      </c>
      <c r="AA61">
        <v>56616093</v>
      </c>
      <c r="AB61">
        <f t="shared" si="32"/>
        <v>466.65</v>
      </c>
      <c r="AC61">
        <f>ROUND(((ES61*1.02)),6)</f>
        <v>466.65</v>
      </c>
      <c r="AD61">
        <f t="shared" si="58"/>
        <v>0</v>
      </c>
      <c r="AE61">
        <f t="shared" si="59"/>
        <v>0</v>
      </c>
      <c r="AF61">
        <f t="shared" si="60"/>
        <v>0</v>
      </c>
      <c r="AG61">
        <f t="shared" si="36"/>
        <v>0</v>
      </c>
      <c r="AH61">
        <f t="shared" si="61"/>
        <v>0</v>
      </c>
      <c r="AI61">
        <f t="shared" si="62"/>
        <v>0</v>
      </c>
      <c r="AJ61">
        <f t="shared" si="38"/>
        <v>0</v>
      </c>
      <c r="AK61">
        <v>457.5</v>
      </c>
      <c r="AL61">
        <v>457.5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1</v>
      </c>
      <c r="AZ61">
        <v>1</v>
      </c>
      <c r="BA61">
        <v>1</v>
      </c>
      <c r="BB61">
        <v>1</v>
      </c>
      <c r="BC61">
        <v>1</v>
      </c>
      <c r="BD61" t="s">
        <v>3</v>
      </c>
      <c r="BE61" t="s">
        <v>3</v>
      </c>
      <c r="BF61" t="s">
        <v>3</v>
      </c>
      <c r="BG61" t="s">
        <v>3</v>
      </c>
      <c r="BH61">
        <v>3</v>
      </c>
      <c r="BI61">
        <v>1</v>
      </c>
      <c r="BJ61" t="s">
        <v>3</v>
      </c>
      <c r="BM61">
        <v>400002</v>
      </c>
      <c r="BN61">
        <v>0</v>
      </c>
      <c r="BO61" t="s">
        <v>3</v>
      </c>
      <c r="BP61">
        <v>0</v>
      </c>
      <c r="BQ61">
        <v>202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 t="s">
        <v>3</v>
      </c>
      <c r="BZ61">
        <v>0</v>
      </c>
      <c r="CA61">
        <v>0</v>
      </c>
      <c r="CB61" t="s">
        <v>3</v>
      </c>
      <c r="CE61">
        <v>30</v>
      </c>
      <c r="CF61">
        <v>0</v>
      </c>
      <c r="CG61">
        <v>0</v>
      </c>
      <c r="CM61">
        <v>0</v>
      </c>
      <c r="CN61" t="s">
        <v>671</v>
      </c>
      <c r="CO61">
        <v>0</v>
      </c>
      <c r="CP61">
        <f t="shared" si="39"/>
        <v>0</v>
      </c>
      <c r="CQ61">
        <f t="shared" si="40"/>
        <v>466.65</v>
      </c>
      <c r="CR61">
        <f t="shared" si="63"/>
        <v>0</v>
      </c>
      <c r="CS61">
        <f t="shared" si="42"/>
        <v>0</v>
      </c>
      <c r="CT61">
        <f t="shared" si="43"/>
        <v>0</v>
      </c>
      <c r="CU61">
        <f t="shared" si="44"/>
        <v>0</v>
      </c>
      <c r="CV61">
        <f t="shared" si="45"/>
        <v>0</v>
      </c>
      <c r="CW61">
        <f t="shared" si="46"/>
        <v>0</v>
      </c>
      <c r="CX61">
        <f t="shared" si="47"/>
        <v>0</v>
      </c>
      <c r="CY61">
        <f>S61*(BZ61/100)</f>
        <v>0</v>
      </c>
      <c r="CZ61">
        <f>S61*(CA61/100)</f>
        <v>0</v>
      </c>
      <c r="DC61" t="s">
        <v>3</v>
      </c>
      <c r="DD61" t="s">
        <v>80</v>
      </c>
      <c r="DE61" t="s">
        <v>22</v>
      </c>
      <c r="DF61" t="s">
        <v>22</v>
      </c>
      <c r="DG61" t="s">
        <v>22</v>
      </c>
      <c r="DH61" t="s">
        <v>3</v>
      </c>
      <c r="DI61" t="s">
        <v>22</v>
      </c>
      <c r="DJ61" t="s">
        <v>22</v>
      </c>
      <c r="DK61" t="s">
        <v>3</v>
      </c>
      <c r="DL61" t="s">
        <v>3</v>
      </c>
      <c r="DM61" t="s">
        <v>3</v>
      </c>
      <c r="DN61">
        <v>0</v>
      </c>
      <c r="DO61">
        <v>0</v>
      </c>
      <c r="DP61">
        <v>1</v>
      </c>
      <c r="DQ61">
        <v>1</v>
      </c>
      <c r="DU61">
        <v>1009</v>
      </c>
      <c r="DV61" t="s">
        <v>104</v>
      </c>
      <c r="DW61" t="s">
        <v>104</v>
      </c>
      <c r="DX61">
        <v>1</v>
      </c>
      <c r="DZ61" t="s">
        <v>3</v>
      </c>
      <c r="EA61" t="s">
        <v>3</v>
      </c>
      <c r="EB61" t="s">
        <v>3</v>
      </c>
      <c r="EC61" t="s">
        <v>3</v>
      </c>
      <c r="EE61">
        <v>51698006</v>
      </c>
      <c r="EF61">
        <v>202</v>
      </c>
      <c r="EG61" t="s">
        <v>81</v>
      </c>
      <c r="EH61">
        <v>0</v>
      </c>
      <c r="EI61" t="s">
        <v>3</v>
      </c>
      <c r="EJ61">
        <v>1</v>
      </c>
      <c r="EK61">
        <v>400002</v>
      </c>
      <c r="EL61" t="s">
        <v>82</v>
      </c>
      <c r="EM61" t="s">
        <v>81</v>
      </c>
      <c r="EO61" t="s">
        <v>25</v>
      </c>
      <c r="EQ61">
        <v>131072</v>
      </c>
      <c r="ER61">
        <v>46.97</v>
      </c>
      <c r="ES61">
        <v>457.5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5</v>
      </c>
      <c r="FC61">
        <v>1</v>
      </c>
      <c r="FD61">
        <v>18</v>
      </c>
      <c r="FF61">
        <v>549</v>
      </c>
      <c r="FQ61">
        <v>0</v>
      </c>
      <c r="FR61">
        <v>0</v>
      </c>
      <c r="FS61">
        <v>0</v>
      </c>
      <c r="FX61">
        <v>0</v>
      </c>
      <c r="FY61">
        <v>0</v>
      </c>
      <c r="GA61" t="s">
        <v>105</v>
      </c>
      <c r="GD61">
        <v>0</v>
      </c>
      <c r="GF61">
        <v>-1971647847</v>
      </c>
      <c r="GG61">
        <v>2</v>
      </c>
      <c r="GH61">
        <v>3</v>
      </c>
      <c r="GI61">
        <v>-2</v>
      </c>
      <c r="GJ61">
        <v>0</v>
      </c>
      <c r="GK61">
        <f>ROUND(R61*(S12)/100,2)</f>
        <v>0</v>
      </c>
      <c r="GL61">
        <f t="shared" si="48"/>
        <v>0</v>
      </c>
      <c r="GM61">
        <f t="shared" si="49"/>
        <v>0</v>
      </c>
      <c r="GN61">
        <f t="shared" si="50"/>
        <v>0</v>
      </c>
      <c r="GO61">
        <f t="shared" si="51"/>
        <v>0</v>
      </c>
      <c r="GP61">
        <f t="shared" si="52"/>
        <v>0</v>
      </c>
      <c r="GR61">
        <v>1</v>
      </c>
      <c r="GS61">
        <v>1</v>
      </c>
      <c r="GT61">
        <v>0</v>
      </c>
      <c r="GU61" t="s">
        <v>3</v>
      </c>
      <c r="GV61">
        <f t="shared" si="53"/>
        <v>0</v>
      </c>
      <c r="GW61">
        <v>1</v>
      </c>
      <c r="GX61">
        <f t="shared" si="54"/>
        <v>0</v>
      </c>
      <c r="HA61">
        <v>0</v>
      </c>
      <c r="HB61">
        <v>0</v>
      </c>
      <c r="HC61">
        <f t="shared" si="55"/>
        <v>0</v>
      </c>
      <c r="HE61" t="s">
        <v>84</v>
      </c>
      <c r="HF61" t="s">
        <v>84</v>
      </c>
      <c r="HM61" t="s">
        <v>3</v>
      </c>
      <c r="HN61" t="s">
        <v>3</v>
      </c>
      <c r="HO61" t="s">
        <v>3</v>
      </c>
      <c r="HP61" t="s">
        <v>3</v>
      </c>
      <c r="HQ61" t="s">
        <v>3</v>
      </c>
      <c r="HS61">
        <v>0</v>
      </c>
      <c r="IK61">
        <v>0</v>
      </c>
    </row>
    <row r="63" spans="1:255" x14ac:dyDescent="0.2">
      <c r="A63" s="3">
        <v>51</v>
      </c>
      <c r="B63" s="3">
        <f>B24</f>
        <v>1</v>
      </c>
      <c r="C63" s="3">
        <f>A24</f>
        <v>4</v>
      </c>
      <c r="D63" s="3">
        <f>ROW(A24)</f>
        <v>24</v>
      </c>
      <c r="E63" s="3"/>
      <c r="F63" s="3" t="str">
        <f>IF(F24&lt;&gt;"",F24,"")</f>
        <v>Новый раздел</v>
      </c>
      <c r="G63" s="3" t="str">
        <f>IF(G24&lt;&gt;"",G24,"")</f>
        <v>Строительные работы</v>
      </c>
      <c r="H63" s="3">
        <v>0</v>
      </c>
      <c r="I63" s="3"/>
      <c r="J63" s="3"/>
      <c r="K63" s="3"/>
      <c r="L63" s="3"/>
      <c r="M63" s="3"/>
      <c r="N63" s="3"/>
      <c r="O63" s="3">
        <f t="shared" ref="O63:T63" si="65">ROUND(AB63,2)</f>
        <v>43246.29</v>
      </c>
      <c r="P63" s="3">
        <f t="shared" si="65"/>
        <v>40597.03</v>
      </c>
      <c r="Q63" s="3">
        <f t="shared" si="65"/>
        <v>1213.81</v>
      </c>
      <c r="R63" s="3">
        <f t="shared" si="65"/>
        <v>121.1</v>
      </c>
      <c r="S63" s="3">
        <f t="shared" si="65"/>
        <v>1435.45</v>
      </c>
      <c r="T63" s="3">
        <f t="shared" si="65"/>
        <v>0</v>
      </c>
      <c r="U63" s="3">
        <f>AH63</f>
        <v>135.65221042164001</v>
      </c>
      <c r="V63" s="3">
        <f>AI63</f>
        <v>0</v>
      </c>
      <c r="W63" s="3">
        <f>ROUND(AJ63,2)</f>
        <v>0</v>
      </c>
      <c r="X63" s="3">
        <f>ROUND(AK63,2)</f>
        <v>1549.74</v>
      </c>
      <c r="Y63" s="3">
        <f>ROUND(AL63,2)</f>
        <v>1061.6199999999999</v>
      </c>
      <c r="Z63" s="3"/>
      <c r="AA63" s="3"/>
      <c r="AB63" s="3">
        <f>ROUND(SUMIF(AA28:AA61,"=56622586",O28:O61),2)</f>
        <v>43246.29</v>
      </c>
      <c r="AC63" s="3">
        <f>ROUND(SUMIF(AA28:AA61,"=56622586",P28:P61),2)</f>
        <v>40597.03</v>
      </c>
      <c r="AD63" s="3">
        <f>ROUND(SUMIF(AA28:AA61,"=56622586",Q28:Q61),2)</f>
        <v>1213.81</v>
      </c>
      <c r="AE63" s="3">
        <f>ROUND(SUMIF(AA28:AA61,"=56622586",R28:R61),2)</f>
        <v>121.1</v>
      </c>
      <c r="AF63" s="3">
        <f>ROUND(SUMIF(AA28:AA61,"=56622586",S28:S61),2)</f>
        <v>1435.45</v>
      </c>
      <c r="AG63" s="3">
        <f>ROUND(SUMIF(AA28:AA61,"=56622586",T28:T61),2)</f>
        <v>0</v>
      </c>
      <c r="AH63" s="3">
        <f>SUMIF(AA28:AA61,"=56622586",U28:U61)</f>
        <v>135.65221042164001</v>
      </c>
      <c r="AI63" s="3">
        <f>SUMIF(AA28:AA61,"=56622586",V28:V61)</f>
        <v>0</v>
      </c>
      <c r="AJ63" s="3">
        <f>ROUND(SUMIF(AA28:AA61,"=56622586",W28:W61),2)</f>
        <v>0</v>
      </c>
      <c r="AK63" s="3">
        <f>ROUND(SUMIF(AA28:AA61,"=56622586",X28:X61),2)</f>
        <v>1549.74</v>
      </c>
      <c r="AL63" s="3">
        <f>ROUND(SUMIF(AA28:AA61,"=56622586",Y28:Y61),2)</f>
        <v>1061.6199999999999</v>
      </c>
      <c r="AM63" s="3"/>
      <c r="AN63" s="3"/>
      <c r="AO63" s="3">
        <f t="shared" ref="AO63:BD63" si="66">ROUND(BX63,2)</f>
        <v>0</v>
      </c>
      <c r="AP63" s="3">
        <f t="shared" si="66"/>
        <v>0</v>
      </c>
      <c r="AQ63" s="3">
        <f t="shared" si="66"/>
        <v>0</v>
      </c>
      <c r="AR63" s="3">
        <f t="shared" si="66"/>
        <v>46069.59</v>
      </c>
      <c r="AS63" s="3">
        <f t="shared" si="66"/>
        <v>46069.59</v>
      </c>
      <c r="AT63" s="3">
        <f t="shared" si="66"/>
        <v>0</v>
      </c>
      <c r="AU63" s="3">
        <f t="shared" si="66"/>
        <v>0</v>
      </c>
      <c r="AV63" s="3">
        <f t="shared" si="66"/>
        <v>40597.03</v>
      </c>
      <c r="AW63" s="3">
        <f t="shared" si="66"/>
        <v>40597.03</v>
      </c>
      <c r="AX63" s="3">
        <f t="shared" si="66"/>
        <v>0</v>
      </c>
      <c r="AY63" s="3">
        <f t="shared" si="66"/>
        <v>40597.03</v>
      </c>
      <c r="AZ63" s="3">
        <f t="shared" si="66"/>
        <v>0</v>
      </c>
      <c r="BA63" s="3">
        <f t="shared" si="66"/>
        <v>0</v>
      </c>
      <c r="BB63" s="3">
        <f t="shared" si="66"/>
        <v>0</v>
      </c>
      <c r="BC63" s="3">
        <f t="shared" si="66"/>
        <v>0</v>
      </c>
      <c r="BD63" s="3">
        <f t="shared" si="66"/>
        <v>0</v>
      </c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>
        <f>ROUND(SUMIF(AA28:AA61,"=56622586",FQ28:FQ61),2)</f>
        <v>0</v>
      </c>
      <c r="BY63" s="3">
        <f>ROUND(SUMIF(AA28:AA61,"=56622586",FR28:FR61),2)</f>
        <v>0</v>
      </c>
      <c r="BZ63" s="3">
        <f>ROUND(SUMIF(AA28:AA61,"=56622586",GL28:GL61),2)</f>
        <v>0</v>
      </c>
      <c r="CA63" s="3">
        <f>ROUND(SUMIF(AA28:AA61,"=56622586",GM28:GM61),2)</f>
        <v>46069.59</v>
      </c>
      <c r="CB63" s="3">
        <f>ROUND(SUMIF(AA28:AA61,"=56622586",GN28:GN61),2)</f>
        <v>46069.59</v>
      </c>
      <c r="CC63" s="3">
        <f>ROUND(SUMIF(AA28:AA61,"=56622586",GO28:GO61),2)</f>
        <v>0</v>
      </c>
      <c r="CD63" s="3">
        <f>ROUND(SUMIF(AA28:AA61,"=56622586",GP28:GP61),2)</f>
        <v>0</v>
      </c>
      <c r="CE63" s="3">
        <f>AC63-BX63</f>
        <v>40597.03</v>
      </c>
      <c r="CF63" s="3">
        <f>AC63-BY63</f>
        <v>40597.03</v>
      </c>
      <c r="CG63" s="3">
        <f>BX63-BZ63</f>
        <v>0</v>
      </c>
      <c r="CH63" s="3">
        <f>AC63-BX63-BY63+BZ63</f>
        <v>40597.03</v>
      </c>
      <c r="CI63" s="3">
        <f>BY63-BZ63</f>
        <v>0</v>
      </c>
      <c r="CJ63" s="3">
        <f>ROUND(SUMIF(AA28:AA61,"=56622586",GX28:GX61),2)</f>
        <v>0</v>
      </c>
      <c r="CK63" s="3">
        <f>ROUND(SUMIF(AA28:AA61,"=56622586",GY28:GY61),2)</f>
        <v>0</v>
      </c>
      <c r="CL63" s="3">
        <f>ROUND(SUMIF(AA28:AA61,"=56622586",GZ28:GZ61),2)</f>
        <v>0</v>
      </c>
      <c r="CM63" s="3">
        <f>ROUND(SUMIF(AA28:AA61,"=56622586",HD28:HD61),2)</f>
        <v>0</v>
      </c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4">
        <f t="shared" ref="DG63:DL63" si="67">ROUND(DT63,2)</f>
        <v>453752.88</v>
      </c>
      <c r="DH63" s="4">
        <f t="shared" si="67"/>
        <v>389496.18</v>
      </c>
      <c r="DI63" s="4">
        <f t="shared" si="67"/>
        <v>14719.31</v>
      </c>
      <c r="DJ63" s="4">
        <f t="shared" si="67"/>
        <v>4179.17</v>
      </c>
      <c r="DK63" s="4">
        <f t="shared" si="67"/>
        <v>49537.39</v>
      </c>
      <c r="DL63" s="4">
        <f t="shared" si="67"/>
        <v>0</v>
      </c>
      <c r="DM63" s="4">
        <f>DZ63</f>
        <v>135.65221042164001</v>
      </c>
      <c r="DN63" s="4">
        <f>EA63</f>
        <v>0</v>
      </c>
      <c r="DO63" s="4">
        <f>ROUND(EB63,2)</f>
        <v>0</v>
      </c>
      <c r="DP63" s="4">
        <f>ROUND(EC63,2)</f>
        <v>44214.02</v>
      </c>
      <c r="DQ63" s="4">
        <f>ROUND(ED63,2)</f>
        <v>20367.310000000001</v>
      </c>
      <c r="DR63" s="4"/>
      <c r="DS63" s="4"/>
      <c r="DT63" s="4">
        <f>ROUND(SUMIF(AA28:AA61,"=56616093",O28:O61),2)</f>
        <v>453752.88</v>
      </c>
      <c r="DU63" s="4">
        <f>ROUND(SUMIF(AA28:AA61,"=56616093",P28:P61),2)</f>
        <v>389496.18</v>
      </c>
      <c r="DV63" s="4">
        <f>ROUND(SUMIF(AA28:AA61,"=56616093",Q28:Q61),2)</f>
        <v>14719.31</v>
      </c>
      <c r="DW63" s="4">
        <f>ROUND(SUMIF(AA28:AA61,"=56616093",R28:R61),2)</f>
        <v>4179.17</v>
      </c>
      <c r="DX63" s="4">
        <f>ROUND(SUMIF(AA28:AA61,"=56616093",S28:S61),2)</f>
        <v>49537.39</v>
      </c>
      <c r="DY63" s="4">
        <f>ROUND(SUMIF(AA28:AA61,"=56616093",T28:T61),2)</f>
        <v>0</v>
      </c>
      <c r="DZ63" s="4">
        <f>SUMIF(AA28:AA61,"=56616093",U28:U61)</f>
        <v>135.65221042164001</v>
      </c>
      <c r="EA63" s="4">
        <f>SUMIF(AA28:AA61,"=56616093",V28:V61)</f>
        <v>0</v>
      </c>
      <c r="EB63" s="4">
        <f>ROUND(SUMIF(AA28:AA61,"=56616093",W28:W61),2)</f>
        <v>0</v>
      </c>
      <c r="EC63" s="4">
        <f>ROUND(SUMIF(AA28:AA61,"=56616093",X28:X61),2)</f>
        <v>44214.02</v>
      </c>
      <c r="ED63" s="4">
        <f>ROUND(SUMIF(AA28:AA61,"=56616093",Y28:Y61),2)</f>
        <v>20367.310000000001</v>
      </c>
      <c r="EE63" s="4"/>
      <c r="EF63" s="4"/>
      <c r="EG63" s="4">
        <f t="shared" ref="EG63:EV63" si="68">ROUND(FP63,2)</f>
        <v>0</v>
      </c>
      <c r="EH63" s="4">
        <f t="shared" si="68"/>
        <v>0</v>
      </c>
      <c r="EI63" s="4">
        <f t="shared" si="68"/>
        <v>0</v>
      </c>
      <c r="EJ63" s="4">
        <f t="shared" si="68"/>
        <v>525020.89</v>
      </c>
      <c r="EK63" s="4">
        <f t="shared" si="68"/>
        <v>525020.89</v>
      </c>
      <c r="EL63" s="4">
        <f t="shared" si="68"/>
        <v>0</v>
      </c>
      <c r="EM63" s="4">
        <f t="shared" si="68"/>
        <v>0</v>
      </c>
      <c r="EN63" s="4">
        <f t="shared" si="68"/>
        <v>389496.18</v>
      </c>
      <c r="EO63" s="4">
        <f t="shared" si="68"/>
        <v>389496.18</v>
      </c>
      <c r="EP63" s="4">
        <f t="shared" si="68"/>
        <v>0</v>
      </c>
      <c r="EQ63" s="4">
        <f t="shared" si="68"/>
        <v>389496.18</v>
      </c>
      <c r="ER63" s="4">
        <f t="shared" si="68"/>
        <v>0</v>
      </c>
      <c r="ES63" s="4">
        <f t="shared" si="68"/>
        <v>0</v>
      </c>
      <c r="ET63" s="4">
        <f t="shared" si="68"/>
        <v>0</v>
      </c>
      <c r="EU63" s="4">
        <f t="shared" si="68"/>
        <v>0</v>
      </c>
      <c r="EV63" s="4">
        <f t="shared" si="68"/>
        <v>0</v>
      </c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>
        <f>ROUND(SUMIF(AA28:AA61,"=56616093",FQ28:FQ61),2)</f>
        <v>0</v>
      </c>
      <c r="FQ63" s="4">
        <f>ROUND(SUMIF(AA28:AA61,"=56616093",FR28:FR61),2)</f>
        <v>0</v>
      </c>
      <c r="FR63" s="4">
        <f>ROUND(SUMIF(AA28:AA61,"=56616093",GL28:GL61),2)</f>
        <v>0</v>
      </c>
      <c r="FS63" s="4">
        <f>ROUND(SUMIF(AA28:AA61,"=56616093",GM28:GM61),2)</f>
        <v>525020.89</v>
      </c>
      <c r="FT63" s="4">
        <f>ROUND(SUMIF(AA28:AA61,"=56616093",GN28:GN61),2)</f>
        <v>525020.89</v>
      </c>
      <c r="FU63" s="4">
        <f>ROUND(SUMIF(AA28:AA61,"=56616093",GO28:GO61),2)</f>
        <v>0</v>
      </c>
      <c r="FV63" s="4">
        <f>ROUND(SUMIF(AA28:AA61,"=56616093",GP28:GP61),2)</f>
        <v>0</v>
      </c>
      <c r="FW63" s="4">
        <f>DU63-FP63</f>
        <v>389496.18</v>
      </c>
      <c r="FX63" s="4">
        <f>DU63-FQ63</f>
        <v>389496.18</v>
      </c>
      <c r="FY63" s="4">
        <f>FP63-FR63</f>
        <v>0</v>
      </c>
      <c r="FZ63" s="4">
        <f>DU63-FP63-FQ63+FR63</f>
        <v>389496.18</v>
      </c>
      <c r="GA63" s="4">
        <f>FQ63-FR63</f>
        <v>0</v>
      </c>
      <c r="GB63" s="4">
        <f>ROUND(SUMIF(AA28:AA61,"=56616093",GX28:GX61),2)</f>
        <v>0</v>
      </c>
      <c r="GC63" s="4">
        <f>ROUND(SUMIF(AA28:AA61,"=56616093",GY28:GY61),2)</f>
        <v>0</v>
      </c>
      <c r="GD63" s="4">
        <f>ROUND(SUMIF(AA28:AA61,"=56616093",GZ28:GZ61),2)</f>
        <v>0</v>
      </c>
      <c r="GE63" s="4">
        <f>ROUND(SUMIF(AA28:AA61,"=56616093",HD28:HD61),2)</f>
        <v>0</v>
      </c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>
        <v>0</v>
      </c>
    </row>
    <row r="65" spans="1:28" x14ac:dyDescent="0.2">
      <c r="A65" s="5">
        <v>50</v>
      </c>
      <c r="B65" s="5">
        <v>0</v>
      </c>
      <c r="C65" s="5">
        <v>0</v>
      </c>
      <c r="D65" s="5">
        <v>1</v>
      </c>
      <c r="E65" s="5">
        <v>201</v>
      </c>
      <c r="F65" s="5">
        <f>ROUND(Source!O63,O65)</f>
        <v>43246.29</v>
      </c>
      <c r="G65" s="5" t="s">
        <v>106</v>
      </c>
      <c r="H65" s="5" t="s">
        <v>107</v>
      </c>
      <c r="I65" s="5"/>
      <c r="J65" s="5"/>
      <c r="K65" s="5">
        <v>201</v>
      </c>
      <c r="L65" s="5">
        <v>1</v>
      </c>
      <c r="M65" s="5">
        <v>3</v>
      </c>
      <c r="N65" s="5" t="s">
        <v>3</v>
      </c>
      <c r="O65" s="5">
        <v>2</v>
      </c>
      <c r="P65" s="5">
        <f>ROUND(Source!DG63,O65)</f>
        <v>453752.88</v>
      </c>
      <c r="Q65" s="5"/>
      <c r="R65" s="5"/>
      <c r="S65" s="5"/>
      <c r="T65" s="5"/>
      <c r="U65" s="5"/>
      <c r="V65" s="5"/>
      <c r="W65" s="5">
        <v>43246.29</v>
      </c>
      <c r="X65" s="5">
        <v>1</v>
      </c>
      <c r="Y65" s="5">
        <v>43246.29</v>
      </c>
      <c r="Z65" s="5">
        <v>453752.88</v>
      </c>
      <c r="AA65" s="5">
        <v>1</v>
      </c>
      <c r="AB65" s="5">
        <v>453752.88</v>
      </c>
    </row>
    <row r="66" spans="1:28" x14ac:dyDescent="0.2">
      <c r="A66" s="5">
        <v>50</v>
      </c>
      <c r="B66" s="5">
        <v>0</v>
      </c>
      <c r="C66" s="5">
        <v>0</v>
      </c>
      <c r="D66" s="5">
        <v>1</v>
      </c>
      <c r="E66" s="5">
        <v>202</v>
      </c>
      <c r="F66" s="5">
        <f>ROUND(Source!P63,O66)</f>
        <v>40597.03</v>
      </c>
      <c r="G66" s="5" t="s">
        <v>108</v>
      </c>
      <c r="H66" s="5" t="s">
        <v>109</v>
      </c>
      <c r="I66" s="5"/>
      <c r="J66" s="5"/>
      <c r="K66" s="5">
        <v>202</v>
      </c>
      <c r="L66" s="5">
        <v>2</v>
      </c>
      <c r="M66" s="5">
        <v>3</v>
      </c>
      <c r="N66" s="5" t="s">
        <v>3</v>
      </c>
      <c r="O66" s="5">
        <v>2</v>
      </c>
      <c r="P66" s="5">
        <f>ROUND(Source!DH63,O66)</f>
        <v>389496.18</v>
      </c>
      <c r="Q66" s="5"/>
      <c r="R66" s="5"/>
      <c r="S66" s="5"/>
      <c r="T66" s="5"/>
      <c r="U66" s="5"/>
      <c r="V66" s="5"/>
      <c r="W66" s="5">
        <v>40597.03</v>
      </c>
      <c r="X66" s="5">
        <v>1</v>
      </c>
      <c r="Y66" s="5">
        <v>40597.03</v>
      </c>
      <c r="Z66" s="5">
        <v>389496.18</v>
      </c>
      <c r="AA66" s="5">
        <v>1</v>
      </c>
      <c r="AB66" s="5">
        <v>389496.18</v>
      </c>
    </row>
    <row r="67" spans="1:28" x14ac:dyDescent="0.2">
      <c r="A67" s="5">
        <v>50</v>
      </c>
      <c r="B67" s="5">
        <v>0</v>
      </c>
      <c r="C67" s="5">
        <v>0</v>
      </c>
      <c r="D67" s="5">
        <v>1</v>
      </c>
      <c r="E67" s="5">
        <v>222</v>
      </c>
      <c r="F67" s="5">
        <f>ROUND(Source!AO63,O67)</f>
        <v>0</v>
      </c>
      <c r="G67" s="5" t="s">
        <v>110</v>
      </c>
      <c r="H67" s="5" t="s">
        <v>111</v>
      </c>
      <c r="I67" s="5"/>
      <c r="J67" s="5"/>
      <c r="K67" s="5">
        <v>222</v>
      </c>
      <c r="L67" s="5">
        <v>3</v>
      </c>
      <c r="M67" s="5">
        <v>3</v>
      </c>
      <c r="N67" s="5" t="s">
        <v>3</v>
      </c>
      <c r="O67" s="5">
        <v>2</v>
      </c>
      <c r="P67" s="5">
        <f>ROUND(Source!EG63,O67)</f>
        <v>0</v>
      </c>
      <c r="Q67" s="5"/>
      <c r="R67" s="5"/>
      <c r="S67" s="5"/>
      <c r="T67" s="5"/>
      <c r="U67" s="5"/>
      <c r="V67" s="5"/>
      <c r="W67" s="5">
        <v>0</v>
      </c>
      <c r="X67" s="5">
        <v>1</v>
      </c>
      <c r="Y67" s="5">
        <v>0</v>
      </c>
      <c r="Z67" s="5">
        <v>0</v>
      </c>
      <c r="AA67" s="5">
        <v>1</v>
      </c>
      <c r="AB67" s="5">
        <v>0</v>
      </c>
    </row>
    <row r="68" spans="1:28" x14ac:dyDescent="0.2">
      <c r="A68" s="5">
        <v>50</v>
      </c>
      <c r="B68" s="5">
        <v>0</v>
      </c>
      <c r="C68" s="5">
        <v>0</v>
      </c>
      <c r="D68" s="5">
        <v>1</v>
      </c>
      <c r="E68" s="5">
        <v>225</v>
      </c>
      <c r="F68" s="5">
        <f>ROUND(Source!AV63,O68)</f>
        <v>40597.03</v>
      </c>
      <c r="G68" s="5" t="s">
        <v>112</v>
      </c>
      <c r="H68" s="5" t="s">
        <v>113</v>
      </c>
      <c r="I68" s="5"/>
      <c r="J68" s="5"/>
      <c r="K68" s="5">
        <v>225</v>
      </c>
      <c r="L68" s="5">
        <v>4</v>
      </c>
      <c r="M68" s="5">
        <v>3</v>
      </c>
      <c r="N68" s="5" t="s">
        <v>3</v>
      </c>
      <c r="O68" s="5">
        <v>2</v>
      </c>
      <c r="P68" s="5">
        <f>ROUND(Source!EN63,O68)</f>
        <v>389496.18</v>
      </c>
      <c r="Q68" s="5"/>
      <c r="R68" s="5"/>
      <c r="S68" s="5"/>
      <c r="T68" s="5"/>
      <c r="U68" s="5"/>
      <c r="V68" s="5"/>
      <c r="W68" s="5">
        <v>40597.03</v>
      </c>
      <c r="X68" s="5">
        <v>1</v>
      </c>
      <c r="Y68" s="5">
        <v>40597.03</v>
      </c>
      <c r="Z68" s="5">
        <v>389496.18</v>
      </c>
      <c r="AA68" s="5">
        <v>1</v>
      </c>
      <c r="AB68" s="5">
        <v>389496.18</v>
      </c>
    </row>
    <row r="69" spans="1:28" x14ac:dyDescent="0.2">
      <c r="A69" s="5">
        <v>50</v>
      </c>
      <c r="B69" s="5">
        <v>0</v>
      </c>
      <c r="C69" s="5">
        <v>0</v>
      </c>
      <c r="D69" s="5">
        <v>1</v>
      </c>
      <c r="E69" s="5">
        <v>226</v>
      </c>
      <c r="F69" s="5">
        <f>ROUND(Source!AW63,O69)</f>
        <v>40597.03</v>
      </c>
      <c r="G69" s="5" t="s">
        <v>114</v>
      </c>
      <c r="H69" s="5" t="s">
        <v>115</v>
      </c>
      <c r="I69" s="5"/>
      <c r="J69" s="5"/>
      <c r="K69" s="5">
        <v>226</v>
      </c>
      <c r="L69" s="5">
        <v>5</v>
      </c>
      <c r="M69" s="5">
        <v>3</v>
      </c>
      <c r="N69" s="5" t="s">
        <v>3</v>
      </c>
      <c r="O69" s="5">
        <v>2</v>
      </c>
      <c r="P69" s="5">
        <f>ROUND(Source!EO63,O69)</f>
        <v>389496.18</v>
      </c>
      <c r="Q69" s="5"/>
      <c r="R69" s="5"/>
      <c r="S69" s="5"/>
      <c r="T69" s="5"/>
      <c r="U69" s="5"/>
      <c r="V69" s="5"/>
      <c r="W69" s="5">
        <v>40597.03</v>
      </c>
      <c r="X69" s="5">
        <v>1</v>
      </c>
      <c r="Y69" s="5">
        <v>40597.03</v>
      </c>
      <c r="Z69" s="5">
        <v>389496.18</v>
      </c>
      <c r="AA69" s="5">
        <v>1</v>
      </c>
      <c r="AB69" s="5">
        <v>389496.18</v>
      </c>
    </row>
    <row r="70" spans="1:28" x14ac:dyDescent="0.2">
      <c r="A70" s="5">
        <v>50</v>
      </c>
      <c r="B70" s="5">
        <v>0</v>
      </c>
      <c r="C70" s="5">
        <v>0</v>
      </c>
      <c r="D70" s="5">
        <v>1</v>
      </c>
      <c r="E70" s="5">
        <v>227</v>
      </c>
      <c r="F70" s="5">
        <f>ROUND(Source!AX63,O70)</f>
        <v>0</v>
      </c>
      <c r="G70" s="5" t="s">
        <v>116</v>
      </c>
      <c r="H70" s="5" t="s">
        <v>117</v>
      </c>
      <c r="I70" s="5"/>
      <c r="J70" s="5"/>
      <c r="K70" s="5">
        <v>227</v>
      </c>
      <c r="L70" s="5">
        <v>6</v>
      </c>
      <c r="M70" s="5">
        <v>3</v>
      </c>
      <c r="N70" s="5" t="s">
        <v>3</v>
      </c>
      <c r="O70" s="5">
        <v>2</v>
      </c>
      <c r="P70" s="5">
        <f>ROUND(Source!EP63,O70)</f>
        <v>0</v>
      </c>
      <c r="Q70" s="5"/>
      <c r="R70" s="5"/>
      <c r="S70" s="5"/>
      <c r="T70" s="5"/>
      <c r="U70" s="5"/>
      <c r="V70" s="5"/>
      <c r="W70" s="5">
        <v>0</v>
      </c>
      <c r="X70" s="5">
        <v>1</v>
      </c>
      <c r="Y70" s="5">
        <v>0</v>
      </c>
      <c r="Z70" s="5">
        <v>0</v>
      </c>
      <c r="AA70" s="5">
        <v>1</v>
      </c>
      <c r="AB70" s="5">
        <v>0</v>
      </c>
    </row>
    <row r="71" spans="1:28" x14ac:dyDescent="0.2">
      <c r="A71" s="5">
        <v>50</v>
      </c>
      <c r="B71" s="5">
        <v>0</v>
      </c>
      <c r="C71" s="5">
        <v>0</v>
      </c>
      <c r="D71" s="5">
        <v>1</v>
      </c>
      <c r="E71" s="5">
        <v>228</v>
      </c>
      <c r="F71" s="5">
        <f>ROUND(Source!AY63,O71)</f>
        <v>40597.03</v>
      </c>
      <c r="G71" s="5" t="s">
        <v>118</v>
      </c>
      <c r="H71" s="5" t="s">
        <v>119</v>
      </c>
      <c r="I71" s="5"/>
      <c r="J71" s="5"/>
      <c r="K71" s="5">
        <v>228</v>
      </c>
      <c r="L71" s="5">
        <v>7</v>
      </c>
      <c r="M71" s="5">
        <v>3</v>
      </c>
      <c r="N71" s="5" t="s">
        <v>3</v>
      </c>
      <c r="O71" s="5">
        <v>2</v>
      </c>
      <c r="P71" s="5">
        <f>ROUND(Source!EQ63,O71)</f>
        <v>389496.18</v>
      </c>
      <c r="Q71" s="5"/>
      <c r="R71" s="5"/>
      <c r="S71" s="5"/>
      <c r="T71" s="5"/>
      <c r="U71" s="5"/>
      <c r="V71" s="5"/>
      <c r="W71" s="5">
        <v>40597.03</v>
      </c>
      <c r="X71" s="5">
        <v>1</v>
      </c>
      <c r="Y71" s="5">
        <v>40597.03</v>
      </c>
      <c r="Z71" s="5">
        <v>389496.18</v>
      </c>
      <c r="AA71" s="5">
        <v>1</v>
      </c>
      <c r="AB71" s="5">
        <v>389496.18</v>
      </c>
    </row>
    <row r="72" spans="1:28" x14ac:dyDescent="0.2">
      <c r="A72" s="5">
        <v>50</v>
      </c>
      <c r="B72" s="5">
        <v>0</v>
      </c>
      <c r="C72" s="5">
        <v>0</v>
      </c>
      <c r="D72" s="5">
        <v>1</v>
      </c>
      <c r="E72" s="5">
        <v>216</v>
      </c>
      <c r="F72" s="5">
        <f>ROUND(Source!AP63,O72)</f>
        <v>0</v>
      </c>
      <c r="G72" s="5" t="s">
        <v>120</v>
      </c>
      <c r="H72" s="5" t="s">
        <v>121</v>
      </c>
      <c r="I72" s="5"/>
      <c r="J72" s="5"/>
      <c r="K72" s="5">
        <v>216</v>
      </c>
      <c r="L72" s="5">
        <v>8</v>
      </c>
      <c r="M72" s="5">
        <v>3</v>
      </c>
      <c r="N72" s="5" t="s">
        <v>3</v>
      </c>
      <c r="O72" s="5">
        <v>2</v>
      </c>
      <c r="P72" s="5">
        <f>ROUND(Source!EH63,O72)</f>
        <v>0</v>
      </c>
      <c r="Q72" s="5"/>
      <c r="R72" s="5"/>
      <c r="S72" s="5"/>
      <c r="T72" s="5"/>
      <c r="U72" s="5"/>
      <c r="V72" s="5"/>
      <c r="W72" s="5">
        <v>0</v>
      </c>
      <c r="X72" s="5">
        <v>1</v>
      </c>
      <c r="Y72" s="5">
        <v>0</v>
      </c>
      <c r="Z72" s="5">
        <v>0</v>
      </c>
      <c r="AA72" s="5">
        <v>1</v>
      </c>
      <c r="AB72" s="5">
        <v>0</v>
      </c>
    </row>
    <row r="73" spans="1:28" x14ac:dyDescent="0.2">
      <c r="A73" s="5">
        <v>50</v>
      </c>
      <c r="B73" s="5">
        <v>0</v>
      </c>
      <c r="C73" s="5">
        <v>0</v>
      </c>
      <c r="D73" s="5">
        <v>1</v>
      </c>
      <c r="E73" s="5">
        <v>223</v>
      </c>
      <c r="F73" s="5">
        <f>ROUND(Source!AQ63,O73)</f>
        <v>0</v>
      </c>
      <c r="G73" s="5" t="s">
        <v>122</v>
      </c>
      <c r="H73" s="5" t="s">
        <v>123</v>
      </c>
      <c r="I73" s="5"/>
      <c r="J73" s="5"/>
      <c r="K73" s="5">
        <v>223</v>
      </c>
      <c r="L73" s="5">
        <v>9</v>
      </c>
      <c r="M73" s="5">
        <v>3</v>
      </c>
      <c r="N73" s="5" t="s">
        <v>3</v>
      </c>
      <c r="O73" s="5">
        <v>2</v>
      </c>
      <c r="P73" s="5">
        <f>ROUND(Source!EI63,O73)</f>
        <v>0</v>
      </c>
      <c r="Q73" s="5"/>
      <c r="R73" s="5"/>
      <c r="S73" s="5"/>
      <c r="T73" s="5"/>
      <c r="U73" s="5"/>
      <c r="V73" s="5"/>
      <c r="W73" s="5">
        <v>0</v>
      </c>
      <c r="X73" s="5">
        <v>1</v>
      </c>
      <c r="Y73" s="5">
        <v>0</v>
      </c>
      <c r="Z73" s="5">
        <v>0</v>
      </c>
      <c r="AA73" s="5">
        <v>1</v>
      </c>
      <c r="AB73" s="5">
        <v>0</v>
      </c>
    </row>
    <row r="74" spans="1:28" x14ac:dyDescent="0.2">
      <c r="A74" s="5">
        <v>50</v>
      </c>
      <c r="B74" s="5">
        <v>0</v>
      </c>
      <c r="C74" s="5">
        <v>0</v>
      </c>
      <c r="D74" s="5">
        <v>1</v>
      </c>
      <c r="E74" s="5">
        <v>229</v>
      </c>
      <c r="F74" s="5">
        <f>ROUND(Source!AZ63,O74)</f>
        <v>0</v>
      </c>
      <c r="G74" s="5" t="s">
        <v>124</v>
      </c>
      <c r="H74" s="5" t="s">
        <v>125</v>
      </c>
      <c r="I74" s="5"/>
      <c r="J74" s="5"/>
      <c r="K74" s="5">
        <v>229</v>
      </c>
      <c r="L74" s="5">
        <v>10</v>
      </c>
      <c r="M74" s="5">
        <v>3</v>
      </c>
      <c r="N74" s="5" t="s">
        <v>3</v>
      </c>
      <c r="O74" s="5">
        <v>2</v>
      </c>
      <c r="P74" s="5">
        <f>ROUND(Source!ER63,O74)</f>
        <v>0</v>
      </c>
      <c r="Q74" s="5"/>
      <c r="R74" s="5"/>
      <c r="S74" s="5"/>
      <c r="T74" s="5"/>
      <c r="U74" s="5"/>
      <c r="V74" s="5"/>
      <c r="W74" s="5">
        <v>0</v>
      </c>
      <c r="X74" s="5">
        <v>1</v>
      </c>
      <c r="Y74" s="5">
        <v>0</v>
      </c>
      <c r="Z74" s="5">
        <v>0</v>
      </c>
      <c r="AA74" s="5">
        <v>1</v>
      </c>
      <c r="AB74" s="5">
        <v>0</v>
      </c>
    </row>
    <row r="75" spans="1:28" x14ac:dyDescent="0.2">
      <c r="A75" s="5">
        <v>50</v>
      </c>
      <c r="B75" s="5">
        <v>0</v>
      </c>
      <c r="C75" s="5">
        <v>0</v>
      </c>
      <c r="D75" s="5">
        <v>1</v>
      </c>
      <c r="E75" s="5">
        <v>203</v>
      </c>
      <c r="F75" s="5">
        <f>ROUND(Source!Q63,O75)</f>
        <v>1213.81</v>
      </c>
      <c r="G75" s="5" t="s">
        <v>126</v>
      </c>
      <c r="H75" s="5" t="s">
        <v>127</v>
      </c>
      <c r="I75" s="5"/>
      <c r="J75" s="5"/>
      <c r="K75" s="5">
        <v>203</v>
      </c>
      <c r="L75" s="5">
        <v>11</v>
      </c>
      <c r="M75" s="5">
        <v>3</v>
      </c>
      <c r="N75" s="5" t="s">
        <v>3</v>
      </c>
      <c r="O75" s="5">
        <v>2</v>
      </c>
      <c r="P75" s="5">
        <f>ROUND(Source!DI63,O75)</f>
        <v>14719.31</v>
      </c>
      <c r="Q75" s="5"/>
      <c r="R75" s="5"/>
      <c r="S75" s="5"/>
      <c r="T75" s="5"/>
      <c r="U75" s="5"/>
      <c r="V75" s="5"/>
      <c r="W75" s="5">
        <v>1213.81</v>
      </c>
      <c r="X75" s="5">
        <v>1</v>
      </c>
      <c r="Y75" s="5">
        <v>1213.81</v>
      </c>
      <c r="Z75" s="5">
        <v>14719.31</v>
      </c>
      <c r="AA75" s="5">
        <v>1</v>
      </c>
      <c r="AB75" s="5">
        <v>14719.31</v>
      </c>
    </row>
    <row r="76" spans="1:28" x14ac:dyDescent="0.2">
      <c r="A76" s="5">
        <v>50</v>
      </c>
      <c r="B76" s="5">
        <v>0</v>
      </c>
      <c r="C76" s="5">
        <v>0</v>
      </c>
      <c r="D76" s="5">
        <v>1</v>
      </c>
      <c r="E76" s="5">
        <v>231</v>
      </c>
      <c r="F76" s="5">
        <f>ROUND(Source!BB63,O76)</f>
        <v>0</v>
      </c>
      <c r="G76" s="5" t="s">
        <v>128</v>
      </c>
      <c r="H76" s="5" t="s">
        <v>129</v>
      </c>
      <c r="I76" s="5"/>
      <c r="J76" s="5"/>
      <c r="K76" s="5">
        <v>231</v>
      </c>
      <c r="L76" s="5">
        <v>12</v>
      </c>
      <c r="M76" s="5">
        <v>3</v>
      </c>
      <c r="N76" s="5" t="s">
        <v>3</v>
      </c>
      <c r="O76" s="5">
        <v>2</v>
      </c>
      <c r="P76" s="5">
        <f>ROUND(Source!ET63,O76)</f>
        <v>0</v>
      </c>
      <c r="Q76" s="5"/>
      <c r="R76" s="5"/>
      <c r="S76" s="5"/>
      <c r="T76" s="5"/>
      <c r="U76" s="5"/>
      <c r="V76" s="5"/>
      <c r="W76" s="5">
        <v>0</v>
      </c>
      <c r="X76" s="5">
        <v>1</v>
      </c>
      <c r="Y76" s="5">
        <v>0</v>
      </c>
      <c r="Z76" s="5">
        <v>0</v>
      </c>
      <c r="AA76" s="5">
        <v>1</v>
      </c>
      <c r="AB76" s="5">
        <v>0</v>
      </c>
    </row>
    <row r="77" spans="1:28" x14ac:dyDescent="0.2">
      <c r="A77" s="5">
        <v>50</v>
      </c>
      <c r="B77" s="5">
        <v>0</v>
      </c>
      <c r="C77" s="5">
        <v>0</v>
      </c>
      <c r="D77" s="5">
        <v>1</v>
      </c>
      <c r="E77" s="5">
        <v>204</v>
      </c>
      <c r="F77" s="5">
        <f>ROUND(Source!R63,O77)</f>
        <v>121.1</v>
      </c>
      <c r="G77" s="5" t="s">
        <v>130</v>
      </c>
      <c r="H77" s="5" t="s">
        <v>131</v>
      </c>
      <c r="I77" s="5"/>
      <c r="J77" s="5"/>
      <c r="K77" s="5">
        <v>204</v>
      </c>
      <c r="L77" s="5">
        <v>13</v>
      </c>
      <c r="M77" s="5">
        <v>3</v>
      </c>
      <c r="N77" s="5" t="s">
        <v>3</v>
      </c>
      <c r="O77" s="5">
        <v>2</v>
      </c>
      <c r="P77" s="5">
        <f>ROUND(Source!DJ63,O77)</f>
        <v>4179.17</v>
      </c>
      <c r="Q77" s="5"/>
      <c r="R77" s="5"/>
      <c r="S77" s="5"/>
      <c r="T77" s="5"/>
      <c r="U77" s="5"/>
      <c r="V77" s="5"/>
      <c r="W77" s="5">
        <v>121.1</v>
      </c>
      <c r="X77" s="5">
        <v>1</v>
      </c>
      <c r="Y77" s="5">
        <v>121.1</v>
      </c>
      <c r="Z77" s="5">
        <v>4179.17</v>
      </c>
      <c r="AA77" s="5">
        <v>1</v>
      </c>
      <c r="AB77" s="5">
        <v>4179.17</v>
      </c>
    </row>
    <row r="78" spans="1:28" x14ac:dyDescent="0.2">
      <c r="A78" s="5">
        <v>50</v>
      </c>
      <c r="B78" s="5">
        <v>0</v>
      </c>
      <c r="C78" s="5">
        <v>0</v>
      </c>
      <c r="D78" s="5">
        <v>1</v>
      </c>
      <c r="E78" s="5">
        <v>205</v>
      </c>
      <c r="F78" s="5">
        <f>ROUND(Source!S63,O78)</f>
        <v>1435.45</v>
      </c>
      <c r="G78" s="5" t="s">
        <v>132</v>
      </c>
      <c r="H78" s="5" t="s">
        <v>133</v>
      </c>
      <c r="I78" s="5"/>
      <c r="J78" s="5"/>
      <c r="K78" s="5">
        <v>205</v>
      </c>
      <c r="L78" s="5">
        <v>14</v>
      </c>
      <c r="M78" s="5">
        <v>3</v>
      </c>
      <c r="N78" s="5" t="s">
        <v>3</v>
      </c>
      <c r="O78" s="5">
        <v>2</v>
      </c>
      <c r="P78" s="5">
        <f>ROUND(Source!DK63,O78)</f>
        <v>49537.39</v>
      </c>
      <c r="Q78" s="5"/>
      <c r="R78" s="5"/>
      <c r="S78" s="5"/>
      <c r="T78" s="5"/>
      <c r="U78" s="5"/>
      <c r="V78" s="5"/>
      <c r="W78" s="5">
        <v>1435.45</v>
      </c>
      <c r="X78" s="5">
        <v>1</v>
      </c>
      <c r="Y78" s="5">
        <v>1435.45</v>
      </c>
      <c r="Z78" s="5">
        <v>49537.39</v>
      </c>
      <c r="AA78" s="5">
        <v>1</v>
      </c>
      <c r="AB78" s="5">
        <v>49537.39</v>
      </c>
    </row>
    <row r="79" spans="1:28" x14ac:dyDescent="0.2">
      <c r="A79" s="5">
        <v>50</v>
      </c>
      <c r="B79" s="5">
        <v>0</v>
      </c>
      <c r="C79" s="5">
        <v>0</v>
      </c>
      <c r="D79" s="5">
        <v>1</v>
      </c>
      <c r="E79" s="5">
        <v>232</v>
      </c>
      <c r="F79" s="5">
        <f>ROUND(Source!BC63,O79)</f>
        <v>0</v>
      </c>
      <c r="G79" s="5" t="s">
        <v>134</v>
      </c>
      <c r="H79" s="5" t="s">
        <v>135</v>
      </c>
      <c r="I79" s="5"/>
      <c r="J79" s="5"/>
      <c r="K79" s="5">
        <v>232</v>
      </c>
      <c r="L79" s="5">
        <v>15</v>
      </c>
      <c r="M79" s="5">
        <v>3</v>
      </c>
      <c r="N79" s="5" t="s">
        <v>3</v>
      </c>
      <c r="O79" s="5">
        <v>2</v>
      </c>
      <c r="P79" s="5">
        <f>ROUND(Source!EU63,O79)</f>
        <v>0</v>
      </c>
      <c r="Q79" s="5"/>
      <c r="R79" s="5"/>
      <c r="S79" s="5"/>
      <c r="T79" s="5"/>
      <c r="U79" s="5"/>
      <c r="V79" s="5"/>
      <c r="W79" s="5">
        <v>0</v>
      </c>
      <c r="X79" s="5">
        <v>1</v>
      </c>
      <c r="Y79" s="5">
        <v>0</v>
      </c>
      <c r="Z79" s="5">
        <v>0</v>
      </c>
      <c r="AA79" s="5">
        <v>1</v>
      </c>
      <c r="AB79" s="5">
        <v>0</v>
      </c>
    </row>
    <row r="80" spans="1:28" x14ac:dyDescent="0.2">
      <c r="A80" s="5">
        <v>50</v>
      </c>
      <c r="B80" s="5">
        <v>0</v>
      </c>
      <c r="C80" s="5">
        <v>0</v>
      </c>
      <c r="D80" s="5">
        <v>1</v>
      </c>
      <c r="E80" s="5">
        <v>214</v>
      </c>
      <c r="F80" s="5">
        <f>ROUND(Source!AS63,O80)</f>
        <v>46069.59</v>
      </c>
      <c r="G80" s="5" t="s">
        <v>136</v>
      </c>
      <c r="H80" s="5" t="s">
        <v>137</v>
      </c>
      <c r="I80" s="5"/>
      <c r="J80" s="5"/>
      <c r="K80" s="5">
        <v>214</v>
      </c>
      <c r="L80" s="5">
        <v>16</v>
      </c>
      <c r="M80" s="5">
        <v>3</v>
      </c>
      <c r="N80" s="5" t="s">
        <v>3</v>
      </c>
      <c r="O80" s="5">
        <v>2</v>
      </c>
      <c r="P80" s="5">
        <f>ROUND(Source!EK63,O80)</f>
        <v>525020.89</v>
      </c>
      <c r="Q80" s="5"/>
      <c r="R80" s="5"/>
      <c r="S80" s="5"/>
      <c r="T80" s="5"/>
      <c r="U80" s="5"/>
      <c r="V80" s="5"/>
      <c r="W80" s="5">
        <v>46069.59</v>
      </c>
      <c r="X80" s="5">
        <v>1</v>
      </c>
      <c r="Y80" s="5">
        <v>46069.59</v>
      </c>
      <c r="Z80" s="5">
        <v>525020.89</v>
      </c>
      <c r="AA80" s="5">
        <v>1</v>
      </c>
      <c r="AB80" s="5">
        <v>525020.89</v>
      </c>
    </row>
    <row r="81" spans="1:206" x14ac:dyDescent="0.2">
      <c r="A81" s="5">
        <v>50</v>
      </c>
      <c r="B81" s="5">
        <v>0</v>
      </c>
      <c r="C81" s="5">
        <v>0</v>
      </c>
      <c r="D81" s="5">
        <v>1</v>
      </c>
      <c r="E81" s="5">
        <v>215</v>
      </c>
      <c r="F81" s="5">
        <f>ROUND(Source!AT63,O81)</f>
        <v>0</v>
      </c>
      <c r="G81" s="5" t="s">
        <v>138</v>
      </c>
      <c r="H81" s="5" t="s">
        <v>139</v>
      </c>
      <c r="I81" s="5"/>
      <c r="J81" s="5"/>
      <c r="K81" s="5">
        <v>215</v>
      </c>
      <c r="L81" s="5">
        <v>17</v>
      </c>
      <c r="M81" s="5">
        <v>3</v>
      </c>
      <c r="N81" s="5" t="s">
        <v>3</v>
      </c>
      <c r="O81" s="5">
        <v>2</v>
      </c>
      <c r="P81" s="5">
        <f>ROUND(Source!EL63,O81)</f>
        <v>0</v>
      </c>
      <c r="Q81" s="5"/>
      <c r="R81" s="5"/>
      <c r="S81" s="5"/>
      <c r="T81" s="5"/>
      <c r="U81" s="5"/>
      <c r="V81" s="5"/>
      <c r="W81" s="5">
        <v>0</v>
      </c>
      <c r="X81" s="5">
        <v>1</v>
      </c>
      <c r="Y81" s="5">
        <v>0</v>
      </c>
      <c r="Z81" s="5">
        <v>0</v>
      </c>
      <c r="AA81" s="5">
        <v>1</v>
      </c>
      <c r="AB81" s="5">
        <v>0</v>
      </c>
    </row>
    <row r="82" spans="1:206" x14ac:dyDescent="0.2">
      <c r="A82" s="5">
        <v>50</v>
      </c>
      <c r="B82" s="5">
        <v>0</v>
      </c>
      <c r="C82" s="5">
        <v>0</v>
      </c>
      <c r="D82" s="5">
        <v>1</v>
      </c>
      <c r="E82" s="5">
        <v>217</v>
      </c>
      <c r="F82" s="5">
        <f>ROUND(Source!AU63,O82)</f>
        <v>0</v>
      </c>
      <c r="G82" s="5" t="s">
        <v>140</v>
      </c>
      <c r="H82" s="5" t="s">
        <v>141</v>
      </c>
      <c r="I82" s="5"/>
      <c r="J82" s="5"/>
      <c r="K82" s="5">
        <v>217</v>
      </c>
      <c r="L82" s="5">
        <v>18</v>
      </c>
      <c r="M82" s="5">
        <v>3</v>
      </c>
      <c r="N82" s="5" t="s">
        <v>3</v>
      </c>
      <c r="O82" s="5">
        <v>2</v>
      </c>
      <c r="P82" s="5">
        <f>ROUND(Source!EM63,O82)</f>
        <v>0</v>
      </c>
      <c r="Q82" s="5"/>
      <c r="R82" s="5"/>
      <c r="S82" s="5"/>
      <c r="T82" s="5"/>
      <c r="U82" s="5"/>
      <c r="V82" s="5"/>
      <c r="W82" s="5">
        <v>0</v>
      </c>
      <c r="X82" s="5">
        <v>1</v>
      </c>
      <c r="Y82" s="5">
        <v>0</v>
      </c>
      <c r="Z82" s="5">
        <v>0</v>
      </c>
      <c r="AA82" s="5">
        <v>1</v>
      </c>
      <c r="AB82" s="5">
        <v>0</v>
      </c>
    </row>
    <row r="83" spans="1:206" x14ac:dyDescent="0.2">
      <c r="A83" s="5">
        <v>50</v>
      </c>
      <c r="B83" s="5">
        <v>0</v>
      </c>
      <c r="C83" s="5">
        <v>0</v>
      </c>
      <c r="D83" s="5">
        <v>1</v>
      </c>
      <c r="E83" s="5">
        <v>230</v>
      </c>
      <c r="F83" s="5">
        <f>ROUND(Source!BA63,O83)</f>
        <v>0</v>
      </c>
      <c r="G83" s="5" t="s">
        <v>142</v>
      </c>
      <c r="H83" s="5" t="s">
        <v>143</v>
      </c>
      <c r="I83" s="5"/>
      <c r="J83" s="5"/>
      <c r="K83" s="5">
        <v>230</v>
      </c>
      <c r="L83" s="5">
        <v>19</v>
      </c>
      <c r="M83" s="5">
        <v>3</v>
      </c>
      <c r="N83" s="5" t="s">
        <v>3</v>
      </c>
      <c r="O83" s="5">
        <v>2</v>
      </c>
      <c r="P83" s="5">
        <f>ROUND(Source!ES63,O83)</f>
        <v>0</v>
      </c>
      <c r="Q83" s="5"/>
      <c r="R83" s="5"/>
      <c r="S83" s="5"/>
      <c r="T83" s="5"/>
      <c r="U83" s="5"/>
      <c r="V83" s="5"/>
      <c r="W83" s="5">
        <v>0</v>
      </c>
      <c r="X83" s="5">
        <v>1</v>
      </c>
      <c r="Y83" s="5">
        <v>0</v>
      </c>
      <c r="Z83" s="5">
        <v>0</v>
      </c>
      <c r="AA83" s="5">
        <v>1</v>
      </c>
      <c r="AB83" s="5">
        <v>0</v>
      </c>
    </row>
    <row r="84" spans="1:206" x14ac:dyDescent="0.2">
      <c r="A84" s="5">
        <v>50</v>
      </c>
      <c r="B84" s="5">
        <v>0</v>
      </c>
      <c r="C84" s="5">
        <v>0</v>
      </c>
      <c r="D84" s="5">
        <v>1</v>
      </c>
      <c r="E84" s="5">
        <v>206</v>
      </c>
      <c r="F84" s="5">
        <f>ROUND(Source!T63,O84)</f>
        <v>0</v>
      </c>
      <c r="G84" s="5" t="s">
        <v>144</v>
      </c>
      <c r="H84" s="5" t="s">
        <v>145</v>
      </c>
      <c r="I84" s="5"/>
      <c r="J84" s="5"/>
      <c r="K84" s="5">
        <v>206</v>
      </c>
      <c r="L84" s="5">
        <v>20</v>
      </c>
      <c r="M84" s="5">
        <v>3</v>
      </c>
      <c r="N84" s="5" t="s">
        <v>3</v>
      </c>
      <c r="O84" s="5">
        <v>2</v>
      </c>
      <c r="P84" s="5">
        <f>ROUND(Source!DL63,O84)</f>
        <v>0</v>
      </c>
      <c r="Q84" s="5"/>
      <c r="R84" s="5"/>
      <c r="S84" s="5"/>
      <c r="T84" s="5"/>
      <c r="U84" s="5"/>
      <c r="V84" s="5"/>
      <c r="W84" s="5">
        <v>0</v>
      </c>
      <c r="X84" s="5">
        <v>1</v>
      </c>
      <c r="Y84" s="5">
        <v>0</v>
      </c>
      <c r="Z84" s="5">
        <v>0</v>
      </c>
      <c r="AA84" s="5">
        <v>1</v>
      </c>
      <c r="AB84" s="5">
        <v>0</v>
      </c>
    </row>
    <row r="85" spans="1:206" x14ac:dyDescent="0.2">
      <c r="A85" s="5">
        <v>50</v>
      </c>
      <c r="B85" s="5">
        <v>0</v>
      </c>
      <c r="C85" s="5">
        <v>0</v>
      </c>
      <c r="D85" s="5">
        <v>1</v>
      </c>
      <c r="E85" s="5">
        <v>207</v>
      </c>
      <c r="F85" s="5">
        <f>Source!U63</f>
        <v>135.65221042164001</v>
      </c>
      <c r="G85" s="5" t="s">
        <v>146</v>
      </c>
      <c r="H85" s="5" t="s">
        <v>147</v>
      </c>
      <c r="I85" s="5"/>
      <c r="J85" s="5"/>
      <c r="K85" s="5">
        <v>207</v>
      </c>
      <c r="L85" s="5">
        <v>21</v>
      </c>
      <c r="M85" s="5">
        <v>3</v>
      </c>
      <c r="N85" s="5" t="s">
        <v>3</v>
      </c>
      <c r="O85" s="5">
        <v>-1</v>
      </c>
      <c r="P85" s="5">
        <f>Source!DM63</f>
        <v>135.65221042164001</v>
      </c>
      <c r="Q85" s="5"/>
      <c r="R85" s="5"/>
      <c r="S85" s="5"/>
      <c r="T85" s="5"/>
      <c r="U85" s="5"/>
      <c r="V85" s="5"/>
      <c r="W85" s="5">
        <v>135.65221042164001</v>
      </c>
      <c r="X85" s="5">
        <v>1</v>
      </c>
      <c r="Y85" s="5">
        <v>135.65221042164001</v>
      </c>
      <c r="Z85" s="5">
        <v>135.65221042164001</v>
      </c>
      <c r="AA85" s="5">
        <v>1</v>
      </c>
      <c r="AB85" s="5">
        <v>135.65221042164001</v>
      </c>
    </row>
    <row r="86" spans="1:206" x14ac:dyDescent="0.2">
      <c r="A86" s="5">
        <v>50</v>
      </c>
      <c r="B86" s="5">
        <v>0</v>
      </c>
      <c r="C86" s="5">
        <v>0</v>
      </c>
      <c r="D86" s="5">
        <v>1</v>
      </c>
      <c r="E86" s="5">
        <v>208</v>
      </c>
      <c r="F86" s="5">
        <f>Source!V63</f>
        <v>0</v>
      </c>
      <c r="G86" s="5" t="s">
        <v>148</v>
      </c>
      <c r="H86" s="5" t="s">
        <v>149</v>
      </c>
      <c r="I86" s="5"/>
      <c r="J86" s="5"/>
      <c r="K86" s="5">
        <v>208</v>
      </c>
      <c r="L86" s="5">
        <v>22</v>
      </c>
      <c r="M86" s="5">
        <v>3</v>
      </c>
      <c r="N86" s="5" t="s">
        <v>3</v>
      </c>
      <c r="O86" s="5">
        <v>-1</v>
      </c>
      <c r="P86" s="5">
        <f>Source!DN63</f>
        <v>0</v>
      </c>
      <c r="Q86" s="5"/>
      <c r="R86" s="5"/>
      <c r="S86" s="5"/>
      <c r="T86" s="5"/>
      <c r="U86" s="5"/>
      <c r="V86" s="5"/>
      <c r="W86" s="5">
        <v>0</v>
      </c>
      <c r="X86" s="5">
        <v>1</v>
      </c>
      <c r="Y86" s="5">
        <v>0</v>
      </c>
      <c r="Z86" s="5">
        <v>0</v>
      </c>
      <c r="AA86" s="5">
        <v>1</v>
      </c>
      <c r="AB86" s="5">
        <v>0</v>
      </c>
    </row>
    <row r="87" spans="1:206" x14ac:dyDescent="0.2">
      <c r="A87" s="5">
        <v>50</v>
      </c>
      <c r="B87" s="5">
        <v>0</v>
      </c>
      <c r="C87" s="5">
        <v>0</v>
      </c>
      <c r="D87" s="5">
        <v>1</v>
      </c>
      <c r="E87" s="5">
        <v>209</v>
      </c>
      <c r="F87" s="5">
        <f>ROUND(Source!W63,O87)</f>
        <v>0</v>
      </c>
      <c r="G87" s="5" t="s">
        <v>150</v>
      </c>
      <c r="H87" s="5" t="s">
        <v>151</v>
      </c>
      <c r="I87" s="5"/>
      <c r="J87" s="5"/>
      <c r="K87" s="5">
        <v>209</v>
      </c>
      <c r="L87" s="5">
        <v>23</v>
      </c>
      <c r="M87" s="5">
        <v>3</v>
      </c>
      <c r="N87" s="5" t="s">
        <v>3</v>
      </c>
      <c r="O87" s="5">
        <v>2</v>
      </c>
      <c r="P87" s="5">
        <f>ROUND(Source!DO63,O87)</f>
        <v>0</v>
      </c>
      <c r="Q87" s="5"/>
      <c r="R87" s="5"/>
      <c r="S87" s="5"/>
      <c r="T87" s="5"/>
      <c r="U87" s="5"/>
      <c r="V87" s="5"/>
      <c r="W87" s="5">
        <v>0</v>
      </c>
      <c r="X87" s="5">
        <v>1</v>
      </c>
      <c r="Y87" s="5">
        <v>0</v>
      </c>
      <c r="Z87" s="5">
        <v>0</v>
      </c>
      <c r="AA87" s="5">
        <v>1</v>
      </c>
      <c r="AB87" s="5">
        <v>0</v>
      </c>
    </row>
    <row r="88" spans="1:206" x14ac:dyDescent="0.2">
      <c r="A88" s="5">
        <v>50</v>
      </c>
      <c r="B88" s="5">
        <v>0</v>
      </c>
      <c r="C88" s="5">
        <v>0</v>
      </c>
      <c r="D88" s="5">
        <v>1</v>
      </c>
      <c r="E88" s="5">
        <v>233</v>
      </c>
      <c r="F88" s="5">
        <f>ROUND(Source!BD63,O88)</f>
        <v>0</v>
      </c>
      <c r="G88" s="5" t="s">
        <v>152</v>
      </c>
      <c r="H88" s="5" t="s">
        <v>153</v>
      </c>
      <c r="I88" s="5"/>
      <c r="J88" s="5"/>
      <c r="K88" s="5">
        <v>233</v>
      </c>
      <c r="L88" s="5">
        <v>24</v>
      </c>
      <c r="M88" s="5">
        <v>3</v>
      </c>
      <c r="N88" s="5" t="s">
        <v>3</v>
      </c>
      <c r="O88" s="5">
        <v>2</v>
      </c>
      <c r="P88" s="5">
        <f>ROUND(Source!EV63,O88)</f>
        <v>0</v>
      </c>
      <c r="Q88" s="5"/>
      <c r="R88" s="5"/>
      <c r="S88" s="5"/>
      <c r="T88" s="5"/>
      <c r="U88" s="5"/>
      <c r="V88" s="5"/>
      <c r="W88" s="5">
        <v>0</v>
      </c>
      <c r="X88" s="5">
        <v>1</v>
      </c>
      <c r="Y88" s="5">
        <v>0</v>
      </c>
      <c r="Z88" s="5">
        <v>0</v>
      </c>
      <c r="AA88" s="5">
        <v>1</v>
      </c>
      <c r="AB88" s="5">
        <v>0</v>
      </c>
    </row>
    <row r="89" spans="1:206" x14ac:dyDescent="0.2">
      <c r="A89" s="5">
        <v>50</v>
      </c>
      <c r="B89" s="5">
        <v>0</v>
      </c>
      <c r="C89" s="5">
        <v>0</v>
      </c>
      <c r="D89" s="5">
        <v>1</v>
      </c>
      <c r="E89" s="5">
        <v>210</v>
      </c>
      <c r="F89" s="5">
        <f>ROUND(Source!X63,O89)</f>
        <v>1549.74</v>
      </c>
      <c r="G89" s="5" t="s">
        <v>154</v>
      </c>
      <c r="H89" s="5" t="s">
        <v>155</v>
      </c>
      <c r="I89" s="5"/>
      <c r="J89" s="5"/>
      <c r="K89" s="5">
        <v>210</v>
      </c>
      <c r="L89" s="5">
        <v>25</v>
      </c>
      <c r="M89" s="5">
        <v>3</v>
      </c>
      <c r="N89" s="5" t="s">
        <v>3</v>
      </c>
      <c r="O89" s="5">
        <v>2</v>
      </c>
      <c r="P89" s="5">
        <f>ROUND(Source!DP63,O89)</f>
        <v>44214.02</v>
      </c>
      <c r="Q89" s="5"/>
      <c r="R89" s="5"/>
      <c r="S89" s="5"/>
      <c r="T89" s="5"/>
      <c r="U89" s="5"/>
      <c r="V89" s="5"/>
      <c r="W89" s="5">
        <v>1549.74</v>
      </c>
      <c r="X89" s="5">
        <v>1</v>
      </c>
      <c r="Y89" s="5">
        <v>1549.74</v>
      </c>
      <c r="Z89" s="5">
        <v>44214.02</v>
      </c>
      <c r="AA89" s="5">
        <v>1</v>
      </c>
      <c r="AB89" s="5">
        <v>44214.02</v>
      </c>
    </row>
    <row r="90" spans="1:206" x14ac:dyDescent="0.2">
      <c r="A90" s="5">
        <v>50</v>
      </c>
      <c r="B90" s="5">
        <v>0</v>
      </c>
      <c r="C90" s="5">
        <v>0</v>
      </c>
      <c r="D90" s="5">
        <v>1</v>
      </c>
      <c r="E90" s="5">
        <v>211</v>
      </c>
      <c r="F90" s="5">
        <f>ROUND(Source!Y63,O90)</f>
        <v>1061.6199999999999</v>
      </c>
      <c r="G90" s="5" t="s">
        <v>156</v>
      </c>
      <c r="H90" s="5" t="s">
        <v>157</v>
      </c>
      <c r="I90" s="5"/>
      <c r="J90" s="5"/>
      <c r="K90" s="5">
        <v>211</v>
      </c>
      <c r="L90" s="5">
        <v>26</v>
      </c>
      <c r="M90" s="5">
        <v>3</v>
      </c>
      <c r="N90" s="5" t="s">
        <v>3</v>
      </c>
      <c r="O90" s="5">
        <v>2</v>
      </c>
      <c r="P90" s="5">
        <f>ROUND(Source!DQ63,O90)</f>
        <v>20367.310000000001</v>
      </c>
      <c r="Q90" s="5"/>
      <c r="R90" s="5"/>
      <c r="S90" s="5"/>
      <c r="T90" s="5"/>
      <c r="U90" s="5"/>
      <c r="V90" s="5"/>
      <c r="W90" s="5">
        <v>1061.6199999999999</v>
      </c>
      <c r="X90" s="5">
        <v>1</v>
      </c>
      <c r="Y90" s="5">
        <v>1061.6199999999999</v>
      </c>
      <c r="Z90" s="5">
        <v>20367.310000000001</v>
      </c>
      <c r="AA90" s="5">
        <v>1</v>
      </c>
      <c r="AB90" s="5">
        <v>20367.310000000001</v>
      </c>
    </row>
    <row r="91" spans="1:206" x14ac:dyDescent="0.2">
      <c r="A91" s="5">
        <v>50</v>
      </c>
      <c r="B91" s="5">
        <v>0</v>
      </c>
      <c r="C91" s="5">
        <v>0</v>
      </c>
      <c r="D91" s="5">
        <v>1</v>
      </c>
      <c r="E91" s="5">
        <v>224</v>
      </c>
      <c r="F91" s="5">
        <f>ROUND(Source!AR63,O91)</f>
        <v>46069.59</v>
      </c>
      <c r="G91" s="5" t="s">
        <v>158</v>
      </c>
      <c r="H91" s="5" t="s">
        <v>159</v>
      </c>
      <c r="I91" s="5"/>
      <c r="J91" s="5"/>
      <c r="K91" s="5">
        <v>224</v>
      </c>
      <c r="L91" s="5">
        <v>27</v>
      </c>
      <c r="M91" s="5">
        <v>3</v>
      </c>
      <c r="N91" s="5" t="s">
        <v>3</v>
      </c>
      <c r="O91" s="5">
        <v>2</v>
      </c>
      <c r="P91" s="5">
        <f>ROUND(Source!EJ63,O91)</f>
        <v>525020.89</v>
      </c>
      <c r="Q91" s="5"/>
      <c r="R91" s="5"/>
      <c r="S91" s="5"/>
      <c r="T91" s="5"/>
      <c r="U91" s="5"/>
      <c r="V91" s="5"/>
      <c r="W91" s="5">
        <v>46069.59</v>
      </c>
      <c r="X91" s="5">
        <v>1</v>
      </c>
      <c r="Y91" s="5">
        <v>46069.59</v>
      </c>
      <c r="Z91" s="5">
        <v>525020.89</v>
      </c>
      <c r="AA91" s="5">
        <v>1</v>
      </c>
      <c r="AB91" s="5">
        <v>525020.89</v>
      </c>
    </row>
    <row r="93" spans="1:206" x14ac:dyDescent="0.2">
      <c r="A93" s="1">
        <v>4</v>
      </c>
      <c r="B93" s="1">
        <v>1</v>
      </c>
      <c r="C93" s="1"/>
      <c r="D93" s="1">
        <f>ROW(A174)</f>
        <v>174</v>
      </c>
      <c r="E93" s="1"/>
      <c r="F93" s="1" t="s">
        <v>15</v>
      </c>
      <c r="G93" s="1" t="s">
        <v>160</v>
      </c>
      <c r="H93" s="1" t="s">
        <v>3</v>
      </c>
      <c r="I93" s="1">
        <v>0</v>
      </c>
      <c r="J93" s="1"/>
      <c r="K93" s="1">
        <v>-1</v>
      </c>
      <c r="L93" s="1"/>
      <c r="M93" s="1" t="s">
        <v>3</v>
      </c>
      <c r="N93" s="1"/>
      <c r="O93" s="1"/>
      <c r="P93" s="1"/>
      <c r="Q93" s="1"/>
      <c r="R93" s="1"/>
      <c r="S93" s="1">
        <v>0</v>
      </c>
      <c r="T93" s="1">
        <v>0</v>
      </c>
      <c r="U93" s="1" t="s">
        <v>3</v>
      </c>
      <c r="V93" s="1">
        <v>0</v>
      </c>
      <c r="W93" s="1"/>
      <c r="X93" s="1"/>
      <c r="Y93" s="1"/>
      <c r="Z93" s="1"/>
      <c r="AA93" s="1"/>
      <c r="AB93" s="1" t="s">
        <v>3</v>
      </c>
      <c r="AC93" s="1" t="s">
        <v>3</v>
      </c>
      <c r="AD93" s="1" t="s">
        <v>3</v>
      </c>
      <c r="AE93" s="1" t="s">
        <v>3</v>
      </c>
      <c r="AF93" s="1" t="s">
        <v>3</v>
      </c>
      <c r="AG93" s="1" t="s">
        <v>3</v>
      </c>
      <c r="AH93" s="1"/>
      <c r="AI93" s="1"/>
      <c r="AJ93" s="1"/>
      <c r="AK93" s="1"/>
      <c r="AL93" s="1"/>
      <c r="AM93" s="1"/>
      <c r="AN93" s="1"/>
      <c r="AO93" s="1"/>
      <c r="AP93" s="1" t="s">
        <v>3</v>
      </c>
      <c r="AQ93" s="1" t="s">
        <v>3</v>
      </c>
      <c r="AR93" s="1" t="s">
        <v>3</v>
      </c>
      <c r="AS93" s="1"/>
      <c r="AT93" s="1"/>
      <c r="AU93" s="1"/>
      <c r="AV93" s="1"/>
      <c r="AW93" s="1"/>
      <c r="AX93" s="1"/>
      <c r="AY93" s="1"/>
      <c r="AZ93" s="1" t="s">
        <v>3</v>
      </c>
      <c r="BA93" s="1"/>
      <c r="BB93" s="1" t="s">
        <v>3</v>
      </c>
      <c r="BC93" s="1" t="s">
        <v>3</v>
      </c>
      <c r="BD93" s="1" t="s">
        <v>3</v>
      </c>
      <c r="BE93" s="1" t="s">
        <v>3</v>
      </c>
      <c r="BF93" s="1" t="s">
        <v>3</v>
      </c>
      <c r="BG93" s="1" t="s">
        <v>3</v>
      </c>
      <c r="BH93" s="1" t="s">
        <v>3</v>
      </c>
      <c r="BI93" s="1" t="s">
        <v>3</v>
      </c>
      <c r="BJ93" s="1" t="s">
        <v>3</v>
      </c>
      <c r="BK93" s="1" t="s">
        <v>3</v>
      </c>
      <c r="BL93" s="1" t="s">
        <v>3</v>
      </c>
      <c r="BM93" s="1" t="s">
        <v>3</v>
      </c>
      <c r="BN93" s="1" t="s">
        <v>3</v>
      </c>
      <c r="BO93" s="1" t="s">
        <v>3</v>
      </c>
      <c r="BP93" s="1" t="s">
        <v>3</v>
      </c>
      <c r="BQ93" s="1"/>
      <c r="BR93" s="1"/>
      <c r="BS93" s="1"/>
      <c r="BT93" s="1"/>
      <c r="BU93" s="1"/>
      <c r="BV93" s="1"/>
      <c r="BW93" s="1"/>
      <c r="BX93" s="1">
        <v>0</v>
      </c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>
        <v>0</v>
      </c>
    </row>
    <row r="95" spans="1:206" x14ac:dyDescent="0.2">
      <c r="A95" s="3">
        <v>52</v>
      </c>
      <c r="B95" s="3">
        <f t="shared" ref="B95:G95" si="69">B174</f>
        <v>1</v>
      </c>
      <c r="C95" s="3">
        <f t="shared" si="69"/>
        <v>4</v>
      </c>
      <c r="D95" s="3">
        <f t="shared" si="69"/>
        <v>93</v>
      </c>
      <c r="E95" s="3">
        <f t="shared" si="69"/>
        <v>0</v>
      </c>
      <c r="F95" s="3" t="str">
        <f t="shared" si="69"/>
        <v>Новый раздел</v>
      </c>
      <c r="G95" s="3" t="str">
        <f t="shared" si="69"/>
        <v>Электромонтажные работы</v>
      </c>
      <c r="H95" s="3"/>
      <c r="I95" s="3"/>
      <c r="J95" s="3"/>
      <c r="K95" s="3"/>
      <c r="L95" s="3"/>
      <c r="M95" s="3"/>
      <c r="N95" s="3"/>
      <c r="O95" s="3">
        <f t="shared" ref="O95:AT95" si="70">O174</f>
        <v>4380.32</v>
      </c>
      <c r="P95" s="3">
        <f t="shared" si="70"/>
        <v>554.35</v>
      </c>
      <c r="Q95" s="3">
        <f t="shared" si="70"/>
        <v>1054.54</v>
      </c>
      <c r="R95" s="3">
        <f t="shared" si="70"/>
        <v>110.25</v>
      </c>
      <c r="S95" s="3">
        <f t="shared" si="70"/>
        <v>2771.43</v>
      </c>
      <c r="T95" s="3">
        <f t="shared" si="70"/>
        <v>0</v>
      </c>
      <c r="U95" s="3">
        <f t="shared" si="70"/>
        <v>209.755351168</v>
      </c>
      <c r="V95" s="3">
        <f t="shared" si="70"/>
        <v>0</v>
      </c>
      <c r="W95" s="3">
        <f t="shared" si="70"/>
        <v>0</v>
      </c>
      <c r="X95" s="3">
        <f t="shared" si="70"/>
        <v>3104.01</v>
      </c>
      <c r="Y95" s="3">
        <f t="shared" si="70"/>
        <v>1940.01</v>
      </c>
      <c r="Z95" s="3">
        <f t="shared" si="70"/>
        <v>0</v>
      </c>
      <c r="AA95" s="3">
        <f t="shared" si="70"/>
        <v>0</v>
      </c>
      <c r="AB95" s="3">
        <f t="shared" si="70"/>
        <v>4380.32</v>
      </c>
      <c r="AC95" s="3">
        <f t="shared" si="70"/>
        <v>554.35</v>
      </c>
      <c r="AD95" s="3">
        <f t="shared" si="70"/>
        <v>1054.54</v>
      </c>
      <c r="AE95" s="3">
        <f t="shared" si="70"/>
        <v>110.25</v>
      </c>
      <c r="AF95" s="3">
        <f t="shared" si="70"/>
        <v>2771.43</v>
      </c>
      <c r="AG95" s="3">
        <f t="shared" si="70"/>
        <v>0</v>
      </c>
      <c r="AH95" s="3">
        <f t="shared" si="70"/>
        <v>209.755351168</v>
      </c>
      <c r="AI95" s="3">
        <f t="shared" si="70"/>
        <v>0</v>
      </c>
      <c r="AJ95" s="3">
        <f t="shared" si="70"/>
        <v>0</v>
      </c>
      <c r="AK95" s="3">
        <f t="shared" si="70"/>
        <v>3104.01</v>
      </c>
      <c r="AL95" s="3">
        <f t="shared" si="70"/>
        <v>1940.01</v>
      </c>
      <c r="AM95" s="3">
        <f t="shared" si="70"/>
        <v>0</v>
      </c>
      <c r="AN95" s="3">
        <f t="shared" si="70"/>
        <v>0</v>
      </c>
      <c r="AO95" s="3">
        <f t="shared" si="70"/>
        <v>0</v>
      </c>
      <c r="AP95" s="3">
        <f t="shared" si="70"/>
        <v>0</v>
      </c>
      <c r="AQ95" s="3">
        <f t="shared" si="70"/>
        <v>0</v>
      </c>
      <c r="AR95" s="3">
        <f t="shared" si="70"/>
        <v>9617.2800000000007</v>
      </c>
      <c r="AS95" s="3">
        <f t="shared" si="70"/>
        <v>0</v>
      </c>
      <c r="AT95" s="3">
        <f t="shared" si="70"/>
        <v>9617.2800000000007</v>
      </c>
      <c r="AU95" s="3">
        <f t="shared" ref="AU95:BZ95" si="71">AU174</f>
        <v>0</v>
      </c>
      <c r="AV95" s="3">
        <f t="shared" si="71"/>
        <v>554.35</v>
      </c>
      <c r="AW95" s="3">
        <f t="shared" si="71"/>
        <v>554.35</v>
      </c>
      <c r="AX95" s="3">
        <f t="shared" si="71"/>
        <v>0</v>
      </c>
      <c r="AY95" s="3">
        <f t="shared" si="71"/>
        <v>554.35</v>
      </c>
      <c r="AZ95" s="3">
        <f t="shared" si="71"/>
        <v>0</v>
      </c>
      <c r="BA95" s="3">
        <f t="shared" si="71"/>
        <v>0</v>
      </c>
      <c r="BB95" s="3">
        <f t="shared" si="71"/>
        <v>0</v>
      </c>
      <c r="BC95" s="3">
        <f t="shared" si="71"/>
        <v>0</v>
      </c>
      <c r="BD95" s="3">
        <f t="shared" si="71"/>
        <v>0</v>
      </c>
      <c r="BE95" s="3">
        <f t="shared" si="71"/>
        <v>0</v>
      </c>
      <c r="BF95" s="3">
        <f t="shared" si="71"/>
        <v>0</v>
      </c>
      <c r="BG95" s="3">
        <f t="shared" si="71"/>
        <v>0</v>
      </c>
      <c r="BH95" s="3">
        <f t="shared" si="71"/>
        <v>0</v>
      </c>
      <c r="BI95" s="3">
        <f t="shared" si="71"/>
        <v>0</v>
      </c>
      <c r="BJ95" s="3">
        <f t="shared" si="71"/>
        <v>0</v>
      </c>
      <c r="BK95" s="3">
        <f t="shared" si="71"/>
        <v>0</v>
      </c>
      <c r="BL95" s="3">
        <f t="shared" si="71"/>
        <v>0</v>
      </c>
      <c r="BM95" s="3">
        <f t="shared" si="71"/>
        <v>0</v>
      </c>
      <c r="BN95" s="3">
        <f t="shared" si="71"/>
        <v>0</v>
      </c>
      <c r="BO95" s="3">
        <f t="shared" si="71"/>
        <v>0</v>
      </c>
      <c r="BP95" s="3">
        <f t="shared" si="71"/>
        <v>0</v>
      </c>
      <c r="BQ95" s="3">
        <f t="shared" si="71"/>
        <v>0</v>
      </c>
      <c r="BR95" s="3">
        <f t="shared" si="71"/>
        <v>0</v>
      </c>
      <c r="BS95" s="3">
        <f t="shared" si="71"/>
        <v>0</v>
      </c>
      <c r="BT95" s="3">
        <f t="shared" si="71"/>
        <v>0</v>
      </c>
      <c r="BU95" s="3">
        <f t="shared" si="71"/>
        <v>0</v>
      </c>
      <c r="BV95" s="3">
        <f t="shared" si="71"/>
        <v>0</v>
      </c>
      <c r="BW95" s="3">
        <f t="shared" si="71"/>
        <v>0</v>
      </c>
      <c r="BX95" s="3">
        <f t="shared" si="71"/>
        <v>0</v>
      </c>
      <c r="BY95" s="3">
        <f t="shared" si="71"/>
        <v>0</v>
      </c>
      <c r="BZ95" s="3">
        <f t="shared" si="71"/>
        <v>0</v>
      </c>
      <c r="CA95" s="3">
        <f t="shared" ref="CA95:DF95" si="72">CA174</f>
        <v>9617.2800000000007</v>
      </c>
      <c r="CB95" s="3">
        <f t="shared" si="72"/>
        <v>0</v>
      </c>
      <c r="CC95" s="3">
        <f t="shared" si="72"/>
        <v>9617.2800000000007</v>
      </c>
      <c r="CD95" s="3">
        <f t="shared" si="72"/>
        <v>0</v>
      </c>
      <c r="CE95" s="3">
        <f t="shared" si="72"/>
        <v>554.35</v>
      </c>
      <c r="CF95" s="3">
        <f t="shared" si="72"/>
        <v>554.35</v>
      </c>
      <c r="CG95" s="3">
        <f t="shared" si="72"/>
        <v>0</v>
      </c>
      <c r="CH95" s="3">
        <f t="shared" si="72"/>
        <v>554.35</v>
      </c>
      <c r="CI95" s="3">
        <f t="shared" si="72"/>
        <v>0</v>
      </c>
      <c r="CJ95" s="3">
        <f t="shared" si="72"/>
        <v>0</v>
      </c>
      <c r="CK95" s="3">
        <f t="shared" si="72"/>
        <v>0</v>
      </c>
      <c r="CL95" s="3">
        <f t="shared" si="72"/>
        <v>0</v>
      </c>
      <c r="CM95" s="3">
        <f t="shared" si="72"/>
        <v>0</v>
      </c>
      <c r="CN95" s="3">
        <f t="shared" si="72"/>
        <v>0</v>
      </c>
      <c r="CO95" s="3">
        <f t="shared" si="72"/>
        <v>0</v>
      </c>
      <c r="CP95" s="3">
        <f t="shared" si="72"/>
        <v>0</v>
      </c>
      <c r="CQ95" s="3">
        <f t="shared" si="72"/>
        <v>0</v>
      </c>
      <c r="CR95" s="3">
        <f t="shared" si="72"/>
        <v>0</v>
      </c>
      <c r="CS95" s="3">
        <f t="shared" si="72"/>
        <v>0</v>
      </c>
      <c r="CT95" s="3">
        <f t="shared" si="72"/>
        <v>0</v>
      </c>
      <c r="CU95" s="3">
        <f t="shared" si="72"/>
        <v>0</v>
      </c>
      <c r="CV95" s="3">
        <f t="shared" si="72"/>
        <v>0</v>
      </c>
      <c r="CW95" s="3">
        <f t="shared" si="72"/>
        <v>0</v>
      </c>
      <c r="CX95" s="3">
        <f t="shared" si="72"/>
        <v>0</v>
      </c>
      <c r="CY95" s="3">
        <f t="shared" si="72"/>
        <v>0</v>
      </c>
      <c r="CZ95" s="3">
        <f t="shared" si="72"/>
        <v>0</v>
      </c>
      <c r="DA95" s="3">
        <f t="shared" si="72"/>
        <v>0</v>
      </c>
      <c r="DB95" s="3">
        <f t="shared" si="72"/>
        <v>0</v>
      </c>
      <c r="DC95" s="3">
        <f t="shared" si="72"/>
        <v>0</v>
      </c>
      <c r="DD95" s="3">
        <f t="shared" si="72"/>
        <v>0</v>
      </c>
      <c r="DE95" s="3">
        <f t="shared" si="72"/>
        <v>0</v>
      </c>
      <c r="DF95" s="3">
        <f t="shared" si="72"/>
        <v>0</v>
      </c>
      <c r="DG95" s="4">
        <f t="shared" ref="DG95:EL95" si="73">DG174</f>
        <v>111239.71</v>
      </c>
      <c r="DH95" s="4">
        <f t="shared" si="73"/>
        <v>5790.38</v>
      </c>
      <c r="DI95" s="4">
        <f t="shared" si="73"/>
        <v>9807.2800000000007</v>
      </c>
      <c r="DJ95" s="4">
        <f t="shared" si="73"/>
        <v>3804.73</v>
      </c>
      <c r="DK95" s="4">
        <f t="shared" si="73"/>
        <v>95642.05</v>
      </c>
      <c r="DL95" s="4">
        <f t="shared" si="73"/>
        <v>0</v>
      </c>
      <c r="DM95" s="4">
        <f t="shared" si="73"/>
        <v>209.755351168</v>
      </c>
      <c r="DN95" s="4">
        <f t="shared" si="73"/>
        <v>0</v>
      </c>
      <c r="DO95" s="4">
        <f t="shared" si="73"/>
        <v>0</v>
      </c>
      <c r="DP95" s="4">
        <f t="shared" si="73"/>
        <v>87990.69</v>
      </c>
      <c r="DQ95" s="4">
        <f t="shared" si="73"/>
        <v>41126.089999999997</v>
      </c>
      <c r="DR95" s="4">
        <f t="shared" si="73"/>
        <v>0</v>
      </c>
      <c r="DS95" s="4">
        <f t="shared" si="73"/>
        <v>0</v>
      </c>
      <c r="DT95" s="4">
        <f t="shared" si="73"/>
        <v>111239.71</v>
      </c>
      <c r="DU95" s="4">
        <f t="shared" si="73"/>
        <v>5790.38</v>
      </c>
      <c r="DV95" s="4">
        <f t="shared" si="73"/>
        <v>9807.2800000000007</v>
      </c>
      <c r="DW95" s="4">
        <f t="shared" si="73"/>
        <v>3804.73</v>
      </c>
      <c r="DX95" s="4">
        <f t="shared" si="73"/>
        <v>95642.05</v>
      </c>
      <c r="DY95" s="4">
        <f t="shared" si="73"/>
        <v>0</v>
      </c>
      <c r="DZ95" s="4">
        <f t="shared" si="73"/>
        <v>209.755351168</v>
      </c>
      <c r="EA95" s="4">
        <f t="shared" si="73"/>
        <v>0</v>
      </c>
      <c r="EB95" s="4">
        <f t="shared" si="73"/>
        <v>0</v>
      </c>
      <c r="EC95" s="4">
        <f t="shared" si="73"/>
        <v>87990.69</v>
      </c>
      <c r="ED95" s="4">
        <f t="shared" si="73"/>
        <v>41126.089999999997</v>
      </c>
      <c r="EE95" s="4">
        <f t="shared" si="73"/>
        <v>0</v>
      </c>
      <c r="EF95" s="4">
        <f t="shared" si="73"/>
        <v>0</v>
      </c>
      <c r="EG95" s="4">
        <f t="shared" si="73"/>
        <v>0</v>
      </c>
      <c r="EH95" s="4">
        <f t="shared" si="73"/>
        <v>0</v>
      </c>
      <c r="EI95" s="4">
        <f t="shared" si="73"/>
        <v>0</v>
      </c>
      <c r="EJ95" s="4">
        <f t="shared" si="73"/>
        <v>246444.06</v>
      </c>
      <c r="EK95" s="4">
        <f t="shared" si="73"/>
        <v>0</v>
      </c>
      <c r="EL95" s="4">
        <f t="shared" si="73"/>
        <v>246444.06</v>
      </c>
      <c r="EM95" s="4">
        <f t="shared" ref="EM95:FR95" si="74">EM174</f>
        <v>0</v>
      </c>
      <c r="EN95" s="4">
        <f t="shared" si="74"/>
        <v>5790.38</v>
      </c>
      <c r="EO95" s="4">
        <f t="shared" si="74"/>
        <v>5790.38</v>
      </c>
      <c r="EP95" s="4">
        <f t="shared" si="74"/>
        <v>0</v>
      </c>
      <c r="EQ95" s="4">
        <f t="shared" si="74"/>
        <v>5790.38</v>
      </c>
      <c r="ER95" s="4">
        <f t="shared" si="74"/>
        <v>0</v>
      </c>
      <c r="ES95" s="4">
        <f t="shared" si="74"/>
        <v>0</v>
      </c>
      <c r="ET95" s="4">
        <f t="shared" si="74"/>
        <v>0</v>
      </c>
      <c r="EU95" s="4">
        <f t="shared" si="74"/>
        <v>0</v>
      </c>
      <c r="EV95" s="4">
        <f t="shared" si="74"/>
        <v>0</v>
      </c>
      <c r="EW95" s="4">
        <f t="shared" si="74"/>
        <v>0</v>
      </c>
      <c r="EX95" s="4">
        <f t="shared" si="74"/>
        <v>0</v>
      </c>
      <c r="EY95" s="4">
        <f t="shared" si="74"/>
        <v>0</v>
      </c>
      <c r="EZ95" s="4">
        <f t="shared" si="74"/>
        <v>0</v>
      </c>
      <c r="FA95" s="4">
        <f t="shared" si="74"/>
        <v>0</v>
      </c>
      <c r="FB95" s="4">
        <f t="shared" si="74"/>
        <v>0</v>
      </c>
      <c r="FC95" s="4">
        <f t="shared" si="74"/>
        <v>0</v>
      </c>
      <c r="FD95" s="4">
        <f t="shared" si="74"/>
        <v>0</v>
      </c>
      <c r="FE95" s="4">
        <f t="shared" si="74"/>
        <v>0</v>
      </c>
      <c r="FF95" s="4">
        <f t="shared" si="74"/>
        <v>0</v>
      </c>
      <c r="FG95" s="4">
        <f t="shared" si="74"/>
        <v>0</v>
      </c>
      <c r="FH95" s="4">
        <f t="shared" si="74"/>
        <v>0</v>
      </c>
      <c r="FI95" s="4">
        <f t="shared" si="74"/>
        <v>0</v>
      </c>
      <c r="FJ95" s="4">
        <f t="shared" si="74"/>
        <v>0</v>
      </c>
      <c r="FK95" s="4">
        <f t="shared" si="74"/>
        <v>0</v>
      </c>
      <c r="FL95" s="4">
        <f t="shared" si="74"/>
        <v>0</v>
      </c>
      <c r="FM95" s="4">
        <f t="shared" si="74"/>
        <v>0</v>
      </c>
      <c r="FN95" s="4">
        <f t="shared" si="74"/>
        <v>0</v>
      </c>
      <c r="FO95" s="4">
        <f t="shared" si="74"/>
        <v>0</v>
      </c>
      <c r="FP95" s="4">
        <f t="shared" si="74"/>
        <v>0</v>
      </c>
      <c r="FQ95" s="4">
        <f t="shared" si="74"/>
        <v>0</v>
      </c>
      <c r="FR95" s="4">
        <f t="shared" si="74"/>
        <v>0</v>
      </c>
      <c r="FS95" s="4">
        <f t="shared" ref="FS95:GX95" si="75">FS174</f>
        <v>246444.06</v>
      </c>
      <c r="FT95" s="4">
        <f t="shared" si="75"/>
        <v>0</v>
      </c>
      <c r="FU95" s="4">
        <f t="shared" si="75"/>
        <v>246444.06</v>
      </c>
      <c r="FV95" s="4">
        <f t="shared" si="75"/>
        <v>0</v>
      </c>
      <c r="FW95" s="4">
        <f t="shared" si="75"/>
        <v>5790.38</v>
      </c>
      <c r="FX95" s="4">
        <f t="shared" si="75"/>
        <v>5790.38</v>
      </c>
      <c r="FY95" s="4">
        <f t="shared" si="75"/>
        <v>0</v>
      </c>
      <c r="FZ95" s="4">
        <f t="shared" si="75"/>
        <v>5790.38</v>
      </c>
      <c r="GA95" s="4">
        <f t="shared" si="75"/>
        <v>0</v>
      </c>
      <c r="GB95" s="4">
        <f t="shared" si="75"/>
        <v>0</v>
      </c>
      <c r="GC95" s="4">
        <f t="shared" si="75"/>
        <v>0</v>
      </c>
      <c r="GD95" s="4">
        <f t="shared" si="75"/>
        <v>0</v>
      </c>
      <c r="GE95" s="4">
        <f t="shared" si="75"/>
        <v>0</v>
      </c>
      <c r="GF95" s="4">
        <f t="shared" si="75"/>
        <v>0</v>
      </c>
      <c r="GG95" s="4">
        <f t="shared" si="75"/>
        <v>0</v>
      </c>
      <c r="GH95" s="4">
        <f t="shared" si="75"/>
        <v>0</v>
      </c>
      <c r="GI95" s="4">
        <f t="shared" si="75"/>
        <v>0</v>
      </c>
      <c r="GJ95" s="4">
        <f t="shared" si="75"/>
        <v>0</v>
      </c>
      <c r="GK95" s="4">
        <f t="shared" si="75"/>
        <v>0</v>
      </c>
      <c r="GL95" s="4">
        <f t="shared" si="75"/>
        <v>0</v>
      </c>
      <c r="GM95" s="4">
        <f t="shared" si="75"/>
        <v>0</v>
      </c>
      <c r="GN95" s="4">
        <f t="shared" si="75"/>
        <v>0</v>
      </c>
      <c r="GO95" s="4">
        <f t="shared" si="75"/>
        <v>0</v>
      </c>
      <c r="GP95" s="4">
        <f t="shared" si="75"/>
        <v>0</v>
      </c>
      <c r="GQ95" s="4">
        <f t="shared" si="75"/>
        <v>0</v>
      </c>
      <c r="GR95" s="4">
        <f t="shared" si="75"/>
        <v>0</v>
      </c>
      <c r="GS95" s="4">
        <f t="shared" si="75"/>
        <v>0</v>
      </c>
      <c r="GT95" s="4">
        <f t="shared" si="75"/>
        <v>0</v>
      </c>
      <c r="GU95" s="4">
        <f t="shared" si="75"/>
        <v>0</v>
      </c>
      <c r="GV95" s="4">
        <f t="shared" si="75"/>
        <v>0</v>
      </c>
      <c r="GW95" s="4">
        <f t="shared" si="75"/>
        <v>0</v>
      </c>
      <c r="GX95" s="4">
        <f t="shared" si="75"/>
        <v>0</v>
      </c>
    </row>
    <row r="97" spans="1:255" x14ac:dyDescent="0.2">
      <c r="A97" s="2">
        <v>17</v>
      </c>
      <c r="B97" s="2">
        <v>1</v>
      </c>
      <c r="C97" s="2">
        <f>ROW(SmtRes!A83)</f>
        <v>83</v>
      </c>
      <c r="D97" s="2">
        <f>ROW(EtalonRes!A95)</f>
        <v>95</v>
      </c>
      <c r="E97" s="2" t="s">
        <v>161</v>
      </c>
      <c r="F97" s="2" t="s">
        <v>162</v>
      </c>
      <c r="G97" s="2" t="s">
        <v>163</v>
      </c>
      <c r="H97" s="2" t="s">
        <v>164</v>
      </c>
      <c r="I97" s="2">
        <v>0</v>
      </c>
      <c r="J97" s="2">
        <v>0</v>
      </c>
      <c r="K97" s="2">
        <v>0</v>
      </c>
      <c r="L97" s="2"/>
      <c r="M97" s="2"/>
      <c r="N97" s="2"/>
      <c r="O97" s="2">
        <f t="shared" ref="O97:O128" si="76">ROUND(CP97,2)</f>
        <v>0</v>
      </c>
      <c r="P97" s="2">
        <f t="shared" ref="P97:P128" si="77">ROUND((ROUND((AC97*AW97*I97),2)*BC97),2)</f>
        <v>0</v>
      </c>
      <c r="Q97" s="2">
        <f t="shared" ref="Q97:Q128" si="78">(ROUND((ROUND((((ET97*1.1))*AV97*I97),2)*BB97),2)+ROUND((ROUND(((AE97-((EU97*1.1)))*AV97*I97),2)*BS97),2))</f>
        <v>0</v>
      </c>
      <c r="R97" s="2">
        <f t="shared" ref="R97:R128" si="79">ROUND((ROUND((AE97*AV97*I97),2)*BS97),2)</f>
        <v>0</v>
      </c>
      <c r="S97" s="2">
        <f t="shared" ref="S97:S128" si="80">ROUND((ROUND((AF97*AV97*I97),2)*BA97),2)</f>
        <v>0</v>
      </c>
      <c r="T97" s="2">
        <f t="shared" ref="T97:T128" si="81">ROUND(CU97*I97,2)</f>
        <v>0</v>
      </c>
      <c r="U97" s="2">
        <f t="shared" ref="U97:U128" si="82">CV97*I97</f>
        <v>0</v>
      </c>
      <c r="V97" s="2">
        <f t="shared" ref="V97:V128" si="83">CW97*I97</f>
        <v>0</v>
      </c>
      <c r="W97" s="2">
        <f t="shared" ref="W97:W128" si="84">ROUND(CX97*I97,2)</f>
        <v>0</v>
      </c>
      <c r="X97" s="2">
        <f t="shared" ref="X97:X128" si="85">ROUND(CY97,2)</f>
        <v>0</v>
      </c>
      <c r="Y97" s="2">
        <f t="shared" ref="Y97:Y128" si="86">ROUND(CZ97,2)</f>
        <v>0</v>
      </c>
      <c r="Z97" s="2"/>
      <c r="AA97" s="2">
        <v>56622586</v>
      </c>
      <c r="AB97" s="2">
        <f t="shared" ref="AB97:AB128" si="87">ROUND((AC97+AD97+AF97),6)</f>
        <v>500.14800000000002</v>
      </c>
      <c r="AC97" s="2">
        <f t="shared" ref="AC97:AC128" si="88">ROUND((ES97),6)</f>
        <v>0</v>
      </c>
      <c r="AD97" s="2">
        <f t="shared" ref="AD97:AD128" si="89">ROUND(((((ET97*1.1))-((EU97*1.1)))+AE97),6)</f>
        <v>417.74700000000001</v>
      </c>
      <c r="AE97" s="2">
        <f t="shared" ref="AE97:AE128" si="90">ROUND(((EU97*1.1)),6)</f>
        <v>63.436999999999998</v>
      </c>
      <c r="AF97" s="2">
        <f t="shared" ref="AF97:AF128" si="91">ROUND(((EV97*1.1)),6)</f>
        <v>82.400999999999996</v>
      </c>
      <c r="AG97" s="2">
        <f t="shared" ref="AG97:AG128" si="92">ROUND((AP97),6)</f>
        <v>0</v>
      </c>
      <c r="AH97" s="2">
        <f t="shared" ref="AH97:AH128" si="93">((EW97*1.1))</f>
        <v>6.6880000000000006</v>
      </c>
      <c r="AI97" s="2">
        <f t="shared" ref="AI97:AI128" si="94">((EX97*1.1))</f>
        <v>0</v>
      </c>
      <c r="AJ97" s="2">
        <f t="shared" ref="AJ97:AJ128" si="95">(AS97)</f>
        <v>0</v>
      </c>
      <c r="AK97" s="2">
        <v>454.68</v>
      </c>
      <c r="AL97" s="2">
        <v>0</v>
      </c>
      <c r="AM97" s="2">
        <v>379.77</v>
      </c>
      <c r="AN97" s="2">
        <v>57.67</v>
      </c>
      <c r="AO97" s="2">
        <v>74.91</v>
      </c>
      <c r="AP97" s="2">
        <v>0</v>
      </c>
      <c r="AQ97" s="2">
        <v>6.08</v>
      </c>
      <c r="AR97" s="2">
        <v>0</v>
      </c>
      <c r="AS97" s="2">
        <v>0</v>
      </c>
      <c r="AT97" s="2">
        <v>112</v>
      </c>
      <c r="AU97" s="2">
        <v>70</v>
      </c>
      <c r="AV97" s="2">
        <v>1.0669999999999999</v>
      </c>
      <c r="AW97" s="2">
        <v>1.081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0</v>
      </c>
      <c r="BI97" s="2">
        <v>2</v>
      </c>
      <c r="BJ97" s="2" t="s">
        <v>165</v>
      </c>
      <c r="BK97" s="2"/>
      <c r="BL97" s="2"/>
      <c r="BM97" s="2">
        <v>318</v>
      </c>
      <c r="BN97" s="2">
        <v>0</v>
      </c>
      <c r="BO97" s="2" t="s">
        <v>3</v>
      </c>
      <c r="BP97" s="2">
        <v>0</v>
      </c>
      <c r="BQ97" s="2">
        <v>40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112</v>
      </c>
      <c r="CA97" s="2">
        <v>70</v>
      </c>
      <c r="CB97" s="2" t="s">
        <v>3</v>
      </c>
      <c r="CC97" s="2"/>
      <c r="CD97" s="2"/>
      <c r="CE97" s="2">
        <v>30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671</v>
      </c>
      <c r="CO97" s="2">
        <v>0</v>
      </c>
      <c r="CP97" s="2">
        <f t="shared" ref="CP97:CP128" si="96">(P97+Q97+S97)</f>
        <v>0</v>
      </c>
      <c r="CQ97" s="2">
        <f t="shared" ref="CQ97:CQ128" si="97">ROUND((ROUND((AC97*AW97*1),2)*BC97),2)</f>
        <v>0</v>
      </c>
      <c r="CR97" s="2">
        <f t="shared" ref="CR97:CR128" si="98">(ROUND((ROUND((((ET97*1.1))*AV97*1),2)*BB97),2)+ROUND((ROUND(((AE97-((EU97*1.1)))*AV97*1),2)*BS97),2))</f>
        <v>445.74</v>
      </c>
      <c r="CS97" s="2">
        <f t="shared" ref="CS97:CS128" si="99">ROUND((ROUND((AE97*AV97*1),2)*BS97),2)</f>
        <v>67.69</v>
      </c>
      <c r="CT97" s="2">
        <f t="shared" ref="CT97:CT128" si="100">ROUND((ROUND((AF97*AV97*1),2)*BA97),2)</f>
        <v>87.92</v>
      </c>
      <c r="CU97" s="2">
        <f t="shared" ref="CU97:CU128" si="101">AG97</f>
        <v>0</v>
      </c>
      <c r="CV97" s="2">
        <f t="shared" ref="CV97:CV128" si="102">(AH97*AV97)</f>
        <v>7.1360960000000002</v>
      </c>
      <c r="CW97" s="2">
        <f t="shared" ref="CW97:CW128" si="103">AI97</f>
        <v>0</v>
      </c>
      <c r="CX97" s="2">
        <f t="shared" ref="CX97:CX128" si="104">AJ97</f>
        <v>0</v>
      </c>
      <c r="CY97" s="2">
        <f>((S97*BZ97)/100)</f>
        <v>0</v>
      </c>
      <c r="CZ97" s="2">
        <f>((S97*CA97)/100)</f>
        <v>0</v>
      </c>
      <c r="DA97" s="2"/>
      <c r="DB97" s="2"/>
      <c r="DC97" s="2" t="s">
        <v>3</v>
      </c>
      <c r="DD97" s="2" t="s">
        <v>3</v>
      </c>
      <c r="DE97" s="2" t="s">
        <v>22</v>
      </c>
      <c r="DF97" s="2" t="s">
        <v>22</v>
      </c>
      <c r="DG97" s="2" t="s">
        <v>22</v>
      </c>
      <c r="DH97" s="2" t="s">
        <v>3</v>
      </c>
      <c r="DI97" s="2" t="s">
        <v>22</v>
      </c>
      <c r="DJ97" s="2" t="s">
        <v>22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1013</v>
      </c>
      <c r="DV97" s="2" t="s">
        <v>164</v>
      </c>
      <c r="DW97" s="2" t="s">
        <v>164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51696357</v>
      </c>
      <c r="EF97" s="2">
        <v>40</v>
      </c>
      <c r="EG97" s="2" t="s">
        <v>166</v>
      </c>
      <c r="EH97" s="2">
        <v>0</v>
      </c>
      <c r="EI97" s="2" t="s">
        <v>3</v>
      </c>
      <c r="EJ97" s="2">
        <v>2</v>
      </c>
      <c r="EK97" s="2">
        <v>318</v>
      </c>
      <c r="EL97" s="2" t="s">
        <v>167</v>
      </c>
      <c r="EM97" s="2" t="s">
        <v>168</v>
      </c>
      <c r="EN97" s="2"/>
      <c r="EO97" s="2" t="s">
        <v>25</v>
      </c>
      <c r="EP97" s="2"/>
      <c r="EQ97" s="2">
        <v>131072</v>
      </c>
      <c r="ER97" s="2">
        <v>454.68</v>
      </c>
      <c r="ES97" s="2">
        <v>0</v>
      </c>
      <c r="ET97" s="2">
        <v>379.77</v>
      </c>
      <c r="EU97" s="2">
        <v>57.67</v>
      </c>
      <c r="EV97" s="2">
        <v>74.91</v>
      </c>
      <c r="EW97" s="2">
        <v>6.08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0</v>
      </c>
      <c r="FT97" s="2"/>
      <c r="FU97" s="2"/>
      <c r="FV97" s="2"/>
      <c r="FW97" s="2"/>
      <c r="FX97" s="2">
        <v>112</v>
      </c>
      <c r="FY97" s="2">
        <v>70</v>
      </c>
      <c r="FZ97" s="2"/>
      <c r="GA97" s="2" t="s">
        <v>3</v>
      </c>
      <c r="GB97" s="2"/>
      <c r="GC97" s="2"/>
      <c r="GD97" s="2">
        <v>0</v>
      </c>
      <c r="GE97" s="2"/>
      <c r="GF97" s="2">
        <v>369100549</v>
      </c>
      <c r="GG97" s="2">
        <v>2</v>
      </c>
      <c r="GH97" s="2">
        <v>1</v>
      </c>
      <c r="GI97" s="2">
        <v>-2</v>
      </c>
      <c r="GJ97" s="2">
        <v>0</v>
      </c>
      <c r="GK97" s="2">
        <f>ROUND(R97*(R12)/100,2)</f>
        <v>0</v>
      </c>
      <c r="GL97" s="2">
        <f t="shared" ref="GL97:GL128" si="105">ROUND(IF(AND(BH97=3,BI97=3,FS97&lt;&gt;0),P97,0),2)</f>
        <v>0</v>
      </c>
      <c r="GM97" s="2">
        <f t="shared" ref="GM97:GM128" si="106">ROUND(O97+X97+Y97+GK97,2)+GX97</f>
        <v>0</v>
      </c>
      <c r="GN97" s="2">
        <f t="shared" ref="GN97:GN128" si="107">IF(OR(BI97=0,BI97=1),GM97-GX97,0)</f>
        <v>0</v>
      </c>
      <c r="GO97" s="2">
        <f t="shared" ref="GO97:GO128" si="108">IF(BI97=2,GM97-GX97,0)</f>
        <v>0</v>
      </c>
      <c r="GP97" s="2">
        <f t="shared" ref="GP97:GP128" si="109">IF(BI97=4,GM97-GX97,0)</f>
        <v>0</v>
      </c>
      <c r="GQ97" s="2"/>
      <c r="GR97" s="2">
        <v>0</v>
      </c>
      <c r="GS97" s="2">
        <v>0</v>
      </c>
      <c r="GT97" s="2">
        <v>0</v>
      </c>
      <c r="GU97" s="2" t="s">
        <v>3</v>
      </c>
      <c r="GV97" s="2">
        <f t="shared" ref="GV97:GV128" si="110">ROUND((GT97),6)</f>
        <v>0</v>
      </c>
      <c r="GW97" s="2">
        <v>1</v>
      </c>
      <c r="GX97" s="2">
        <f t="shared" ref="GX97:GX128" si="111">ROUND(HC97*I97,2)</f>
        <v>0</v>
      </c>
      <c r="GY97" s="2"/>
      <c r="GZ97" s="2"/>
      <c r="HA97" s="2">
        <v>0</v>
      </c>
      <c r="HB97" s="2">
        <v>0</v>
      </c>
      <c r="HC97" s="2">
        <f t="shared" ref="HC97:HC128" si="112">GV97*GW97</f>
        <v>0</v>
      </c>
      <c r="HD97" s="2"/>
      <c r="HE97" s="2" t="s">
        <v>3</v>
      </c>
      <c r="HF97" s="2" t="s">
        <v>3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">
      <c r="A98">
        <v>17</v>
      </c>
      <c r="B98">
        <v>1</v>
      </c>
      <c r="C98">
        <f>ROW(SmtRes!A84)</f>
        <v>84</v>
      </c>
      <c r="D98">
        <f>ROW(EtalonRes!A98)</f>
        <v>98</v>
      </c>
      <c r="E98" t="s">
        <v>161</v>
      </c>
      <c r="F98" t="s">
        <v>162</v>
      </c>
      <c r="G98" t="s">
        <v>163</v>
      </c>
      <c r="H98" t="s">
        <v>164</v>
      </c>
      <c r="I98">
        <v>0</v>
      </c>
      <c r="J98">
        <v>0</v>
      </c>
      <c r="K98">
        <v>0</v>
      </c>
      <c r="O98">
        <f t="shared" si="76"/>
        <v>0</v>
      </c>
      <c r="P98">
        <f t="shared" si="77"/>
        <v>0</v>
      </c>
      <c r="Q98">
        <f t="shared" si="78"/>
        <v>0</v>
      </c>
      <c r="R98">
        <f t="shared" si="79"/>
        <v>0</v>
      </c>
      <c r="S98">
        <f t="shared" si="80"/>
        <v>0</v>
      </c>
      <c r="T98">
        <f t="shared" si="81"/>
        <v>0</v>
      </c>
      <c r="U98">
        <f t="shared" si="82"/>
        <v>0</v>
      </c>
      <c r="V98">
        <f t="shared" si="83"/>
        <v>0</v>
      </c>
      <c r="W98">
        <f t="shared" si="84"/>
        <v>0</v>
      </c>
      <c r="X98">
        <f t="shared" si="85"/>
        <v>0</v>
      </c>
      <c r="Y98">
        <f t="shared" si="86"/>
        <v>0</v>
      </c>
      <c r="AA98">
        <v>56616093</v>
      </c>
      <c r="AB98">
        <f t="shared" si="87"/>
        <v>500.14800000000002</v>
      </c>
      <c r="AC98">
        <f t="shared" si="88"/>
        <v>0</v>
      </c>
      <c r="AD98">
        <f t="shared" si="89"/>
        <v>417.74700000000001</v>
      </c>
      <c r="AE98">
        <f t="shared" si="90"/>
        <v>63.436999999999998</v>
      </c>
      <c r="AF98">
        <f t="shared" si="91"/>
        <v>82.400999999999996</v>
      </c>
      <c r="AG98">
        <f t="shared" si="92"/>
        <v>0</v>
      </c>
      <c r="AH98">
        <f t="shared" si="93"/>
        <v>6.6880000000000006</v>
      </c>
      <c r="AI98">
        <f t="shared" si="94"/>
        <v>0</v>
      </c>
      <c r="AJ98">
        <f t="shared" si="95"/>
        <v>0</v>
      </c>
      <c r="AK98">
        <v>454.68</v>
      </c>
      <c r="AL98">
        <v>0</v>
      </c>
      <c r="AM98">
        <v>379.77</v>
      </c>
      <c r="AN98">
        <v>57.67</v>
      </c>
      <c r="AO98">
        <v>74.91</v>
      </c>
      <c r="AP98">
        <v>0</v>
      </c>
      <c r="AQ98">
        <v>6.08</v>
      </c>
      <c r="AR98">
        <v>0</v>
      </c>
      <c r="AS98">
        <v>0</v>
      </c>
      <c r="AT98">
        <v>92</v>
      </c>
      <c r="AU98">
        <v>43</v>
      </c>
      <c r="AV98">
        <v>1.0669999999999999</v>
      </c>
      <c r="AW98">
        <v>1.081</v>
      </c>
      <c r="AZ98">
        <v>1</v>
      </c>
      <c r="BA98">
        <v>34.51</v>
      </c>
      <c r="BB98">
        <v>12.86</v>
      </c>
      <c r="BC98">
        <v>1</v>
      </c>
      <c r="BD98" t="s">
        <v>3</v>
      </c>
      <c r="BE98" t="s">
        <v>3</v>
      </c>
      <c r="BF98" t="s">
        <v>3</v>
      </c>
      <c r="BG98" t="s">
        <v>3</v>
      </c>
      <c r="BH98">
        <v>0</v>
      </c>
      <c r="BI98">
        <v>2</v>
      </c>
      <c r="BJ98" t="s">
        <v>165</v>
      </c>
      <c r="BM98">
        <v>318</v>
      </c>
      <c r="BN98">
        <v>0</v>
      </c>
      <c r="BO98" t="s">
        <v>162</v>
      </c>
      <c r="BP98">
        <v>1</v>
      </c>
      <c r="BQ98">
        <v>40</v>
      </c>
      <c r="BR98">
        <v>0</v>
      </c>
      <c r="BS98">
        <v>34.51</v>
      </c>
      <c r="BT98">
        <v>1</v>
      </c>
      <c r="BU98">
        <v>1</v>
      </c>
      <c r="BV98">
        <v>1</v>
      </c>
      <c r="BW98">
        <v>1</v>
      </c>
      <c r="BX98">
        <v>1</v>
      </c>
      <c r="BY98" t="s">
        <v>3</v>
      </c>
      <c r="BZ98">
        <v>92</v>
      </c>
      <c r="CA98">
        <v>43</v>
      </c>
      <c r="CB98" t="s">
        <v>3</v>
      </c>
      <c r="CE98">
        <v>30</v>
      </c>
      <c r="CF98">
        <v>0</v>
      </c>
      <c r="CG98">
        <v>0</v>
      </c>
      <c r="CM98">
        <v>0</v>
      </c>
      <c r="CN98" t="s">
        <v>671</v>
      </c>
      <c r="CO98">
        <v>0</v>
      </c>
      <c r="CP98">
        <f t="shared" si="96"/>
        <v>0</v>
      </c>
      <c r="CQ98">
        <f t="shared" si="97"/>
        <v>0</v>
      </c>
      <c r="CR98">
        <f t="shared" si="98"/>
        <v>5732.22</v>
      </c>
      <c r="CS98">
        <f t="shared" si="99"/>
        <v>2335.98</v>
      </c>
      <c r="CT98">
        <f t="shared" si="100"/>
        <v>3034.12</v>
      </c>
      <c r="CU98">
        <f t="shared" si="101"/>
        <v>0</v>
      </c>
      <c r="CV98">
        <f t="shared" si="102"/>
        <v>7.1360960000000002</v>
      </c>
      <c r="CW98">
        <f t="shared" si="103"/>
        <v>0</v>
      </c>
      <c r="CX98">
        <f t="shared" si="104"/>
        <v>0</v>
      </c>
      <c r="CY98">
        <f>S98*(BZ98/100)</f>
        <v>0</v>
      </c>
      <c r="CZ98">
        <f>S98*(CA98/100)</f>
        <v>0</v>
      </c>
      <c r="DC98" t="s">
        <v>3</v>
      </c>
      <c r="DD98" t="s">
        <v>3</v>
      </c>
      <c r="DE98" t="s">
        <v>22</v>
      </c>
      <c r="DF98" t="s">
        <v>22</v>
      </c>
      <c r="DG98" t="s">
        <v>22</v>
      </c>
      <c r="DH98" t="s">
        <v>3</v>
      </c>
      <c r="DI98" t="s">
        <v>22</v>
      </c>
      <c r="DJ98" t="s">
        <v>22</v>
      </c>
      <c r="DK98" t="s">
        <v>3</v>
      </c>
      <c r="DL98" t="s">
        <v>3</v>
      </c>
      <c r="DM98" t="s">
        <v>3</v>
      </c>
      <c r="DN98">
        <v>112</v>
      </c>
      <c r="DO98">
        <v>70</v>
      </c>
      <c r="DP98">
        <v>1.0669999999999999</v>
      </c>
      <c r="DQ98">
        <v>1.081</v>
      </c>
      <c r="DU98">
        <v>1013</v>
      </c>
      <c r="DV98" t="s">
        <v>164</v>
      </c>
      <c r="DW98" t="s">
        <v>164</v>
      </c>
      <c r="DX98">
        <v>1</v>
      </c>
      <c r="DZ98" t="s">
        <v>3</v>
      </c>
      <c r="EA98" t="s">
        <v>3</v>
      </c>
      <c r="EB98" t="s">
        <v>3</v>
      </c>
      <c r="EC98" t="s">
        <v>3</v>
      </c>
      <c r="EE98">
        <v>51696357</v>
      </c>
      <c r="EF98">
        <v>40</v>
      </c>
      <c r="EG98" t="s">
        <v>166</v>
      </c>
      <c r="EH98">
        <v>0</v>
      </c>
      <c r="EI98" t="s">
        <v>3</v>
      </c>
      <c r="EJ98">
        <v>2</v>
      </c>
      <c r="EK98">
        <v>318</v>
      </c>
      <c r="EL98" t="s">
        <v>167</v>
      </c>
      <c r="EM98" t="s">
        <v>168</v>
      </c>
      <c r="EO98" t="s">
        <v>25</v>
      </c>
      <c r="EQ98">
        <v>131072</v>
      </c>
      <c r="ER98">
        <v>454.68</v>
      </c>
      <c r="ES98">
        <v>0</v>
      </c>
      <c r="ET98">
        <v>379.77</v>
      </c>
      <c r="EU98">
        <v>57.67</v>
      </c>
      <c r="EV98">
        <v>74.91</v>
      </c>
      <c r="EW98">
        <v>6.08</v>
      </c>
      <c r="EX98">
        <v>0</v>
      </c>
      <c r="EY98">
        <v>0</v>
      </c>
      <c r="FQ98">
        <v>0</v>
      </c>
      <c r="FR98">
        <v>0</v>
      </c>
      <c r="FS98">
        <v>0</v>
      </c>
      <c r="FX98">
        <v>112</v>
      </c>
      <c r="FY98">
        <v>70</v>
      </c>
      <c r="GA98" t="s">
        <v>3</v>
      </c>
      <c r="GD98">
        <v>0</v>
      </c>
      <c r="GF98">
        <v>369100549</v>
      </c>
      <c r="GG98">
        <v>2</v>
      </c>
      <c r="GH98">
        <v>1</v>
      </c>
      <c r="GI98">
        <v>2</v>
      </c>
      <c r="GJ98">
        <v>0</v>
      </c>
      <c r="GK98">
        <f>ROUND(R98*(S12)/100,2)</f>
        <v>0</v>
      </c>
      <c r="GL98">
        <f t="shared" si="105"/>
        <v>0</v>
      </c>
      <c r="GM98">
        <f t="shared" si="106"/>
        <v>0</v>
      </c>
      <c r="GN98">
        <f t="shared" si="107"/>
        <v>0</v>
      </c>
      <c r="GO98">
        <f t="shared" si="108"/>
        <v>0</v>
      </c>
      <c r="GP98">
        <f t="shared" si="109"/>
        <v>0</v>
      </c>
      <c r="GR98">
        <v>0</v>
      </c>
      <c r="GS98">
        <v>3</v>
      </c>
      <c r="GT98">
        <v>0</v>
      </c>
      <c r="GU98" t="s">
        <v>3</v>
      </c>
      <c r="GV98">
        <f t="shared" si="110"/>
        <v>0</v>
      </c>
      <c r="GW98">
        <v>1</v>
      </c>
      <c r="GX98">
        <f t="shared" si="111"/>
        <v>0</v>
      </c>
      <c r="HA98">
        <v>0</v>
      </c>
      <c r="HB98">
        <v>0</v>
      </c>
      <c r="HC98">
        <f t="shared" si="112"/>
        <v>0</v>
      </c>
      <c r="HE98" t="s">
        <v>3</v>
      </c>
      <c r="HF98" t="s">
        <v>3</v>
      </c>
      <c r="HM98" t="s">
        <v>3</v>
      </c>
      <c r="HN98" t="s">
        <v>3</v>
      </c>
      <c r="HO98" t="s">
        <v>3</v>
      </c>
      <c r="HP98" t="s">
        <v>3</v>
      </c>
      <c r="HQ98" t="s">
        <v>3</v>
      </c>
      <c r="HS98">
        <v>0</v>
      </c>
      <c r="IK98">
        <v>0</v>
      </c>
    </row>
    <row r="99" spans="1:255" x14ac:dyDescent="0.2">
      <c r="A99" s="2">
        <v>17</v>
      </c>
      <c r="B99" s="2">
        <v>1</v>
      </c>
      <c r="C99" s="2">
        <f>ROW(SmtRes!A85)</f>
        <v>85</v>
      </c>
      <c r="D99" s="2">
        <f>ROW(EtalonRes!A101)</f>
        <v>101</v>
      </c>
      <c r="E99" s="2" t="s">
        <v>169</v>
      </c>
      <c r="F99" s="2" t="s">
        <v>162</v>
      </c>
      <c r="G99" s="2" t="s">
        <v>163</v>
      </c>
      <c r="H99" s="2" t="s">
        <v>164</v>
      </c>
      <c r="I99" s="2">
        <v>0</v>
      </c>
      <c r="J99" s="2">
        <v>0</v>
      </c>
      <c r="K99" s="2">
        <v>0</v>
      </c>
      <c r="L99" s="2"/>
      <c r="M99" s="2"/>
      <c r="N99" s="2"/>
      <c r="O99" s="2">
        <f t="shared" si="76"/>
        <v>0</v>
      </c>
      <c r="P99" s="2">
        <f t="shared" si="77"/>
        <v>0</v>
      </c>
      <c r="Q99" s="2">
        <f t="shared" si="78"/>
        <v>0</v>
      </c>
      <c r="R99" s="2">
        <f t="shared" si="79"/>
        <v>0</v>
      </c>
      <c r="S99" s="2">
        <f t="shared" si="80"/>
        <v>0</v>
      </c>
      <c r="T99" s="2">
        <f t="shared" si="81"/>
        <v>0</v>
      </c>
      <c r="U99" s="2">
        <f t="shared" si="82"/>
        <v>0</v>
      </c>
      <c r="V99" s="2">
        <f t="shared" si="83"/>
        <v>0</v>
      </c>
      <c r="W99" s="2">
        <f t="shared" si="84"/>
        <v>0</v>
      </c>
      <c r="X99" s="2">
        <f t="shared" si="85"/>
        <v>0</v>
      </c>
      <c r="Y99" s="2">
        <f t="shared" si="86"/>
        <v>0</v>
      </c>
      <c r="Z99" s="2"/>
      <c r="AA99" s="2">
        <v>56622586</v>
      </c>
      <c r="AB99" s="2">
        <f t="shared" si="87"/>
        <v>500.14800000000002</v>
      </c>
      <c r="AC99" s="2">
        <f t="shared" si="88"/>
        <v>0</v>
      </c>
      <c r="AD99" s="2">
        <f t="shared" si="89"/>
        <v>417.74700000000001</v>
      </c>
      <c r="AE99" s="2">
        <f t="shared" si="90"/>
        <v>63.436999999999998</v>
      </c>
      <c r="AF99" s="2">
        <f t="shared" si="91"/>
        <v>82.400999999999996</v>
      </c>
      <c r="AG99" s="2">
        <f t="shared" si="92"/>
        <v>0</v>
      </c>
      <c r="AH99" s="2">
        <f t="shared" si="93"/>
        <v>6.6880000000000006</v>
      </c>
      <c r="AI99" s="2">
        <f t="shared" si="94"/>
        <v>0</v>
      </c>
      <c r="AJ99" s="2">
        <f t="shared" si="95"/>
        <v>0</v>
      </c>
      <c r="AK99" s="2">
        <v>454.68</v>
      </c>
      <c r="AL99" s="2">
        <v>0</v>
      </c>
      <c r="AM99" s="2">
        <v>379.77</v>
      </c>
      <c r="AN99" s="2">
        <v>57.67</v>
      </c>
      <c r="AO99" s="2">
        <v>74.91</v>
      </c>
      <c r="AP99" s="2">
        <v>0</v>
      </c>
      <c r="AQ99" s="2">
        <v>6.08</v>
      </c>
      <c r="AR99" s="2">
        <v>0</v>
      </c>
      <c r="AS99" s="2">
        <v>0</v>
      </c>
      <c r="AT99" s="2">
        <v>112</v>
      </c>
      <c r="AU99" s="2">
        <v>70</v>
      </c>
      <c r="AV99" s="2">
        <v>1.0669999999999999</v>
      </c>
      <c r="AW99" s="2">
        <v>1.081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0</v>
      </c>
      <c r="BI99" s="2">
        <v>2</v>
      </c>
      <c r="BJ99" s="2" t="s">
        <v>165</v>
      </c>
      <c r="BK99" s="2"/>
      <c r="BL99" s="2"/>
      <c r="BM99" s="2">
        <v>318</v>
      </c>
      <c r="BN99" s="2">
        <v>0</v>
      </c>
      <c r="BO99" s="2" t="s">
        <v>3</v>
      </c>
      <c r="BP99" s="2">
        <v>0</v>
      </c>
      <c r="BQ99" s="2">
        <v>40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112</v>
      </c>
      <c r="CA99" s="2">
        <v>70</v>
      </c>
      <c r="CB99" s="2" t="s">
        <v>3</v>
      </c>
      <c r="CC99" s="2"/>
      <c r="CD99" s="2"/>
      <c r="CE99" s="2">
        <v>30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671</v>
      </c>
      <c r="CO99" s="2">
        <v>0</v>
      </c>
      <c r="CP99" s="2">
        <f t="shared" si="96"/>
        <v>0</v>
      </c>
      <c r="CQ99" s="2">
        <f t="shared" si="97"/>
        <v>0</v>
      </c>
      <c r="CR99" s="2">
        <f t="shared" si="98"/>
        <v>445.74</v>
      </c>
      <c r="CS99" s="2">
        <f t="shared" si="99"/>
        <v>67.69</v>
      </c>
      <c r="CT99" s="2">
        <f t="shared" si="100"/>
        <v>87.92</v>
      </c>
      <c r="CU99" s="2">
        <f t="shared" si="101"/>
        <v>0</v>
      </c>
      <c r="CV99" s="2">
        <f t="shared" si="102"/>
        <v>7.1360960000000002</v>
      </c>
      <c r="CW99" s="2">
        <f t="shared" si="103"/>
        <v>0</v>
      </c>
      <c r="CX99" s="2">
        <f t="shared" si="104"/>
        <v>0</v>
      </c>
      <c r="CY99" s="2">
        <f>((S99*BZ99)/100)</f>
        <v>0</v>
      </c>
      <c r="CZ99" s="2">
        <f>((S99*CA99)/100)</f>
        <v>0</v>
      </c>
      <c r="DA99" s="2"/>
      <c r="DB99" s="2"/>
      <c r="DC99" s="2" t="s">
        <v>3</v>
      </c>
      <c r="DD99" s="2" t="s">
        <v>3</v>
      </c>
      <c r="DE99" s="2" t="s">
        <v>22</v>
      </c>
      <c r="DF99" s="2" t="s">
        <v>22</v>
      </c>
      <c r="DG99" s="2" t="s">
        <v>22</v>
      </c>
      <c r="DH99" s="2" t="s">
        <v>3</v>
      </c>
      <c r="DI99" s="2" t="s">
        <v>22</v>
      </c>
      <c r="DJ99" s="2" t="s">
        <v>22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1013</v>
      </c>
      <c r="DV99" s="2" t="s">
        <v>164</v>
      </c>
      <c r="DW99" s="2" t="s">
        <v>164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51696357</v>
      </c>
      <c r="EF99" s="2">
        <v>40</v>
      </c>
      <c r="EG99" s="2" t="s">
        <v>166</v>
      </c>
      <c r="EH99" s="2">
        <v>0</v>
      </c>
      <c r="EI99" s="2" t="s">
        <v>3</v>
      </c>
      <c r="EJ99" s="2">
        <v>2</v>
      </c>
      <c r="EK99" s="2">
        <v>318</v>
      </c>
      <c r="EL99" s="2" t="s">
        <v>167</v>
      </c>
      <c r="EM99" s="2" t="s">
        <v>168</v>
      </c>
      <c r="EN99" s="2"/>
      <c r="EO99" s="2" t="s">
        <v>25</v>
      </c>
      <c r="EP99" s="2"/>
      <c r="EQ99" s="2">
        <v>131072</v>
      </c>
      <c r="ER99" s="2">
        <v>454.68</v>
      </c>
      <c r="ES99" s="2">
        <v>0</v>
      </c>
      <c r="ET99" s="2">
        <v>379.77</v>
      </c>
      <c r="EU99" s="2">
        <v>57.67</v>
      </c>
      <c r="EV99" s="2">
        <v>74.91</v>
      </c>
      <c r="EW99" s="2">
        <v>6.08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v>0</v>
      </c>
      <c r="FS99" s="2">
        <v>0</v>
      </c>
      <c r="FT99" s="2"/>
      <c r="FU99" s="2"/>
      <c r="FV99" s="2"/>
      <c r="FW99" s="2"/>
      <c r="FX99" s="2">
        <v>112</v>
      </c>
      <c r="FY99" s="2">
        <v>70</v>
      </c>
      <c r="FZ99" s="2"/>
      <c r="GA99" s="2" t="s">
        <v>3</v>
      </c>
      <c r="GB99" s="2"/>
      <c r="GC99" s="2"/>
      <c r="GD99" s="2">
        <v>0</v>
      </c>
      <c r="GE99" s="2"/>
      <c r="GF99" s="2">
        <v>369100549</v>
      </c>
      <c r="GG99" s="2">
        <v>2</v>
      </c>
      <c r="GH99" s="2">
        <v>1</v>
      </c>
      <c r="GI99" s="2">
        <v>-2</v>
      </c>
      <c r="GJ99" s="2">
        <v>0</v>
      </c>
      <c r="GK99" s="2">
        <f>ROUND(R99*(R12)/100,2)</f>
        <v>0</v>
      </c>
      <c r="GL99" s="2">
        <f t="shared" si="105"/>
        <v>0</v>
      </c>
      <c r="GM99" s="2">
        <f t="shared" si="106"/>
        <v>0</v>
      </c>
      <c r="GN99" s="2">
        <f t="shared" si="107"/>
        <v>0</v>
      </c>
      <c r="GO99" s="2">
        <f t="shared" si="108"/>
        <v>0</v>
      </c>
      <c r="GP99" s="2">
        <f t="shared" si="109"/>
        <v>0</v>
      </c>
      <c r="GQ99" s="2"/>
      <c r="GR99" s="2">
        <v>0</v>
      </c>
      <c r="GS99" s="2">
        <v>0</v>
      </c>
      <c r="GT99" s="2">
        <v>0</v>
      </c>
      <c r="GU99" s="2" t="s">
        <v>3</v>
      </c>
      <c r="GV99" s="2">
        <f t="shared" si="110"/>
        <v>0</v>
      </c>
      <c r="GW99" s="2">
        <v>1</v>
      </c>
      <c r="GX99" s="2">
        <f t="shared" si="111"/>
        <v>0</v>
      </c>
      <c r="GY99" s="2"/>
      <c r="GZ99" s="2"/>
      <c r="HA99" s="2">
        <v>0</v>
      </c>
      <c r="HB99" s="2">
        <v>0</v>
      </c>
      <c r="HC99" s="2">
        <f t="shared" si="112"/>
        <v>0</v>
      </c>
      <c r="HD99" s="2"/>
      <c r="HE99" s="2" t="s">
        <v>3</v>
      </c>
      <c r="HF99" s="2" t="s">
        <v>3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">
      <c r="A100">
        <v>17</v>
      </c>
      <c r="B100">
        <v>1</v>
      </c>
      <c r="C100">
        <f>ROW(SmtRes!A86)</f>
        <v>86</v>
      </c>
      <c r="D100">
        <f>ROW(EtalonRes!A104)</f>
        <v>104</v>
      </c>
      <c r="E100" t="s">
        <v>169</v>
      </c>
      <c r="F100" t="s">
        <v>162</v>
      </c>
      <c r="G100" t="s">
        <v>163</v>
      </c>
      <c r="H100" t="s">
        <v>164</v>
      </c>
      <c r="I100">
        <v>0</v>
      </c>
      <c r="J100">
        <v>0</v>
      </c>
      <c r="K100">
        <v>0</v>
      </c>
      <c r="O100">
        <f t="shared" si="76"/>
        <v>0</v>
      </c>
      <c r="P100">
        <f t="shared" si="77"/>
        <v>0</v>
      </c>
      <c r="Q100">
        <f t="shared" si="78"/>
        <v>0</v>
      </c>
      <c r="R100">
        <f t="shared" si="79"/>
        <v>0</v>
      </c>
      <c r="S100">
        <f t="shared" si="80"/>
        <v>0</v>
      </c>
      <c r="T100">
        <f t="shared" si="81"/>
        <v>0</v>
      </c>
      <c r="U100">
        <f t="shared" si="82"/>
        <v>0</v>
      </c>
      <c r="V100">
        <f t="shared" si="83"/>
        <v>0</v>
      </c>
      <c r="W100">
        <f t="shared" si="84"/>
        <v>0</v>
      </c>
      <c r="X100">
        <f t="shared" si="85"/>
        <v>0</v>
      </c>
      <c r="Y100">
        <f t="shared" si="86"/>
        <v>0</v>
      </c>
      <c r="AA100">
        <v>56616093</v>
      </c>
      <c r="AB100">
        <f t="shared" si="87"/>
        <v>500.14800000000002</v>
      </c>
      <c r="AC100">
        <f t="shared" si="88"/>
        <v>0</v>
      </c>
      <c r="AD100">
        <f t="shared" si="89"/>
        <v>417.74700000000001</v>
      </c>
      <c r="AE100">
        <f t="shared" si="90"/>
        <v>63.436999999999998</v>
      </c>
      <c r="AF100">
        <f t="shared" si="91"/>
        <v>82.400999999999996</v>
      </c>
      <c r="AG100">
        <f t="shared" si="92"/>
        <v>0</v>
      </c>
      <c r="AH100">
        <f t="shared" si="93"/>
        <v>6.6880000000000006</v>
      </c>
      <c r="AI100">
        <f t="shared" si="94"/>
        <v>0</v>
      </c>
      <c r="AJ100">
        <f t="shared" si="95"/>
        <v>0</v>
      </c>
      <c r="AK100">
        <v>454.68</v>
      </c>
      <c r="AL100">
        <v>0</v>
      </c>
      <c r="AM100">
        <v>379.77</v>
      </c>
      <c r="AN100">
        <v>57.67</v>
      </c>
      <c r="AO100">
        <v>74.91</v>
      </c>
      <c r="AP100">
        <v>0</v>
      </c>
      <c r="AQ100">
        <v>6.08</v>
      </c>
      <c r="AR100">
        <v>0</v>
      </c>
      <c r="AS100">
        <v>0</v>
      </c>
      <c r="AT100">
        <v>92</v>
      </c>
      <c r="AU100">
        <v>43</v>
      </c>
      <c r="AV100">
        <v>1.0669999999999999</v>
      </c>
      <c r="AW100">
        <v>1.081</v>
      </c>
      <c r="AZ100">
        <v>1</v>
      </c>
      <c r="BA100">
        <v>34.51</v>
      </c>
      <c r="BB100">
        <v>12.86</v>
      </c>
      <c r="BC100">
        <v>1</v>
      </c>
      <c r="BD100" t="s">
        <v>3</v>
      </c>
      <c r="BE100" t="s">
        <v>3</v>
      </c>
      <c r="BF100" t="s">
        <v>3</v>
      </c>
      <c r="BG100" t="s">
        <v>3</v>
      </c>
      <c r="BH100">
        <v>0</v>
      </c>
      <c r="BI100">
        <v>2</v>
      </c>
      <c r="BJ100" t="s">
        <v>165</v>
      </c>
      <c r="BM100">
        <v>318</v>
      </c>
      <c r="BN100">
        <v>0</v>
      </c>
      <c r="BO100" t="s">
        <v>162</v>
      </c>
      <c r="BP100">
        <v>1</v>
      </c>
      <c r="BQ100">
        <v>40</v>
      </c>
      <c r="BR100">
        <v>0</v>
      </c>
      <c r="BS100">
        <v>34.51</v>
      </c>
      <c r="BT100">
        <v>1</v>
      </c>
      <c r="BU100">
        <v>1</v>
      </c>
      <c r="BV100">
        <v>1</v>
      </c>
      <c r="BW100">
        <v>1</v>
      </c>
      <c r="BX100">
        <v>1</v>
      </c>
      <c r="BY100" t="s">
        <v>3</v>
      </c>
      <c r="BZ100">
        <v>92</v>
      </c>
      <c r="CA100">
        <v>43</v>
      </c>
      <c r="CB100" t="s">
        <v>3</v>
      </c>
      <c r="CE100">
        <v>30</v>
      </c>
      <c r="CF100">
        <v>0</v>
      </c>
      <c r="CG100">
        <v>0</v>
      </c>
      <c r="CM100">
        <v>0</v>
      </c>
      <c r="CN100" t="s">
        <v>671</v>
      </c>
      <c r="CO100">
        <v>0</v>
      </c>
      <c r="CP100">
        <f t="shared" si="96"/>
        <v>0</v>
      </c>
      <c r="CQ100">
        <f t="shared" si="97"/>
        <v>0</v>
      </c>
      <c r="CR100">
        <f t="shared" si="98"/>
        <v>5732.22</v>
      </c>
      <c r="CS100">
        <f t="shared" si="99"/>
        <v>2335.98</v>
      </c>
      <c r="CT100">
        <f t="shared" si="100"/>
        <v>3034.12</v>
      </c>
      <c r="CU100">
        <f t="shared" si="101"/>
        <v>0</v>
      </c>
      <c r="CV100">
        <f t="shared" si="102"/>
        <v>7.1360960000000002</v>
      </c>
      <c r="CW100">
        <f t="shared" si="103"/>
        <v>0</v>
      </c>
      <c r="CX100">
        <f t="shared" si="104"/>
        <v>0</v>
      </c>
      <c r="CY100">
        <f>S100*(BZ100/100)</f>
        <v>0</v>
      </c>
      <c r="CZ100">
        <f>S100*(CA100/100)</f>
        <v>0</v>
      </c>
      <c r="DC100" t="s">
        <v>3</v>
      </c>
      <c r="DD100" t="s">
        <v>3</v>
      </c>
      <c r="DE100" t="s">
        <v>22</v>
      </c>
      <c r="DF100" t="s">
        <v>22</v>
      </c>
      <c r="DG100" t="s">
        <v>22</v>
      </c>
      <c r="DH100" t="s">
        <v>3</v>
      </c>
      <c r="DI100" t="s">
        <v>22</v>
      </c>
      <c r="DJ100" t="s">
        <v>22</v>
      </c>
      <c r="DK100" t="s">
        <v>3</v>
      </c>
      <c r="DL100" t="s">
        <v>3</v>
      </c>
      <c r="DM100" t="s">
        <v>3</v>
      </c>
      <c r="DN100">
        <v>112</v>
      </c>
      <c r="DO100">
        <v>70</v>
      </c>
      <c r="DP100">
        <v>1.0669999999999999</v>
      </c>
      <c r="DQ100">
        <v>1.081</v>
      </c>
      <c r="DU100">
        <v>1013</v>
      </c>
      <c r="DV100" t="s">
        <v>164</v>
      </c>
      <c r="DW100" t="s">
        <v>164</v>
      </c>
      <c r="DX100">
        <v>1</v>
      </c>
      <c r="DZ100" t="s">
        <v>3</v>
      </c>
      <c r="EA100" t="s">
        <v>3</v>
      </c>
      <c r="EB100" t="s">
        <v>3</v>
      </c>
      <c r="EC100" t="s">
        <v>3</v>
      </c>
      <c r="EE100">
        <v>51696357</v>
      </c>
      <c r="EF100">
        <v>40</v>
      </c>
      <c r="EG100" t="s">
        <v>166</v>
      </c>
      <c r="EH100">
        <v>0</v>
      </c>
      <c r="EI100" t="s">
        <v>3</v>
      </c>
      <c r="EJ100">
        <v>2</v>
      </c>
      <c r="EK100">
        <v>318</v>
      </c>
      <c r="EL100" t="s">
        <v>167</v>
      </c>
      <c r="EM100" t="s">
        <v>168</v>
      </c>
      <c r="EO100" t="s">
        <v>25</v>
      </c>
      <c r="EQ100">
        <v>131072</v>
      </c>
      <c r="ER100">
        <v>454.68</v>
      </c>
      <c r="ES100">
        <v>0</v>
      </c>
      <c r="ET100">
        <v>379.77</v>
      </c>
      <c r="EU100">
        <v>57.67</v>
      </c>
      <c r="EV100">
        <v>74.91</v>
      </c>
      <c r="EW100">
        <v>6.08</v>
      </c>
      <c r="EX100">
        <v>0</v>
      </c>
      <c r="EY100">
        <v>0</v>
      </c>
      <c r="FQ100">
        <v>0</v>
      </c>
      <c r="FR100">
        <v>0</v>
      </c>
      <c r="FS100">
        <v>0</v>
      </c>
      <c r="FX100">
        <v>112</v>
      </c>
      <c r="FY100">
        <v>70</v>
      </c>
      <c r="GA100" t="s">
        <v>3</v>
      </c>
      <c r="GD100">
        <v>0</v>
      </c>
      <c r="GF100">
        <v>369100549</v>
      </c>
      <c r="GG100">
        <v>2</v>
      </c>
      <c r="GH100">
        <v>1</v>
      </c>
      <c r="GI100">
        <v>2</v>
      </c>
      <c r="GJ100">
        <v>0</v>
      </c>
      <c r="GK100">
        <f>ROUND(R100*(S12)/100,2)</f>
        <v>0</v>
      </c>
      <c r="GL100">
        <f t="shared" si="105"/>
        <v>0</v>
      </c>
      <c r="GM100">
        <f t="shared" si="106"/>
        <v>0</v>
      </c>
      <c r="GN100">
        <f t="shared" si="107"/>
        <v>0</v>
      </c>
      <c r="GO100">
        <f t="shared" si="108"/>
        <v>0</v>
      </c>
      <c r="GP100">
        <f t="shared" si="109"/>
        <v>0</v>
      </c>
      <c r="GR100">
        <v>0</v>
      </c>
      <c r="GS100">
        <v>3</v>
      </c>
      <c r="GT100">
        <v>0</v>
      </c>
      <c r="GU100" t="s">
        <v>3</v>
      </c>
      <c r="GV100">
        <f t="shared" si="110"/>
        <v>0</v>
      </c>
      <c r="GW100">
        <v>1</v>
      </c>
      <c r="GX100">
        <f t="shared" si="111"/>
        <v>0</v>
      </c>
      <c r="HA100">
        <v>0</v>
      </c>
      <c r="HB100">
        <v>0</v>
      </c>
      <c r="HC100">
        <f t="shared" si="112"/>
        <v>0</v>
      </c>
      <c r="HE100" t="s">
        <v>3</v>
      </c>
      <c r="HF100" t="s">
        <v>3</v>
      </c>
      <c r="HM100" t="s">
        <v>3</v>
      </c>
      <c r="HN100" t="s">
        <v>3</v>
      </c>
      <c r="HO100" t="s">
        <v>3</v>
      </c>
      <c r="HP100" t="s">
        <v>3</v>
      </c>
      <c r="HQ100" t="s">
        <v>3</v>
      </c>
      <c r="HS100">
        <v>0</v>
      </c>
      <c r="IK100">
        <v>0</v>
      </c>
    </row>
    <row r="101" spans="1:255" x14ac:dyDescent="0.2">
      <c r="A101" s="2">
        <v>17</v>
      </c>
      <c r="B101" s="2">
        <v>1</v>
      </c>
      <c r="C101" s="2">
        <f>ROW(SmtRes!A87)</f>
        <v>87</v>
      </c>
      <c r="D101" s="2">
        <f>ROW(EtalonRes!A107)</f>
        <v>107</v>
      </c>
      <c r="E101" s="2" t="s">
        <v>170</v>
      </c>
      <c r="F101" s="2" t="s">
        <v>171</v>
      </c>
      <c r="G101" s="2" t="s">
        <v>172</v>
      </c>
      <c r="H101" s="2" t="s">
        <v>164</v>
      </c>
      <c r="I101" s="2">
        <v>0</v>
      </c>
      <c r="J101" s="2">
        <v>0</v>
      </c>
      <c r="K101" s="2">
        <v>0</v>
      </c>
      <c r="L101" s="2"/>
      <c r="M101" s="2"/>
      <c r="N101" s="2"/>
      <c r="O101" s="2">
        <f t="shared" si="76"/>
        <v>0</v>
      </c>
      <c r="P101" s="2">
        <f t="shared" si="77"/>
        <v>0</v>
      </c>
      <c r="Q101" s="2">
        <f t="shared" si="78"/>
        <v>0</v>
      </c>
      <c r="R101" s="2">
        <f t="shared" si="79"/>
        <v>0</v>
      </c>
      <c r="S101" s="2">
        <f t="shared" si="80"/>
        <v>0</v>
      </c>
      <c r="T101" s="2">
        <f t="shared" si="81"/>
        <v>0</v>
      </c>
      <c r="U101" s="2">
        <f t="shared" si="82"/>
        <v>0</v>
      </c>
      <c r="V101" s="2">
        <f t="shared" si="83"/>
        <v>0</v>
      </c>
      <c r="W101" s="2">
        <f t="shared" si="84"/>
        <v>0</v>
      </c>
      <c r="X101" s="2">
        <f t="shared" si="85"/>
        <v>0</v>
      </c>
      <c r="Y101" s="2">
        <f t="shared" si="86"/>
        <v>0</v>
      </c>
      <c r="Z101" s="2"/>
      <c r="AA101" s="2">
        <v>56622586</v>
      </c>
      <c r="AB101" s="2">
        <f t="shared" si="87"/>
        <v>150.64500000000001</v>
      </c>
      <c r="AC101" s="2">
        <f t="shared" si="88"/>
        <v>0</v>
      </c>
      <c r="AD101" s="2">
        <f t="shared" si="89"/>
        <v>119.746</v>
      </c>
      <c r="AE101" s="2">
        <f t="shared" si="90"/>
        <v>18.183</v>
      </c>
      <c r="AF101" s="2">
        <f t="shared" si="91"/>
        <v>30.899000000000001</v>
      </c>
      <c r="AG101" s="2">
        <f t="shared" si="92"/>
        <v>0</v>
      </c>
      <c r="AH101" s="2">
        <f t="shared" si="93"/>
        <v>2.508</v>
      </c>
      <c r="AI101" s="2">
        <f t="shared" si="94"/>
        <v>0</v>
      </c>
      <c r="AJ101" s="2">
        <f t="shared" si="95"/>
        <v>0</v>
      </c>
      <c r="AK101" s="2">
        <v>136.94999999999999</v>
      </c>
      <c r="AL101" s="2">
        <v>0</v>
      </c>
      <c r="AM101" s="2">
        <v>108.86</v>
      </c>
      <c r="AN101" s="2">
        <v>16.53</v>
      </c>
      <c r="AO101" s="2">
        <v>28.09</v>
      </c>
      <c r="AP101" s="2">
        <v>0</v>
      </c>
      <c r="AQ101" s="2">
        <v>2.2799999999999998</v>
      </c>
      <c r="AR101" s="2">
        <v>0</v>
      </c>
      <c r="AS101" s="2">
        <v>0</v>
      </c>
      <c r="AT101" s="2">
        <v>112</v>
      </c>
      <c r="AU101" s="2">
        <v>70</v>
      </c>
      <c r="AV101" s="2">
        <v>1.0669999999999999</v>
      </c>
      <c r="AW101" s="2">
        <v>1.081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0</v>
      </c>
      <c r="BI101" s="2">
        <v>2</v>
      </c>
      <c r="BJ101" s="2" t="s">
        <v>173</v>
      </c>
      <c r="BK101" s="2"/>
      <c r="BL101" s="2"/>
      <c r="BM101" s="2">
        <v>318</v>
      </c>
      <c r="BN101" s="2">
        <v>0</v>
      </c>
      <c r="BO101" s="2" t="s">
        <v>3</v>
      </c>
      <c r="BP101" s="2">
        <v>0</v>
      </c>
      <c r="BQ101" s="2">
        <v>40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112</v>
      </c>
      <c r="CA101" s="2">
        <v>70</v>
      </c>
      <c r="CB101" s="2" t="s">
        <v>3</v>
      </c>
      <c r="CC101" s="2"/>
      <c r="CD101" s="2"/>
      <c r="CE101" s="2">
        <v>30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671</v>
      </c>
      <c r="CO101" s="2">
        <v>0</v>
      </c>
      <c r="CP101" s="2">
        <f t="shared" si="96"/>
        <v>0</v>
      </c>
      <c r="CQ101" s="2">
        <f t="shared" si="97"/>
        <v>0</v>
      </c>
      <c r="CR101" s="2">
        <f t="shared" si="98"/>
        <v>127.77</v>
      </c>
      <c r="CS101" s="2">
        <f t="shared" si="99"/>
        <v>19.399999999999999</v>
      </c>
      <c r="CT101" s="2">
        <f t="shared" si="100"/>
        <v>32.97</v>
      </c>
      <c r="CU101" s="2">
        <f t="shared" si="101"/>
        <v>0</v>
      </c>
      <c r="CV101" s="2">
        <f t="shared" si="102"/>
        <v>2.6760359999999999</v>
      </c>
      <c r="CW101" s="2">
        <f t="shared" si="103"/>
        <v>0</v>
      </c>
      <c r="CX101" s="2">
        <f t="shared" si="104"/>
        <v>0</v>
      </c>
      <c r="CY101" s="2">
        <f>((S101*BZ101)/100)</f>
        <v>0</v>
      </c>
      <c r="CZ101" s="2">
        <f>((S101*CA101)/100)</f>
        <v>0</v>
      </c>
      <c r="DA101" s="2"/>
      <c r="DB101" s="2"/>
      <c r="DC101" s="2" t="s">
        <v>3</v>
      </c>
      <c r="DD101" s="2" t="s">
        <v>3</v>
      </c>
      <c r="DE101" s="2" t="s">
        <v>22</v>
      </c>
      <c r="DF101" s="2" t="s">
        <v>22</v>
      </c>
      <c r="DG101" s="2" t="s">
        <v>22</v>
      </c>
      <c r="DH101" s="2" t="s">
        <v>3</v>
      </c>
      <c r="DI101" s="2" t="s">
        <v>22</v>
      </c>
      <c r="DJ101" s="2" t="s">
        <v>22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1013</v>
      </c>
      <c r="DV101" s="2" t="s">
        <v>164</v>
      </c>
      <c r="DW101" s="2" t="s">
        <v>164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51696357</v>
      </c>
      <c r="EF101" s="2">
        <v>40</v>
      </c>
      <c r="EG101" s="2" t="s">
        <v>166</v>
      </c>
      <c r="EH101" s="2">
        <v>0</v>
      </c>
      <c r="EI101" s="2" t="s">
        <v>3</v>
      </c>
      <c r="EJ101" s="2">
        <v>2</v>
      </c>
      <c r="EK101" s="2">
        <v>318</v>
      </c>
      <c r="EL101" s="2" t="s">
        <v>167</v>
      </c>
      <c r="EM101" s="2" t="s">
        <v>168</v>
      </c>
      <c r="EN101" s="2"/>
      <c r="EO101" s="2" t="s">
        <v>25</v>
      </c>
      <c r="EP101" s="2"/>
      <c r="EQ101" s="2">
        <v>131072</v>
      </c>
      <c r="ER101" s="2">
        <v>136.94999999999999</v>
      </c>
      <c r="ES101" s="2">
        <v>0</v>
      </c>
      <c r="ET101" s="2">
        <v>108.86</v>
      </c>
      <c r="EU101" s="2">
        <v>16.53</v>
      </c>
      <c r="EV101" s="2">
        <v>28.09</v>
      </c>
      <c r="EW101" s="2">
        <v>2.2799999999999998</v>
      </c>
      <c r="EX101" s="2">
        <v>0</v>
      </c>
      <c r="EY101" s="2">
        <v>0</v>
      </c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0</v>
      </c>
      <c r="FT101" s="2"/>
      <c r="FU101" s="2"/>
      <c r="FV101" s="2"/>
      <c r="FW101" s="2"/>
      <c r="FX101" s="2">
        <v>112</v>
      </c>
      <c r="FY101" s="2">
        <v>70</v>
      </c>
      <c r="FZ101" s="2"/>
      <c r="GA101" s="2" t="s">
        <v>3</v>
      </c>
      <c r="GB101" s="2"/>
      <c r="GC101" s="2"/>
      <c r="GD101" s="2">
        <v>0</v>
      </c>
      <c r="GE101" s="2"/>
      <c r="GF101" s="2">
        <v>-2050852561</v>
      </c>
      <c r="GG101" s="2">
        <v>2</v>
      </c>
      <c r="GH101" s="2">
        <v>1</v>
      </c>
      <c r="GI101" s="2">
        <v>-2</v>
      </c>
      <c r="GJ101" s="2">
        <v>0</v>
      </c>
      <c r="GK101" s="2">
        <f>ROUND(R101*(R12)/100,2)</f>
        <v>0</v>
      </c>
      <c r="GL101" s="2">
        <f t="shared" si="105"/>
        <v>0</v>
      </c>
      <c r="GM101" s="2">
        <f t="shared" si="106"/>
        <v>0</v>
      </c>
      <c r="GN101" s="2">
        <f t="shared" si="107"/>
        <v>0</v>
      </c>
      <c r="GO101" s="2">
        <f t="shared" si="108"/>
        <v>0</v>
      </c>
      <c r="GP101" s="2">
        <f t="shared" si="109"/>
        <v>0</v>
      </c>
      <c r="GQ101" s="2"/>
      <c r="GR101" s="2">
        <v>0</v>
      </c>
      <c r="GS101" s="2">
        <v>0</v>
      </c>
      <c r="GT101" s="2">
        <v>0</v>
      </c>
      <c r="GU101" s="2" t="s">
        <v>3</v>
      </c>
      <c r="GV101" s="2">
        <f t="shared" si="110"/>
        <v>0</v>
      </c>
      <c r="GW101" s="2">
        <v>1</v>
      </c>
      <c r="GX101" s="2">
        <f t="shared" si="111"/>
        <v>0</v>
      </c>
      <c r="GY101" s="2"/>
      <c r="GZ101" s="2"/>
      <c r="HA101" s="2">
        <v>0</v>
      </c>
      <c r="HB101" s="2">
        <v>0</v>
      </c>
      <c r="HC101" s="2">
        <f t="shared" si="112"/>
        <v>0</v>
      </c>
      <c r="HD101" s="2"/>
      <c r="HE101" s="2" t="s">
        <v>3</v>
      </c>
      <c r="HF101" s="2" t="s">
        <v>3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">
      <c r="A102">
        <v>17</v>
      </c>
      <c r="B102">
        <v>1</v>
      </c>
      <c r="C102">
        <f>ROW(SmtRes!A88)</f>
        <v>88</v>
      </c>
      <c r="D102">
        <f>ROW(EtalonRes!A110)</f>
        <v>110</v>
      </c>
      <c r="E102" t="s">
        <v>170</v>
      </c>
      <c r="F102" t="s">
        <v>171</v>
      </c>
      <c r="G102" t="s">
        <v>172</v>
      </c>
      <c r="H102" t="s">
        <v>164</v>
      </c>
      <c r="I102">
        <v>0</v>
      </c>
      <c r="J102">
        <v>0</v>
      </c>
      <c r="K102">
        <v>0</v>
      </c>
      <c r="O102">
        <f t="shared" si="76"/>
        <v>0</v>
      </c>
      <c r="P102">
        <f t="shared" si="77"/>
        <v>0</v>
      </c>
      <c r="Q102">
        <f t="shared" si="78"/>
        <v>0</v>
      </c>
      <c r="R102">
        <f t="shared" si="79"/>
        <v>0</v>
      </c>
      <c r="S102">
        <f t="shared" si="80"/>
        <v>0</v>
      </c>
      <c r="T102">
        <f t="shared" si="81"/>
        <v>0</v>
      </c>
      <c r="U102">
        <f t="shared" si="82"/>
        <v>0</v>
      </c>
      <c r="V102">
        <f t="shared" si="83"/>
        <v>0</v>
      </c>
      <c r="W102">
        <f t="shared" si="84"/>
        <v>0</v>
      </c>
      <c r="X102">
        <f t="shared" si="85"/>
        <v>0</v>
      </c>
      <c r="Y102">
        <f t="shared" si="86"/>
        <v>0</v>
      </c>
      <c r="AA102">
        <v>56616093</v>
      </c>
      <c r="AB102">
        <f t="shared" si="87"/>
        <v>150.64500000000001</v>
      </c>
      <c r="AC102">
        <f t="shared" si="88"/>
        <v>0</v>
      </c>
      <c r="AD102">
        <f t="shared" si="89"/>
        <v>119.746</v>
      </c>
      <c r="AE102">
        <f t="shared" si="90"/>
        <v>18.183</v>
      </c>
      <c r="AF102">
        <f t="shared" si="91"/>
        <v>30.899000000000001</v>
      </c>
      <c r="AG102">
        <f t="shared" si="92"/>
        <v>0</v>
      </c>
      <c r="AH102">
        <f t="shared" si="93"/>
        <v>2.508</v>
      </c>
      <c r="AI102">
        <f t="shared" si="94"/>
        <v>0</v>
      </c>
      <c r="AJ102">
        <f t="shared" si="95"/>
        <v>0</v>
      </c>
      <c r="AK102">
        <v>136.94999999999999</v>
      </c>
      <c r="AL102">
        <v>0</v>
      </c>
      <c r="AM102">
        <v>108.86</v>
      </c>
      <c r="AN102">
        <v>16.53</v>
      </c>
      <c r="AO102">
        <v>28.09</v>
      </c>
      <c r="AP102">
        <v>0</v>
      </c>
      <c r="AQ102">
        <v>2.2799999999999998</v>
      </c>
      <c r="AR102">
        <v>0</v>
      </c>
      <c r="AS102">
        <v>0</v>
      </c>
      <c r="AT102">
        <v>92</v>
      </c>
      <c r="AU102">
        <v>43</v>
      </c>
      <c r="AV102">
        <v>1.0669999999999999</v>
      </c>
      <c r="AW102">
        <v>1.081</v>
      </c>
      <c r="AZ102">
        <v>1</v>
      </c>
      <c r="BA102">
        <v>34.51</v>
      </c>
      <c r="BB102">
        <v>12.86</v>
      </c>
      <c r="BC102">
        <v>1</v>
      </c>
      <c r="BD102" t="s">
        <v>3</v>
      </c>
      <c r="BE102" t="s">
        <v>3</v>
      </c>
      <c r="BF102" t="s">
        <v>3</v>
      </c>
      <c r="BG102" t="s">
        <v>3</v>
      </c>
      <c r="BH102">
        <v>0</v>
      </c>
      <c r="BI102">
        <v>2</v>
      </c>
      <c r="BJ102" t="s">
        <v>173</v>
      </c>
      <c r="BM102">
        <v>318</v>
      </c>
      <c r="BN102">
        <v>0</v>
      </c>
      <c r="BO102" t="s">
        <v>171</v>
      </c>
      <c r="BP102">
        <v>1</v>
      </c>
      <c r="BQ102">
        <v>40</v>
      </c>
      <c r="BR102">
        <v>0</v>
      </c>
      <c r="BS102">
        <v>34.51</v>
      </c>
      <c r="BT102">
        <v>1</v>
      </c>
      <c r="BU102">
        <v>1</v>
      </c>
      <c r="BV102">
        <v>1</v>
      </c>
      <c r="BW102">
        <v>1</v>
      </c>
      <c r="BX102">
        <v>1</v>
      </c>
      <c r="BY102" t="s">
        <v>3</v>
      </c>
      <c r="BZ102">
        <v>92</v>
      </c>
      <c r="CA102">
        <v>43</v>
      </c>
      <c r="CB102" t="s">
        <v>3</v>
      </c>
      <c r="CE102">
        <v>30</v>
      </c>
      <c r="CF102">
        <v>0</v>
      </c>
      <c r="CG102">
        <v>0</v>
      </c>
      <c r="CM102">
        <v>0</v>
      </c>
      <c r="CN102" t="s">
        <v>671</v>
      </c>
      <c r="CO102">
        <v>0</v>
      </c>
      <c r="CP102">
        <f t="shared" si="96"/>
        <v>0</v>
      </c>
      <c r="CQ102">
        <f t="shared" si="97"/>
        <v>0</v>
      </c>
      <c r="CR102">
        <f t="shared" si="98"/>
        <v>1643.12</v>
      </c>
      <c r="CS102">
        <f t="shared" si="99"/>
        <v>669.49</v>
      </c>
      <c r="CT102">
        <f t="shared" si="100"/>
        <v>1137.79</v>
      </c>
      <c r="CU102">
        <f t="shared" si="101"/>
        <v>0</v>
      </c>
      <c r="CV102">
        <f t="shared" si="102"/>
        <v>2.6760359999999999</v>
      </c>
      <c r="CW102">
        <f t="shared" si="103"/>
        <v>0</v>
      </c>
      <c r="CX102">
        <f t="shared" si="104"/>
        <v>0</v>
      </c>
      <c r="CY102">
        <f>S102*(BZ102/100)</f>
        <v>0</v>
      </c>
      <c r="CZ102">
        <f>S102*(CA102/100)</f>
        <v>0</v>
      </c>
      <c r="DC102" t="s">
        <v>3</v>
      </c>
      <c r="DD102" t="s">
        <v>3</v>
      </c>
      <c r="DE102" t="s">
        <v>22</v>
      </c>
      <c r="DF102" t="s">
        <v>22</v>
      </c>
      <c r="DG102" t="s">
        <v>22</v>
      </c>
      <c r="DH102" t="s">
        <v>3</v>
      </c>
      <c r="DI102" t="s">
        <v>22</v>
      </c>
      <c r="DJ102" t="s">
        <v>22</v>
      </c>
      <c r="DK102" t="s">
        <v>3</v>
      </c>
      <c r="DL102" t="s">
        <v>3</v>
      </c>
      <c r="DM102" t="s">
        <v>3</v>
      </c>
      <c r="DN102">
        <v>112</v>
      </c>
      <c r="DO102">
        <v>70</v>
      </c>
      <c r="DP102">
        <v>1.0669999999999999</v>
      </c>
      <c r="DQ102">
        <v>1.081</v>
      </c>
      <c r="DU102">
        <v>1013</v>
      </c>
      <c r="DV102" t="s">
        <v>164</v>
      </c>
      <c r="DW102" t="s">
        <v>164</v>
      </c>
      <c r="DX102">
        <v>1</v>
      </c>
      <c r="DZ102" t="s">
        <v>3</v>
      </c>
      <c r="EA102" t="s">
        <v>3</v>
      </c>
      <c r="EB102" t="s">
        <v>3</v>
      </c>
      <c r="EC102" t="s">
        <v>3</v>
      </c>
      <c r="EE102">
        <v>51696357</v>
      </c>
      <c r="EF102">
        <v>40</v>
      </c>
      <c r="EG102" t="s">
        <v>166</v>
      </c>
      <c r="EH102">
        <v>0</v>
      </c>
      <c r="EI102" t="s">
        <v>3</v>
      </c>
      <c r="EJ102">
        <v>2</v>
      </c>
      <c r="EK102">
        <v>318</v>
      </c>
      <c r="EL102" t="s">
        <v>167</v>
      </c>
      <c r="EM102" t="s">
        <v>168</v>
      </c>
      <c r="EO102" t="s">
        <v>25</v>
      </c>
      <c r="EQ102">
        <v>131072</v>
      </c>
      <c r="ER102">
        <v>136.94999999999999</v>
      </c>
      <c r="ES102">
        <v>0</v>
      </c>
      <c r="ET102">
        <v>108.86</v>
      </c>
      <c r="EU102">
        <v>16.53</v>
      </c>
      <c r="EV102">
        <v>28.09</v>
      </c>
      <c r="EW102">
        <v>2.2799999999999998</v>
      </c>
      <c r="EX102">
        <v>0</v>
      </c>
      <c r="EY102">
        <v>0</v>
      </c>
      <c r="FQ102">
        <v>0</v>
      </c>
      <c r="FR102">
        <v>0</v>
      </c>
      <c r="FS102">
        <v>0</v>
      </c>
      <c r="FX102">
        <v>112</v>
      </c>
      <c r="FY102">
        <v>70</v>
      </c>
      <c r="GA102" t="s">
        <v>3</v>
      </c>
      <c r="GD102">
        <v>0</v>
      </c>
      <c r="GF102">
        <v>-2050852561</v>
      </c>
      <c r="GG102">
        <v>2</v>
      </c>
      <c r="GH102">
        <v>1</v>
      </c>
      <c r="GI102">
        <v>2</v>
      </c>
      <c r="GJ102">
        <v>0</v>
      </c>
      <c r="GK102">
        <f>ROUND(R102*(S12)/100,2)</f>
        <v>0</v>
      </c>
      <c r="GL102">
        <f t="shared" si="105"/>
        <v>0</v>
      </c>
      <c r="GM102">
        <f t="shared" si="106"/>
        <v>0</v>
      </c>
      <c r="GN102">
        <f t="shared" si="107"/>
        <v>0</v>
      </c>
      <c r="GO102">
        <f t="shared" si="108"/>
        <v>0</v>
      </c>
      <c r="GP102">
        <f t="shared" si="109"/>
        <v>0</v>
      </c>
      <c r="GR102">
        <v>0</v>
      </c>
      <c r="GS102">
        <v>3</v>
      </c>
      <c r="GT102">
        <v>0</v>
      </c>
      <c r="GU102" t="s">
        <v>3</v>
      </c>
      <c r="GV102">
        <f t="shared" si="110"/>
        <v>0</v>
      </c>
      <c r="GW102">
        <v>1</v>
      </c>
      <c r="GX102">
        <f t="shared" si="111"/>
        <v>0</v>
      </c>
      <c r="HA102">
        <v>0</v>
      </c>
      <c r="HB102">
        <v>0</v>
      </c>
      <c r="HC102">
        <f t="shared" si="112"/>
        <v>0</v>
      </c>
      <c r="HE102" t="s">
        <v>3</v>
      </c>
      <c r="HF102" t="s">
        <v>3</v>
      </c>
      <c r="HM102" t="s">
        <v>3</v>
      </c>
      <c r="HN102" t="s">
        <v>3</v>
      </c>
      <c r="HO102" t="s">
        <v>3</v>
      </c>
      <c r="HP102" t="s">
        <v>3</v>
      </c>
      <c r="HQ102" t="s">
        <v>3</v>
      </c>
      <c r="HS102">
        <v>0</v>
      </c>
      <c r="IK102">
        <v>0</v>
      </c>
    </row>
    <row r="103" spans="1:255" x14ac:dyDescent="0.2">
      <c r="A103" s="2">
        <v>17</v>
      </c>
      <c r="B103" s="2">
        <v>1</v>
      </c>
      <c r="C103" s="2">
        <f>ROW(SmtRes!A89)</f>
        <v>89</v>
      </c>
      <c r="D103" s="2">
        <f>ROW(EtalonRes!A113)</f>
        <v>113</v>
      </c>
      <c r="E103" s="2" t="s">
        <v>174</v>
      </c>
      <c r="F103" s="2" t="s">
        <v>171</v>
      </c>
      <c r="G103" s="2" t="s">
        <v>172</v>
      </c>
      <c r="H103" s="2" t="s">
        <v>164</v>
      </c>
      <c r="I103" s="2">
        <v>0</v>
      </c>
      <c r="J103" s="2">
        <v>0</v>
      </c>
      <c r="K103" s="2">
        <v>0</v>
      </c>
      <c r="L103" s="2"/>
      <c r="M103" s="2"/>
      <c r="N103" s="2"/>
      <c r="O103" s="2">
        <f t="shared" si="76"/>
        <v>0</v>
      </c>
      <c r="P103" s="2">
        <f t="shared" si="77"/>
        <v>0</v>
      </c>
      <c r="Q103" s="2">
        <f t="shared" si="78"/>
        <v>0</v>
      </c>
      <c r="R103" s="2">
        <f t="shared" si="79"/>
        <v>0</v>
      </c>
      <c r="S103" s="2">
        <f t="shared" si="80"/>
        <v>0</v>
      </c>
      <c r="T103" s="2">
        <f t="shared" si="81"/>
        <v>0</v>
      </c>
      <c r="U103" s="2">
        <f t="shared" si="82"/>
        <v>0</v>
      </c>
      <c r="V103" s="2">
        <f t="shared" si="83"/>
        <v>0</v>
      </c>
      <c r="W103" s="2">
        <f t="shared" si="84"/>
        <v>0</v>
      </c>
      <c r="X103" s="2">
        <f t="shared" si="85"/>
        <v>0</v>
      </c>
      <c r="Y103" s="2">
        <f t="shared" si="86"/>
        <v>0</v>
      </c>
      <c r="Z103" s="2"/>
      <c r="AA103" s="2">
        <v>56622586</v>
      </c>
      <c r="AB103" s="2">
        <f t="shared" si="87"/>
        <v>150.64500000000001</v>
      </c>
      <c r="AC103" s="2">
        <f t="shared" si="88"/>
        <v>0</v>
      </c>
      <c r="AD103" s="2">
        <f t="shared" si="89"/>
        <v>119.746</v>
      </c>
      <c r="AE103" s="2">
        <f t="shared" si="90"/>
        <v>18.183</v>
      </c>
      <c r="AF103" s="2">
        <f t="shared" si="91"/>
        <v>30.899000000000001</v>
      </c>
      <c r="AG103" s="2">
        <f t="shared" si="92"/>
        <v>0</v>
      </c>
      <c r="AH103" s="2">
        <f t="shared" si="93"/>
        <v>2.508</v>
      </c>
      <c r="AI103" s="2">
        <f t="shared" si="94"/>
        <v>0</v>
      </c>
      <c r="AJ103" s="2">
        <f t="shared" si="95"/>
        <v>0</v>
      </c>
      <c r="AK103" s="2">
        <v>136.94999999999999</v>
      </c>
      <c r="AL103" s="2">
        <v>0</v>
      </c>
      <c r="AM103" s="2">
        <v>108.86</v>
      </c>
      <c r="AN103" s="2">
        <v>16.53</v>
      </c>
      <c r="AO103" s="2">
        <v>28.09</v>
      </c>
      <c r="AP103" s="2">
        <v>0</v>
      </c>
      <c r="AQ103" s="2">
        <v>2.2799999999999998</v>
      </c>
      <c r="AR103" s="2">
        <v>0</v>
      </c>
      <c r="AS103" s="2">
        <v>0</v>
      </c>
      <c r="AT103" s="2">
        <v>112</v>
      </c>
      <c r="AU103" s="2">
        <v>70</v>
      </c>
      <c r="AV103" s="2">
        <v>1.0669999999999999</v>
      </c>
      <c r="AW103" s="2">
        <v>1.081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0</v>
      </c>
      <c r="BI103" s="2">
        <v>2</v>
      </c>
      <c r="BJ103" s="2" t="s">
        <v>173</v>
      </c>
      <c r="BK103" s="2"/>
      <c r="BL103" s="2"/>
      <c r="BM103" s="2">
        <v>318</v>
      </c>
      <c r="BN103" s="2">
        <v>0</v>
      </c>
      <c r="BO103" s="2" t="s">
        <v>3</v>
      </c>
      <c r="BP103" s="2">
        <v>0</v>
      </c>
      <c r="BQ103" s="2">
        <v>40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112</v>
      </c>
      <c r="CA103" s="2">
        <v>70</v>
      </c>
      <c r="CB103" s="2" t="s">
        <v>3</v>
      </c>
      <c r="CC103" s="2"/>
      <c r="CD103" s="2"/>
      <c r="CE103" s="2">
        <v>30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671</v>
      </c>
      <c r="CO103" s="2">
        <v>0</v>
      </c>
      <c r="CP103" s="2">
        <f t="shared" si="96"/>
        <v>0</v>
      </c>
      <c r="CQ103" s="2">
        <f t="shared" si="97"/>
        <v>0</v>
      </c>
      <c r="CR103" s="2">
        <f t="shared" si="98"/>
        <v>127.77</v>
      </c>
      <c r="CS103" s="2">
        <f t="shared" si="99"/>
        <v>19.399999999999999</v>
      </c>
      <c r="CT103" s="2">
        <f t="shared" si="100"/>
        <v>32.97</v>
      </c>
      <c r="CU103" s="2">
        <f t="shared" si="101"/>
        <v>0</v>
      </c>
      <c r="CV103" s="2">
        <f t="shared" si="102"/>
        <v>2.6760359999999999</v>
      </c>
      <c r="CW103" s="2">
        <f t="shared" si="103"/>
        <v>0</v>
      </c>
      <c r="CX103" s="2">
        <f t="shared" si="104"/>
        <v>0</v>
      </c>
      <c r="CY103" s="2">
        <f>((S103*BZ103)/100)</f>
        <v>0</v>
      </c>
      <c r="CZ103" s="2">
        <f>((S103*CA103)/100)</f>
        <v>0</v>
      </c>
      <c r="DA103" s="2"/>
      <c r="DB103" s="2"/>
      <c r="DC103" s="2" t="s">
        <v>3</v>
      </c>
      <c r="DD103" s="2" t="s">
        <v>3</v>
      </c>
      <c r="DE103" s="2" t="s">
        <v>22</v>
      </c>
      <c r="DF103" s="2" t="s">
        <v>22</v>
      </c>
      <c r="DG103" s="2" t="s">
        <v>22</v>
      </c>
      <c r="DH103" s="2" t="s">
        <v>3</v>
      </c>
      <c r="DI103" s="2" t="s">
        <v>22</v>
      </c>
      <c r="DJ103" s="2" t="s">
        <v>22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1013</v>
      </c>
      <c r="DV103" s="2" t="s">
        <v>164</v>
      </c>
      <c r="DW103" s="2" t="s">
        <v>164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51696357</v>
      </c>
      <c r="EF103" s="2">
        <v>40</v>
      </c>
      <c r="EG103" s="2" t="s">
        <v>166</v>
      </c>
      <c r="EH103" s="2">
        <v>0</v>
      </c>
      <c r="EI103" s="2" t="s">
        <v>3</v>
      </c>
      <c r="EJ103" s="2">
        <v>2</v>
      </c>
      <c r="EK103" s="2">
        <v>318</v>
      </c>
      <c r="EL103" s="2" t="s">
        <v>167</v>
      </c>
      <c r="EM103" s="2" t="s">
        <v>168</v>
      </c>
      <c r="EN103" s="2"/>
      <c r="EO103" s="2" t="s">
        <v>25</v>
      </c>
      <c r="EP103" s="2"/>
      <c r="EQ103" s="2">
        <v>131072</v>
      </c>
      <c r="ER103" s="2">
        <v>136.94999999999999</v>
      </c>
      <c r="ES103" s="2">
        <v>0</v>
      </c>
      <c r="ET103" s="2">
        <v>108.86</v>
      </c>
      <c r="EU103" s="2">
        <v>16.53</v>
      </c>
      <c r="EV103" s="2">
        <v>28.09</v>
      </c>
      <c r="EW103" s="2">
        <v>2.2799999999999998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v>0</v>
      </c>
      <c r="FS103" s="2">
        <v>0</v>
      </c>
      <c r="FT103" s="2"/>
      <c r="FU103" s="2"/>
      <c r="FV103" s="2"/>
      <c r="FW103" s="2"/>
      <c r="FX103" s="2">
        <v>112</v>
      </c>
      <c r="FY103" s="2">
        <v>70</v>
      </c>
      <c r="FZ103" s="2"/>
      <c r="GA103" s="2" t="s">
        <v>3</v>
      </c>
      <c r="GB103" s="2"/>
      <c r="GC103" s="2"/>
      <c r="GD103" s="2">
        <v>0</v>
      </c>
      <c r="GE103" s="2"/>
      <c r="GF103" s="2">
        <v>-2050852561</v>
      </c>
      <c r="GG103" s="2">
        <v>2</v>
      </c>
      <c r="GH103" s="2">
        <v>1</v>
      </c>
      <c r="GI103" s="2">
        <v>-2</v>
      </c>
      <c r="GJ103" s="2">
        <v>0</v>
      </c>
      <c r="GK103" s="2">
        <f>ROUND(R103*(R12)/100,2)</f>
        <v>0</v>
      </c>
      <c r="GL103" s="2">
        <f t="shared" si="105"/>
        <v>0</v>
      </c>
      <c r="GM103" s="2">
        <f t="shared" si="106"/>
        <v>0</v>
      </c>
      <c r="GN103" s="2">
        <f t="shared" si="107"/>
        <v>0</v>
      </c>
      <c r="GO103" s="2">
        <f t="shared" si="108"/>
        <v>0</v>
      </c>
      <c r="GP103" s="2">
        <f t="shared" si="109"/>
        <v>0</v>
      </c>
      <c r="GQ103" s="2"/>
      <c r="GR103" s="2">
        <v>0</v>
      </c>
      <c r="GS103" s="2">
        <v>0</v>
      </c>
      <c r="GT103" s="2">
        <v>0</v>
      </c>
      <c r="GU103" s="2" t="s">
        <v>3</v>
      </c>
      <c r="GV103" s="2">
        <f t="shared" si="110"/>
        <v>0</v>
      </c>
      <c r="GW103" s="2">
        <v>1</v>
      </c>
      <c r="GX103" s="2">
        <f t="shared" si="111"/>
        <v>0</v>
      </c>
      <c r="GY103" s="2"/>
      <c r="GZ103" s="2"/>
      <c r="HA103" s="2">
        <v>0</v>
      </c>
      <c r="HB103" s="2">
        <v>0</v>
      </c>
      <c r="HC103" s="2">
        <f t="shared" si="112"/>
        <v>0</v>
      </c>
      <c r="HD103" s="2"/>
      <c r="HE103" s="2" t="s">
        <v>3</v>
      </c>
      <c r="HF103" s="2" t="s">
        <v>3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">
      <c r="A104">
        <v>17</v>
      </c>
      <c r="B104">
        <v>1</v>
      </c>
      <c r="C104">
        <f>ROW(SmtRes!A90)</f>
        <v>90</v>
      </c>
      <c r="D104">
        <f>ROW(EtalonRes!A116)</f>
        <v>116</v>
      </c>
      <c r="E104" t="s">
        <v>174</v>
      </c>
      <c r="F104" t="s">
        <v>171</v>
      </c>
      <c r="G104" t="s">
        <v>172</v>
      </c>
      <c r="H104" t="s">
        <v>164</v>
      </c>
      <c r="I104">
        <v>0</v>
      </c>
      <c r="J104">
        <v>0</v>
      </c>
      <c r="K104">
        <v>0</v>
      </c>
      <c r="O104">
        <f t="shared" si="76"/>
        <v>0</v>
      </c>
      <c r="P104">
        <f t="shared" si="77"/>
        <v>0</v>
      </c>
      <c r="Q104">
        <f t="shared" si="78"/>
        <v>0</v>
      </c>
      <c r="R104">
        <f t="shared" si="79"/>
        <v>0</v>
      </c>
      <c r="S104">
        <f t="shared" si="80"/>
        <v>0</v>
      </c>
      <c r="T104">
        <f t="shared" si="81"/>
        <v>0</v>
      </c>
      <c r="U104">
        <f t="shared" si="82"/>
        <v>0</v>
      </c>
      <c r="V104">
        <f t="shared" si="83"/>
        <v>0</v>
      </c>
      <c r="W104">
        <f t="shared" si="84"/>
        <v>0</v>
      </c>
      <c r="X104">
        <f t="shared" si="85"/>
        <v>0</v>
      </c>
      <c r="Y104">
        <f t="shared" si="86"/>
        <v>0</v>
      </c>
      <c r="AA104">
        <v>56616093</v>
      </c>
      <c r="AB104">
        <f t="shared" si="87"/>
        <v>150.64500000000001</v>
      </c>
      <c r="AC104">
        <f t="shared" si="88"/>
        <v>0</v>
      </c>
      <c r="AD104">
        <f t="shared" si="89"/>
        <v>119.746</v>
      </c>
      <c r="AE104">
        <f t="shared" si="90"/>
        <v>18.183</v>
      </c>
      <c r="AF104">
        <f t="shared" si="91"/>
        <v>30.899000000000001</v>
      </c>
      <c r="AG104">
        <f t="shared" si="92"/>
        <v>0</v>
      </c>
      <c r="AH104">
        <f t="shared" si="93"/>
        <v>2.508</v>
      </c>
      <c r="AI104">
        <f t="shared" si="94"/>
        <v>0</v>
      </c>
      <c r="AJ104">
        <f t="shared" si="95"/>
        <v>0</v>
      </c>
      <c r="AK104">
        <v>136.94999999999999</v>
      </c>
      <c r="AL104">
        <v>0</v>
      </c>
      <c r="AM104">
        <v>108.86</v>
      </c>
      <c r="AN104">
        <v>16.53</v>
      </c>
      <c r="AO104">
        <v>28.09</v>
      </c>
      <c r="AP104">
        <v>0</v>
      </c>
      <c r="AQ104">
        <v>2.2799999999999998</v>
      </c>
      <c r="AR104">
        <v>0</v>
      </c>
      <c r="AS104">
        <v>0</v>
      </c>
      <c r="AT104">
        <v>92</v>
      </c>
      <c r="AU104">
        <v>43</v>
      </c>
      <c r="AV104">
        <v>1.0669999999999999</v>
      </c>
      <c r="AW104">
        <v>1.081</v>
      </c>
      <c r="AZ104">
        <v>1</v>
      </c>
      <c r="BA104">
        <v>34.51</v>
      </c>
      <c r="BB104">
        <v>12.86</v>
      </c>
      <c r="BC104">
        <v>1</v>
      </c>
      <c r="BD104" t="s">
        <v>3</v>
      </c>
      <c r="BE104" t="s">
        <v>3</v>
      </c>
      <c r="BF104" t="s">
        <v>3</v>
      </c>
      <c r="BG104" t="s">
        <v>3</v>
      </c>
      <c r="BH104">
        <v>0</v>
      </c>
      <c r="BI104">
        <v>2</v>
      </c>
      <c r="BJ104" t="s">
        <v>173</v>
      </c>
      <c r="BM104">
        <v>318</v>
      </c>
      <c r="BN104">
        <v>0</v>
      </c>
      <c r="BO104" t="s">
        <v>171</v>
      </c>
      <c r="BP104">
        <v>1</v>
      </c>
      <c r="BQ104">
        <v>40</v>
      </c>
      <c r="BR104">
        <v>0</v>
      </c>
      <c r="BS104">
        <v>34.51</v>
      </c>
      <c r="BT104">
        <v>1</v>
      </c>
      <c r="BU104">
        <v>1</v>
      </c>
      <c r="BV104">
        <v>1</v>
      </c>
      <c r="BW104">
        <v>1</v>
      </c>
      <c r="BX104">
        <v>1</v>
      </c>
      <c r="BY104" t="s">
        <v>3</v>
      </c>
      <c r="BZ104">
        <v>92</v>
      </c>
      <c r="CA104">
        <v>43</v>
      </c>
      <c r="CB104" t="s">
        <v>3</v>
      </c>
      <c r="CE104">
        <v>30</v>
      </c>
      <c r="CF104">
        <v>0</v>
      </c>
      <c r="CG104">
        <v>0</v>
      </c>
      <c r="CM104">
        <v>0</v>
      </c>
      <c r="CN104" t="s">
        <v>671</v>
      </c>
      <c r="CO104">
        <v>0</v>
      </c>
      <c r="CP104">
        <f t="shared" si="96"/>
        <v>0</v>
      </c>
      <c r="CQ104">
        <f t="shared" si="97"/>
        <v>0</v>
      </c>
      <c r="CR104">
        <f t="shared" si="98"/>
        <v>1643.12</v>
      </c>
      <c r="CS104">
        <f t="shared" si="99"/>
        <v>669.49</v>
      </c>
      <c r="CT104">
        <f t="shared" si="100"/>
        <v>1137.79</v>
      </c>
      <c r="CU104">
        <f t="shared" si="101"/>
        <v>0</v>
      </c>
      <c r="CV104">
        <f t="shared" si="102"/>
        <v>2.6760359999999999</v>
      </c>
      <c r="CW104">
        <f t="shared" si="103"/>
        <v>0</v>
      </c>
      <c r="CX104">
        <f t="shared" si="104"/>
        <v>0</v>
      </c>
      <c r="CY104">
        <f>S104*(BZ104/100)</f>
        <v>0</v>
      </c>
      <c r="CZ104">
        <f>S104*(CA104/100)</f>
        <v>0</v>
      </c>
      <c r="DC104" t="s">
        <v>3</v>
      </c>
      <c r="DD104" t="s">
        <v>3</v>
      </c>
      <c r="DE104" t="s">
        <v>22</v>
      </c>
      <c r="DF104" t="s">
        <v>22</v>
      </c>
      <c r="DG104" t="s">
        <v>22</v>
      </c>
      <c r="DH104" t="s">
        <v>3</v>
      </c>
      <c r="DI104" t="s">
        <v>22</v>
      </c>
      <c r="DJ104" t="s">
        <v>22</v>
      </c>
      <c r="DK104" t="s">
        <v>3</v>
      </c>
      <c r="DL104" t="s">
        <v>3</v>
      </c>
      <c r="DM104" t="s">
        <v>3</v>
      </c>
      <c r="DN104">
        <v>112</v>
      </c>
      <c r="DO104">
        <v>70</v>
      </c>
      <c r="DP104">
        <v>1.0669999999999999</v>
      </c>
      <c r="DQ104">
        <v>1.081</v>
      </c>
      <c r="DU104">
        <v>1013</v>
      </c>
      <c r="DV104" t="s">
        <v>164</v>
      </c>
      <c r="DW104" t="s">
        <v>164</v>
      </c>
      <c r="DX104">
        <v>1</v>
      </c>
      <c r="DZ104" t="s">
        <v>3</v>
      </c>
      <c r="EA104" t="s">
        <v>3</v>
      </c>
      <c r="EB104" t="s">
        <v>3</v>
      </c>
      <c r="EC104" t="s">
        <v>3</v>
      </c>
      <c r="EE104">
        <v>51696357</v>
      </c>
      <c r="EF104">
        <v>40</v>
      </c>
      <c r="EG104" t="s">
        <v>166</v>
      </c>
      <c r="EH104">
        <v>0</v>
      </c>
      <c r="EI104" t="s">
        <v>3</v>
      </c>
      <c r="EJ104">
        <v>2</v>
      </c>
      <c r="EK104">
        <v>318</v>
      </c>
      <c r="EL104" t="s">
        <v>167</v>
      </c>
      <c r="EM104" t="s">
        <v>168</v>
      </c>
      <c r="EO104" t="s">
        <v>25</v>
      </c>
      <c r="EQ104">
        <v>131072</v>
      </c>
      <c r="ER104">
        <v>136.94999999999999</v>
      </c>
      <c r="ES104">
        <v>0</v>
      </c>
      <c r="ET104">
        <v>108.86</v>
      </c>
      <c r="EU104">
        <v>16.53</v>
      </c>
      <c r="EV104">
        <v>28.09</v>
      </c>
      <c r="EW104">
        <v>2.2799999999999998</v>
      </c>
      <c r="EX104">
        <v>0</v>
      </c>
      <c r="EY104">
        <v>0</v>
      </c>
      <c r="FQ104">
        <v>0</v>
      </c>
      <c r="FR104">
        <v>0</v>
      </c>
      <c r="FS104">
        <v>0</v>
      </c>
      <c r="FX104">
        <v>112</v>
      </c>
      <c r="FY104">
        <v>70</v>
      </c>
      <c r="GA104" t="s">
        <v>3</v>
      </c>
      <c r="GD104">
        <v>0</v>
      </c>
      <c r="GF104">
        <v>-2050852561</v>
      </c>
      <c r="GG104">
        <v>2</v>
      </c>
      <c r="GH104">
        <v>1</v>
      </c>
      <c r="GI104">
        <v>2</v>
      </c>
      <c r="GJ104">
        <v>0</v>
      </c>
      <c r="GK104">
        <f>ROUND(R104*(S12)/100,2)</f>
        <v>0</v>
      </c>
      <c r="GL104">
        <f t="shared" si="105"/>
        <v>0</v>
      </c>
      <c r="GM104">
        <f t="shared" si="106"/>
        <v>0</v>
      </c>
      <c r="GN104">
        <f t="shared" si="107"/>
        <v>0</v>
      </c>
      <c r="GO104">
        <f t="shared" si="108"/>
        <v>0</v>
      </c>
      <c r="GP104">
        <f t="shared" si="109"/>
        <v>0</v>
      </c>
      <c r="GR104">
        <v>0</v>
      </c>
      <c r="GS104">
        <v>3</v>
      </c>
      <c r="GT104">
        <v>0</v>
      </c>
      <c r="GU104" t="s">
        <v>3</v>
      </c>
      <c r="GV104">
        <f t="shared" si="110"/>
        <v>0</v>
      </c>
      <c r="GW104">
        <v>1</v>
      </c>
      <c r="GX104">
        <f t="shared" si="111"/>
        <v>0</v>
      </c>
      <c r="HA104">
        <v>0</v>
      </c>
      <c r="HB104">
        <v>0</v>
      </c>
      <c r="HC104">
        <f t="shared" si="112"/>
        <v>0</v>
      </c>
      <c r="HE104" t="s">
        <v>3</v>
      </c>
      <c r="HF104" t="s">
        <v>3</v>
      </c>
      <c r="HM104" t="s">
        <v>3</v>
      </c>
      <c r="HN104" t="s">
        <v>3</v>
      </c>
      <c r="HO104" t="s">
        <v>3</v>
      </c>
      <c r="HP104" t="s">
        <v>3</v>
      </c>
      <c r="HQ104" t="s">
        <v>3</v>
      </c>
      <c r="HS104">
        <v>0</v>
      </c>
      <c r="IK104">
        <v>0</v>
      </c>
    </row>
    <row r="105" spans="1:255" x14ac:dyDescent="0.2">
      <c r="A105" s="2">
        <v>17</v>
      </c>
      <c r="B105" s="2">
        <v>1</v>
      </c>
      <c r="C105" s="2">
        <f>ROW(SmtRes!A91)</f>
        <v>91</v>
      </c>
      <c r="D105" s="2">
        <f>ROW(EtalonRes!A130)</f>
        <v>130</v>
      </c>
      <c r="E105" s="2" t="s">
        <v>175</v>
      </c>
      <c r="F105" s="2" t="s">
        <v>176</v>
      </c>
      <c r="G105" s="2" t="s">
        <v>177</v>
      </c>
      <c r="H105" s="2" t="s">
        <v>164</v>
      </c>
      <c r="I105" s="2">
        <v>0</v>
      </c>
      <c r="J105" s="2">
        <v>0</v>
      </c>
      <c r="K105" s="2">
        <v>0</v>
      </c>
      <c r="L105" s="2"/>
      <c r="M105" s="2"/>
      <c r="N105" s="2"/>
      <c r="O105" s="2">
        <f t="shared" si="76"/>
        <v>0</v>
      </c>
      <c r="P105" s="2">
        <f t="shared" si="77"/>
        <v>0</v>
      </c>
      <c r="Q105" s="2">
        <f t="shared" si="78"/>
        <v>0</v>
      </c>
      <c r="R105" s="2">
        <f t="shared" si="79"/>
        <v>0</v>
      </c>
      <c r="S105" s="2">
        <f t="shared" si="80"/>
        <v>0</v>
      </c>
      <c r="T105" s="2">
        <f t="shared" si="81"/>
        <v>0</v>
      </c>
      <c r="U105" s="2">
        <f t="shared" si="82"/>
        <v>0</v>
      </c>
      <c r="V105" s="2">
        <f t="shared" si="83"/>
        <v>0</v>
      </c>
      <c r="W105" s="2">
        <f t="shared" si="84"/>
        <v>0</v>
      </c>
      <c r="X105" s="2">
        <f t="shared" si="85"/>
        <v>0</v>
      </c>
      <c r="Y105" s="2">
        <f t="shared" si="86"/>
        <v>0</v>
      </c>
      <c r="Z105" s="2"/>
      <c r="AA105" s="2">
        <v>56622586</v>
      </c>
      <c r="AB105" s="2">
        <f t="shared" si="87"/>
        <v>348.80700000000002</v>
      </c>
      <c r="AC105" s="2">
        <f t="shared" si="88"/>
        <v>133.13</v>
      </c>
      <c r="AD105" s="2">
        <f t="shared" si="89"/>
        <v>55.759</v>
      </c>
      <c r="AE105" s="2">
        <f t="shared" si="90"/>
        <v>7.0839999999999996</v>
      </c>
      <c r="AF105" s="2">
        <f t="shared" si="91"/>
        <v>159.91800000000001</v>
      </c>
      <c r="AG105" s="2">
        <f t="shared" si="92"/>
        <v>0</v>
      </c>
      <c r="AH105" s="2">
        <f t="shared" si="93"/>
        <v>12.980000000000002</v>
      </c>
      <c r="AI105" s="2">
        <f t="shared" si="94"/>
        <v>0</v>
      </c>
      <c r="AJ105" s="2">
        <f t="shared" si="95"/>
        <v>0</v>
      </c>
      <c r="AK105" s="2">
        <v>329.2</v>
      </c>
      <c r="AL105" s="2">
        <v>133.13</v>
      </c>
      <c r="AM105" s="2">
        <v>50.69</v>
      </c>
      <c r="AN105" s="2">
        <v>6.44</v>
      </c>
      <c r="AO105" s="2">
        <v>145.38</v>
      </c>
      <c r="AP105" s="2">
        <v>0</v>
      </c>
      <c r="AQ105" s="2">
        <v>11.8</v>
      </c>
      <c r="AR105" s="2">
        <v>0</v>
      </c>
      <c r="AS105" s="2">
        <v>0</v>
      </c>
      <c r="AT105" s="2">
        <v>112</v>
      </c>
      <c r="AU105" s="2">
        <v>70</v>
      </c>
      <c r="AV105" s="2">
        <v>1.0669999999999999</v>
      </c>
      <c r="AW105" s="2">
        <v>1.081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0</v>
      </c>
      <c r="BI105" s="2">
        <v>2</v>
      </c>
      <c r="BJ105" s="2" t="s">
        <v>178</v>
      </c>
      <c r="BK105" s="2"/>
      <c r="BL105" s="2"/>
      <c r="BM105" s="2">
        <v>318</v>
      </c>
      <c r="BN105" s="2">
        <v>0</v>
      </c>
      <c r="BO105" s="2" t="s">
        <v>3</v>
      </c>
      <c r="BP105" s="2">
        <v>0</v>
      </c>
      <c r="BQ105" s="2">
        <v>40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112</v>
      </c>
      <c r="CA105" s="2">
        <v>70</v>
      </c>
      <c r="CB105" s="2" t="s">
        <v>3</v>
      </c>
      <c r="CC105" s="2"/>
      <c r="CD105" s="2"/>
      <c r="CE105" s="2">
        <v>30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671</v>
      </c>
      <c r="CO105" s="2">
        <v>0</v>
      </c>
      <c r="CP105" s="2">
        <f t="shared" si="96"/>
        <v>0</v>
      </c>
      <c r="CQ105" s="2">
        <f t="shared" si="97"/>
        <v>143.91</v>
      </c>
      <c r="CR105" s="2">
        <f t="shared" si="98"/>
        <v>59.49</v>
      </c>
      <c r="CS105" s="2">
        <f t="shared" si="99"/>
        <v>7.56</v>
      </c>
      <c r="CT105" s="2">
        <f t="shared" si="100"/>
        <v>170.63</v>
      </c>
      <c r="CU105" s="2">
        <f t="shared" si="101"/>
        <v>0</v>
      </c>
      <c r="CV105" s="2">
        <f t="shared" si="102"/>
        <v>13.849660000000002</v>
      </c>
      <c r="CW105" s="2">
        <f t="shared" si="103"/>
        <v>0</v>
      </c>
      <c r="CX105" s="2">
        <f t="shared" si="104"/>
        <v>0</v>
      </c>
      <c r="CY105" s="2">
        <f>((S105*BZ105)/100)</f>
        <v>0</v>
      </c>
      <c r="CZ105" s="2">
        <f>((S105*CA105)/100)</f>
        <v>0</v>
      </c>
      <c r="DA105" s="2"/>
      <c r="DB105" s="2"/>
      <c r="DC105" s="2" t="s">
        <v>3</v>
      </c>
      <c r="DD105" s="2" t="s">
        <v>3</v>
      </c>
      <c r="DE105" s="2" t="s">
        <v>22</v>
      </c>
      <c r="DF105" s="2" t="s">
        <v>22</v>
      </c>
      <c r="DG105" s="2" t="s">
        <v>22</v>
      </c>
      <c r="DH105" s="2" t="s">
        <v>3</v>
      </c>
      <c r="DI105" s="2" t="s">
        <v>22</v>
      </c>
      <c r="DJ105" s="2" t="s">
        <v>22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1013</v>
      </c>
      <c r="DV105" s="2" t="s">
        <v>164</v>
      </c>
      <c r="DW105" s="2" t="s">
        <v>164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51696357</v>
      </c>
      <c r="EF105" s="2">
        <v>40</v>
      </c>
      <c r="EG105" s="2" t="s">
        <v>166</v>
      </c>
      <c r="EH105" s="2">
        <v>0</v>
      </c>
      <c r="EI105" s="2" t="s">
        <v>3</v>
      </c>
      <c r="EJ105" s="2">
        <v>2</v>
      </c>
      <c r="EK105" s="2">
        <v>318</v>
      </c>
      <c r="EL105" s="2" t="s">
        <v>167</v>
      </c>
      <c r="EM105" s="2" t="s">
        <v>168</v>
      </c>
      <c r="EN105" s="2"/>
      <c r="EO105" s="2" t="s">
        <v>25</v>
      </c>
      <c r="EP105" s="2"/>
      <c r="EQ105" s="2">
        <v>131072</v>
      </c>
      <c r="ER105" s="2">
        <v>329.2</v>
      </c>
      <c r="ES105" s="2">
        <v>133.13</v>
      </c>
      <c r="ET105" s="2">
        <v>50.69</v>
      </c>
      <c r="EU105" s="2">
        <v>6.44</v>
      </c>
      <c r="EV105" s="2">
        <v>145.38</v>
      </c>
      <c r="EW105" s="2">
        <v>11.8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112</v>
      </c>
      <c r="FY105" s="2">
        <v>70</v>
      </c>
      <c r="FZ105" s="2"/>
      <c r="GA105" s="2" t="s">
        <v>3</v>
      </c>
      <c r="GB105" s="2"/>
      <c r="GC105" s="2"/>
      <c r="GD105" s="2">
        <v>0</v>
      </c>
      <c r="GE105" s="2"/>
      <c r="GF105" s="2">
        <v>1315311286</v>
      </c>
      <c r="GG105" s="2">
        <v>2</v>
      </c>
      <c r="GH105" s="2">
        <v>1</v>
      </c>
      <c r="GI105" s="2">
        <v>-2</v>
      </c>
      <c r="GJ105" s="2">
        <v>0</v>
      </c>
      <c r="GK105" s="2">
        <f>ROUND(R105*(R12)/100,2)</f>
        <v>0</v>
      </c>
      <c r="GL105" s="2">
        <f t="shared" si="105"/>
        <v>0</v>
      </c>
      <c r="GM105" s="2">
        <f t="shared" si="106"/>
        <v>0</v>
      </c>
      <c r="GN105" s="2">
        <f t="shared" si="107"/>
        <v>0</v>
      </c>
      <c r="GO105" s="2">
        <f t="shared" si="108"/>
        <v>0</v>
      </c>
      <c r="GP105" s="2">
        <f t="shared" si="109"/>
        <v>0</v>
      </c>
      <c r="GQ105" s="2"/>
      <c r="GR105" s="2">
        <v>0</v>
      </c>
      <c r="GS105" s="2">
        <v>0</v>
      </c>
      <c r="GT105" s="2">
        <v>0</v>
      </c>
      <c r="GU105" s="2" t="s">
        <v>3</v>
      </c>
      <c r="GV105" s="2">
        <f t="shared" si="110"/>
        <v>0</v>
      </c>
      <c r="GW105" s="2">
        <v>1</v>
      </c>
      <c r="GX105" s="2">
        <f t="shared" si="111"/>
        <v>0</v>
      </c>
      <c r="GY105" s="2"/>
      <c r="GZ105" s="2"/>
      <c r="HA105" s="2">
        <v>0</v>
      </c>
      <c r="HB105" s="2">
        <v>0</v>
      </c>
      <c r="HC105" s="2">
        <f t="shared" si="112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">
      <c r="A106">
        <v>17</v>
      </c>
      <c r="B106">
        <v>1</v>
      </c>
      <c r="C106">
        <f>ROW(SmtRes!A92)</f>
        <v>92</v>
      </c>
      <c r="D106">
        <f>ROW(EtalonRes!A144)</f>
        <v>144</v>
      </c>
      <c r="E106" t="s">
        <v>175</v>
      </c>
      <c r="F106" t="s">
        <v>176</v>
      </c>
      <c r="G106" t="s">
        <v>177</v>
      </c>
      <c r="H106" t="s">
        <v>164</v>
      </c>
      <c r="I106">
        <v>0</v>
      </c>
      <c r="J106">
        <v>0</v>
      </c>
      <c r="K106">
        <v>0</v>
      </c>
      <c r="O106">
        <f t="shared" si="76"/>
        <v>0</v>
      </c>
      <c r="P106">
        <f t="shared" si="77"/>
        <v>0</v>
      </c>
      <c r="Q106">
        <f t="shared" si="78"/>
        <v>0</v>
      </c>
      <c r="R106">
        <f t="shared" si="79"/>
        <v>0</v>
      </c>
      <c r="S106">
        <f t="shared" si="80"/>
        <v>0</v>
      </c>
      <c r="T106">
        <f t="shared" si="81"/>
        <v>0</v>
      </c>
      <c r="U106">
        <f t="shared" si="82"/>
        <v>0</v>
      </c>
      <c r="V106">
        <f t="shared" si="83"/>
        <v>0</v>
      </c>
      <c r="W106">
        <f t="shared" si="84"/>
        <v>0</v>
      </c>
      <c r="X106">
        <f t="shared" si="85"/>
        <v>0</v>
      </c>
      <c r="Y106">
        <f t="shared" si="86"/>
        <v>0</v>
      </c>
      <c r="AA106">
        <v>56616093</v>
      </c>
      <c r="AB106">
        <f t="shared" si="87"/>
        <v>348.80700000000002</v>
      </c>
      <c r="AC106">
        <f t="shared" si="88"/>
        <v>133.13</v>
      </c>
      <c r="AD106">
        <f t="shared" si="89"/>
        <v>55.759</v>
      </c>
      <c r="AE106">
        <f t="shared" si="90"/>
        <v>7.0839999999999996</v>
      </c>
      <c r="AF106">
        <f t="shared" si="91"/>
        <v>159.91800000000001</v>
      </c>
      <c r="AG106">
        <f t="shared" si="92"/>
        <v>0</v>
      </c>
      <c r="AH106">
        <f t="shared" si="93"/>
        <v>12.980000000000002</v>
      </c>
      <c r="AI106">
        <f t="shared" si="94"/>
        <v>0</v>
      </c>
      <c r="AJ106">
        <f t="shared" si="95"/>
        <v>0</v>
      </c>
      <c r="AK106">
        <v>329.2</v>
      </c>
      <c r="AL106">
        <v>133.13</v>
      </c>
      <c r="AM106">
        <v>50.69</v>
      </c>
      <c r="AN106">
        <v>6.44</v>
      </c>
      <c r="AO106">
        <v>145.38</v>
      </c>
      <c r="AP106">
        <v>0</v>
      </c>
      <c r="AQ106">
        <v>11.8</v>
      </c>
      <c r="AR106">
        <v>0</v>
      </c>
      <c r="AS106">
        <v>0</v>
      </c>
      <c r="AT106">
        <v>92</v>
      </c>
      <c r="AU106">
        <v>43</v>
      </c>
      <c r="AV106">
        <v>1.0669999999999999</v>
      </c>
      <c r="AW106">
        <v>1.081</v>
      </c>
      <c r="AZ106">
        <v>1</v>
      </c>
      <c r="BA106">
        <v>34.51</v>
      </c>
      <c r="BB106">
        <v>12.18</v>
      </c>
      <c r="BC106">
        <v>6.47</v>
      </c>
      <c r="BD106" t="s">
        <v>3</v>
      </c>
      <c r="BE106" t="s">
        <v>3</v>
      </c>
      <c r="BF106" t="s">
        <v>3</v>
      </c>
      <c r="BG106" t="s">
        <v>3</v>
      </c>
      <c r="BH106">
        <v>0</v>
      </c>
      <c r="BI106">
        <v>2</v>
      </c>
      <c r="BJ106" t="s">
        <v>178</v>
      </c>
      <c r="BM106">
        <v>318</v>
      </c>
      <c r="BN106">
        <v>0</v>
      </c>
      <c r="BO106" t="s">
        <v>176</v>
      </c>
      <c r="BP106">
        <v>1</v>
      </c>
      <c r="BQ106">
        <v>40</v>
      </c>
      <c r="BR106">
        <v>0</v>
      </c>
      <c r="BS106">
        <v>34.51</v>
      </c>
      <c r="BT106">
        <v>1</v>
      </c>
      <c r="BU106">
        <v>1</v>
      </c>
      <c r="BV106">
        <v>1</v>
      </c>
      <c r="BW106">
        <v>1</v>
      </c>
      <c r="BX106">
        <v>1</v>
      </c>
      <c r="BY106" t="s">
        <v>3</v>
      </c>
      <c r="BZ106">
        <v>92</v>
      </c>
      <c r="CA106">
        <v>43</v>
      </c>
      <c r="CB106" t="s">
        <v>3</v>
      </c>
      <c r="CE106">
        <v>30</v>
      </c>
      <c r="CF106">
        <v>0</v>
      </c>
      <c r="CG106">
        <v>0</v>
      </c>
      <c r="CM106">
        <v>0</v>
      </c>
      <c r="CN106" t="s">
        <v>671</v>
      </c>
      <c r="CO106">
        <v>0</v>
      </c>
      <c r="CP106">
        <f t="shared" si="96"/>
        <v>0</v>
      </c>
      <c r="CQ106">
        <f t="shared" si="97"/>
        <v>931.1</v>
      </c>
      <c r="CR106">
        <f t="shared" si="98"/>
        <v>724.59</v>
      </c>
      <c r="CS106">
        <f t="shared" si="99"/>
        <v>260.89999999999998</v>
      </c>
      <c r="CT106">
        <f t="shared" si="100"/>
        <v>5888.44</v>
      </c>
      <c r="CU106">
        <f t="shared" si="101"/>
        <v>0</v>
      </c>
      <c r="CV106">
        <f t="shared" si="102"/>
        <v>13.849660000000002</v>
      </c>
      <c r="CW106">
        <f t="shared" si="103"/>
        <v>0</v>
      </c>
      <c r="CX106">
        <f t="shared" si="104"/>
        <v>0</v>
      </c>
      <c r="CY106">
        <f>S106*(BZ106/100)</f>
        <v>0</v>
      </c>
      <c r="CZ106">
        <f>S106*(CA106/100)</f>
        <v>0</v>
      </c>
      <c r="DC106" t="s">
        <v>3</v>
      </c>
      <c r="DD106" t="s">
        <v>3</v>
      </c>
      <c r="DE106" t="s">
        <v>22</v>
      </c>
      <c r="DF106" t="s">
        <v>22</v>
      </c>
      <c r="DG106" t="s">
        <v>22</v>
      </c>
      <c r="DH106" t="s">
        <v>3</v>
      </c>
      <c r="DI106" t="s">
        <v>22</v>
      </c>
      <c r="DJ106" t="s">
        <v>22</v>
      </c>
      <c r="DK106" t="s">
        <v>3</v>
      </c>
      <c r="DL106" t="s">
        <v>3</v>
      </c>
      <c r="DM106" t="s">
        <v>3</v>
      </c>
      <c r="DN106">
        <v>112</v>
      </c>
      <c r="DO106">
        <v>70</v>
      </c>
      <c r="DP106">
        <v>1.0669999999999999</v>
      </c>
      <c r="DQ106">
        <v>1.081</v>
      </c>
      <c r="DU106">
        <v>1013</v>
      </c>
      <c r="DV106" t="s">
        <v>164</v>
      </c>
      <c r="DW106" t="s">
        <v>164</v>
      </c>
      <c r="DX106">
        <v>1</v>
      </c>
      <c r="DZ106" t="s">
        <v>3</v>
      </c>
      <c r="EA106" t="s">
        <v>3</v>
      </c>
      <c r="EB106" t="s">
        <v>3</v>
      </c>
      <c r="EC106" t="s">
        <v>3</v>
      </c>
      <c r="EE106">
        <v>51696357</v>
      </c>
      <c r="EF106">
        <v>40</v>
      </c>
      <c r="EG106" t="s">
        <v>166</v>
      </c>
      <c r="EH106">
        <v>0</v>
      </c>
      <c r="EI106" t="s">
        <v>3</v>
      </c>
      <c r="EJ106">
        <v>2</v>
      </c>
      <c r="EK106">
        <v>318</v>
      </c>
      <c r="EL106" t="s">
        <v>167</v>
      </c>
      <c r="EM106" t="s">
        <v>168</v>
      </c>
      <c r="EO106" t="s">
        <v>25</v>
      </c>
      <c r="EQ106">
        <v>131072</v>
      </c>
      <c r="ER106">
        <v>329.2</v>
      </c>
      <c r="ES106">
        <v>133.13</v>
      </c>
      <c r="ET106">
        <v>50.69</v>
      </c>
      <c r="EU106">
        <v>6.44</v>
      </c>
      <c r="EV106">
        <v>145.38</v>
      </c>
      <c r="EW106">
        <v>11.8</v>
      </c>
      <c r="EX106">
        <v>0</v>
      </c>
      <c r="EY106">
        <v>0</v>
      </c>
      <c r="FQ106">
        <v>0</v>
      </c>
      <c r="FR106">
        <v>0</v>
      </c>
      <c r="FS106">
        <v>0</v>
      </c>
      <c r="FX106">
        <v>112</v>
      </c>
      <c r="FY106">
        <v>70</v>
      </c>
      <c r="GA106" t="s">
        <v>3</v>
      </c>
      <c r="GD106">
        <v>0</v>
      </c>
      <c r="GF106">
        <v>1315311286</v>
      </c>
      <c r="GG106">
        <v>2</v>
      </c>
      <c r="GH106">
        <v>1</v>
      </c>
      <c r="GI106">
        <v>2</v>
      </c>
      <c r="GJ106">
        <v>0</v>
      </c>
      <c r="GK106">
        <f>ROUND(R106*(S12)/100,2)</f>
        <v>0</v>
      </c>
      <c r="GL106">
        <f t="shared" si="105"/>
        <v>0</v>
      </c>
      <c r="GM106">
        <f t="shared" si="106"/>
        <v>0</v>
      </c>
      <c r="GN106">
        <f t="shared" si="107"/>
        <v>0</v>
      </c>
      <c r="GO106">
        <f t="shared" si="108"/>
        <v>0</v>
      </c>
      <c r="GP106">
        <f t="shared" si="109"/>
        <v>0</v>
      </c>
      <c r="GR106">
        <v>0</v>
      </c>
      <c r="GS106">
        <v>3</v>
      </c>
      <c r="GT106">
        <v>0</v>
      </c>
      <c r="GU106" t="s">
        <v>3</v>
      </c>
      <c r="GV106">
        <f t="shared" si="110"/>
        <v>0</v>
      </c>
      <c r="GW106">
        <v>1</v>
      </c>
      <c r="GX106">
        <f t="shared" si="111"/>
        <v>0</v>
      </c>
      <c r="HA106">
        <v>0</v>
      </c>
      <c r="HB106">
        <v>0</v>
      </c>
      <c r="HC106">
        <f t="shared" si="112"/>
        <v>0</v>
      </c>
      <c r="HE106" t="s">
        <v>3</v>
      </c>
      <c r="HF106" t="s">
        <v>3</v>
      </c>
      <c r="HM106" t="s">
        <v>3</v>
      </c>
      <c r="HN106" t="s">
        <v>3</v>
      </c>
      <c r="HO106" t="s">
        <v>3</v>
      </c>
      <c r="HP106" t="s">
        <v>3</v>
      </c>
      <c r="HQ106" t="s">
        <v>3</v>
      </c>
      <c r="HS106">
        <v>0</v>
      </c>
      <c r="IK106">
        <v>0</v>
      </c>
    </row>
    <row r="107" spans="1:255" x14ac:dyDescent="0.2">
      <c r="A107" s="2">
        <v>17</v>
      </c>
      <c r="B107" s="2">
        <v>1</v>
      </c>
      <c r="C107" s="2">
        <f>ROW(SmtRes!A93)</f>
        <v>93</v>
      </c>
      <c r="D107" s="2">
        <f>ROW(EtalonRes!A158)</f>
        <v>158</v>
      </c>
      <c r="E107" s="2" t="s">
        <v>179</v>
      </c>
      <c r="F107" s="2" t="s">
        <v>176</v>
      </c>
      <c r="G107" s="2" t="s">
        <v>177</v>
      </c>
      <c r="H107" s="2" t="s">
        <v>164</v>
      </c>
      <c r="I107" s="2">
        <v>0</v>
      </c>
      <c r="J107" s="2">
        <v>0</v>
      </c>
      <c r="K107" s="2">
        <v>0</v>
      </c>
      <c r="L107" s="2"/>
      <c r="M107" s="2"/>
      <c r="N107" s="2"/>
      <c r="O107" s="2">
        <f t="shared" si="76"/>
        <v>0</v>
      </c>
      <c r="P107" s="2">
        <f t="shared" si="77"/>
        <v>0</v>
      </c>
      <c r="Q107" s="2">
        <f t="shared" si="78"/>
        <v>0</v>
      </c>
      <c r="R107" s="2">
        <f t="shared" si="79"/>
        <v>0</v>
      </c>
      <c r="S107" s="2">
        <f t="shared" si="80"/>
        <v>0</v>
      </c>
      <c r="T107" s="2">
        <f t="shared" si="81"/>
        <v>0</v>
      </c>
      <c r="U107" s="2">
        <f t="shared" si="82"/>
        <v>0</v>
      </c>
      <c r="V107" s="2">
        <f t="shared" si="83"/>
        <v>0</v>
      </c>
      <c r="W107" s="2">
        <f t="shared" si="84"/>
        <v>0</v>
      </c>
      <c r="X107" s="2">
        <f t="shared" si="85"/>
        <v>0</v>
      </c>
      <c r="Y107" s="2">
        <f t="shared" si="86"/>
        <v>0</v>
      </c>
      <c r="Z107" s="2"/>
      <c r="AA107" s="2">
        <v>56622586</v>
      </c>
      <c r="AB107" s="2">
        <f t="shared" si="87"/>
        <v>348.80700000000002</v>
      </c>
      <c r="AC107" s="2">
        <f t="shared" si="88"/>
        <v>133.13</v>
      </c>
      <c r="AD107" s="2">
        <f t="shared" si="89"/>
        <v>55.759</v>
      </c>
      <c r="AE107" s="2">
        <f t="shared" si="90"/>
        <v>7.0839999999999996</v>
      </c>
      <c r="AF107" s="2">
        <f t="shared" si="91"/>
        <v>159.91800000000001</v>
      </c>
      <c r="AG107" s="2">
        <f t="shared" si="92"/>
        <v>0</v>
      </c>
      <c r="AH107" s="2">
        <f t="shared" si="93"/>
        <v>12.980000000000002</v>
      </c>
      <c r="AI107" s="2">
        <f t="shared" si="94"/>
        <v>0</v>
      </c>
      <c r="AJ107" s="2">
        <f t="shared" si="95"/>
        <v>0</v>
      </c>
      <c r="AK107" s="2">
        <v>329.2</v>
      </c>
      <c r="AL107" s="2">
        <v>133.13</v>
      </c>
      <c r="AM107" s="2">
        <v>50.69</v>
      </c>
      <c r="AN107" s="2">
        <v>6.44</v>
      </c>
      <c r="AO107" s="2">
        <v>145.38</v>
      </c>
      <c r="AP107" s="2">
        <v>0</v>
      </c>
      <c r="AQ107" s="2">
        <v>11.8</v>
      </c>
      <c r="AR107" s="2">
        <v>0</v>
      </c>
      <c r="AS107" s="2">
        <v>0</v>
      </c>
      <c r="AT107" s="2">
        <v>112</v>
      </c>
      <c r="AU107" s="2">
        <v>70</v>
      </c>
      <c r="AV107" s="2">
        <v>1.0669999999999999</v>
      </c>
      <c r="AW107" s="2">
        <v>1.081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0</v>
      </c>
      <c r="BI107" s="2">
        <v>2</v>
      </c>
      <c r="BJ107" s="2" t="s">
        <v>178</v>
      </c>
      <c r="BK107" s="2"/>
      <c r="BL107" s="2"/>
      <c r="BM107" s="2">
        <v>318</v>
      </c>
      <c r="BN107" s="2">
        <v>0</v>
      </c>
      <c r="BO107" s="2" t="s">
        <v>3</v>
      </c>
      <c r="BP107" s="2">
        <v>0</v>
      </c>
      <c r="BQ107" s="2">
        <v>40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112</v>
      </c>
      <c r="CA107" s="2">
        <v>70</v>
      </c>
      <c r="CB107" s="2" t="s">
        <v>3</v>
      </c>
      <c r="CC107" s="2"/>
      <c r="CD107" s="2"/>
      <c r="CE107" s="2">
        <v>30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671</v>
      </c>
      <c r="CO107" s="2">
        <v>0</v>
      </c>
      <c r="CP107" s="2">
        <f t="shared" si="96"/>
        <v>0</v>
      </c>
      <c r="CQ107" s="2">
        <f t="shared" si="97"/>
        <v>143.91</v>
      </c>
      <c r="CR107" s="2">
        <f t="shared" si="98"/>
        <v>59.49</v>
      </c>
      <c r="CS107" s="2">
        <f t="shared" si="99"/>
        <v>7.56</v>
      </c>
      <c r="CT107" s="2">
        <f t="shared" si="100"/>
        <v>170.63</v>
      </c>
      <c r="CU107" s="2">
        <f t="shared" si="101"/>
        <v>0</v>
      </c>
      <c r="CV107" s="2">
        <f t="shared" si="102"/>
        <v>13.849660000000002</v>
      </c>
      <c r="CW107" s="2">
        <f t="shared" si="103"/>
        <v>0</v>
      </c>
      <c r="CX107" s="2">
        <f t="shared" si="104"/>
        <v>0</v>
      </c>
      <c r="CY107" s="2">
        <f>((S107*BZ107)/100)</f>
        <v>0</v>
      </c>
      <c r="CZ107" s="2">
        <f>((S107*CA107)/100)</f>
        <v>0</v>
      </c>
      <c r="DA107" s="2"/>
      <c r="DB107" s="2"/>
      <c r="DC107" s="2" t="s">
        <v>3</v>
      </c>
      <c r="DD107" s="2" t="s">
        <v>3</v>
      </c>
      <c r="DE107" s="2" t="s">
        <v>22</v>
      </c>
      <c r="DF107" s="2" t="s">
        <v>22</v>
      </c>
      <c r="DG107" s="2" t="s">
        <v>22</v>
      </c>
      <c r="DH107" s="2" t="s">
        <v>3</v>
      </c>
      <c r="DI107" s="2" t="s">
        <v>22</v>
      </c>
      <c r="DJ107" s="2" t="s">
        <v>22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1013</v>
      </c>
      <c r="DV107" s="2" t="s">
        <v>164</v>
      </c>
      <c r="DW107" s="2" t="s">
        <v>164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51696357</v>
      </c>
      <c r="EF107" s="2">
        <v>40</v>
      </c>
      <c r="EG107" s="2" t="s">
        <v>166</v>
      </c>
      <c r="EH107" s="2">
        <v>0</v>
      </c>
      <c r="EI107" s="2" t="s">
        <v>3</v>
      </c>
      <c r="EJ107" s="2">
        <v>2</v>
      </c>
      <c r="EK107" s="2">
        <v>318</v>
      </c>
      <c r="EL107" s="2" t="s">
        <v>167</v>
      </c>
      <c r="EM107" s="2" t="s">
        <v>168</v>
      </c>
      <c r="EN107" s="2"/>
      <c r="EO107" s="2" t="s">
        <v>25</v>
      </c>
      <c r="EP107" s="2"/>
      <c r="EQ107" s="2">
        <v>131072</v>
      </c>
      <c r="ER107" s="2">
        <v>329.2</v>
      </c>
      <c r="ES107" s="2">
        <v>133.13</v>
      </c>
      <c r="ET107" s="2">
        <v>50.69</v>
      </c>
      <c r="EU107" s="2">
        <v>6.44</v>
      </c>
      <c r="EV107" s="2">
        <v>145.38</v>
      </c>
      <c r="EW107" s="2">
        <v>11.8</v>
      </c>
      <c r="EX107" s="2">
        <v>0</v>
      </c>
      <c r="EY107" s="2">
        <v>0</v>
      </c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v>0</v>
      </c>
      <c r="FS107" s="2">
        <v>0</v>
      </c>
      <c r="FT107" s="2"/>
      <c r="FU107" s="2"/>
      <c r="FV107" s="2"/>
      <c r="FW107" s="2"/>
      <c r="FX107" s="2">
        <v>112</v>
      </c>
      <c r="FY107" s="2">
        <v>70</v>
      </c>
      <c r="FZ107" s="2"/>
      <c r="GA107" s="2" t="s">
        <v>3</v>
      </c>
      <c r="GB107" s="2"/>
      <c r="GC107" s="2"/>
      <c r="GD107" s="2">
        <v>0</v>
      </c>
      <c r="GE107" s="2"/>
      <c r="GF107" s="2">
        <v>1315311286</v>
      </c>
      <c r="GG107" s="2">
        <v>2</v>
      </c>
      <c r="GH107" s="2">
        <v>1</v>
      </c>
      <c r="GI107" s="2">
        <v>-2</v>
      </c>
      <c r="GJ107" s="2">
        <v>0</v>
      </c>
      <c r="GK107" s="2">
        <f>ROUND(R107*(R12)/100,2)</f>
        <v>0</v>
      </c>
      <c r="GL107" s="2">
        <f t="shared" si="105"/>
        <v>0</v>
      </c>
      <c r="GM107" s="2">
        <f t="shared" si="106"/>
        <v>0</v>
      </c>
      <c r="GN107" s="2">
        <f t="shared" si="107"/>
        <v>0</v>
      </c>
      <c r="GO107" s="2">
        <f t="shared" si="108"/>
        <v>0</v>
      </c>
      <c r="GP107" s="2">
        <f t="shared" si="109"/>
        <v>0</v>
      </c>
      <c r="GQ107" s="2"/>
      <c r="GR107" s="2">
        <v>0</v>
      </c>
      <c r="GS107" s="2">
        <v>0</v>
      </c>
      <c r="GT107" s="2">
        <v>0</v>
      </c>
      <c r="GU107" s="2" t="s">
        <v>3</v>
      </c>
      <c r="GV107" s="2">
        <f t="shared" si="110"/>
        <v>0</v>
      </c>
      <c r="GW107" s="2">
        <v>1</v>
      </c>
      <c r="GX107" s="2">
        <f t="shared" si="111"/>
        <v>0</v>
      </c>
      <c r="GY107" s="2"/>
      <c r="GZ107" s="2"/>
      <c r="HA107" s="2">
        <v>0</v>
      </c>
      <c r="HB107" s="2">
        <v>0</v>
      </c>
      <c r="HC107" s="2">
        <f t="shared" si="112"/>
        <v>0</v>
      </c>
      <c r="HD107" s="2"/>
      <c r="HE107" s="2" t="s">
        <v>3</v>
      </c>
      <c r="HF107" s="2" t="s">
        <v>3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">
      <c r="A108">
        <v>17</v>
      </c>
      <c r="B108">
        <v>1</v>
      </c>
      <c r="C108">
        <f>ROW(SmtRes!A94)</f>
        <v>94</v>
      </c>
      <c r="D108">
        <f>ROW(EtalonRes!A172)</f>
        <v>172</v>
      </c>
      <c r="E108" t="s">
        <v>179</v>
      </c>
      <c r="F108" t="s">
        <v>176</v>
      </c>
      <c r="G108" t="s">
        <v>177</v>
      </c>
      <c r="H108" t="s">
        <v>164</v>
      </c>
      <c r="I108">
        <v>0</v>
      </c>
      <c r="J108">
        <v>0</v>
      </c>
      <c r="K108">
        <v>0</v>
      </c>
      <c r="O108">
        <f t="shared" si="76"/>
        <v>0</v>
      </c>
      <c r="P108">
        <f t="shared" si="77"/>
        <v>0</v>
      </c>
      <c r="Q108">
        <f t="shared" si="78"/>
        <v>0</v>
      </c>
      <c r="R108">
        <f t="shared" si="79"/>
        <v>0</v>
      </c>
      <c r="S108">
        <f t="shared" si="80"/>
        <v>0</v>
      </c>
      <c r="T108">
        <f t="shared" si="81"/>
        <v>0</v>
      </c>
      <c r="U108">
        <f t="shared" si="82"/>
        <v>0</v>
      </c>
      <c r="V108">
        <f t="shared" si="83"/>
        <v>0</v>
      </c>
      <c r="W108">
        <f t="shared" si="84"/>
        <v>0</v>
      </c>
      <c r="X108">
        <f t="shared" si="85"/>
        <v>0</v>
      </c>
      <c r="Y108">
        <f t="shared" si="86"/>
        <v>0</v>
      </c>
      <c r="AA108">
        <v>56616093</v>
      </c>
      <c r="AB108">
        <f t="shared" si="87"/>
        <v>348.80700000000002</v>
      </c>
      <c r="AC108">
        <f t="shared" si="88"/>
        <v>133.13</v>
      </c>
      <c r="AD108">
        <f t="shared" si="89"/>
        <v>55.759</v>
      </c>
      <c r="AE108">
        <f t="shared" si="90"/>
        <v>7.0839999999999996</v>
      </c>
      <c r="AF108">
        <f t="shared" si="91"/>
        <v>159.91800000000001</v>
      </c>
      <c r="AG108">
        <f t="shared" si="92"/>
        <v>0</v>
      </c>
      <c r="AH108">
        <f t="shared" si="93"/>
        <v>12.980000000000002</v>
      </c>
      <c r="AI108">
        <f t="shared" si="94"/>
        <v>0</v>
      </c>
      <c r="AJ108">
        <f t="shared" si="95"/>
        <v>0</v>
      </c>
      <c r="AK108">
        <v>329.2</v>
      </c>
      <c r="AL108">
        <v>133.13</v>
      </c>
      <c r="AM108">
        <v>50.69</v>
      </c>
      <c r="AN108">
        <v>6.44</v>
      </c>
      <c r="AO108">
        <v>145.38</v>
      </c>
      <c r="AP108">
        <v>0</v>
      </c>
      <c r="AQ108">
        <v>11.8</v>
      </c>
      <c r="AR108">
        <v>0</v>
      </c>
      <c r="AS108">
        <v>0</v>
      </c>
      <c r="AT108">
        <v>92</v>
      </c>
      <c r="AU108">
        <v>43</v>
      </c>
      <c r="AV108">
        <v>1.0669999999999999</v>
      </c>
      <c r="AW108">
        <v>1.081</v>
      </c>
      <c r="AZ108">
        <v>1</v>
      </c>
      <c r="BA108">
        <v>34.51</v>
      </c>
      <c r="BB108">
        <v>12.18</v>
      </c>
      <c r="BC108">
        <v>6.47</v>
      </c>
      <c r="BD108" t="s">
        <v>3</v>
      </c>
      <c r="BE108" t="s">
        <v>3</v>
      </c>
      <c r="BF108" t="s">
        <v>3</v>
      </c>
      <c r="BG108" t="s">
        <v>3</v>
      </c>
      <c r="BH108">
        <v>0</v>
      </c>
      <c r="BI108">
        <v>2</v>
      </c>
      <c r="BJ108" t="s">
        <v>178</v>
      </c>
      <c r="BM108">
        <v>318</v>
      </c>
      <c r="BN108">
        <v>0</v>
      </c>
      <c r="BO108" t="s">
        <v>176</v>
      </c>
      <c r="BP108">
        <v>1</v>
      </c>
      <c r="BQ108">
        <v>40</v>
      </c>
      <c r="BR108">
        <v>0</v>
      </c>
      <c r="BS108">
        <v>34.51</v>
      </c>
      <c r="BT108">
        <v>1</v>
      </c>
      <c r="BU108">
        <v>1</v>
      </c>
      <c r="BV108">
        <v>1</v>
      </c>
      <c r="BW108">
        <v>1</v>
      </c>
      <c r="BX108">
        <v>1</v>
      </c>
      <c r="BY108" t="s">
        <v>3</v>
      </c>
      <c r="BZ108">
        <v>92</v>
      </c>
      <c r="CA108">
        <v>43</v>
      </c>
      <c r="CB108" t="s">
        <v>3</v>
      </c>
      <c r="CE108">
        <v>30</v>
      </c>
      <c r="CF108">
        <v>0</v>
      </c>
      <c r="CG108">
        <v>0</v>
      </c>
      <c r="CM108">
        <v>0</v>
      </c>
      <c r="CN108" t="s">
        <v>671</v>
      </c>
      <c r="CO108">
        <v>0</v>
      </c>
      <c r="CP108">
        <f t="shared" si="96"/>
        <v>0</v>
      </c>
      <c r="CQ108">
        <f t="shared" si="97"/>
        <v>931.1</v>
      </c>
      <c r="CR108">
        <f t="shared" si="98"/>
        <v>724.59</v>
      </c>
      <c r="CS108">
        <f t="shared" si="99"/>
        <v>260.89999999999998</v>
      </c>
      <c r="CT108">
        <f t="shared" si="100"/>
        <v>5888.44</v>
      </c>
      <c r="CU108">
        <f t="shared" si="101"/>
        <v>0</v>
      </c>
      <c r="CV108">
        <f t="shared" si="102"/>
        <v>13.849660000000002</v>
      </c>
      <c r="CW108">
        <f t="shared" si="103"/>
        <v>0</v>
      </c>
      <c r="CX108">
        <f t="shared" si="104"/>
        <v>0</v>
      </c>
      <c r="CY108">
        <f>S108*(BZ108/100)</f>
        <v>0</v>
      </c>
      <c r="CZ108">
        <f>S108*(CA108/100)</f>
        <v>0</v>
      </c>
      <c r="DC108" t="s">
        <v>3</v>
      </c>
      <c r="DD108" t="s">
        <v>3</v>
      </c>
      <c r="DE108" t="s">
        <v>22</v>
      </c>
      <c r="DF108" t="s">
        <v>22</v>
      </c>
      <c r="DG108" t="s">
        <v>22</v>
      </c>
      <c r="DH108" t="s">
        <v>3</v>
      </c>
      <c r="DI108" t="s">
        <v>22</v>
      </c>
      <c r="DJ108" t="s">
        <v>22</v>
      </c>
      <c r="DK108" t="s">
        <v>3</v>
      </c>
      <c r="DL108" t="s">
        <v>3</v>
      </c>
      <c r="DM108" t="s">
        <v>3</v>
      </c>
      <c r="DN108">
        <v>112</v>
      </c>
      <c r="DO108">
        <v>70</v>
      </c>
      <c r="DP108">
        <v>1.0669999999999999</v>
      </c>
      <c r="DQ108">
        <v>1.081</v>
      </c>
      <c r="DU108">
        <v>1013</v>
      </c>
      <c r="DV108" t="s">
        <v>164</v>
      </c>
      <c r="DW108" t="s">
        <v>164</v>
      </c>
      <c r="DX108">
        <v>1</v>
      </c>
      <c r="DZ108" t="s">
        <v>3</v>
      </c>
      <c r="EA108" t="s">
        <v>3</v>
      </c>
      <c r="EB108" t="s">
        <v>3</v>
      </c>
      <c r="EC108" t="s">
        <v>3</v>
      </c>
      <c r="EE108">
        <v>51696357</v>
      </c>
      <c r="EF108">
        <v>40</v>
      </c>
      <c r="EG108" t="s">
        <v>166</v>
      </c>
      <c r="EH108">
        <v>0</v>
      </c>
      <c r="EI108" t="s">
        <v>3</v>
      </c>
      <c r="EJ108">
        <v>2</v>
      </c>
      <c r="EK108">
        <v>318</v>
      </c>
      <c r="EL108" t="s">
        <v>167</v>
      </c>
      <c r="EM108" t="s">
        <v>168</v>
      </c>
      <c r="EO108" t="s">
        <v>25</v>
      </c>
      <c r="EQ108">
        <v>131072</v>
      </c>
      <c r="ER108">
        <v>329.2</v>
      </c>
      <c r="ES108">
        <v>133.13</v>
      </c>
      <c r="ET108">
        <v>50.69</v>
      </c>
      <c r="EU108">
        <v>6.44</v>
      </c>
      <c r="EV108">
        <v>145.38</v>
      </c>
      <c r="EW108">
        <v>11.8</v>
      </c>
      <c r="EX108">
        <v>0</v>
      </c>
      <c r="EY108">
        <v>0</v>
      </c>
      <c r="FQ108">
        <v>0</v>
      </c>
      <c r="FR108">
        <v>0</v>
      </c>
      <c r="FS108">
        <v>0</v>
      </c>
      <c r="FX108">
        <v>112</v>
      </c>
      <c r="FY108">
        <v>70</v>
      </c>
      <c r="GA108" t="s">
        <v>3</v>
      </c>
      <c r="GD108">
        <v>0</v>
      </c>
      <c r="GF108">
        <v>1315311286</v>
      </c>
      <c r="GG108">
        <v>2</v>
      </c>
      <c r="GH108">
        <v>1</v>
      </c>
      <c r="GI108">
        <v>2</v>
      </c>
      <c r="GJ108">
        <v>0</v>
      </c>
      <c r="GK108">
        <f>ROUND(R108*(S12)/100,2)</f>
        <v>0</v>
      </c>
      <c r="GL108">
        <f t="shared" si="105"/>
        <v>0</v>
      </c>
      <c r="GM108">
        <f t="shared" si="106"/>
        <v>0</v>
      </c>
      <c r="GN108">
        <f t="shared" si="107"/>
        <v>0</v>
      </c>
      <c r="GO108">
        <f t="shared" si="108"/>
        <v>0</v>
      </c>
      <c r="GP108">
        <f t="shared" si="109"/>
        <v>0</v>
      </c>
      <c r="GR108">
        <v>0</v>
      </c>
      <c r="GS108">
        <v>3</v>
      </c>
      <c r="GT108">
        <v>0</v>
      </c>
      <c r="GU108" t="s">
        <v>3</v>
      </c>
      <c r="GV108">
        <f t="shared" si="110"/>
        <v>0</v>
      </c>
      <c r="GW108">
        <v>1</v>
      </c>
      <c r="GX108">
        <f t="shared" si="111"/>
        <v>0</v>
      </c>
      <c r="HA108">
        <v>0</v>
      </c>
      <c r="HB108">
        <v>0</v>
      </c>
      <c r="HC108">
        <f t="shared" si="112"/>
        <v>0</v>
      </c>
      <c r="HE108" t="s">
        <v>3</v>
      </c>
      <c r="HF108" t="s">
        <v>3</v>
      </c>
      <c r="HM108" t="s">
        <v>3</v>
      </c>
      <c r="HN108" t="s">
        <v>3</v>
      </c>
      <c r="HO108" t="s">
        <v>3</v>
      </c>
      <c r="HP108" t="s">
        <v>3</v>
      </c>
      <c r="HQ108" t="s">
        <v>3</v>
      </c>
      <c r="HS108">
        <v>0</v>
      </c>
      <c r="IK108">
        <v>0</v>
      </c>
    </row>
    <row r="109" spans="1:255" x14ac:dyDescent="0.2">
      <c r="A109" s="2">
        <v>17</v>
      </c>
      <c r="B109" s="2">
        <v>1</v>
      </c>
      <c r="C109" s="2">
        <f>ROW(SmtRes!A95)</f>
        <v>95</v>
      </c>
      <c r="D109" s="2">
        <f>ROW(EtalonRes!A186)</f>
        <v>186</v>
      </c>
      <c r="E109" s="2" t="s">
        <v>180</v>
      </c>
      <c r="F109" s="2" t="s">
        <v>181</v>
      </c>
      <c r="G109" s="2" t="s">
        <v>182</v>
      </c>
      <c r="H109" s="2" t="s">
        <v>164</v>
      </c>
      <c r="I109" s="2">
        <v>0</v>
      </c>
      <c r="J109" s="2">
        <v>0</v>
      </c>
      <c r="K109" s="2">
        <v>0</v>
      </c>
      <c r="L109" s="2"/>
      <c r="M109" s="2"/>
      <c r="N109" s="2"/>
      <c r="O109" s="2">
        <f t="shared" si="76"/>
        <v>0</v>
      </c>
      <c r="P109" s="2">
        <f t="shared" si="77"/>
        <v>0</v>
      </c>
      <c r="Q109" s="2">
        <f t="shared" si="78"/>
        <v>0</v>
      </c>
      <c r="R109" s="2">
        <f t="shared" si="79"/>
        <v>0</v>
      </c>
      <c r="S109" s="2">
        <f t="shared" si="80"/>
        <v>0</v>
      </c>
      <c r="T109" s="2">
        <f t="shared" si="81"/>
        <v>0</v>
      </c>
      <c r="U109" s="2">
        <f t="shared" si="82"/>
        <v>0</v>
      </c>
      <c r="V109" s="2">
        <f t="shared" si="83"/>
        <v>0</v>
      </c>
      <c r="W109" s="2">
        <f t="shared" si="84"/>
        <v>0</v>
      </c>
      <c r="X109" s="2">
        <f t="shared" si="85"/>
        <v>0</v>
      </c>
      <c r="Y109" s="2">
        <f t="shared" si="86"/>
        <v>0</v>
      </c>
      <c r="Z109" s="2"/>
      <c r="AA109" s="2">
        <v>56622586</v>
      </c>
      <c r="AB109" s="2">
        <f t="shared" si="87"/>
        <v>405.42399999999998</v>
      </c>
      <c r="AC109" s="2">
        <f t="shared" si="88"/>
        <v>133.13</v>
      </c>
      <c r="AD109" s="2">
        <f t="shared" si="89"/>
        <v>106.964</v>
      </c>
      <c r="AE109" s="2">
        <f t="shared" si="90"/>
        <v>14.861000000000001</v>
      </c>
      <c r="AF109" s="2">
        <f t="shared" si="91"/>
        <v>165.33</v>
      </c>
      <c r="AG109" s="2">
        <f t="shared" si="92"/>
        <v>0</v>
      </c>
      <c r="AH109" s="2">
        <f t="shared" si="93"/>
        <v>13.42</v>
      </c>
      <c r="AI109" s="2">
        <f t="shared" si="94"/>
        <v>0</v>
      </c>
      <c r="AJ109" s="2">
        <f t="shared" si="95"/>
        <v>0</v>
      </c>
      <c r="AK109" s="2">
        <v>380.67</v>
      </c>
      <c r="AL109" s="2">
        <v>133.13</v>
      </c>
      <c r="AM109" s="2">
        <v>97.24</v>
      </c>
      <c r="AN109" s="2">
        <v>13.51</v>
      </c>
      <c r="AO109" s="2">
        <v>150.30000000000001</v>
      </c>
      <c r="AP109" s="2">
        <v>0</v>
      </c>
      <c r="AQ109" s="2">
        <v>12.2</v>
      </c>
      <c r="AR109" s="2">
        <v>0</v>
      </c>
      <c r="AS109" s="2">
        <v>0</v>
      </c>
      <c r="AT109" s="2">
        <v>112</v>
      </c>
      <c r="AU109" s="2">
        <v>70</v>
      </c>
      <c r="AV109" s="2">
        <v>1.0669999999999999</v>
      </c>
      <c r="AW109" s="2">
        <v>1.081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0</v>
      </c>
      <c r="BI109" s="2">
        <v>2</v>
      </c>
      <c r="BJ109" s="2" t="s">
        <v>183</v>
      </c>
      <c r="BK109" s="2"/>
      <c r="BL109" s="2"/>
      <c r="BM109" s="2">
        <v>318</v>
      </c>
      <c r="BN109" s="2">
        <v>0</v>
      </c>
      <c r="BO109" s="2" t="s">
        <v>3</v>
      </c>
      <c r="BP109" s="2">
        <v>0</v>
      </c>
      <c r="BQ109" s="2">
        <v>40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112</v>
      </c>
      <c r="CA109" s="2">
        <v>70</v>
      </c>
      <c r="CB109" s="2" t="s">
        <v>3</v>
      </c>
      <c r="CC109" s="2"/>
      <c r="CD109" s="2"/>
      <c r="CE109" s="2">
        <v>30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671</v>
      </c>
      <c r="CO109" s="2">
        <v>0</v>
      </c>
      <c r="CP109" s="2">
        <f t="shared" si="96"/>
        <v>0</v>
      </c>
      <c r="CQ109" s="2">
        <f t="shared" si="97"/>
        <v>143.91</v>
      </c>
      <c r="CR109" s="2">
        <f t="shared" si="98"/>
        <v>114.13</v>
      </c>
      <c r="CS109" s="2">
        <f t="shared" si="99"/>
        <v>15.86</v>
      </c>
      <c r="CT109" s="2">
        <f t="shared" si="100"/>
        <v>176.41</v>
      </c>
      <c r="CU109" s="2">
        <f t="shared" si="101"/>
        <v>0</v>
      </c>
      <c r="CV109" s="2">
        <f t="shared" si="102"/>
        <v>14.319139999999999</v>
      </c>
      <c r="CW109" s="2">
        <f t="shared" si="103"/>
        <v>0</v>
      </c>
      <c r="CX109" s="2">
        <f t="shared" si="104"/>
        <v>0</v>
      </c>
      <c r="CY109" s="2">
        <f>((S109*BZ109)/100)</f>
        <v>0</v>
      </c>
      <c r="CZ109" s="2">
        <f>((S109*CA109)/100)</f>
        <v>0</v>
      </c>
      <c r="DA109" s="2"/>
      <c r="DB109" s="2"/>
      <c r="DC109" s="2" t="s">
        <v>3</v>
      </c>
      <c r="DD109" s="2" t="s">
        <v>3</v>
      </c>
      <c r="DE109" s="2" t="s">
        <v>22</v>
      </c>
      <c r="DF109" s="2" t="s">
        <v>22</v>
      </c>
      <c r="DG109" s="2" t="s">
        <v>22</v>
      </c>
      <c r="DH109" s="2" t="s">
        <v>3</v>
      </c>
      <c r="DI109" s="2" t="s">
        <v>22</v>
      </c>
      <c r="DJ109" s="2" t="s">
        <v>22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1013</v>
      </c>
      <c r="DV109" s="2" t="s">
        <v>164</v>
      </c>
      <c r="DW109" s="2" t="s">
        <v>164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51696357</v>
      </c>
      <c r="EF109" s="2">
        <v>40</v>
      </c>
      <c r="EG109" s="2" t="s">
        <v>166</v>
      </c>
      <c r="EH109" s="2">
        <v>0</v>
      </c>
      <c r="EI109" s="2" t="s">
        <v>3</v>
      </c>
      <c r="EJ109" s="2">
        <v>2</v>
      </c>
      <c r="EK109" s="2">
        <v>318</v>
      </c>
      <c r="EL109" s="2" t="s">
        <v>167</v>
      </c>
      <c r="EM109" s="2" t="s">
        <v>168</v>
      </c>
      <c r="EN109" s="2"/>
      <c r="EO109" s="2" t="s">
        <v>25</v>
      </c>
      <c r="EP109" s="2"/>
      <c r="EQ109" s="2">
        <v>131072</v>
      </c>
      <c r="ER109" s="2">
        <v>380.67</v>
      </c>
      <c r="ES109" s="2">
        <v>133.13</v>
      </c>
      <c r="ET109" s="2">
        <v>97.24</v>
      </c>
      <c r="EU109" s="2">
        <v>13.51</v>
      </c>
      <c r="EV109" s="2">
        <v>150.30000000000001</v>
      </c>
      <c r="EW109" s="2">
        <v>12.2</v>
      </c>
      <c r="EX109" s="2">
        <v>0</v>
      </c>
      <c r="EY109" s="2">
        <v>0</v>
      </c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112</v>
      </c>
      <c r="FY109" s="2">
        <v>70</v>
      </c>
      <c r="FZ109" s="2"/>
      <c r="GA109" s="2" t="s">
        <v>3</v>
      </c>
      <c r="GB109" s="2"/>
      <c r="GC109" s="2"/>
      <c r="GD109" s="2">
        <v>0</v>
      </c>
      <c r="GE109" s="2"/>
      <c r="GF109" s="2">
        <v>317030614</v>
      </c>
      <c r="GG109" s="2">
        <v>2</v>
      </c>
      <c r="GH109" s="2">
        <v>1</v>
      </c>
      <c r="GI109" s="2">
        <v>-2</v>
      </c>
      <c r="GJ109" s="2">
        <v>0</v>
      </c>
      <c r="GK109" s="2">
        <f>ROUND(R109*(R12)/100,2)</f>
        <v>0</v>
      </c>
      <c r="GL109" s="2">
        <f t="shared" si="105"/>
        <v>0</v>
      </c>
      <c r="GM109" s="2">
        <f t="shared" si="106"/>
        <v>0</v>
      </c>
      <c r="GN109" s="2">
        <f t="shared" si="107"/>
        <v>0</v>
      </c>
      <c r="GO109" s="2">
        <f t="shared" si="108"/>
        <v>0</v>
      </c>
      <c r="GP109" s="2">
        <f t="shared" si="109"/>
        <v>0</v>
      </c>
      <c r="GQ109" s="2"/>
      <c r="GR109" s="2">
        <v>0</v>
      </c>
      <c r="GS109" s="2">
        <v>0</v>
      </c>
      <c r="GT109" s="2">
        <v>0</v>
      </c>
      <c r="GU109" s="2" t="s">
        <v>3</v>
      </c>
      <c r="GV109" s="2">
        <f t="shared" si="110"/>
        <v>0</v>
      </c>
      <c r="GW109" s="2">
        <v>1</v>
      </c>
      <c r="GX109" s="2">
        <f t="shared" si="111"/>
        <v>0</v>
      </c>
      <c r="GY109" s="2"/>
      <c r="GZ109" s="2"/>
      <c r="HA109" s="2">
        <v>0</v>
      </c>
      <c r="HB109" s="2">
        <v>0</v>
      </c>
      <c r="HC109" s="2">
        <f t="shared" si="112"/>
        <v>0</v>
      </c>
      <c r="HD109" s="2"/>
      <c r="HE109" s="2" t="s">
        <v>3</v>
      </c>
      <c r="HF109" s="2" t="s">
        <v>3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">
      <c r="A110">
        <v>17</v>
      </c>
      <c r="B110">
        <v>1</v>
      </c>
      <c r="C110">
        <f>ROW(SmtRes!A96)</f>
        <v>96</v>
      </c>
      <c r="D110">
        <f>ROW(EtalonRes!A200)</f>
        <v>200</v>
      </c>
      <c r="E110" t="s">
        <v>180</v>
      </c>
      <c r="F110" t="s">
        <v>181</v>
      </c>
      <c r="G110" t="s">
        <v>182</v>
      </c>
      <c r="H110" t="s">
        <v>164</v>
      </c>
      <c r="I110">
        <v>0</v>
      </c>
      <c r="J110">
        <v>0</v>
      </c>
      <c r="K110">
        <v>0</v>
      </c>
      <c r="O110">
        <f t="shared" si="76"/>
        <v>0</v>
      </c>
      <c r="P110">
        <f t="shared" si="77"/>
        <v>0</v>
      </c>
      <c r="Q110">
        <f t="shared" si="78"/>
        <v>0</v>
      </c>
      <c r="R110">
        <f t="shared" si="79"/>
        <v>0</v>
      </c>
      <c r="S110">
        <f t="shared" si="80"/>
        <v>0</v>
      </c>
      <c r="T110">
        <f t="shared" si="81"/>
        <v>0</v>
      </c>
      <c r="U110">
        <f t="shared" si="82"/>
        <v>0</v>
      </c>
      <c r="V110">
        <f t="shared" si="83"/>
        <v>0</v>
      </c>
      <c r="W110">
        <f t="shared" si="84"/>
        <v>0</v>
      </c>
      <c r="X110">
        <f t="shared" si="85"/>
        <v>0</v>
      </c>
      <c r="Y110">
        <f t="shared" si="86"/>
        <v>0</v>
      </c>
      <c r="AA110">
        <v>56616093</v>
      </c>
      <c r="AB110">
        <f t="shared" si="87"/>
        <v>405.42399999999998</v>
      </c>
      <c r="AC110">
        <f t="shared" si="88"/>
        <v>133.13</v>
      </c>
      <c r="AD110">
        <f t="shared" si="89"/>
        <v>106.964</v>
      </c>
      <c r="AE110">
        <f t="shared" si="90"/>
        <v>14.861000000000001</v>
      </c>
      <c r="AF110">
        <f t="shared" si="91"/>
        <v>165.33</v>
      </c>
      <c r="AG110">
        <f t="shared" si="92"/>
        <v>0</v>
      </c>
      <c r="AH110">
        <f t="shared" si="93"/>
        <v>13.42</v>
      </c>
      <c r="AI110">
        <f t="shared" si="94"/>
        <v>0</v>
      </c>
      <c r="AJ110">
        <f t="shared" si="95"/>
        <v>0</v>
      </c>
      <c r="AK110">
        <v>380.67</v>
      </c>
      <c r="AL110">
        <v>133.13</v>
      </c>
      <c r="AM110">
        <v>97.24</v>
      </c>
      <c r="AN110">
        <v>13.51</v>
      </c>
      <c r="AO110">
        <v>150.30000000000001</v>
      </c>
      <c r="AP110">
        <v>0</v>
      </c>
      <c r="AQ110">
        <v>12.2</v>
      </c>
      <c r="AR110">
        <v>0</v>
      </c>
      <c r="AS110">
        <v>0</v>
      </c>
      <c r="AT110">
        <v>92</v>
      </c>
      <c r="AU110">
        <v>43</v>
      </c>
      <c r="AV110">
        <v>1.0669999999999999</v>
      </c>
      <c r="AW110">
        <v>1.081</v>
      </c>
      <c r="AZ110">
        <v>1</v>
      </c>
      <c r="BA110">
        <v>34.51</v>
      </c>
      <c r="BB110">
        <v>12.51</v>
      </c>
      <c r="BC110">
        <v>6.47</v>
      </c>
      <c r="BD110" t="s">
        <v>3</v>
      </c>
      <c r="BE110" t="s">
        <v>3</v>
      </c>
      <c r="BF110" t="s">
        <v>3</v>
      </c>
      <c r="BG110" t="s">
        <v>3</v>
      </c>
      <c r="BH110">
        <v>0</v>
      </c>
      <c r="BI110">
        <v>2</v>
      </c>
      <c r="BJ110" t="s">
        <v>183</v>
      </c>
      <c r="BM110">
        <v>318</v>
      </c>
      <c r="BN110">
        <v>0</v>
      </c>
      <c r="BO110" t="s">
        <v>181</v>
      </c>
      <c r="BP110">
        <v>1</v>
      </c>
      <c r="BQ110">
        <v>40</v>
      </c>
      <c r="BR110">
        <v>0</v>
      </c>
      <c r="BS110">
        <v>34.51</v>
      </c>
      <c r="BT110">
        <v>1</v>
      </c>
      <c r="BU110">
        <v>1</v>
      </c>
      <c r="BV110">
        <v>1</v>
      </c>
      <c r="BW110">
        <v>1</v>
      </c>
      <c r="BX110">
        <v>1</v>
      </c>
      <c r="BY110" t="s">
        <v>3</v>
      </c>
      <c r="BZ110">
        <v>92</v>
      </c>
      <c r="CA110">
        <v>43</v>
      </c>
      <c r="CB110" t="s">
        <v>3</v>
      </c>
      <c r="CE110">
        <v>30</v>
      </c>
      <c r="CF110">
        <v>0</v>
      </c>
      <c r="CG110">
        <v>0</v>
      </c>
      <c r="CM110">
        <v>0</v>
      </c>
      <c r="CN110" t="s">
        <v>671</v>
      </c>
      <c r="CO110">
        <v>0</v>
      </c>
      <c r="CP110">
        <f t="shared" si="96"/>
        <v>0</v>
      </c>
      <c r="CQ110">
        <f t="shared" si="97"/>
        <v>931.1</v>
      </c>
      <c r="CR110">
        <f t="shared" si="98"/>
        <v>1427.77</v>
      </c>
      <c r="CS110">
        <f t="shared" si="99"/>
        <v>547.33000000000004</v>
      </c>
      <c r="CT110">
        <f t="shared" si="100"/>
        <v>6087.91</v>
      </c>
      <c r="CU110">
        <f t="shared" si="101"/>
        <v>0</v>
      </c>
      <c r="CV110">
        <f t="shared" si="102"/>
        <v>14.319139999999999</v>
      </c>
      <c r="CW110">
        <f t="shared" si="103"/>
        <v>0</v>
      </c>
      <c r="CX110">
        <f t="shared" si="104"/>
        <v>0</v>
      </c>
      <c r="CY110">
        <f>S110*(BZ110/100)</f>
        <v>0</v>
      </c>
      <c r="CZ110">
        <f>S110*(CA110/100)</f>
        <v>0</v>
      </c>
      <c r="DC110" t="s">
        <v>3</v>
      </c>
      <c r="DD110" t="s">
        <v>3</v>
      </c>
      <c r="DE110" t="s">
        <v>22</v>
      </c>
      <c r="DF110" t="s">
        <v>22</v>
      </c>
      <c r="DG110" t="s">
        <v>22</v>
      </c>
      <c r="DH110" t="s">
        <v>3</v>
      </c>
      <c r="DI110" t="s">
        <v>22</v>
      </c>
      <c r="DJ110" t="s">
        <v>22</v>
      </c>
      <c r="DK110" t="s">
        <v>3</v>
      </c>
      <c r="DL110" t="s">
        <v>3</v>
      </c>
      <c r="DM110" t="s">
        <v>3</v>
      </c>
      <c r="DN110">
        <v>112</v>
      </c>
      <c r="DO110">
        <v>70</v>
      </c>
      <c r="DP110">
        <v>1.0669999999999999</v>
      </c>
      <c r="DQ110">
        <v>1.081</v>
      </c>
      <c r="DU110">
        <v>1013</v>
      </c>
      <c r="DV110" t="s">
        <v>164</v>
      </c>
      <c r="DW110" t="s">
        <v>164</v>
      </c>
      <c r="DX110">
        <v>1</v>
      </c>
      <c r="DZ110" t="s">
        <v>3</v>
      </c>
      <c r="EA110" t="s">
        <v>3</v>
      </c>
      <c r="EB110" t="s">
        <v>3</v>
      </c>
      <c r="EC110" t="s">
        <v>3</v>
      </c>
      <c r="EE110">
        <v>51696357</v>
      </c>
      <c r="EF110">
        <v>40</v>
      </c>
      <c r="EG110" t="s">
        <v>166</v>
      </c>
      <c r="EH110">
        <v>0</v>
      </c>
      <c r="EI110" t="s">
        <v>3</v>
      </c>
      <c r="EJ110">
        <v>2</v>
      </c>
      <c r="EK110">
        <v>318</v>
      </c>
      <c r="EL110" t="s">
        <v>167</v>
      </c>
      <c r="EM110" t="s">
        <v>168</v>
      </c>
      <c r="EO110" t="s">
        <v>25</v>
      </c>
      <c r="EQ110">
        <v>131072</v>
      </c>
      <c r="ER110">
        <v>380.67</v>
      </c>
      <c r="ES110">
        <v>133.13</v>
      </c>
      <c r="ET110">
        <v>97.24</v>
      </c>
      <c r="EU110">
        <v>13.51</v>
      </c>
      <c r="EV110">
        <v>150.30000000000001</v>
      </c>
      <c r="EW110">
        <v>12.2</v>
      </c>
      <c r="EX110">
        <v>0</v>
      </c>
      <c r="EY110">
        <v>0</v>
      </c>
      <c r="FQ110">
        <v>0</v>
      </c>
      <c r="FR110">
        <v>0</v>
      </c>
      <c r="FS110">
        <v>0</v>
      </c>
      <c r="FX110">
        <v>112</v>
      </c>
      <c r="FY110">
        <v>70</v>
      </c>
      <c r="GA110" t="s">
        <v>3</v>
      </c>
      <c r="GD110">
        <v>0</v>
      </c>
      <c r="GF110">
        <v>317030614</v>
      </c>
      <c r="GG110">
        <v>2</v>
      </c>
      <c r="GH110">
        <v>1</v>
      </c>
      <c r="GI110">
        <v>2</v>
      </c>
      <c r="GJ110">
        <v>0</v>
      </c>
      <c r="GK110">
        <f>ROUND(R110*(S12)/100,2)</f>
        <v>0</v>
      </c>
      <c r="GL110">
        <f t="shared" si="105"/>
        <v>0</v>
      </c>
      <c r="GM110">
        <f t="shared" si="106"/>
        <v>0</v>
      </c>
      <c r="GN110">
        <f t="shared" si="107"/>
        <v>0</v>
      </c>
      <c r="GO110">
        <f t="shared" si="108"/>
        <v>0</v>
      </c>
      <c r="GP110">
        <f t="shared" si="109"/>
        <v>0</v>
      </c>
      <c r="GR110">
        <v>0</v>
      </c>
      <c r="GS110">
        <v>3</v>
      </c>
      <c r="GT110">
        <v>0</v>
      </c>
      <c r="GU110" t="s">
        <v>3</v>
      </c>
      <c r="GV110">
        <f t="shared" si="110"/>
        <v>0</v>
      </c>
      <c r="GW110">
        <v>1</v>
      </c>
      <c r="GX110">
        <f t="shared" si="111"/>
        <v>0</v>
      </c>
      <c r="HA110">
        <v>0</v>
      </c>
      <c r="HB110">
        <v>0</v>
      </c>
      <c r="HC110">
        <f t="shared" si="112"/>
        <v>0</v>
      </c>
      <c r="HE110" t="s">
        <v>3</v>
      </c>
      <c r="HF110" t="s">
        <v>3</v>
      </c>
      <c r="HM110" t="s">
        <v>3</v>
      </c>
      <c r="HN110" t="s">
        <v>3</v>
      </c>
      <c r="HO110" t="s">
        <v>3</v>
      </c>
      <c r="HP110" t="s">
        <v>3</v>
      </c>
      <c r="HQ110" t="s">
        <v>3</v>
      </c>
      <c r="HS110">
        <v>0</v>
      </c>
      <c r="IK110">
        <v>0</v>
      </c>
    </row>
    <row r="111" spans="1:255" x14ac:dyDescent="0.2">
      <c r="A111" s="2">
        <v>17</v>
      </c>
      <c r="B111" s="2">
        <v>1</v>
      </c>
      <c r="C111" s="2">
        <f>ROW(SmtRes!A97)</f>
        <v>97</v>
      </c>
      <c r="D111" s="2">
        <f>ROW(EtalonRes!A214)</f>
        <v>214</v>
      </c>
      <c r="E111" s="2" t="s">
        <v>184</v>
      </c>
      <c r="F111" s="2" t="s">
        <v>181</v>
      </c>
      <c r="G111" s="2" t="s">
        <v>182</v>
      </c>
      <c r="H111" s="2" t="s">
        <v>164</v>
      </c>
      <c r="I111" s="2">
        <v>0</v>
      </c>
      <c r="J111" s="2">
        <v>0</v>
      </c>
      <c r="K111" s="2">
        <v>0</v>
      </c>
      <c r="L111" s="2"/>
      <c r="M111" s="2"/>
      <c r="N111" s="2"/>
      <c r="O111" s="2">
        <f t="shared" si="76"/>
        <v>0</v>
      </c>
      <c r="P111" s="2">
        <f t="shared" si="77"/>
        <v>0</v>
      </c>
      <c r="Q111" s="2">
        <f t="shared" si="78"/>
        <v>0</v>
      </c>
      <c r="R111" s="2">
        <f t="shared" si="79"/>
        <v>0</v>
      </c>
      <c r="S111" s="2">
        <f t="shared" si="80"/>
        <v>0</v>
      </c>
      <c r="T111" s="2">
        <f t="shared" si="81"/>
        <v>0</v>
      </c>
      <c r="U111" s="2">
        <f t="shared" si="82"/>
        <v>0</v>
      </c>
      <c r="V111" s="2">
        <f t="shared" si="83"/>
        <v>0</v>
      </c>
      <c r="W111" s="2">
        <f t="shared" si="84"/>
        <v>0</v>
      </c>
      <c r="X111" s="2">
        <f t="shared" si="85"/>
        <v>0</v>
      </c>
      <c r="Y111" s="2">
        <f t="shared" si="86"/>
        <v>0</v>
      </c>
      <c r="Z111" s="2"/>
      <c r="AA111" s="2">
        <v>56622586</v>
      </c>
      <c r="AB111" s="2">
        <f t="shared" si="87"/>
        <v>405.42399999999998</v>
      </c>
      <c r="AC111" s="2">
        <f t="shared" si="88"/>
        <v>133.13</v>
      </c>
      <c r="AD111" s="2">
        <f t="shared" si="89"/>
        <v>106.964</v>
      </c>
      <c r="AE111" s="2">
        <f t="shared" si="90"/>
        <v>14.861000000000001</v>
      </c>
      <c r="AF111" s="2">
        <f t="shared" si="91"/>
        <v>165.33</v>
      </c>
      <c r="AG111" s="2">
        <f t="shared" si="92"/>
        <v>0</v>
      </c>
      <c r="AH111" s="2">
        <f t="shared" si="93"/>
        <v>13.42</v>
      </c>
      <c r="AI111" s="2">
        <f t="shared" si="94"/>
        <v>0</v>
      </c>
      <c r="AJ111" s="2">
        <f t="shared" si="95"/>
        <v>0</v>
      </c>
      <c r="AK111" s="2">
        <v>380.67</v>
      </c>
      <c r="AL111" s="2">
        <v>133.13</v>
      </c>
      <c r="AM111" s="2">
        <v>97.24</v>
      </c>
      <c r="AN111" s="2">
        <v>13.51</v>
      </c>
      <c r="AO111" s="2">
        <v>150.30000000000001</v>
      </c>
      <c r="AP111" s="2">
        <v>0</v>
      </c>
      <c r="AQ111" s="2">
        <v>12.2</v>
      </c>
      <c r="AR111" s="2">
        <v>0</v>
      </c>
      <c r="AS111" s="2">
        <v>0</v>
      </c>
      <c r="AT111" s="2">
        <v>112</v>
      </c>
      <c r="AU111" s="2">
        <v>70</v>
      </c>
      <c r="AV111" s="2">
        <v>1.0669999999999999</v>
      </c>
      <c r="AW111" s="2">
        <v>1.081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0</v>
      </c>
      <c r="BI111" s="2">
        <v>2</v>
      </c>
      <c r="BJ111" s="2" t="s">
        <v>183</v>
      </c>
      <c r="BK111" s="2"/>
      <c r="BL111" s="2"/>
      <c r="BM111" s="2">
        <v>318</v>
      </c>
      <c r="BN111" s="2">
        <v>0</v>
      </c>
      <c r="BO111" s="2" t="s">
        <v>3</v>
      </c>
      <c r="BP111" s="2">
        <v>0</v>
      </c>
      <c r="BQ111" s="2">
        <v>40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112</v>
      </c>
      <c r="CA111" s="2">
        <v>70</v>
      </c>
      <c r="CB111" s="2" t="s">
        <v>3</v>
      </c>
      <c r="CC111" s="2"/>
      <c r="CD111" s="2"/>
      <c r="CE111" s="2">
        <v>30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671</v>
      </c>
      <c r="CO111" s="2">
        <v>0</v>
      </c>
      <c r="CP111" s="2">
        <f t="shared" si="96"/>
        <v>0</v>
      </c>
      <c r="CQ111" s="2">
        <f t="shared" si="97"/>
        <v>143.91</v>
      </c>
      <c r="CR111" s="2">
        <f t="shared" si="98"/>
        <v>114.13</v>
      </c>
      <c r="CS111" s="2">
        <f t="shared" si="99"/>
        <v>15.86</v>
      </c>
      <c r="CT111" s="2">
        <f t="shared" si="100"/>
        <v>176.41</v>
      </c>
      <c r="CU111" s="2">
        <f t="shared" si="101"/>
        <v>0</v>
      </c>
      <c r="CV111" s="2">
        <f t="shared" si="102"/>
        <v>14.319139999999999</v>
      </c>
      <c r="CW111" s="2">
        <f t="shared" si="103"/>
        <v>0</v>
      </c>
      <c r="CX111" s="2">
        <f t="shared" si="104"/>
        <v>0</v>
      </c>
      <c r="CY111" s="2">
        <f>((S111*BZ111)/100)</f>
        <v>0</v>
      </c>
      <c r="CZ111" s="2">
        <f>((S111*CA111)/100)</f>
        <v>0</v>
      </c>
      <c r="DA111" s="2"/>
      <c r="DB111" s="2"/>
      <c r="DC111" s="2" t="s">
        <v>3</v>
      </c>
      <c r="DD111" s="2" t="s">
        <v>3</v>
      </c>
      <c r="DE111" s="2" t="s">
        <v>22</v>
      </c>
      <c r="DF111" s="2" t="s">
        <v>22</v>
      </c>
      <c r="DG111" s="2" t="s">
        <v>22</v>
      </c>
      <c r="DH111" s="2" t="s">
        <v>3</v>
      </c>
      <c r="DI111" s="2" t="s">
        <v>22</v>
      </c>
      <c r="DJ111" s="2" t="s">
        <v>22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1013</v>
      </c>
      <c r="DV111" s="2" t="s">
        <v>164</v>
      </c>
      <c r="DW111" s="2" t="s">
        <v>164</v>
      </c>
      <c r="DX111" s="2">
        <v>1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51696357</v>
      </c>
      <c r="EF111" s="2">
        <v>40</v>
      </c>
      <c r="EG111" s="2" t="s">
        <v>166</v>
      </c>
      <c r="EH111" s="2">
        <v>0</v>
      </c>
      <c r="EI111" s="2" t="s">
        <v>3</v>
      </c>
      <c r="EJ111" s="2">
        <v>2</v>
      </c>
      <c r="EK111" s="2">
        <v>318</v>
      </c>
      <c r="EL111" s="2" t="s">
        <v>167</v>
      </c>
      <c r="EM111" s="2" t="s">
        <v>168</v>
      </c>
      <c r="EN111" s="2"/>
      <c r="EO111" s="2" t="s">
        <v>25</v>
      </c>
      <c r="EP111" s="2"/>
      <c r="EQ111" s="2">
        <v>131072</v>
      </c>
      <c r="ER111" s="2">
        <v>380.67</v>
      </c>
      <c r="ES111" s="2">
        <v>133.13</v>
      </c>
      <c r="ET111" s="2">
        <v>97.24</v>
      </c>
      <c r="EU111" s="2">
        <v>13.51</v>
      </c>
      <c r="EV111" s="2">
        <v>150.30000000000001</v>
      </c>
      <c r="EW111" s="2">
        <v>12.2</v>
      </c>
      <c r="EX111" s="2">
        <v>0</v>
      </c>
      <c r="EY111" s="2">
        <v>0</v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v>0</v>
      </c>
      <c r="FS111" s="2">
        <v>0</v>
      </c>
      <c r="FT111" s="2"/>
      <c r="FU111" s="2"/>
      <c r="FV111" s="2"/>
      <c r="FW111" s="2"/>
      <c r="FX111" s="2">
        <v>112</v>
      </c>
      <c r="FY111" s="2">
        <v>70</v>
      </c>
      <c r="FZ111" s="2"/>
      <c r="GA111" s="2" t="s">
        <v>3</v>
      </c>
      <c r="GB111" s="2"/>
      <c r="GC111" s="2"/>
      <c r="GD111" s="2">
        <v>0</v>
      </c>
      <c r="GE111" s="2"/>
      <c r="GF111" s="2">
        <v>317030614</v>
      </c>
      <c r="GG111" s="2">
        <v>2</v>
      </c>
      <c r="GH111" s="2">
        <v>1</v>
      </c>
      <c r="GI111" s="2">
        <v>-2</v>
      </c>
      <c r="GJ111" s="2">
        <v>0</v>
      </c>
      <c r="GK111" s="2">
        <f>ROUND(R111*(R12)/100,2)</f>
        <v>0</v>
      </c>
      <c r="GL111" s="2">
        <f t="shared" si="105"/>
        <v>0</v>
      </c>
      <c r="GM111" s="2">
        <f t="shared" si="106"/>
        <v>0</v>
      </c>
      <c r="GN111" s="2">
        <f t="shared" si="107"/>
        <v>0</v>
      </c>
      <c r="GO111" s="2">
        <f t="shared" si="108"/>
        <v>0</v>
      </c>
      <c r="GP111" s="2">
        <f t="shared" si="109"/>
        <v>0</v>
      </c>
      <c r="GQ111" s="2"/>
      <c r="GR111" s="2">
        <v>0</v>
      </c>
      <c r="GS111" s="2">
        <v>0</v>
      </c>
      <c r="GT111" s="2">
        <v>0</v>
      </c>
      <c r="GU111" s="2" t="s">
        <v>3</v>
      </c>
      <c r="GV111" s="2">
        <f t="shared" si="110"/>
        <v>0</v>
      </c>
      <c r="GW111" s="2">
        <v>1</v>
      </c>
      <c r="GX111" s="2">
        <f t="shared" si="111"/>
        <v>0</v>
      </c>
      <c r="GY111" s="2"/>
      <c r="GZ111" s="2"/>
      <c r="HA111" s="2">
        <v>0</v>
      </c>
      <c r="HB111" s="2">
        <v>0</v>
      </c>
      <c r="HC111" s="2">
        <f t="shared" si="112"/>
        <v>0</v>
      </c>
      <c r="HD111" s="2"/>
      <c r="HE111" s="2" t="s">
        <v>3</v>
      </c>
      <c r="HF111" s="2" t="s">
        <v>3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">
      <c r="A112">
        <v>17</v>
      </c>
      <c r="B112">
        <v>1</v>
      </c>
      <c r="C112">
        <f>ROW(SmtRes!A98)</f>
        <v>98</v>
      </c>
      <c r="D112">
        <f>ROW(EtalonRes!A228)</f>
        <v>228</v>
      </c>
      <c r="E112" t="s">
        <v>184</v>
      </c>
      <c r="F112" t="s">
        <v>181</v>
      </c>
      <c r="G112" t="s">
        <v>182</v>
      </c>
      <c r="H112" t="s">
        <v>164</v>
      </c>
      <c r="I112">
        <v>0</v>
      </c>
      <c r="J112">
        <v>0</v>
      </c>
      <c r="K112">
        <v>0</v>
      </c>
      <c r="O112">
        <f t="shared" si="76"/>
        <v>0</v>
      </c>
      <c r="P112">
        <f t="shared" si="77"/>
        <v>0</v>
      </c>
      <c r="Q112">
        <f t="shared" si="78"/>
        <v>0</v>
      </c>
      <c r="R112">
        <f t="shared" si="79"/>
        <v>0</v>
      </c>
      <c r="S112">
        <f t="shared" si="80"/>
        <v>0</v>
      </c>
      <c r="T112">
        <f t="shared" si="81"/>
        <v>0</v>
      </c>
      <c r="U112">
        <f t="shared" si="82"/>
        <v>0</v>
      </c>
      <c r="V112">
        <f t="shared" si="83"/>
        <v>0</v>
      </c>
      <c r="W112">
        <f t="shared" si="84"/>
        <v>0</v>
      </c>
      <c r="X112">
        <f t="shared" si="85"/>
        <v>0</v>
      </c>
      <c r="Y112">
        <f t="shared" si="86"/>
        <v>0</v>
      </c>
      <c r="AA112">
        <v>56616093</v>
      </c>
      <c r="AB112">
        <f t="shared" si="87"/>
        <v>405.42399999999998</v>
      </c>
      <c r="AC112">
        <f t="shared" si="88"/>
        <v>133.13</v>
      </c>
      <c r="AD112">
        <f t="shared" si="89"/>
        <v>106.964</v>
      </c>
      <c r="AE112">
        <f t="shared" si="90"/>
        <v>14.861000000000001</v>
      </c>
      <c r="AF112">
        <f t="shared" si="91"/>
        <v>165.33</v>
      </c>
      <c r="AG112">
        <f t="shared" si="92"/>
        <v>0</v>
      </c>
      <c r="AH112">
        <f t="shared" si="93"/>
        <v>13.42</v>
      </c>
      <c r="AI112">
        <f t="shared" si="94"/>
        <v>0</v>
      </c>
      <c r="AJ112">
        <f t="shared" si="95"/>
        <v>0</v>
      </c>
      <c r="AK112">
        <v>380.67</v>
      </c>
      <c r="AL112">
        <v>133.13</v>
      </c>
      <c r="AM112">
        <v>97.24</v>
      </c>
      <c r="AN112">
        <v>13.51</v>
      </c>
      <c r="AO112">
        <v>150.30000000000001</v>
      </c>
      <c r="AP112">
        <v>0</v>
      </c>
      <c r="AQ112">
        <v>12.2</v>
      </c>
      <c r="AR112">
        <v>0</v>
      </c>
      <c r="AS112">
        <v>0</v>
      </c>
      <c r="AT112">
        <v>92</v>
      </c>
      <c r="AU112">
        <v>43</v>
      </c>
      <c r="AV112">
        <v>1.0669999999999999</v>
      </c>
      <c r="AW112">
        <v>1.081</v>
      </c>
      <c r="AZ112">
        <v>1</v>
      </c>
      <c r="BA112">
        <v>34.51</v>
      </c>
      <c r="BB112">
        <v>12.51</v>
      </c>
      <c r="BC112">
        <v>6.47</v>
      </c>
      <c r="BD112" t="s">
        <v>3</v>
      </c>
      <c r="BE112" t="s">
        <v>3</v>
      </c>
      <c r="BF112" t="s">
        <v>3</v>
      </c>
      <c r="BG112" t="s">
        <v>3</v>
      </c>
      <c r="BH112">
        <v>0</v>
      </c>
      <c r="BI112">
        <v>2</v>
      </c>
      <c r="BJ112" t="s">
        <v>183</v>
      </c>
      <c r="BM112">
        <v>318</v>
      </c>
      <c r="BN112">
        <v>0</v>
      </c>
      <c r="BO112" t="s">
        <v>181</v>
      </c>
      <c r="BP112">
        <v>1</v>
      </c>
      <c r="BQ112">
        <v>40</v>
      </c>
      <c r="BR112">
        <v>0</v>
      </c>
      <c r="BS112">
        <v>34.51</v>
      </c>
      <c r="BT112">
        <v>1</v>
      </c>
      <c r="BU112">
        <v>1</v>
      </c>
      <c r="BV112">
        <v>1</v>
      </c>
      <c r="BW112">
        <v>1</v>
      </c>
      <c r="BX112">
        <v>1</v>
      </c>
      <c r="BY112" t="s">
        <v>3</v>
      </c>
      <c r="BZ112">
        <v>92</v>
      </c>
      <c r="CA112">
        <v>43</v>
      </c>
      <c r="CB112" t="s">
        <v>3</v>
      </c>
      <c r="CE112">
        <v>30</v>
      </c>
      <c r="CF112">
        <v>0</v>
      </c>
      <c r="CG112">
        <v>0</v>
      </c>
      <c r="CM112">
        <v>0</v>
      </c>
      <c r="CN112" t="s">
        <v>671</v>
      </c>
      <c r="CO112">
        <v>0</v>
      </c>
      <c r="CP112">
        <f t="shared" si="96"/>
        <v>0</v>
      </c>
      <c r="CQ112">
        <f t="shared" si="97"/>
        <v>931.1</v>
      </c>
      <c r="CR112">
        <f t="shared" si="98"/>
        <v>1427.77</v>
      </c>
      <c r="CS112">
        <f t="shared" si="99"/>
        <v>547.33000000000004</v>
      </c>
      <c r="CT112">
        <f t="shared" si="100"/>
        <v>6087.91</v>
      </c>
      <c r="CU112">
        <f t="shared" si="101"/>
        <v>0</v>
      </c>
      <c r="CV112">
        <f t="shared" si="102"/>
        <v>14.319139999999999</v>
      </c>
      <c r="CW112">
        <f t="shared" si="103"/>
        <v>0</v>
      </c>
      <c r="CX112">
        <f t="shared" si="104"/>
        <v>0</v>
      </c>
      <c r="CY112">
        <f>S112*(BZ112/100)</f>
        <v>0</v>
      </c>
      <c r="CZ112">
        <f>S112*(CA112/100)</f>
        <v>0</v>
      </c>
      <c r="DC112" t="s">
        <v>3</v>
      </c>
      <c r="DD112" t="s">
        <v>3</v>
      </c>
      <c r="DE112" t="s">
        <v>22</v>
      </c>
      <c r="DF112" t="s">
        <v>22</v>
      </c>
      <c r="DG112" t="s">
        <v>22</v>
      </c>
      <c r="DH112" t="s">
        <v>3</v>
      </c>
      <c r="DI112" t="s">
        <v>22</v>
      </c>
      <c r="DJ112" t="s">
        <v>22</v>
      </c>
      <c r="DK112" t="s">
        <v>3</v>
      </c>
      <c r="DL112" t="s">
        <v>3</v>
      </c>
      <c r="DM112" t="s">
        <v>3</v>
      </c>
      <c r="DN112">
        <v>112</v>
      </c>
      <c r="DO112">
        <v>70</v>
      </c>
      <c r="DP112">
        <v>1.0669999999999999</v>
      </c>
      <c r="DQ112">
        <v>1.081</v>
      </c>
      <c r="DU112">
        <v>1013</v>
      </c>
      <c r="DV112" t="s">
        <v>164</v>
      </c>
      <c r="DW112" t="s">
        <v>164</v>
      </c>
      <c r="DX112">
        <v>1</v>
      </c>
      <c r="DZ112" t="s">
        <v>3</v>
      </c>
      <c r="EA112" t="s">
        <v>3</v>
      </c>
      <c r="EB112" t="s">
        <v>3</v>
      </c>
      <c r="EC112" t="s">
        <v>3</v>
      </c>
      <c r="EE112">
        <v>51696357</v>
      </c>
      <c r="EF112">
        <v>40</v>
      </c>
      <c r="EG112" t="s">
        <v>166</v>
      </c>
      <c r="EH112">
        <v>0</v>
      </c>
      <c r="EI112" t="s">
        <v>3</v>
      </c>
      <c r="EJ112">
        <v>2</v>
      </c>
      <c r="EK112">
        <v>318</v>
      </c>
      <c r="EL112" t="s">
        <v>167</v>
      </c>
      <c r="EM112" t="s">
        <v>168</v>
      </c>
      <c r="EO112" t="s">
        <v>25</v>
      </c>
      <c r="EQ112">
        <v>131072</v>
      </c>
      <c r="ER112">
        <v>380.67</v>
      </c>
      <c r="ES112">
        <v>133.13</v>
      </c>
      <c r="ET112">
        <v>97.24</v>
      </c>
      <c r="EU112">
        <v>13.51</v>
      </c>
      <c r="EV112">
        <v>150.30000000000001</v>
      </c>
      <c r="EW112">
        <v>12.2</v>
      </c>
      <c r="EX112">
        <v>0</v>
      </c>
      <c r="EY112">
        <v>0</v>
      </c>
      <c r="FQ112">
        <v>0</v>
      </c>
      <c r="FR112">
        <v>0</v>
      </c>
      <c r="FS112">
        <v>0</v>
      </c>
      <c r="FX112">
        <v>112</v>
      </c>
      <c r="FY112">
        <v>70</v>
      </c>
      <c r="GA112" t="s">
        <v>3</v>
      </c>
      <c r="GD112">
        <v>0</v>
      </c>
      <c r="GF112">
        <v>317030614</v>
      </c>
      <c r="GG112">
        <v>2</v>
      </c>
      <c r="GH112">
        <v>1</v>
      </c>
      <c r="GI112">
        <v>2</v>
      </c>
      <c r="GJ112">
        <v>0</v>
      </c>
      <c r="GK112">
        <f>ROUND(R112*(S12)/100,2)</f>
        <v>0</v>
      </c>
      <c r="GL112">
        <f t="shared" si="105"/>
        <v>0</v>
      </c>
      <c r="GM112">
        <f t="shared" si="106"/>
        <v>0</v>
      </c>
      <c r="GN112">
        <f t="shared" si="107"/>
        <v>0</v>
      </c>
      <c r="GO112">
        <f t="shared" si="108"/>
        <v>0</v>
      </c>
      <c r="GP112">
        <f t="shared" si="109"/>
        <v>0</v>
      </c>
      <c r="GR112">
        <v>0</v>
      </c>
      <c r="GS112">
        <v>3</v>
      </c>
      <c r="GT112">
        <v>0</v>
      </c>
      <c r="GU112" t="s">
        <v>3</v>
      </c>
      <c r="GV112">
        <f t="shared" si="110"/>
        <v>0</v>
      </c>
      <c r="GW112">
        <v>1</v>
      </c>
      <c r="GX112">
        <f t="shared" si="111"/>
        <v>0</v>
      </c>
      <c r="HA112">
        <v>0</v>
      </c>
      <c r="HB112">
        <v>0</v>
      </c>
      <c r="HC112">
        <f t="shared" si="112"/>
        <v>0</v>
      </c>
      <c r="HE112" t="s">
        <v>3</v>
      </c>
      <c r="HF112" t="s">
        <v>3</v>
      </c>
      <c r="HM112" t="s">
        <v>3</v>
      </c>
      <c r="HN112" t="s">
        <v>3</v>
      </c>
      <c r="HO112" t="s">
        <v>3</v>
      </c>
      <c r="HP112" t="s">
        <v>3</v>
      </c>
      <c r="HQ112" t="s">
        <v>3</v>
      </c>
      <c r="HS112">
        <v>0</v>
      </c>
      <c r="IK112">
        <v>0</v>
      </c>
    </row>
    <row r="113" spans="1:255" x14ac:dyDescent="0.2">
      <c r="A113" s="2">
        <v>17</v>
      </c>
      <c r="B113" s="2">
        <v>1</v>
      </c>
      <c r="C113" s="2">
        <f>ROW(SmtRes!A99)</f>
        <v>99</v>
      </c>
      <c r="D113" s="2">
        <f>ROW(EtalonRes!A242)</f>
        <v>242</v>
      </c>
      <c r="E113" s="2" t="s">
        <v>185</v>
      </c>
      <c r="F113" s="2" t="s">
        <v>186</v>
      </c>
      <c r="G113" s="2" t="s">
        <v>187</v>
      </c>
      <c r="H113" s="2" t="s">
        <v>164</v>
      </c>
      <c r="I113" s="2">
        <v>0</v>
      </c>
      <c r="J113" s="2">
        <v>0</v>
      </c>
      <c r="K113" s="2">
        <v>0</v>
      </c>
      <c r="L113" s="2"/>
      <c r="M113" s="2"/>
      <c r="N113" s="2"/>
      <c r="O113" s="2">
        <f t="shared" si="76"/>
        <v>0</v>
      </c>
      <c r="P113" s="2">
        <f t="shared" si="77"/>
        <v>0</v>
      </c>
      <c r="Q113" s="2">
        <f t="shared" si="78"/>
        <v>0</v>
      </c>
      <c r="R113" s="2">
        <f t="shared" si="79"/>
        <v>0</v>
      </c>
      <c r="S113" s="2">
        <f t="shared" si="80"/>
        <v>0</v>
      </c>
      <c r="T113" s="2">
        <f t="shared" si="81"/>
        <v>0</v>
      </c>
      <c r="U113" s="2">
        <f t="shared" si="82"/>
        <v>0</v>
      </c>
      <c r="V113" s="2">
        <f t="shared" si="83"/>
        <v>0</v>
      </c>
      <c r="W113" s="2">
        <f t="shared" si="84"/>
        <v>0</v>
      </c>
      <c r="X113" s="2">
        <f t="shared" si="85"/>
        <v>0</v>
      </c>
      <c r="Y113" s="2">
        <f t="shared" si="86"/>
        <v>0</v>
      </c>
      <c r="Z113" s="2"/>
      <c r="AA113" s="2">
        <v>56622586</v>
      </c>
      <c r="AB113" s="2">
        <f t="shared" si="87"/>
        <v>548.16</v>
      </c>
      <c r="AC113" s="2">
        <f t="shared" si="88"/>
        <v>133.13</v>
      </c>
      <c r="AD113" s="2">
        <f t="shared" si="89"/>
        <v>160.24799999999999</v>
      </c>
      <c r="AE113" s="2">
        <f t="shared" si="90"/>
        <v>20.966000000000001</v>
      </c>
      <c r="AF113" s="2">
        <f t="shared" si="91"/>
        <v>254.78200000000001</v>
      </c>
      <c r="AG113" s="2">
        <f t="shared" si="92"/>
        <v>0</v>
      </c>
      <c r="AH113" s="2">
        <f t="shared" si="93"/>
        <v>20.680000000000003</v>
      </c>
      <c r="AI113" s="2">
        <f t="shared" si="94"/>
        <v>0</v>
      </c>
      <c r="AJ113" s="2">
        <f t="shared" si="95"/>
        <v>0</v>
      </c>
      <c r="AK113" s="2">
        <v>510.43</v>
      </c>
      <c r="AL113" s="2">
        <v>133.13</v>
      </c>
      <c r="AM113" s="2">
        <v>145.68</v>
      </c>
      <c r="AN113" s="2">
        <v>19.059999999999999</v>
      </c>
      <c r="AO113" s="2">
        <v>231.62</v>
      </c>
      <c r="AP113" s="2">
        <v>0</v>
      </c>
      <c r="AQ113" s="2">
        <v>18.8</v>
      </c>
      <c r="AR113" s="2">
        <v>0</v>
      </c>
      <c r="AS113" s="2">
        <v>0</v>
      </c>
      <c r="AT113" s="2">
        <v>112</v>
      </c>
      <c r="AU113" s="2">
        <v>70</v>
      </c>
      <c r="AV113" s="2">
        <v>1.0669999999999999</v>
      </c>
      <c r="AW113" s="2">
        <v>1.081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0</v>
      </c>
      <c r="BI113" s="2">
        <v>2</v>
      </c>
      <c r="BJ113" s="2" t="s">
        <v>188</v>
      </c>
      <c r="BK113" s="2"/>
      <c r="BL113" s="2"/>
      <c r="BM113" s="2">
        <v>318</v>
      </c>
      <c r="BN113" s="2">
        <v>0</v>
      </c>
      <c r="BO113" s="2" t="s">
        <v>3</v>
      </c>
      <c r="BP113" s="2">
        <v>0</v>
      </c>
      <c r="BQ113" s="2">
        <v>40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112</v>
      </c>
      <c r="CA113" s="2">
        <v>70</v>
      </c>
      <c r="CB113" s="2" t="s">
        <v>3</v>
      </c>
      <c r="CC113" s="2"/>
      <c r="CD113" s="2"/>
      <c r="CE113" s="2">
        <v>30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671</v>
      </c>
      <c r="CO113" s="2">
        <v>0</v>
      </c>
      <c r="CP113" s="2">
        <f t="shared" si="96"/>
        <v>0</v>
      </c>
      <c r="CQ113" s="2">
        <f t="shared" si="97"/>
        <v>143.91</v>
      </c>
      <c r="CR113" s="2">
        <f t="shared" si="98"/>
        <v>170.98</v>
      </c>
      <c r="CS113" s="2">
        <f t="shared" si="99"/>
        <v>22.37</v>
      </c>
      <c r="CT113" s="2">
        <f t="shared" si="100"/>
        <v>271.85000000000002</v>
      </c>
      <c r="CU113" s="2">
        <f t="shared" si="101"/>
        <v>0</v>
      </c>
      <c r="CV113" s="2">
        <f t="shared" si="102"/>
        <v>22.065560000000001</v>
      </c>
      <c r="CW113" s="2">
        <f t="shared" si="103"/>
        <v>0</v>
      </c>
      <c r="CX113" s="2">
        <f t="shared" si="104"/>
        <v>0</v>
      </c>
      <c r="CY113" s="2">
        <f>((S113*BZ113)/100)</f>
        <v>0</v>
      </c>
      <c r="CZ113" s="2">
        <f>((S113*CA113)/100)</f>
        <v>0</v>
      </c>
      <c r="DA113" s="2"/>
      <c r="DB113" s="2"/>
      <c r="DC113" s="2" t="s">
        <v>3</v>
      </c>
      <c r="DD113" s="2" t="s">
        <v>3</v>
      </c>
      <c r="DE113" s="2" t="s">
        <v>22</v>
      </c>
      <c r="DF113" s="2" t="s">
        <v>22</v>
      </c>
      <c r="DG113" s="2" t="s">
        <v>22</v>
      </c>
      <c r="DH113" s="2" t="s">
        <v>3</v>
      </c>
      <c r="DI113" s="2" t="s">
        <v>22</v>
      </c>
      <c r="DJ113" s="2" t="s">
        <v>22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1013</v>
      </c>
      <c r="DV113" s="2" t="s">
        <v>164</v>
      </c>
      <c r="DW113" s="2" t="s">
        <v>164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51696357</v>
      </c>
      <c r="EF113" s="2">
        <v>40</v>
      </c>
      <c r="EG113" s="2" t="s">
        <v>166</v>
      </c>
      <c r="EH113" s="2">
        <v>0</v>
      </c>
      <c r="EI113" s="2" t="s">
        <v>3</v>
      </c>
      <c r="EJ113" s="2">
        <v>2</v>
      </c>
      <c r="EK113" s="2">
        <v>318</v>
      </c>
      <c r="EL113" s="2" t="s">
        <v>167</v>
      </c>
      <c r="EM113" s="2" t="s">
        <v>168</v>
      </c>
      <c r="EN113" s="2"/>
      <c r="EO113" s="2" t="s">
        <v>25</v>
      </c>
      <c r="EP113" s="2"/>
      <c r="EQ113" s="2">
        <v>131072</v>
      </c>
      <c r="ER113" s="2">
        <v>510.43</v>
      </c>
      <c r="ES113" s="2">
        <v>133.13</v>
      </c>
      <c r="ET113" s="2">
        <v>145.68</v>
      </c>
      <c r="EU113" s="2">
        <v>19.059999999999999</v>
      </c>
      <c r="EV113" s="2">
        <v>231.62</v>
      </c>
      <c r="EW113" s="2">
        <v>18.8</v>
      </c>
      <c r="EX113" s="2">
        <v>0</v>
      </c>
      <c r="EY113" s="2">
        <v>0</v>
      </c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v>0</v>
      </c>
      <c r="FS113" s="2">
        <v>0</v>
      </c>
      <c r="FT113" s="2"/>
      <c r="FU113" s="2"/>
      <c r="FV113" s="2"/>
      <c r="FW113" s="2"/>
      <c r="FX113" s="2">
        <v>112</v>
      </c>
      <c r="FY113" s="2">
        <v>70</v>
      </c>
      <c r="FZ113" s="2"/>
      <c r="GA113" s="2" t="s">
        <v>3</v>
      </c>
      <c r="GB113" s="2"/>
      <c r="GC113" s="2"/>
      <c r="GD113" s="2">
        <v>0</v>
      </c>
      <c r="GE113" s="2"/>
      <c r="GF113" s="2">
        <v>841277866</v>
      </c>
      <c r="GG113" s="2">
        <v>2</v>
      </c>
      <c r="GH113" s="2">
        <v>1</v>
      </c>
      <c r="GI113" s="2">
        <v>-2</v>
      </c>
      <c r="GJ113" s="2">
        <v>0</v>
      </c>
      <c r="GK113" s="2">
        <f>ROUND(R113*(R12)/100,2)</f>
        <v>0</v>
      </c>
      <c r="GL113" s="2">
        <f t="shared" si="105"/>
        <v>0</v>
      </c>
      <c r="GM113" s="2">
        <f t="shared" si="106"/>
        <v>0</v>
      </c>
      <c r="GN113" s="2">
        <f t="shared" si="107"/>
        <v>0</v>
      </c>
      <c r="GO113" s="2">
        <f t="shared" si="108"/>
        <v>0</v>
      </c>
      <c r="GP113" s="2">
        <f t="shared" si="109"/>
        <v>0</v>
      </c>
      <c r="GQ113" s="2"/>
      <c r="GR113" s="2">
        <v>0</v>
      </c>
      <c r="GS113" s="2">
        <v>0</v>
      </c>
      <c r="GT113" s="2">
        <v>0</v>
      </c>
      <c r="GU113" s="2" t="s">
        <v>3</v>
      </c>
      <c r="GV113" s="2">
        <f t="shared" si="110"/>
        <v>0</v>
      </c>
      <c r="GW113" s="2">
        <v>1</v>
      </c>
      <c r="GX113" s="2">
        <f t="shared" si="111"/>
        <v>0</v>
      </c>
      <c r="GY113" s="2"/>
      <c r="GZ113" s="2"/>
      <c r="HA113" s="2">
        <v>0</v>
      </c>
      <c r="HB113" s="2">
        <v>0</v>
      </c>
      <c r="HC113" s="2">
        <f t="shared" si="112"/>
        <v>0</v>
      </c>
      <c r="HD113" s="2"/>
      <c r="HE113" s="2" t="s">
        <v>3</v>
      </c>
      <c r="HF113" s="2" t="s">
        <v>3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">
      <c r="A114">
        <v>17</v>
      </c>
      <c r="B114">
        <v>1</v>
      </c>
      <c r="C114">
        <f>ROW(SmtRes!A100)</f>
        <v>100</v>
      </c>
      <c r="D114">
        <f>ROW(EtalonRes!A256)</f>
        <v>256</v>
      </c>
      <c r="E114" t="s">
        <v>185</v>
      </c>
      <c r="F114" t="s">
        <v>186</v>
      </c>
      <c r="G114" t="s">
        <v>187</v>
      </c>
      <c r="H114" t="s">
        <v>164</v>
      </c>
      <c r="I114">
        <v>0</v>
      </c>
      <c r="J114">
        <v>0</v>
      </c>
      <c r="K114">
        <v>0</v>
      </c>
      <c r="O114">
        <f t="shared" si="76"/>
        <v>0</v>
      </c>
      <c r="P114">
        <f t="shared" si="77"/>
        <v>0</v>
      </c>
      <c r="Q114">
        <f t="shared" si="78"/>
        <v>0</v>
      </c>
      <c r="R114">
        <f t="shared" si="79"/>
        <v>0</v>
      </c>
      <c r="S114">
        <f t="shared" si="80"/>
        <v>0</v>
      </c>
      <c r="T114">
        <f t="shared" si="81"/>
        <v>0</v>
      </c>
      <c r="U114">
        <f t="shared" si="82"/>
        <v>0</v>
      </c>
      <c r="V114">
        <f t="shared" si="83"/>
        <v>0</v>
      </c>
      <c r="W114">
        <f t="shared" si="84"/>
        <v>0</v>
      </c>
      <c r="X114">
        <f t="shared" si="85"/>
        <v>0</v>
      </c>
      <c r="Y114">
        <f t="shared" si="86"/>
        <v>0</v>
      </c>
      <c r="AA114">
        <v>56616093</v>
      </c>
      <c r="AB114">
        <f t="shared" si="87"/>
        <v>548.16</v>
      </c>
      <c r="AC114">
        <f t="shared" si="88"/>
        <v>133.13</v>
      </c>
      <c r="AD114">
        <f t="shared" si="89"/>
        <v>160.24799999999999</v>
      </c>
      <c r="AE114">
        <f t="shared" si="90"/>
        <v>20.966000000000001</v>
      </c>
      <c r="AF114">
        <f t="shared" si="91"/>
        <v>254.78200000000001</v>
      </c>
      <c r="AG114">
        <f t="shared" si="92"/>
        <v>0</v>
      </c>
      <c r="AH114">
        <f t="shared" si="93"/>
        <v>20.680000000000003</v>
      </c>
      <c r="AI114">
        <f t="shared" si="94"/>
        <v>0</v>
      </c>
      <c r="AJ114">
        <f t="shared" si="95"/>
        <v>0</v>
      </c>
      <c r="AK114">
        <v>510.43</v>
      </c>
      <c r="AL114">
        <v>133.13</v>
      </c>
      <c r="AM114">
        <v>145.68</v>
      </c>
      <c r="AN114">
        <v>19.059999999999999</v>
      </c>
      <c r="AO114">
        <v>231.62</v>
      </c>
      <c r="AP114">
        <v>0</v>
      </c>
      <c r="AQ114">
        <v>18.8</v>
      </c>
      <c r="AR114">
        <v>0</v>
      </c>
      <c r="AS114">
        <v>0</v>
      </c>
      <c r="AT114">
        <v>92</v>
      </c>
      <c r="AU114">
        <v>43</v>
      </c>
      <c r="AV114">
        <v>1.0669999999999999</v>
      </c>
      <c r="AW114">
        <v>1.081</v>
      </c>
      <c r="AZ114">
        <v>1</v>
      </c>
      <c r="BA114">
        <v>34.51</v>
      </c>
      <c r="BB114">
        <v>12.3</v>
      </c>
      <c r="BC114">
        <v>6.47</v>
      </c>
      <c r="BD114" t="s">
        <v>3</v>
      </c>
      <c r="BE114" t="s">
        <v>3</v>
      </c>
      <c r="BF114" t="s">
        <v>3</v>
      </c>
      <c r="BG114" t="s">
        <v>3</v>
      </c>
      <c r="BH114">
        <v>0</v>
      </c>
      <c r="BI114">
        <v>2</v>
      </c>
      <c r="BJ114" t="s">
        <v>188</v>
      </c>
      <c r="BM114">
        <v>318</v>
      </c>
      <c r="BN114">
        <v>0</v>
      </c>
      <c r="BO114" t="s">
        <v>186</v>
      </c>
      <c r="BP114">
        <v>1</v>
      </c>
      <c r="BQ114">
        <v>40</v>
      </c>
      <c r="BR114">
        <v>0</v>
      </c>
      <c r="BS114">
        <v>34.51</v>
      </c>
      <c r="BT114">
        <v>1</v>
      </c>
      <c r="BU114">
        <v>1</v>
      </c>
      <c r="BV114">
        <v>1</v>
      </c>
      <c r="BW114">
        <v>1</v>
      </c>
      <c r="BX114">
        <v>1</v>
      </c>
      <c r="BY114" t="s">
        <v>3</v>
      </c>
      <c r="BZ114">
        <v>92</v>
      </c>
      <c r="CA114">
        <v>43</v>
      </c>
      <c r="CB114" t="s">
        <v>3</v>
      </c>
      <c r="CE114">
        <v>30</v>
      </c>
      <c r="CF114">
        <v>0</v>
      </c>
      <c r="CG114">
        <v>0</v>
      </c>
      <c r="CM114">
        <v>0</v>
      </c>
      <c r="CN114" t="s">
        <v>671</v>
      </c>
      <c r="CO114">
        <v>0</v>
      </c>
      <c r="CP114">
        <f t="shared" si="96"/>
        <v>0</v>
      </c>
      <c r="CQ114">
        <f t="shared" si="97"/>
        <v>931.1</v>
      </c>
      <c r="CR114">
        <f t="shared" si="98"/>
        <v>2103.0500000000002</v>
      </c>
      <c r="CS114">
        <f t="shared" si="99"/>
        <v>771.99</v>
      </c>
      <c r="CT114">
        <f t="shared" si="100"/>
        <v>9381.5400000000009</v>
      </c>
      <c r="CU114">
        <f t="shared" si="101"/>
        <v>0</v>
      </c>
      <c r="CV114">
        <f t="shared" si="102"/>
        <v>22.065560000000001</v>
      </c>
      <c r="CW114">
        <f t="shared" si="103"/>
        <v>0</v>
      </c>
      <c r="CX114">
        <f t="shared" si="104"/>
        <v>0</v>
      </c>
      <c r="CY114">
        <f>S114*(BZ114/100)</f>
        <v>0</v>
      </c>
      <c r="CZ114">
        <f>S114*(CA114/100)</f>
        <v>0</v>
      </c>
      <c r="DC114" t="s">
        <v>3</v>
      </c>
      <c r="DD114" t="s">
        <v>3</v>
      </c>
      <c r="DE114" t="s">
        <v>22</v>
      </c>
      <c r="DF114" t="s">
        <v>22</v>
      </c>
      <c r="DG114" t="s">
        <v>22</v>
      </c>
      <c r="DH114" t="s">
        <v>3</v>
      </c>
      <c r="DI114" t="s">
        <v>22</v>
      </c>
      <c r="DJ114" t="s">
        <v>22</v>
      </c>
      <c r="DK114" t="s">
        <v>3</v>
      </c>
      <c r="DL114" t="s">
        <v>3</v>
      </c>
      <c r="DM114" t="s">
        <v>3</v>
      </c>
      <c r="DN114">
        <v>112</v>
      </c>
      <c r="DO114">
        <v>70</v>
      </c>
      <c r="DP114">
        <v>1.0669999999999999</v>
      </c>
      <c r="DQ114">
        <v>1.081</v>
      </c>
      <c r="DU114">
        <v>1013</v>
      </c>
      <c r="DV114" t="s">
        <v>164</v>
      </c>
      <c r="DW114" t="s">
        <v>164</v>
      </c>
      <c r="DX114">
        <v>1</v>
      </c>
      <c r="DZ114" t="s">
        <v>3</v>
      </c>
      <c r="EA114" t="s">
        <v>3</v>
      </c>
      <c r="EB114" t="s">
        <v>3</v>
      </c>
      <c r="EC114" t="s">
        <v>3</v>
      </c>
      <c r="EE114">
        <v>51696357</v>
      </c>
      <c r="EF114">
        <v>40</v>
      </c>
      <c r="EG114" t="s">
        <v>166</v>
      </c>
      <c r="EH114">
        <v>0</v>
      </c>
      <c r="EI114" t="s">
        <v>3</v>
      </c>
      <c r="EJ114">
        <v>2</v>
      </c>
      <c r="EK114">
        <v>318</v>
      </c>
      <c r="EL114" t="s">
        <v>167</v>
      </c>
      <c r="EM114" t="s">
        <v>168</v>
      </c>
      <c r="EO114" t="s">
        <v>25</v>
      </c>
      <c r="EQ114">
        <v>131072</v>
      </c>
      <c r="ER114">
        <v>510.43</v>
      </c>
      <c r="ES114">
        <v>133.13</v>
      </c>
      <c r="ET114">
        <v>145.68</v>
      </c>
      <c r="EU114">
        <v>19.059999999999999</v>
      </c>
      <c r="EV114">
        <v>231.62</v>
      </c>
      <c r="EW114">
        <v>18.8</v>
      </c>
      <c r="EX114">
        <v>0</v>
      </c>
      <c r="EY114">
        <v>0</v>
      </c>
      <c r="FQ114">
        <v>0</v>
      </c>
      <c r="FR114">
        <v>0</v>
      </c>
      <c r="FS114">
        <v>0</v>
      </c>
      <c r="FX114">
        <v>112</v>
      </c>
      <c r="FY114">
        <v>70</v>
      </c>
      <c r="GA114" t="s">
        <v>3</v>
      </c>
      <c r="GD114">
        <v>0</v>
      </c>
      <c r="GF114">
        <v>841277866</v>
      </c>
      <c r="GG114">
        <v>2</v>
      </c>
      <c r="GH114">
        <v>1</v>
      </c>
      <c r="GI114">
        <v>2</v>
      </c>
      <c r="GJ114">
        <v>0</v>
      </c>
      <c r="GK114">
        <f>ROUND(R114*(S12)/100,2)</f>
        <v>0</v>
      </c>
      <c r="GL114">
        <f t="shared" si="105"/>
        <v>0</v>
      </c>
      <c r="GM114">
        <f t="shared" si="106"/>
        <v>0</v>
      </c>
      <c r="GN114">
        <f t="shared" si="107"/>
        <v>0</v>
      </c>
      <c r="GO114">
        <f t="shared" si="108"/>
        <v>0</v>
      </c>
      <c r="GP114">
        <f t="shared" si="109"/>
        <v>0</v>
      </c>
      <c r="GR114">
        <v>0</v>
      </c>
      <c r="GS114">
        <v>3</v>
      </c>
      <c r="GT114">
        <v>0</v>
      </c>
      <c r="GU114" t="s">
        <v>3</v>
      </c>
      <c r="GV114">
        <f t="shared" si="110"/>
        <v>0</v>
      </c>
      <c r="GW114">
        <v>1</v>
      </c>
      <c r="GX114">
        <f t="shared" si="111"/>
        <v>0</v>
      </c>
      <c r="HA114">
        <v>0</v>
      </c>
      <c r="HB114">
        <v>0</v>
      </c>
      <c r="HC114">
        <f t="shared" si="112"/>
        <v>0</v>
      </c>
      <c r="HE114" t="s">
        <v>3</v>
      </c>
      <c r="HF114" t="s">
        <v>3</v>
      </c>
      <c r="HM114" t="s">
        <v>3</v>
      </c>
      <c r="HN114" t="s">
        <v>3</v>
      </c>
      <c r="HO114" t="s">
        <v>3</v>
      </c>
      <c r="HP114" t="s">
        <v>3</v>
      </c>
      <c r="HQ114" t="s">
        <v>3</v>
      </c>
      <c r="HS114">
        <v>0</v>
      </c>
      <c r="IK114">
        <v>0</v>
      </c>
    </row>
    <row r="115" spans="1:255" x14ac:dyDescent="0.2">
      <c r="A115" s="2">
        <v>17</v>
      </c>
      <c r="B115" s="2">
        <v>1</v>
      </c>
      <c r="C115" s="2"/>
      <c r="D115" s="2">
        <f>ROW(EtalonRes!A270)</f>
        <v>270</v>
      </c>
      <c r="E115" s="2" t="s">
        <v>189</v>
      </c>
      <c r="F115" s="2" t="s">
        <v>186</v>
      </c>
      <c r="G115" s="2" t="s">
        <v>190</v>
      </c>
      <c r="H115" s="2" t="s">
        <v>164</v>
      </c>
      <c r="I115" s="2">
        <v>0</v>
      </c>
      <c r="J115" s="2">
        <v>0</v>
      </c>
      <c r="K115" s="2">
        <v>0</v>
      </c>
      <c r="L115" s="2"/>
      <c r="M115" s="2"/>
      <c r="N115" s="2"/>
      <c r="O115" s="2">
        <f t="shared" si="76"/>
        <v>0</v>
      </c>
      <c r="P115" s="2">
        <f t="shared" si="77"/>
        <v>0</v>
      </c>
      <c r="Q115" s="2">
        <f t="shared" si="78"/>
        <v>0</v>
      </c>
      <c r="R115" s="2">
        <f t="shared" si="79"/>
        <v>0</v>
      </c>
      <c r="S115" s="2">
        <f t="shared" si="80"/>
        <v>0</v>
      </c>
      <c r="T115" s="2">
        <f t="shared" si="81"/>
        <v>0</v>
      </c>
      <c r="U115" s="2">
        <f t="shared" si="82"/>
        <v>0</v>
      </c>
      <c r="V115" s="2">
        <f t="shared" si="83"/>
        <v>0</v>
      </c>
      <c r="W115" s="2">
        <f t="shared" si="84"/>
        <v>0</v>
      </c>
      <c r="X115" s="2">
        <f t="shared" si="85"/>
        <v>0</v>
      </c>
      <c r="Y115" s="2">
        <f t="shared" si="86"/>
        <v>0</v>
      </c>
      <c r="Z115" s="2"/>
      <c r="AA115" s="2">
        <v>56622586</v>
      </c>
      <c r="AB115" s="2">
        <f t="shared" si="87"/>
        <v>548.16</v>
      </c>
      <c r="AC115" s="2">
        <f t="shared" si="88"/>
        <v>133.13</v>
      </c>
      <c r="AD115" s="2">
        <f t="shared" si="89"/>
        <v>160.24799999999999</v>
      </c>
      <c r="AE115" s="2">
        <f t="shared" si="90"/>
        <v>20.966000000000001</v>
      </c>
      <c r="AF115" s="2">
        <f t="shared" si="91"/>
        <v>254.78200000000001</v>
      </c>
      <c r="AG115" s="2">
        <f t="shared" si="92"/>
        <v>0</v>
      </c>
      <c r="AH115" s="2">
        <f t="shared" si="93"/>
        <v>20.680000000000003</v>
      </c>
      <c r="AI115" s="2">
        <f t="shared" si="94"/>
        <v>0</v>
      </c>
      <c r="AJ115" s="2">
        <f t="shared" si="95"/>
        <v>0</v>
      </c>
      <c r="AK115" s="2">
        <v>510.43</v>
      </c>
      <c r="AL115" s="2">
        <v>133.13</v>
      </c>
      <c r="AM115" s="2">
        <v>145.68</v>
      </c>
      <c r="AN115" s="2">
        <v>19.059999999999999</v>
      </c>
      <c r="AO115" s="2">
        <v>231.62</v>
      </c>
      <c r="AP115" s="2">
        <v>0</v>
      </c>
      <c r="AQ115" s="2">
        <v>18.8</v>
      </c>
      <c r="AR115" s="2">
        <v>0</v>
      </c>
      <c r="AS115" s="2">
        <v>0</v>
      </c>
      <c r="AT115" s="2">
        <v>112</v>
      </c>
      <c r="AU115" s="2">
        <v>70</v>
      </c>
      <c r="AV115" s="2">
        <v>1.0669999999999999</v>
      </c>
      <c r="AW115" s="2">
        <v>1.081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0</v>
      </c>
      <c r="BI115" s="2">
        <v>2</v>
      </c>
      <c r="BJ115" s="2" t="s">
        <v>188</v>
      </c>
      <c r="BK115" s="2"/>
      <c r="BL115" s="2"/>
      <c r="BM115" s="2">
        <v>318</v>
      </c>
      <c r="BN115" s="2">
        <v>0</v>
      </c>
      <c r="BO115" s="2" t="s">
        <v>3</v>
      </c>
      <c r="BP115" s="2">
        <v>0</v>
      </c>
      <c r="BQ115" s="2">
        <v>40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112</v>
      </c>
      <c r="CA115" s="2">
        <v>70</v>
      </c>
      <c r="CB115" s="2" t="s">
        <v>3</v>
      </c>
      <c r="CC115" s="2"/>
      <c r="CD115" s="2"/>
      <c r="CE115" s="2">
        <v>30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671</v>
      </c>
      <c r="CO115" s="2">
        <v>0</v>
      </c>
      <c r="CP115" s="2">
        <f t="shared" si="96"/>
        <v>0</v>
      </c>
      <c r="CQ115" s="2">
        <f t="shared" si="97"/>
        <v>143.91</v>
      </c>
      <c r="CR115" s="2">
        <f t="shared" si="98"/>
        <v>170.98</v>
      </c>
      <c r="CS115" s="2">
        <f t="shared" si="99"/>
        <v>22.37</v>
      </c>
      <c r="CT115" s="2">
        <f t="shared" si="100"/>
        <v>271.85000000000002</v>
      </c>
      <c r="CU115" s="2">
        <f t="shared" si="101"/>
        <v>0</v>
      </c>
      <c r="CV115" s="2">
        <f t="shared" si="102"/>
        <v>22.065560000000001</v>
      </c>
      <c r="CW115" s="2">
        <f t="shared" si="103"/>
        <v>0</v>
      </c>
      <c r="CX115" s="2">
        <f t="shared" si="104"/>
        <v>0</v>
      </c>
      <c r="CY115" s="2">
        <f>((S115*BZ115)/100)</f>
        <v>0</v>
      </c>
      <c r="CZ115" s="2">
        <f>((S115*CA115)/100)</f>
        <v>0</v>
      </c>
      <c r="DA115" s="2"/>
      <c r="DB115" s="2"/>
      <c r="DC115" s="2" t="s">
        <v>3</v>
      </c>
      <c r="DD115" s="2" t="s">
        <v>3</v>
      </c>
      <c r="DE115" s="2" t="s">
        <v>22</v>
      </c>
      <c r="DF115" s="2" t="s">
        <v>22</v>
      </c>
      <c r="DG115" s="2" t="s">
        <v>22</v>
      </c>
      <c r="DH115" s="2" t="s">
        <v>3</v>
      </c>
      <c r="DI115" s="2" t="s">
        <v>22</v>
      </c>
      <c r="DJ115" s="2" t="s">
        <v>22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1013</v>
      </c>
      <c r="DV115" s="2" t="s">
        <v>164</v>
      </c>
      <c r="DW115" s="2" t="s">
        <v>164</v>
      </c>
      <c r="DX115" s="2">
        <v>1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51696357</v>
      </c>
      <c r="EF115" s="2">
        <v>40</v>
      </c>
      <c r="EG115" s="2" t="s">
        <v>166</v>
      </c>
      <c r="EH115" s="2">
        <v>0</v>
      </c>
      <c r="EI115" s="2" t="s">
        <v>3</v>
      </c>
      <c r="EJ115" s="2">
        <v>2</v>
      </c>
      <c r="EK115" s="2">
        <v>318</v>
      </c>
      <c r="EL115" s="2" t="s">
        <v>167</v>
      </c>
      <c r="EM115" s="2" t="s">
        <v>168</v>
      </c>
      <c r="EN115" s="2"/>
      <c r="EO115" s="2" t="s">
        <v>25</v>
      </c>
      <c r="EP115" s="2"/>
      <c r="EQ115" s="2">
        <v>131072</v>
      </c>
      <c r="ER115" s="2">
        <v>510.43</v>
      </c>
      <c r="ES115" s="2">
        <v>133.13</v>
      </c>
      <c r="ET115" s="2">
        <v>145.68</v>
      </c>
      <c r="EU115" s="2">
        <v>19.059999999999999</v>
      </c>
      <c r="EV115" s="2">
        <v>231.62</v>
      </c>
      <c r="EW115" s="2">
        <v>18.8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v>0</v>
      </c>
      <c r="FS115" s="2">
        <v>0</v>
      </c>
      <c r="FT115" s="2"/>
      <c r="FU115" s="2"/>
      <c r="FV115" s="2"/>
      <c r="FW115" s="2"/>
      <c r="FX115" s="2">
        <v>112</v>
      </c>
      <c r="FY115" s="2">
        <v>70</v>
      </c>
      <c r="FZ115" s="2"/>
      <c r="GA115" s="2" t="s">
        <v>3</v>
      </c>
      <c r="GB115" s="2"/>
      <c r="GC115" s="2"/>
      <c r="GD115" s="2">
        <v>0</v>
      </c>
      <c r="GE115" s="2"/>
      <c r="GF115" s="2">
        <v>-246877925</v>
      </c>
      <c r="GG115" s="2">
        <v>2</v>
      </c>
      <c r="GH115" s="2">
        <v>1</v>
      </c>
      <c r="GI115" s="2">
        <v>-2</v>
      </c>
      <c r="GJ115" s="2">
        <v>0</v>
      </c>
      <c r="GK115" s="2">
        <f>ROUND(R115*(R12)/100,2)</f>
        <v>0</v>
      </c>
      <c r="GL115" s="2">
        <f t="shared" si="105"/>
        <v>0</v>
      </c>
      <c r="GM115" s="2">
        <f t="shared" si="106"/>
        <v>0</v>
      </c>
      <c r="GN115" s="2">
        <f t="shared" si="107"/>
        <v>0</v>
      </c>
      <c r="GO115" s="2">
        <f t="shared" si="108"/>
        <v>0</v>
      </c>
      <c r="GP115" s="2">
        <f t="shared" si="109"/>
        <v>0</v>
      </c>
      <c r="GQ115" s="2"/>
      <c r="GR115" s="2">
        <v>0</v>
      </c>
      <c r="GS115" s="2">
        <v>0</v>
      </c>
      <c r="GT115" s="2">
        <v>0</v>
      </c>
      <c r="GU115" s="2" t="s">
        <v>3</v>
      </c>
      <c r="GV115" s="2">
        <f t="shared" si="110"/>
        <v>0</v>
      </c>
      <c r="GW115" s="2">
        <v>1</v>
      </c>
      <c r="GX115" s="2">
        <f t="shared" si="111"/>
        <v>0</v>
      </c>
      <c r="GY115" s="2"/>
      <c r="GZ115" s="2"/>
      <c r="HA115" s="2">
        <v>0</v>
      </c>
      <c r="HB115" s="2">
        <v>0</v>
      </c>
      <c r="HC115" s="2">
        <f t="shared" si="112"/>
        <v>0</v>
      </c>
      <c r="HD115" s="2"/>
      <c r="HE115" s="2" t="s">
        <v>3</v>
      </c>
      <c r="HF115" s="2" t="s">
        <v>3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">
      <c r="A116">
        <v>17</v>
      </c>
      <c r="B116">
        <v>1</v>
      </c>
      <c r="D116">
        <f>ROW(EtalonRes!A284)</f>
        <v>284</v>
      </c>
      <c r="E116" t="s">
        <v>189</v>
      </c>
      <c r="F116" t="s">
        <v>186</v>
      </c>
      <c r="G116" t="s">
        <v>190</v>
      </c>
      <c r="H116" t="s">
        <v>164</v>
      </c>
      <c r="I116">
        <v>0</v>
      </c>
      <c r="J116">
        <v>0</v>
      </c>
      <c r="K116">
        <v>0</v>
      </c>
      <c r="O116">
        <f t="shared" si="76"/>
        <v>0</v>
      </c>
      <c r="P116">
        <f t="shared" si="77"/>
        <v>0</v>
      </c>
      <c r="Q116">
        <f t="shared" si="78"/>
        <v>0</v>
      </c>
      <c r="R116">
        <f t="shared" si="79"/>
        <v>0</v>
      </c>
      <c r="S116">
        <f t="shared" si="80"/>
        <v>0</v>
      </c>
      <c r="T116">
        <f t="shared" si="81"/>
        <v>0</v>
      </c>
      <c r="U116">
        <f t="shared" si="82"/>
        <v>0</v>
      </c>
      <c r="V116">
        <f t="shared" si="83"/>
        <v>0</v>
      </c>
      <c r="W116">
        <f t="shared" si="84"/>
        <v>0</v>
      </c>
      <c r="X116">
        <f t="shared" si="85"/>
        <v>0</v>
      </c>
      <c r="Y116">
        <f t="shared" si="86"/>
        <v>0</v>
      </c>
      <c r="AA116">
        <v>56616093</v>
      </c>
      <c r="AB116">
        <f t="shared" si="87"/>
        <v>548.16</v>
      </c>
      <c r="AC116">
        <f t="shared" si="88"/>
        <v>133.13</v>
      </c>
      <c r="AD116">
        <f t="shared" si="89"/>
        <v>160.24799999999999</v>
      </c>
      <c r="AE116">
        <f t="shared" si="90"/>
        <v>20.966000000000001</v>
      </c>
      <c r="AF116">
        <f t="shared" si="91"/>
        <v>254.78200000000001</v>
      </c>
      <c r="AG116">
        <f t="shared" si="92"/>
        <v>0</v>
      </c>
      <c r="AH116">
        <f t="shared" si="93"/>
        <v>20.680000000000003</v>
      </c>
      <c r="AI116">
        <f t="shared" si="94"/>
        <v>0</v>
      </c>
      <c r="AJ116">
        <f t="shared" si="95"/>
        <v>0</v>
      </c>
      <c r="AK116">
        <v>510.43</v>
      </c>
      <c r="AL116">
        <v>133.13</v>
      </c>
      <c r="AM116">
        <v>145.68</v>
      </c>
      <c r="AN116">
        <v>19.059999999999999</v>
      </c>
      <c r="AO116">
        <v>231.62</v>
      </c>
      <c r="AP116">
        <v>0</v>
      </c>
      <c r="AQ116">
        <v>18.8</v>
      </c>
      <c r="AR116">
        <v>0</v>
      </c>
      <c r="AS116">
        <v>0</v>
      </c>
      <c r="AT116">
        <v>92</v>
      </c>
      <c r="AU116">
        <v>43</v>
      </c>
      <c r="AV116">
        <v>1.0669999999999999</v>
      </c>
      <c r="AW116">
        <v>1.081</v>
      </c>
      <c r="AZ116">
        <v>1</v>
      </c>
      <c r="BA116">
        <v>34.51</v>
      </c>
      <c r="BB116">
        <v>12.3</v>
      </c>
      <c r="BC116">
        <v>6.47</v>
      </c>
      <c r="BD116" t="s">
        <v>3</v>
      </c>
      <c r="BE116" t="s">
        <v>3</v>
      </c>
      <c r="BF116" t="s">
        <v>3</v>
      </c>
      <c r="BG116" t="s">
        <v>3</v>
      </c>
      <c r="BH116">
        <v>0</v>
      </c>
      <c r="BI116">
        <v>2</v>
      </c>
      <c r="BJ116" t="s">
        <v>188</v>
      </c>
      <c r="BM116">
        <v>318</v>
      </c>
      <c r="BN116">
        <v>0</v>
      </c>
      <c r="BO116" t="s">
        <v>186</v>
      </c>
      <c r="BP116">
        <v>1</v>
      </c>
      <c r="BQ116">
        <v>40</v>
      </c>
      <c r="BR116">
        <v>0</v>
      </c>
      <c r="BS116">
        <v>34.51</v>
      </c>
      <c r="BT116">
        <v>1</v>
      </c>
      <c r="BU116">
        <v>1</v>
      </c>
      <c r="BV116">
        <v>1</v>
      </c>
      <c r="BW116">
        <v>1</v>
      </c>
      <c r="BX116">
        <v>1</v>
      </c>
      <c r="BY116" t="s">
        <v>3</v>
      </c>
      <c r="BZ116">
        <v>92</v>
      </c>
      <c r="CA116">
        <v>43</v>
      </c>
      <c r="CB116" t="s">
        <v>3</v>
      </c>
      <c r="CE116">
        <v>30</v>
      </c>
      <c r="CF116">
        <v>0</v>
      </c>
      <c r="CG116">
        <v>0</v>
      </c>
      <c r="CM116">
        <v>0</v>
      </c>
      <c r="CN116" t="s">
        <v>671</v>
      </c>
      <c r="CO116">
        <v>0</v>
      </c>
      <c r="CP116">
        <f t="shared" si="96"/>
        <v>0</v>
      </c>
      <c r="CQ116">
        <f t="shared" si="97"/>
        <v>931.1</v>
      </c>
      <c r="CR116">
        <f t="shared" si="98"/>
        <v>2103.0500000000002</v>
      </c>
      <c r="CS116">
        <f t="shared" si="99"/>
        <v>771.99</v>
      </c>
      <c r="CT116">
        <f t="shared" si="100"/>
        <v>9381.5400000000009</v>
      </c>
      <c r="CU116">
        <f t="shared" si="101"/>
        <v>0</v>
      </c>
      <c r="CV116">
        <f t="shared" si="102"/>
        <v>22.065560000000001</v>
      </c>
      <c r="CW116">
        <f t="shared" si="103"/>
        <v>0</v>
      </c>
      <c r="CX116">
        <f t="shared" si="104"/>
        <v>0</v>
      </c>
      <c r="CY116">
        <f>S116*(BZ116/100)</f>
        <v>0</v>
      </c>
      <c r="CZ116">
        <f>S116*(CA116/100)</f>
        <v>0</v>
      </c>
      <c r="DC116" t="s">
        <v>3</v>
      </c>
      <c r="DD116" t="s">
        <v>3</v>
      </c>
      <c r="DE116" t="s">
        <v>22</v>
      </c>
      <c r="DF116" t="s">
        <v>22</v>
      </c>
      <c r="DG116" t="s">
        <v>22</v>
      </c>
      <c r="DH116" t="s">
        <v>3</v>
      </c>
      <c r="DI116" t="s">
        <v>22</v>
      </c>
      <c r="DJ116" t="s">
        <v>22</v>
      </c>
      <c r="DK116" t="s">
        <v>3</v>
      </c>
      <c r="DL116" t="s">
        <v>3</v>
      </c>
      <c r="DM116" t="s">
        <v>3</v>
      </c>
      <c r="DN116">
        <v>112</v>
      </c>
      <c r="DO116">
        <v>70</v>
      </c>
      <c r="DP116">
        <v>1.0669999999999999</v>
      </c>
      <c r="DQ116">
        <v>1.081</v>
      </c>
      <c r="DU116">
        <v>1013</v>
      </c>
      <c r="DV116" t="s">
        <v>164</v>
      </c>
      <c r="DW116" t="s">
        <v>164</v>
      </c>
      <c r="DX116">
        <v>1</v>
      </c>
      <c r="DZ116" t="s">
        <v>3</v>
      </c>
      <c r="EA116" t="s">
        <v>3</v>
      </c>
      <c r="EB116" t="s">
        <v>3</v>
      </c>
      <c r="EC116" t="s">
        <v>3</v>
      </c>
      <c r="EE116">
        <v>51696357</v>
      </c>
      <c r="EF116">
        <v>40</v>
      </c>
      <c r="EG116" t="s">
        <v>166</v>
      </c>
      <c r="EH116">
        <v>0</v>
      </c>
      <c r="EI116" t="s">
        <v>3</v>
      </c>
      <c r="EJ116">
        <v>2</v>
      </c>
      <c r="EK116">
        <v>318</v>
      </c>
      <c r="EL116" t="s">
        <v>167</v>
      </c>
      <c r="EM116" t="s">
        <v>168</v>
      </c>
      <c r="EO116" t="s">
        <v>25</v>
      </c>
      <c r="EQ116">
        <v>131072</v>
      </c>
      <c r="ER116">
        <v>510.43</v>
      </c>
      <c r="ES116">
        <v>133.13</v>
      </c>
      <c r="ET116">
        <v>145.68</v>
      </c>
      <c r="EU116">
        <v>19.059999999999999</v>
      </c>
      <c r="EV116">
        <v>231.62</v>
      </c>
      <c r="EW116">
        <v>18.8</v>
      </c>
      <c r="EX116">
        <v>0</v>
      </c>
      <c r="EY116">
        <v>0</v>
      </c>
      <c r="FQ116">
        <v>0</v>
      </c>
      <c r="FR116">
        <v>0</v>
      </c>
      <c r="FS116">
        <v>0</v>
      </c>
      <c r="FX116">
        <v>112</v>
      </c>
      <c r="FY116">
        <v>70</v>
      </c>
      <c r="GA116" t="s">
        <v>3</v>
      </c>
      <c r="GD116">
        <v>0</v>
      </c>
      <c r="GF116">
        <v>-246877925</v>
      </c>
      <c r="GG116">
        <v>2</v>
      </c>
      <c r="GH116">
        <v>1</v>
      </c>
      <c r="GI116">
        <v>2</v>
      </c>
      <c r="GJ116">
        <v>0</v>
      </c>
      <c r="GK116">
        <f>ROUND(R116*(S12)/100,2)</f>
        <v>0</v>
      </c>
      <c r="GL116">
        <f t="shared" si="105"/>
        <v>0</v>
      </c>
      <c r="GM116">
        <f t="shared" si="106"/>
        <v>0</v>
      </c>
      <c r="GN116">
        <f t="shared" si="107"/>
        <v>0</v>
      </c>
      <c r="GO116">
        <f t="shared" si="108"/>
        <v>0</v>
      </c>
      <c r="GP116">
        <f t="shared" si="109"/>
        <v>0</v>
      </c>
      <c r="GR116">
        <v>0</v>
      </c>
      <c r="GS116">
        <v>3</v>
      </c>
      <c r="GT116">
        <v>0</v>
      </c>
      <c r="GU116" t="s">
        <v>3</v>
      </c>
      <c r="GV116">
        <f t="shared" si="110"/>
        <v>0</v>
      </c>
      <c r="GW116">
        <v>1</v>
      </c>
      <c r="GX116">
        <f t="shared" si="111"/>
        <v>0</v>
      </c>
      <c r="HA116">
        <v>0</v>
      </c>
      <c r="HB116">
        <v>0</v>
      </c>
      <c r="HC116">
        <f t="shared" si="112"/>
        <v>0</v>
      </c>
      <c r="HE116" t="s">
        <v>3</v>
      </c>
      <c r="HF116" t="s">
        <v>3</v>
      </c>
      <c r="HM116" t="s">
        <v>3</v>
      </c>
      <c r="HN116" t="s">
        <v>3</v>
      </c>
      <c r="HO116" t="s">
        <v>3</v>
      </c>
      <c r="HP116" t="s">
        <v>3</v>
      </c>
      <c r="HQ116" t="s">
        <v>3</v>
      </c>
      <c r="HS116">
        <v>0</v>
      </c>
      <c r="IK116">
        <v>0</v>
      </c>
    </row>
    <row r="117" spans="1:255" x14ac:dyDescent="0.2">
      <c r="A117" s="2">
        <v>17</v>
      </c>
      <c r="B117" s="2">
        <v>1</v>
      </c>
      <c r="C117" s="2">
        <f>ROW(SmtRes!A101)</f>
        <v>101</v>
      </c>
      <c r="D117" s="2">
        <f>ROW(EtalonRes!A298)</f>
        <v>298</v>
      </c>
      <c r="E117" s="2" t="s">
        <v>191</v>
      </c>
      <c r="F117" s="2" t="s">
        <v>186</v>
      </c>
      <c r="G117" s="2" t="s">
        <v>192</v>
      </c>
      <c r="H117" s="2" t="s">
        <v>164</v>
      </c>
      <c r="I117" s="2">
        <v>0</v>
      </c>
      <c r="J117" s="2">
        <v>0</v>
      </c>
      <c r="K117" s="2">
        <v>0</v>
      </c>
      <c r="L117" s="2"/>
      <c r="M117" s="2"/>
      <c r="N117" s="2"/>
      <c r="O117" s="2">
        <f t="shared" si="76"/>
        <v>0</v>
      </c>
      <c r="P117" s="2">
        <f t="shared" si="77"/>
        <v>0</v>
      </c>
      <c r="Q117" s="2">
        <f t="shared" si="78"/>
        <v>0</v>
      </c>
      <c r="R117" s="2">
        <f t="shared" si="79"/>
        <v>0</v>
      </c>
      <c r="S117" s="2">
        <f t="shared" si="80"/>
        <v>0</v>
      </c>
      <c r="T117" s="2">
        <f t="shared" si="81"/>
        <v>0</v>
      </c>
      <c r="U117" s="2">
        <f t="shared" si="82"/>
        <v>0</v>
      </c>
      <c r="V117" s="2">
        <f t="shared" si="83"/>
        <v>0</v>
      </c>
      <c r="W117" s="2">
        <f t="shared" si="84"/>
        <v>0</v>
      </c>
      <c r="X117" s="2">
        <f t="shared" si="85"/>
        <v>0</v>
      </c>
      <c r="Y117" s="2">
        <f t="shared" si="86"/>
        <v>0</v>
      </c>
      <c r="Z117" s="2"/>
      <c r="AA117" s="2">
        <v>56622586</v>
      </c>
      <c r="AB117" s="2">
        <f t="shared" si="87"/>
        <v>548.16</v>
      </c>
      <c r="AC117" s="2">
        <f t="shared" si="88"/>
        <v>133.13</v>
      </c>
      <c r="AD117" s="2">
        <f t="shared" si="89"/>
        <v>160.24799999999999</v>
      </c>
      <c r="AE117" s="2">
        <f t="shared" si="90"/>
        <v>20.966000000000001</v>
      </c>
      <c r="AF117" s="2">
        <f t="shared" si="91"/>
        <v>254.78200000000001</v>
      </c>
      <c r="AG117" s="2">
        <f t="shared" si="92"/>
        <v>0</v>
      </c>
      <c r="AH117" s="2">
        <f t="shared" si="93"/>
        <v>20.680000000000003</v>
      </c>
      <c r="AI117" s="2">
        <f t="shared" si="94"/>
        <v>0</v>
      </c>
      <c r="AJ117" s="2">
        <f t="shared" si="95"/>
        <v>0</v>
      </c>
      <c r="AK117" s="2">
        <v>510.43</v>
      </c>
      <c r="AL117" s="2">
        <v>133.13</v>
      </c>
      <c r="AM117" s="2">
        <v>145.68</v>
      </c>
      <c r="AN117" s="2">
        <v>19.059999999999999</v>
      </c>
      <c r="AO117" s="2">
        <v>231.62</v>
      </c>
      <c r="AP117" s="2">
        <v>0</v>
      </c>
      <c r="AQ117" s="2">
        <v>18.8</v>
      </c>
      <c r="AR117" s="2">
        <v>0</v>
      </c>
      <c r="AS117" s="2">
        <v>0</v>
      </c>
      <c r="AT117" s="2">
        <v>112</v>
      </c>
      <c r="AU117" s="2">
        <v>70</v>
      </c>
      <c r="AV117" s="2">
        <v>1.0669999999999999</v>
      </c>
      <c r="AW117" s="2">
        <v>1.081</v>
      </c>
      <c r="AX117" s="2"/>
      <c r="AY117" s="2"/>
      <c r="AZ117" s="2">
        <v>1</v>
      </c>
      <c r="BA117" s="2">
        <v>1</v>
      </c>
      <c r="BB117" s="2">
        <v>1</v>
      </c>
      <c r="BC117" s="2">
        <v>1</v>
      </c>
      <c r="BD117" s="2" t="s">
        <v>3</v>
      </c>
      <c r="BE117" s="2" t="s">
        <v>3</v>
      </c>
      <c r="BF117" s="2" t="s">
        <v>3</v>
      </c>
      <c r="BG117" s="2" t="s">
        <v>3</v>
      </c>
      <c r="BH117" s="2">
        <v>0</v>
      </c>
      <c r="BI117" s="2">
        <v>2</v>
      </c>
      <c r="BJ117" s="2" t="s">
        <v>188</v>
      </c>
      <c r="BK117" s="2"/>
      <c r="BL117" s="2"/>
      <c r="BM117" s="2">
        <v>318</v>
      </c>
      <c r="BN117" s="2">
        <v>0</v>
      </c>
      <c r="BO117" s="2" t="s">
        <v>3</v>
      </c>
      <c r="BP117" s="2">
        <v>0</v>
      </c>
      <c r="BQ117" s="2">
        <v>40</v>
      </c>
      <c r="BR117" s="2">
        <v>0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 t="s">
        <v>3</v>
      </c>
      <c r="BZ117" s="2">
        <v>112</v>
      </c>
      <c r="CA117" s="2">
        <v>70</v>
      </c>
      <c r="CB117" s="2" t="s">
        <v>3</v>
      </c>
      <c r="CC117" s="2"/>
      <c r="CD117" s="2"/>
      <c r="CE117" s="2">
        <v>30</v>
      </c>
      <c r="CF117" s="2">
        <v>0</v>
      </c>
      <c r="CG117" s="2">
        <v>0</v>
      </c>
      <c r="CH117" s="2"/>
      <c r="CI117" s="2"/>
      <c r="CJ117" s="2"/>
      <c r="CK117" s="2"/>
      <c r="CL117" s="2"/>
      <c r="CM117" s="2">
        <v>0</v>
      </c>
      <c r="CN117" s="2" t="s">
        <v>671</v>
      </c>
      <c r="CO117" s="2">
        <v>0</v>
      </c>
      <c r="CP117" s="2">
        <f t="shared" si="96"/>
        <v>0</v>
      </c>
      <c r="CQ117" s="2">
        <f t="shared" si="97"/>
        <v>143.91</v>
      </c>
      <c r="CR117" s="2">
        <f t="shared" si="98"/>
        <v>170.98</v>
      </c>
      <c r="CS117" s="2">
        <f t="shared" si="99"/>
        <v>22.37</v>
      </c>
      <c r="CT117" s="2">
        <f t="shared" si="100"/>
        <v>271.85000000000002</v>
      </c>
      <c r="CU117" s="2">
        <f t="shared" si="101"/>
        <v>0</v>
      </c>
      <c r="CV117" s="2">
        <f t="shared" si="102"/>
        <v>22.065560000000001</v>
      </c>
      <c r="CW117" s="2">
        <f t="shared" si="103"/>
        <v>0</v>
      </c>
      <c r="CX117" s="2">
        <f t="shared" si="104"/>
        <v>0</v>
      </c>
      <c r="CY117" s="2">
        <f>((S117*BZ117)/100)</f>
        <v>0</v>
      </c>
      <c r="CZ117" s="2">
        <f>((S117*CA117)/100)</f>
        <v>0</v>
      </c>
      <c r="DA117" s="2"/>
      <c r="DB117" s="2"/>
      <c r="DC117" s="2" t="s">
        <v>3</v>
      </c>
      <c r="DD117" s="2" t="s">
        <v>3</v>
      </c>
      <c r="DE117" s="2" t="s">
        <v>22</v>
      </c>
      <c r="DF117" s="2" t="s">
        <v>22</v>
      </c>
      <c r="DG117" s="2" t="s">
        <v>22</v>
      </c>
      <c r="DH117" s="2" t="s">
        <v>3</v>
      </c>
      <c r="DI117" s="2" t="s">
        <v>22</v>
      </c>
      <c r="DJ117" s="2" t="s">
        <v>22</v>
      </c>
      <c r="DK117" s="2" t="s">
        <v>3</v>
      </c>
      <c r="DL117" s="2" t="s">
        <v>3</v>
      </c>
      <c r="DM117" s="2" t="s">
        <v>3</v>
      </c>
      <c r="DN117" s="2">
        <v>0</v>
      </c>
      <c r="DO117" s="2">
        <v>0</v>
      </c>
      <c r="DP117" s="2">
        <v>1</v>
      </c>
      <c r="DQ117" s="2">
        <v>1</v>
      </c>
      <c r="DR117" s="2"/>
      <c r="DS117" s="2"/>
      <c r="DT117" s="2"/>
      <c r="DU117" s="2">
        <v>1013</v>
      </c>
      <c r="DV117" s="2" t="s">
        <v>164</v>
      </c>
      <c r="DW117" s="2" t="s">
        <v>164</v>
      </c>
      <c r="DX117" s="2">
        <v>1</v>
      </c>
      <c r="DY117" s="2"/>
      <c r="DZ117" s="2" t="s">
        <v>3</v>
      </c>
      <c r="EA117" s="2" t="s">
        <v>3</v>
      </c>
      <c r="EB117" s="2" t="s">
        <v>3</v>
      </c>
      <c r="EC117" s="2" t="s">
        <v>3</v>
      </c>
      <c r="ED117" s="2"/>
      <c r="EE117" s="2">
        <v>51696357</v>
      </c>
      <c r="EF117" s="2">
        <v>40</v>
      </c>
      <c r="EG117" s="2" t="s">
        <v>166</v>
      </c>
      <c r="EH117" s="2">
        <v>0</v>
      </c>
      <c r="EI117" s="2" t="s">
        <v>3</v>
      </c>
      <c r="EJ117" s="2">
        <v>2</v>
      </c>
      <c r="EK117" s="2">
        <v>318</v>
      </c>
      <c r="EL117" s="2" t="s">
        <v>167</v>
      </c>
      <c r="EM117" s="2" t="s">
        <v>168</v>
      </c>
      <c r="EN117" s="2"/>
      <c r="EO117" s="2" t="s">
        <v>25</v>
      </c>
      <c r="EP117" s="2"/>
      <c r="EQ117" s="2">
        <v>131072</v>
      </c>
      <c r="ER117" s="2">
        <v>510.43</v>
      </c>
      <c r="ES117" s="2">
        <v>133.13</v>
      </c>
      <c r="ET117" s="2">
        <v>145.68</v>
      </c>
      <c r="EU117" s="2">
        <v>19.059999999999999</v>
      </c>
      <c r="EV117" s="2">
        <v>231.62</v>
      </c>
      <c r="EW117" s="2">
        <v>18.8</v>
      </c>
      <c r="EX117" s="2">
        <v>0</v>
      </c>
      <c r="EY117" s="2">
        <v>0</v>
      </c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>
        <v>0</v>
      </c>
      <c r="FR117" s="2">
        <v>0</v>
      </c>
      <c r="FS117" s="2">
        <v>0</v>
      </c>
      <c r="FT117" s="2"/>
      <c r="FU117" s="2"/>
      <c r="FV117" s="2"/>
      <c r="FW117" s="2"/>
      <c r="FX117" s="2">
        <v>112</v>
      </c>
      <c r="FY117" s="2">
        <v>70</v>
      </c>
      <c r="FZ117" s="2"/>
      <c r="GA117" s="2" t="s">
        <v>3</v>
      </c>
      <c r="GB117" s="2"/>
      <c r="GC117" s="2"/>
      <c r="GD117" s="2">
        <v>0</v>
      </c>
      <c r="GE117" s="2"/>
      <c r="GF117" s="2">
        <v>1812908201</v>
      </c>
      <c r="GG117" s="2">
        <v>2</v>
      </c>
      <c r="GH117" s="2">
        <v>1</v>
      </c>
      <c r="GI117" s="2">
        <v>-2</v>
      </c>
      <c r="GJ117" s="2">
        <v>0</v>
      </c>
      <c r="GK117" s="2">
        <f>ROUND(R117*(R12)/100,2)</f>
        <v>0</v>
      </c>
      <c r="GL117" s="2">
        <f t="shared" si="105"/>
        <v>0</v>
      </c>
      <c r="GM117" s="2">
        <f t="shared" si="106"/>
        <v>0</v>
      </c>
      <c r="GN117" s="2">
        <f t="shared" si="107"/>
        <v>0</v>
      </c>
      <c r="GO117" s="2">
        <f t="shared" si="108"/>
        <v>0</v>
      </c>
      <c r="GP117" s="2">
        <f t="shared" si="109"/>
        <v>0</v>
      </c>
      <c r="GQ117" s="2"/>
      <c r="GR117" s="2">
        <v>0</v>
      </c>
      <c r="GS117" s="2">
        <v>0</v>
      </c>
      <c r="GT117" s="2">
        <v>0</v>
      </c>
      <c r="GU117" s="2" t="s">
        <v>3</v>
      </c>
      <c r="GV117" s="2">
        <f t="shared" si="110"/>
        <v>0</v>
      </c>
      <c r="GW117" s="2">
        <v>1</v>
      </c>
      <c r="GX117" s="2">
        <f t="shared" si="111"/>
        <v>0</v>
      </c>
      <c r="GY117" s="2"/>
      <c r="GZ117" s="2"/>
      <c r="HA117" s="2">
        <v>0</v>
      </c>
      <c r="HB117" s="2">
        <v>0</v>
      </c>
      <c r="HC117" s="2">
        <f t="shared" si="112"/>
        <v>0</v>
      </c>
      <c r="HD117" s="2"/>
      <c r="HE117" s="2" t="s">
        <v>3</v>
      </c>
      <c r="HF117" s="2" t="s">
        <v>3</v>
      </c>
      <c r="HG117" s="2"/>
      <c r="HH117" s="2"/>
      <c r="HI117" s="2"/>
      <c r="HJ117" s="2"/>
      <c r="HK117" s="2"/>
      <c r="HL117" s="2"/>
      <c r="HM117" s="2" t="s">
        <v>3</v>
      </c>
      <c r="HN117" s="2" t="s">
        <v>3</v>
      </c>
      <c r="HO117" s="2" t="s">
        <v>3</v>
      </c>
      <c r="HP117" s="2" t="s">
        <v>3</v>
      </c>
      <c r="HQ117" s="2" t="s">
        <v>3</v>
      </c>
      <c r="HR117" s="2"/>
      <c r="HS117" s="2">
        <v>0</v>
      </c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>
        <v>0</v>
      </c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x14ac:dyDescent="0.2">
      <c r="A118">
        <v>17</v>
      </c>
      <c r="B118">
        <v>1</v>
      </c>
      <c r="C118">
        <f>ROW(SmtRes!A102)</f>
        <v>102</v>
      </c>
      <c r="D118">
        <f>ROW(EtalonRes!A312)</f>
        <v>312</v>
      </c>
      <c r="E118" t="s">
        <v>191</v>
      </c>
      <c r="F118" t="s">
        <v>186</v>
      </c>
      <c r="G118" t="s">
        <v>192</v>
      </c>
      <c r="H118" t="s">
        <v>164</v>
      </c>
      <c r="I118">
        <v>0</v>
      </c>
      <c r="J118">
        <v>0</v>
      </c>
      <c r="K118">
        <v>0</v>
      </c>
      <c r="O118">
        <f t="shared" si="76"/>
        <v>0</v>
      </c>
      <c r="P118">
        <f t="shared" si="77"/>
        <v>0</v>
      </c>
      <c r="Q118">
        <f t="shared" si="78"/>
        <v>0</v>
      </c>
      <c r="R118">
        <f t="shared" si="79"/>
        <v>0</v>
      </c>
      <c r="S118">
        <f t="shared" si="80"/>
        <v>0</v>
      </c>
      <c r="T118">
        <f t="shared" si="81"/>
        <v>0</v>
      </c>
      <c r="U118">
        <f t="shared" si="82"/>
        <v>0</v>
      </c>
      <c r="V118">
        <f t="shared" si="83"/>
        <v>0</v>
      </c>
      <c r="W118">
        <f t="shared" si="84"/>
        <v>0</v>
      </c>
      <c r="X118">
        <f t="shared" si="85"/>
        <v>0</v>
      </c>
      <c r="Y118">
        <f t="shared" si="86"/>
        <v>0</v>
      </c>
      <c r="AA118">
        <v>56616093</v>
      </c>
      <c r="AB118">
        <f t="shared" si="87"/>
        <v>548.16</v>
      </c>
      <c r="AC118">
        <f t="shared" si="88"/>
        <v>133.13</v>
      </c>
      <c r="AD118">
        <f t="shared" si="89"/>
        <v>160.24799999999999</v>
      </c>
      <c r="AE118">
        <f t="shared" si="90"/>
        <v>20.966000000000001</v>
      </c>
      <c r="AF118">
        <f t="shared" si="91"/>
        <v>254.78200000000001</v>
      </c>
      <c r="AG118">
        <f t="shared" si="92"/>
        <v>0</v>
      </c>
      <c r="AH118">
        <f t="shared" si="93"/>
        <v>20.680000000000003</v>
      </c>
      <c r="AI118">
        <f t="shared" si="94"/>
        <v>0</v>
      </c>
      <c r="AJ118">
        <f t="shared" si="95"/>
        <v>0</v>
      </c>
      <c r="AK118">
        <v>510.43</v>
      </c>
      <c r="AL118">
        <v>133.13</v>
      </c>
      <c r="AM118">
        <v>145.68</v>
      </c>
      <c r="AN118">
        <v>19.059999999999999</v>
      </c>
      <c r="AO118">
        <v>231.62</v>
      </c>
      <c r="AP118">
        <v>0</v>
      </c>
      <c r="AQ118">
        <v>18.8</v>
      </c>
      <c r="AR118">
        <v>0</v>
      </c>
      <c r="AS118">
        <v>0</v>
      </c>
      <c r="AT118">
        <v>92</v>
      </c>
      <c r="AU118">
        <v>43</v>
      </c>
      <c r="AV118">
        <v>1.0669999999999999</v>
      </c>
      <c r="AW118">
        <v>1.081</v>
      </c>
      <c r="AZ118">
        <v>1</v>
      </c>
      <c r="BA118">
        <v>34.51</v>
      </c>
      <c r="BB118">
        <v>12.3</v>
      </c>
      <c r="BC118">
        <v>6.47</v>
      </c>
      <c r="BD118" t="s">
        <v>3</v>
      </c>
      <c r="BE118" t="s">
        <v>3</v>
      </c>
      <c r="BF118" t="s">
        <v>3</v>
      </c>
      <c r="BG118" t="s">
        <v>3</v>
      </c>
      <c r="BH118">
        <v>0</v>
      </c>
      <c r="BI118">
        <v>2</v>
      </c>
      <c r="BJ118" t="s">
        <v>188</v>
      </c>
      <c r="BM118">
        <v>318</v>
      </c>
      <c r="BN118">
        <v>0</v>
      </c>
      <c r="BO118" t="s">
        <v>186</v>
      </c>
      <c r="BP118">
        <v>1</v>
      </c>
      <c r="BQ118">
        <v>40</v>
      </c>
      <c r="BR118">
        <v>0</v>
      </c>
      <c r="BS118">
        <v>34.51</v>
      </c>
      <c r="BT118">
        <v>1</v>
      </c>
      <c r="BU118">
        <v>1</v>
      </c>
      <c r="BV118">
        <v>1</v>
      </c>
      <c r="BW118">
        <v>1</v>
      </c>
      <c r="BX118">
        <v>1</v>
      </c>
      <c r="BY118" t="s">
        <v>3</v>
      </c>
      <c r="BZ118">
        <v>92</v>
      </c>
      <c r="CA118">
        <v>43</v>
      </c>
      <c r="CB118" t="s">
        <v>3</v>
      </c>
      <c r="CE118">
        <v>30</v>
      </c>
      <c r="CF118">
        <v>0</v>
      </c>
      <c r="CG118">
        <v>0</v>
      </c>
      <c r="CM118">
        <v>0</v>
      </c>
      <c r="CN118" t="s">
        <v>671</v>
      </c>
      <c r="CO118">
        <v>0</v>
      </c>
      <c r="CP118">
        <f t="shared" si="96"/>
        <v>0</v>
      </c>
      <c r="CQ118">
        <f t="shared" si="97"/>
        <v>931.1</v>
      </c>
      <c r="CR118">
        <f t="shared" si="98"/>
        <v>2103.0500000000002</v>
      </c>
      <c r="CS118">
        <f t="shared" si="99"/>
        <v>771.99</v>
      </c>
      <c r="CT118">
        <f t="shared" si="100"/>
        <v>9381.5400000000009</v>
      </c>
      <c r="CU118">
        <f t="shared" si="101"/>
        <v>0</v>
      </c>
      <c r="CV118">
        <f t="shared" si="102"/>
        <v>22.065560000000001</v>
      </c>
      <c r="CW118">
        <f t="shared" si="103"/>
        <v>0</v>
      </c>
      <c r="CX118">
        <f t="shared" si="104"/>
        <v>0</v>
      </c>
      <c r="CY118">
        <f>S118*(BZ118/100)</f>
        <v>0</v>
      </c>
      <c r="CZ118">
        <f>S118*(CA118/100)</f>
        <v>0</v>
      </c>
      <c r="DC118" t="s">
        <v>3</v>
      </c>
      <c r="DD118" t="s">
        <v>3</v>
      </c>
      <c r="DE118" t="s">
        <v>22</v>
      </c>
      <c r="DF118" t="s">
        <v>22</v>
      </c>
      <c r="DG118" t="s">
        <v>22</v>
      </c>
      <c r="DH118" t="s">
        <v>3</v>
      </c>
      <c r="DI118" t="s">
        <v>22</v>
      </c>
      <c r="DJ118" t="s">
        <v>22</v>
      </c>
      <c r="DK118" t="s">
        <v>3</v>
      </c>
      <c r="DL118" t="s">
        <v>3</v>
      </c>
      <c r="DM118" t="s">
        <v>3</v>
      </c>
      <c r="DN118">
        <v>112</v>
      </c>
      <c r="DO118">
        <v>70</v>
      </c>
      <c r="DP118">
        <v>1.0669999999999999</v>
      </c>
      <c r="DQ118">
        <v>1.081</v>
      </c>
      <c r="DU118">
        <v>1013</v>
      </c>
      <c r="DV118" t="s">
        <v>164</v>
      </c>
      <c r="DW118" t="s">
        <v>164</v>
      </c>
      <c r="DX118">
        <v>1</v>
      </c>
      <c r="DZ118" t="s">
        <v>3</v>
      </c>
      <c r="EA118" t="s">
        <v>3</v>
      </c>
      <c r="EB118" t="s">
        <v>3</v>
      </c>
      <c r="EC118" t="s">
        <v>3</v>
      </c>
      <c r="EE118">
        <v>51696357</v>
      </c>
      <c r="EF118">
        <v>40</v>
      </c>
      <c r="EG118" t="s">
        <v>166</v>
      </c>
      <c r="EH118">
        <v>0</v>
      </c>
      <c r="EI118" t="s">
        <v>3</v>
      </c>
      <c r="EJ118">
        <v>2</v>
      </c>
      <c r="EK118">
        <v>318</v>
      </c>
      <c r="EL118" t="s">
        <v>167</v>
      </c>
      <c r="EM118" t="s">
        <v>168</v>
      </c>
      <c r="EO118" t="s">
        <v>25</v>
      </c>
      <c r="EQ118">
        <v>131072</v>
      </c>
      <c r="ER118">
        <v>510.43</v>
      </c>
      <c r="ES118">
        <v>133.13</v>
      </c>
      <c r="ET118">
        <v>145.68</v>
      </c>
      <c r="EU118">
        <v>19.059999999999999</v>
      </c>
      <c r="EV118">
        <v>231.62</v>
      </c>
      <c r="EW118">
        <v>18.8</v>
      </c>
      <c r="EX118">
        <v>0</v>
      </c>
      <c r="EY118">
        <v>0</v>
      </c>
      <c r="FQ118">
        <v>0</v>
      </c>
      <c r="FR118">
        <v>0</v>
      </c>
      <c r="FS118">
        <v>0</v>
      </c>
      <c r="FX118">
        <v>112</v>
      </c>
      <c r="FY118">
        <v>70</v>
      </c>
      <c r="GA118" t="s">
        <v>3</v>
      </c>
      <c r="GD118">
        <v>0</v>
      </c>
      <c r="GF118">
        <v>1812908201</v>
      </c>
      <c r="GG118">
        <v>2</v>
      </c>
      <c r="GH118">
        <v>1</v>
      </c>
      <c r="GI118">
        <v>2</v>
      </c>
      <c r="GJ118">
        <v>0</v>
      </c>
      <c r="GK118">
        <f>ROUND(R118*(S12)/100,2)</f>
        <v>0</v>
      </c>
      <c r="GL118">
        <f t="shared" si="105"/>
        <v>0</v>
      </c>
      <c r="GM118">
        <f t="shared" si="106"/>
        <v>0</v>
      </c>
      <c r="GN118">
        <f t="shared" si="107"/>
        <v>0</v>
      </c>
      <c r="GO118">
        <f t="shared" si="108"/>
        <v>0</v>
      </c>
      <c r="GP118">
        <f t="shared" si="109"/>
        <v>0</v>
      </c>
      <c r="GR118">
        <v>0</v>
      </c>
      <c r="GS118">
        <v>3</v>
      </c>
      <c r="GT118">
        <v>0</v>
      </c>
      <c r="GU118" t="s">
        <v>3</v>
      </c>
      <c r="GV118">
        <f t="shared" si="110"/>
        <v>0</v>
      </c>
      <c r="GW118">
        <v>1</v>
      </c>
      <c r="GX118">
        <f t="shared" si="111"/>
        <v>0</v>
      </c>
      <c r="HA118">
        <v>0</v>
      </c>
      <c r="HB118">
        <v>0</v>
      </c>
      <c r="HC118">
        <f t="shared" si="112"/>
        <v>0</v>
      </c>
      <c r="HE118" t="s">
        <v>3</v>
      </c>
      <c r="HF118" t="s">
        <v>3</v>
      </c>
      <c r="HM118" t="s">
        <v>3</v>
      </c>
      <c r="HN118" t="s">
        <v>3</v>
      </c>
      <c r="HO118" t="s">
        <v>3</v>
      </c>
      <c r="HP118" t="s">
        <v>3</v>
      </c>
      <c r="HQ118" t="s">
        <v>3</v>
      </c>
      <c r="HS118">
        <v>0</v>
      </c>
      <c r="IK118">
        <v>0</v>
      </c>
    </row>
    <row r="119" spans="1:255" x14ac:dyDescent="0.2">
      <c r="A119" s="2">
        <v>17</v>
      </c>
      <c r="B119" s="2">
        <v>1</v>
      </c>
      <c r="C119" s="2">
        <f>ROW(SmtRes!A103)</f>
        <v>103</v>
      </c>
      <c r="D119" s="2">
        <f>ROW(EtalonRes!A326)</f>
        <v>326</v>
      </c>
      <c r="E119" s="2" t="s">
        <v>193</v>
      </c>
      <c r="F119" s="2" t="s">
        <v>186</v>
      </c>
      <c r="G119" s="2" t="s">
        <v>192</v>
      </c>
      <c r="H119" s="2" t="s">
        <v>164</v>
      </c>
      <c r="I119" s="2">
        <v>0</v>
      </c>
      <c r="J119" s="2">
        <v>0</v>
      </c>
      <c r="K119" s="2">
        <v>0</v>
      </c>
      <c r="L119" s="2"/>
      <c r="M119" s="2"/>
      <c r="N119" s="2"/>
      <c r="O119" s="2">
        <f t="shared" si="76"/>
        <v>0</v>
      </c>
      <c r="P119" s="2">
        <f t="shared" si="77"/>
        <v>0</v>
      </c>
      <c r="Q119" s="2">
        <f t="shared" si="78"/>
        <v>0</v>
      </c>
      <c r="R119" s="2">
        <f t="shared" si="79"/>
        <v>0</v>
      </c>
      <c r="S119" s="2">
        <f t="shared" si="80"/>
        <v>0</v>
      </c>
      <c r="T119" s="2">
        <f t="shared" si="81"/>
        <v>0</v>
      </c>
      <c r="U119" s="2">
        <f t="shared" si="82"/>
        <v>0</v>
      </c>
      <c r="V119" s="2">
        <f t="shared" si="83"/>
        <v>0</v>
      </c>
      <c r="W119" s="2">
        <f t="shared" si="84"/>
        <v>0</v>
      </c>
      <c r="X119" s="2">
        <f t="shared" si="85"/>
        <v>0</v>
      </c>
      <c r="Y119" s="2">
        <f t="shared" si="86"/>
        <v>0</v>
      </c>
      <c r="Z119" s="2"/>
      <c r="AA119" s="2">
        <v>56622586</v>
      </c>
      <c r="AB119" s="2">
        <f t="shared" si="87"/>
        <v>548.16</v>
      </c>
      <c r="AC119" s="2">
        <f t="shared" si="88"/>
        <v>133.13</v>
      </c>
      <c r="AD119" s="2">
        <f t="shared" si="89"/>
        <v>160.24799999999999</v>
      </c>
      <c r="AE119" s="2">
        <f t="shared" si="90"/>
        <v>20.966000000000001</v>
      </c>
      <c r="AF119" s="2">
        <f t="shared" si="91"/>
        <v>254.78200000000001</v>
      </c>
      <c r="AG119" s="2">
        <f t="shared" si="92"/>
        <v>0</v>
      </c>
      <c r="AH119" s="2">
        <f t="shared" si="93"/>
        <v>20.680000000000003</v>
      </c>
      <c r="AI119" s="2">
        <f t="shared" si="94"/>
        <v>0</v>
      </c>
      <c r="AJ119" s="2">
        <f t="shared" si="95"/>
        <v>0</v>
      </c>
      <c r="AK119" s="2">
        <v>510.43</v>
      </c>
      <c r="AL119" s="2">
        <v>133.13</v>
      </c>
      <c r="AM119" s="2">
        <v>145.68</v>
      </c>
      <c r="AN119" s="2">
        <v>19.059999999999999</v>
      </c>
      <c r="AO119" s="2">
        <v>231.62</v>
      </c>
      <c r="AP119" s="2">
        <v>0</v>
      </c>
      <c r="AQ119" s="2">
        <v>18.8</v>
      </c>
      <c r="AR119" s="2">
        <v>0</v>
      </c>
      <c r="AS119" s="2">
        <v>0</v>
      </c>
      <c r="AT119" s="2">
        <v>112</v>
      </c>
      <c r="AU119" s="2">
        <v>70</v>
      </c>
      <c r="AV119" s="2">
        <v>1.0669999999999999</v>
      </c>
      <c r="AW119" s="2">
        <v>1.081</v>
      </c>
      <c r="AX119" s="2"/>
      <c r="AY119" s="2"/>
      <c r="AZ119" s="2">
        <v>1</v>
      </c>
      <c r="BA119" s="2">
        <v>1</v>
      </c>
      <c r="BB119" s="2">
        <v>1</v>
      </c>
      <c r="BC119" s="2">
        <v>1</v>
      </c>
      <c r="BD119" s="2" t="s">
        <v>3</v>
      </c>
      <c r="BE119" s="2" t="s">
        <v>3</v>
      </c>
      <c r="BF119" s="2" t="s">
        <v>3</v>
      </c>
      <c r="BG119" s="2" t="s">
        <v>3</v>
      </c>
      <c r="BH119" s="2">
        <v>0</v>
      </c>
      <c r="BI119" s="2">
        <v>2</v>
      </c>
      <c r="BJ119" s="2" t="s">
        <v>188</v>
      </c>
      <c r="BK119" s="2"/>
      <c r="BL119" s="2"/>
      <c r="BM119" s="2">
        <v>318</v>
      </c>
      <c r="BN119" s="2">
        <v>0</v>
      </c>
      <c r="BO119" s="2" t="s">
        <v>3</v>
      </c>
      <c r="BP119" s="2">
        <v>0</v>
      </c>
      <c r="BQ119" s="2">
        <v>40</v>
      </c>
      <c r="BR119" s="2">
        <v>0</v>
      </c>
      <c r="BS119" s="2">
        <v>1</v>
      </c>
      <c r="BT119" s="2">
        <v>1</v>
      </c>
      <c r="BU119" s="2">
        <v>1</v>
      </c>
      <c r="BV119" s="2">
        <v>1</v>
      </c>
      <c r="BW119" s="2">
        <v>1</v>
      </c>
      <c r="BX119" s="2">
        <v>1</v>
      </c>
      <c r="BY119" s="2" t="s">
        <v>3</v>
      </c>
      <c r="BZ119" s="2">
        <v>112</v>
      </c>
      <c r="CA119" s="2">
        <v>70</v>
      </c>
      <c r="CB119" s="2" t="s">
        <v>3</v>
      </c>
      <c r="CC119" s="2"/>
      <c r="CD119" s="2"/>
      <c r="CE119" s="2">
        <v>30</v>
      </c>
      <c r="CF119" s="2">
        <v>0</v>
      </c>
      <c r="CG119" s="2">
        <v>0</v>
      </c>
      <c r="CH119" s="2"/>
      <c r="CI119" s="2"/>
      <c r="CJ119" s="2"/>
      <c r="CK119" s="2"/>
      <c r="CL119" s="2"/>
      <c r="CM119" s="2">
        <v>0</v>
      </c>
      <c r="CN119" s="2" t="s">
        <v>671</v>
      </c>
      <c r="CO119" s="2">
        <v>0</v>
      </c>
      <c r="CP119" s="2">
        <f t="shared" si="96"/>
        <v>0</v>
      </c>
      <c r="CQ119" s="2">
        <f t="shared" si="97"/>
        <v>143.91</v>
      </c>
      <c r="CR119" s="2">
        <f t="shared" si="98"/>
        <v>170.98</v>
      </c>
      <c r="CS119" s="2">
        <f t="shared" si="99"/>
        <v>22.37</v>
      </c>
      <c r="CT119" s="2">
        <f t="shared" si="100"/>
        <v>271.85000000000002</v>
      </c>
      <c r="CU119" s="2">
        <f t="shared" si="101"/>
        <v>0</v>
      </c>
      <c r="CV119" s="2">
        <f t="shared" si="102"/>
        <v>22.065560000000001</v>
      </c>
      <c r="CW119" s="2">
        <f t="shared" si="103"/>
        <v>0</v>
      </c>
      <c r="CX119" s="2">
        <f t="shared" si="104"/>
        <v>0</v>
      </c>
      <c r="CY119" s="2">
        <f>((S119*BZ119)/100)</f>
        <v>0</v>
      </c>
      <c r="CZ119" s="2">
        <f>((S119*CA119)/100)</f>
        <v>0</v>
      </c>
      <c r="DA119" s="2"/>
      <c r="DB119" s="2"/>
      <c r="DC119" s="2" t="s">
        <v>3</v>
      </c>
      <c r="DD119" s="2" t="s">
        <v>3</v>
      </c>
      <c r="DE119" s="2" t="s">
        <v>22</v>
      </c>
      <c r="DF119" s="2" t="s">
        <v>22</v>
      </c>
      <c r="DG119" s="2" t="s">
        <v>22</v>
      </c>
      <c r="DH119" s="2" t="s">
        <v>3</v>
      </c>
      <c r="DI119" s="2" t="s">
        <v>22</v>
      </c>
      <c r="DJ119" s="2" t="s">
        <v>22</v>
      </c>
      <c r="DK119" s="2" t="s">
        <v>3</v>
      </c>
      <c r="DL119" s="2" t="s">
        <v>3</v>
      </c>
      <c r="DM119" s="2" t="s">
        <v>3</v>
      </c>
      <c r="DN119" s="2">
        <v>0</v>
      </c>
      <c r="DO119" s="2">
        <v>0</v>
      </c>
      <c r="DP119" s="2">
        <v>1</v>
      </c>
      <c r="DQ119" s="2">
        <v>1</v>
      </c>
      <c r="DR119" s="2"/>
      <c r="DS119" s="2"/>
      <c r="DT119" s="2"/>
      <c r="DU119" s="2">
        <v>1013</v>
      </c>
      <c r="DV119" s="2" t="s">
        <v>164</v>
      </c>
      <c r="DW119" s="2" t="s">
        <v>164</v>
      </c>
      <c r="DX119" s="2">
        <v>1</v>
      </c>
      <c r="DY119" s="2"/>
      <c r="DZ119" s="2" t="s">
        <v>3</v>
      </c>
      <c r="EA119" s="2" t="s">
        <v>3</v>
      </c>
      <c r="EB119" s="2" t="s">
        <v>3</v>
      </c>
      <c r="EC119" s="2" t="s">
        <v>3</v>
      </c>
      <c r="ED119" s="2"/>
      <c r="EE119" s="2">
        <v>51696357</v>
      </c>
      <c r="EF119" s="2">
        <v>40</v>
      </c>
      <c r="EG119" s="2" t="s">
        <v>166</v>
      </c>
      <c r="EH119" s="2">
        <v>0</v>
      </c>
      <c r="EI119" s="2" t="s">
        <v>3</v>
      </c>
      <c r="EJ119" s="2">
        <v>2</v>
      </c>
      <c r="EK119" s="2">
        <v>318</v>
      </c>
      <c r="EL119" s="2" t="s">
        <v>167</v>
      </c>
      <c r="EM119" s="2" t="s">
        <v>168</v>
      </c>
      <c r="EN119" s="2"/>
      <c r="EO119" s="2" t="s">
        <v>25</v>
      </c>
      <c r="EP119" s="2"/>
      <c r="EQ119" s="2">
        <v>131072</v>
      </c>
      <c r="ER119" s="2">
        <v>510.43</v>
      </c>
      <c r="ES119" s="2">
        <v>133.13</v>
      </c>
      <c r="ET119" s="2">
        <v>145.68</v>
      </c>
      <c r="EU119" s="2">
        <v>19.059999999999999</v>
      </c>
      <c r="EV119" s="2">
        <v>231.62</v>
      </c>
      <c r="EW119" s="2">
        <v>18.8</v>
      </c>
      <c r="EX119" s="2">
        <v>0</v>
      </c>
      <c r="EY119" s="2">
        <v>0</v>
      </c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>
        <v>0</v>
      </c>
      <c r="FR119" s="2">
        <v>0</v>
      </c>
      <c r="FS119" s="2">
        <v>0</v>
      </c>
      <c r="FT119" s="2"/>
      <c r="FU119" s="2"/>
      <c r="FV119" s="2"/>
      <c r="FW119" s="2"/>
      <c r="FX119" s="2">
        <v>112</v>
      </c>
      <c r="FY119" s="2">
        <v>70</v>
      </c>
      <c r="FZ119" s="2"/>
      <c r="GA119" s="2" t="s">
        <v>3</v>
      </c>
      <c r="GB119" s="2"/>
      <c r="GC119" s="2"/>
      <c r="GD119" s="2">
        <v>0</v>
      </c>
      <c r="GE119" s="2"/>
      <c r="GF119" s="2">
        <v>1812908201</v>
      </c>
      <c r="GG119" s="2">
        <v>2</v>
      </c>
      <c r="GH119" s="2">
        <v>1</v>
      </c>
      <c r="GI119" s="2">
        <v>-2</v>
      </c>
      <c r="GJ119" s="2">
        <v>0</v>
      </c>
      <c r="GK119" s="2">
        <f>ROUND(R119*(R12)/100,2)</f>
        <v>0</v>
      </c>
      <c r="GL119" s="2">
        <f t="shared" si="105"/>
        <v>0</v>
      </c>
      <c r="GM119" s="2">
        <f t="shared" si="106"/>
        <v>0</v>
      </c>
      <c r="GN119" s="2">
        <f t="shared" si="107"/>
        <v>0</v>
      </c>
      <c r="GO119" s="2">
        <f t="shared" si="108"/>
        <v>0</v>
      </c>
      <c r="GP119" s="2">
        <f t="shared" si="109"/>
        <v>0</v>
      </c>
      <c r="GQ119" s="2"/>
      <c r="GR119" s="2">
        <v>0</v>
      </c>
      <c r="GS119" s="2">
        <v>0</v>
      </c>
      <c r="GT119" s="2">
        <v>0</v>
      </c>
      <c r="GU119" s="2" t="s">
        <v>3</v>
      </c>
      <c r="GV119" s="2">
        <f t="shared" si="110"/>
        <v>0</v>
      </c>
      <c r="GW119" s="2">
        <v>1</v>
      </c>
      <c r="GX119" s="2">
        <f t="shared" si="111"/>
        <v>0</v>
      </c>
      <c r="GY119" s="2"/>
      <c r="GZ119" s="2"/>
      <c r="HA119" s="2">
        <v>0</v>
      </c>
      <c r="HB119" s="2">
        <v>0</v>
      </c>
      <c r="HC119" s="2">
        <f t="shared" si="112"/>
        <v>0</v>
      </c>
      <c r="HD119" s="2"/>
      <c r="HE119" s="2" t="s">
        <v>3</v>
      </c>
      <c r="HF119" s="2" t="s">
        <v>3</v>
      </c>
      <c r="HG119" s="2"/>
      <c r="HH119" s="2"/>
      <c r="HI119" s="2"/>
      <c r="HJ119" s="2"/>
      <c r="HK119" s="2"/>
      <c r="HL119" s="2"/>
      <c r="HM119" s="2" t="s">
        <v>3</v>
      </c>
      <c r="HN119" s="2" t="s">
        <v>3</v>
      </c>
      <c r="HO119" s="2" t="s">
        <v>3</v>
      </c>
      <c r="HP119" s="2" t="s">
        <v>3</v>
      </c>
      <c r="HQ119" s="2" t="s">
        <v>3</v>
      </c>
      <c r="HR119" s="2"/>
      <c r="HS119" s="2">
        <v>0</v>
      </c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>
        <v>0</v>
      </c>
      <c r="IL119" s="2"/>
      <c r="IM119" s="2"/>
      <c r="IN119" s="2"/>
      <c r="IO119" s="2"/>
      <c r="IP119" s="2"/>
      <c r="IQ119" s="2"/>
      <c r="IR119" s="2"/>
      <c r="IS119" s="2"/>
      <c r="IT119" s="2"/>
      <c r="IU119" s="2"/>
    </row>
    <row r="120" spans="1:255" x14ac:dyDescent="0.2">
      <c r="A120">
        <v>17</v>
      </c>
      <c r="B120">
        <v>1</v>
      </c>
      <c r="C120">
        <f>ROW(SmtRes!A104)</f>
        <v>104</v>
      </c>
      <c r="D120">
        <f>ROW(EtalonRes!A340)</f>
        <v>340</v>
      </c>
      <c r="E120" t="s">
        <v>193</v>
      </c>
      <c r="F120" t="s">
        <v>186</v>
      </c>
      <c r="G120" t="s">
        <v>192</v>
      </c>
      <c r="H120" t="s">
        <v>164</v>
      </c>
      <c r="I120">
        <v>0</v>
      </c>
      <c r="J120">
        <v>0</v>
      </c>
      <c r="K120">
        <v>0</v>
      </c>
      <c r="O120">
        <f t="shared" si="76"/>
        <v>0</v>
      </c>
      <c r="P120">
        <f t="shared" si="77"/>
        <v>0</v>
      </c>
      <c r="Q120">
        <f t="shared" si="78"/>
        <v>0</v>
      </c>
      <c r="R120">
        <f t="shared" si="79"/>
        <v>0</v>
      </c>
      <c r="S120">
        <f t="shared" si="80"/>
        <v>0</v>
      </c>
      <c r="T120">
        <f t="shared" si="81"/>
        <v>0</v>
      </c>
      <c r="U120">
        <f t="shared" si="82"/>
        <v>0</v>
      </c>
      <c r="V120">
        <f t="shared" si="83"/>
        <v>0</v>
      </c>
      <c r="W120">
        <f t="shared" si="84"/>
        <v>0</v>
      </c>
      <c r="X120">
        <f t="shared" si="85"/>
        <v>0</v>
      </c>
      <c r="Y120">
        <f t="shared" si="86"/>
        <v>0</v>
      </c>
      <c r="AA120">
        <v>56616093</v>
      </c>
      <c r="AB120">
        <f t="shared" si="87"/>
        <v>548.16</v>
      </c>
      <c r="AC120">
        <f t="shared" si="88"/>
        <v>133.13</v>
      </c>
      <c r="AD120">
        <f t="shared" si="89"/>
        <v>160.24799999999999</v>
      </c>
      <c r="AE120">
        <f t="shared" si="90"/>
        <v>20.966000000000001</v>
      </c>
      <c r="AF120">
        <f t="shared" si="91"/>
        <v>254.78200000000001</v>
      </c>
      <c r="AG120">
        <f t="shared" si="92"/>
        <v>0</v>
      </c>
      <c r="AH120">
        <f t="shared" si="93"/>
        <v>20.680000000000003</v>
      </c>
      <c r="AI120">
        <f t="shared" si="94"/>
        <v>0</v>
      </c>
      <c r="AJ120">
        <f t="shared" si="95"/>
        <v>0</v>
      </c>
      <c r="AK120">
        <v>510.43</v>
      </c>
      <c r="AL120">
        <v>133.13</v>
      </c>
      <c r="AM120">
        <v>145.68</v>
      </c>
      <c r="AN120">
        <v>19.059999999999999</v>
      </c>
      <c r="AO120">
        <v>231.62</v>
      </c>
      <c r="AP120">
        <v>0</v>
      </c>
      <c r="AQ120">
        <v>18.8</v>
      </c>
      <c r="AR120">
        <v>0</v>
      </c>
      <c r="AS120">
        <v>0</v>
      </c>
      <c r="AT120">
        <v>92</v>
      </c>
      <c r="AU120">
        <v>43</v>
      </c>
      <c r="AV120">
        <v>1.0669999999999999</v>
      </c>
      <c r="AW120">
        <v>1.081</v>
      </c>
      <c r="AZ120">
        <v>1</v>
      </c>
      <c r="BA120">
        <v>34.51</v>
      </c>
      <c r="BB120">
        <v>12.3</v>
      </c>
      <c r="BC120">
        <v>6.47</v>
      </c>
      <c r="BD120" t="s">
        <v>3</v>
      </c>
      <c r="BE120" t="s">
        <v>3</v>
      </c>
      <c r="BF120" t="s">
        <v>3</v>
      </c>
      <c r="BG120" t="s">
        <v>3</v>
      </c>
      <c r="BH120">
        <v>0</v>
      </c>
      <c r="BI120">
        <v>2</v>
      </c>
      <c r="BJ120" t="s">
        <v>188</v>
      </c>
      <c r="BM120">
        <v>318</v>
      </c>
      <c r="BN120">
        <v>0</v>
      </c>
      <c r="BO120" t="s">
        <v>186</v>
      </c>
      <c r="BP120">
        <v>1</v>
      </c>
      <c r="BQ120">
        <v>40</v>
      </c>
      <c r="BR120">
        <v>0</v>
      </c>
      <c r="BS120">
        <v>34.51</v>
      </c>
      <c r="BT120">
        <v>1</v>
      </c>
      <c r="BU120">
        <v>1</v>
      </c>
      <c r="BV120">
        <v>1</v>
      </c>
      <c r="BW120">
        <v>1</v>
      </c>
      <c r="BX120">
        <v>1</v>
      </c>
      <c r="BY120" t="s">
        <v>3</v>
      </c>
      <c r="BZ120">
        <v>92</v>
      </c>
      <c r="CA120">
        <v>43</v>
      </c>
      <c r="CB120" t="s">
        <v>3</v>
      </c>
      <c r="CE120">
        <v>30</v>
      </c>
      <c r="CF120">
        <v>0</v>
      </c>
      <c r="CG120">
        <v>0</v>
      </c>
      <c r="CM120">
        <v>0</v>
      </c>
      <c r="CN120" t="s">
        <v>671</v>
      </c>
      <c r="CO120">
        <v>0</v>
      </c>
      <c r="CP120">
        <f t="shared" si="96"/>
        <v>0</v>
      </c>
      <c r="CQ120">
        <f t="shared" si="97"/>
        <v>931.1</v>
      </c>
      <c r="CR120">
        <f t="shared" si="98"/>
        <v>2103.0500000000002</v>
      </c>
      <c r="CS120">
        <f t="shared" si="99"/>
        <v>771.99</v>
      </c>
      <c r="CT120">
        <f t="shared" si="100"/>
        <v>9381.5400000000009</v>
      </c>
      <c r="CU120">
        <f t="shared" si="101"/>
        <v>0</v>
      </c>
      <c r="CV120">
        <f t="shared" si="102"/>
        <v>22.065560000000001</v>
      </c>
      <c r="CW120">
        <f t="shared" si="103"/>
        <v>0</v>
      </c>
      <c r="CX120">
        <f t="shared" si="104"/>
        <v>0</v>
      </c>
      <c r="CY120">
        <f>S120*(BZ120/100)</f>
        <v>0</v>
      </c>
      <c r="CZ120">
        <f>S120*(CA120/100)</f>
        <v>0</v>
      </c>
      <c r="DC120" t="s">
        <v>3</v>
      </c>
      <c r="DD120" t="s">
        <v>3</v>
      </c>
      <c r="DE120" t="s">
        <v>22</v>
      </c>
      <c r="DF120" t="s">
        <v>22</v>
      </c>
      <c r="DG120" t="s">
        <v>22</v>
      </c>
      <c r="DH120" t="s">
        <v>3</v>
      </c>
      <c r="DI120" t="s">
        <v>22</v>
      </c>
      <c r="DJ120" t="s">
        <v>22</v>
      </c>
      <c r="DK120" t="s">
        <v>3</v>
      </c>
      <c r="DL120" t="s">
        <v>3</v>
      </c>
      <c r="DM120" t="s">
        <v>3</v>
      </c>
      <c r="DN120">
        <v>112</v>
      </c>
      <c r="DO120">
        <v>70</v>
      </c>
      <c r="DP120">
        <v>1.0669999999999999</v>
      </c>
      <c r="DQ120">
        <v>1.081</v>
      </c>
      <c r="DU120">
        <v>1013</v>
      </c>
      <c r="DV120" t="s">
        <v>164</v>
      </c>
      <c r="DW120" t="s">
        <v>164</v>
      </c>
      <c r="DX120">
        <v>1</v>
      </c>
      <c r="DZ120" t="s">
        <v>3</v>
      </c>
      <c r="EA120" t="s">
        <v>3</v>
      </c>
      <c r="EB120" t="s">
        <v>3</v>
      </c>
      <c r="EC120" t="s">
        <v>3</v>
      </c>
      <c r="EE120">
        <v>51696357</v>
      </c>
      <c r="EF120">
        <v>40</v>
      </c>
      <c r="EG120" t="s">
        <v>166</v>
      </c>
      <c r="EH120">
        <v>0</v>
      </c>
      <c r="EI120" t="s">
        <v>3</v>
      </c>
      <c r="EJ120">
        <v>2</v>
      </c>
      <c r="EK120">
        <v>318</v>
      </c>
      <c r="EL120" t="s">
        <v>167</v>
      </c>
      <c r="EM120" t="s">
        <v>168</v>
      </c>
      <c r="EO120" t="s">
        <v>25</v>
      </c>
      <c r="EQ120">
        <v>131072</v>
      </c>
      <c r="ER120">
        <v>510.43</v>
      </c>
      <c r="ES120">
        <v>133.13</v>
      </c>
      <c r="ET120">
        <v>145.68</v>
      </c>
      <c r="EU120">
        <v>19.059999999999999</v>
      </c>
      <c r="EV120">
        <v>231.62</v>
      </c>
      <c r="EW120">
        <v>18.8</v>
      </c>
      <c r="EX120">
        <v>0</v>
      </c>
      <c r="EY120">
        <v>0</v>
      </c>
      <c r="FQ120">
        <v>0</v>
      </c>
      <c r="FR120">
        <v>0</v>
      </c>
      <c r="FS120">
        <v>0</v>
      </c>
      <c r="FX120">
        <v>112</v>
      </c>
      <c r="FY120">
        <v>70</v>
      </c>
      <c r="GA120" t="s">
        <v>3</v>
      </c>
      <c r="GD120">
        <v>0</v>
      </c>
      <c r="GF120">
        <v>1812908201</v>
      </c>
      <c r="GG120">
        <v>2</v>
      </c>
      <c r="GH120">
        <v>1</v>
      </c>
      <c r="GI120">
        <v>2</v>
      </c>
      <c r="GJ120">
        <v>0</v>
      </c>
      <c r="GK120">
        <f>ROUND(R120*(S12)/100,2)</f>
        <v>0</v>
      </c>
      <c r="GL120">
        <f t="shared" si="105"/>
        <v>0</v>
      </c>
      <c r="GM120">
        <f t="shared" si="106"/>
        <v>0</v>
      </c>
      <c r="GN120">
        <f t="shared" si="107"/>
        <v>0</v>
      </c>
      <c r="GO120">
        <f t="shared" si="108"/>
        <v>0</v>
      </c>
      <c r="GP120">
        <f t="shared" si="109"/>
        <v>0</v>
      </c>
      <c r="GR120">
        <v>0</v>
      </c>
      <c r="GS120">
        <v>3</v>
      </c>
      <c r="GT120">
        <v>0</v>
      </c>
      <c r="GU120" t="s">
        <v>3</v>
      </c>
      <c r="GV120">
        <f t="shared" si="110"/>
        <v>0</v>
      </c>
      <c r="GW120">
        <v>1</v>
      </c>
      <c r="GX120">
        <f t="shared" si="111"/>
        <v>0</v>
      </c>
      <c r="HA120">
        <v>0</v>
      </c>
      <c r="HB120">
        <v>0</v>
      </c>
      <c r="HC120">
        <f t="shared" si="112"/>
        <v>0</v>
      </c>
      <c r="HE120" t="s">
        <v>3</v>
      </c>
      <c r="HF120" t="s">
        <v>3</v>
      </c>
      <c r="HM120" t="s">
        <v>3</v>
      </c>
      <c r="HN120" t="s">
        <v>3</v>
      </c>
      <c r="HO120" t="s">
        <v>3</v>
      </c>
      <c r="HP120" t="s">
        <v>3</v>
      </c>
      <c r="HQ120" t="s">
        <v>3</v>
      </c>
      <c r="HS120">
        <v>0</v>
      </c>
      <c r="IK120">
        <v>0</v>
      </c>
    </row>
    <row r="121" spans="1:255" x14ac:dyDescent="0.2">
      <c r="A121" s="2">
        <v>17</v>
      </c>
      <c r="B121" s="2">
        <v>1</v>
      </c>
      <c r="C121" s="2">
        <f>ROW(SmtRes!A105)</f>
        <v>105</v>
      </c>
      <c r="D121" s="2">
        <f>ROW(EtalonRes!A354)</f>
        <v>354</v>
      </c>
      <c r="E121" s="2" t="s">
        <v>194</v>
      </c>
      <c r="F121" s="2" t="s">
        <v>186</v>
      </c>
      <c r="G121" s="2" t="s">
        <v>195</v>
      </c>
      <c r="H121" s="2" t="s">
        <v>164</v>
      </c>
      <c r="I121" s="2">
        <v>0</v>
      </c>
      <c r="J121" s="2">
        <v>0</v>
      </c>
      <c r="K121" s="2">
        <v>0</v>
      </c>
      <c r="L121" s="2"/>
      <c r="M121" s="2"/>
      <c r="N121" s="2"/>
      <c r="O121" s="2">
        <f t="shared" si="76"/>
        <v>0</v>
      </c>
      <c r="P121" s="2">
        <f t="shared" si="77"/>
        <v>0</v>
      </c>
      <c r="Q121" s="2">
        <f t="shared" si="78"/>
        <v>0</v>
      </c>
      <c r="R121" s="2">
        <f t="shared" si="79"/>
        <v>0</v>
      </c>
      <c r="S121" s="2">
        <f t="shared" si="80"/>
        <v>0</v>
      </c>
      <c r="T121" s="2">
        <f t="shared" si="81"/>
        <v>0</v>
      </c>
      <c r="U121" s="2">
        <f t="shared" si="82"/>
        <v>0</v>
      </c>
      <c r="V121" s="2">
        <f t="shared" si="83"/>
        <v>0</v>
      </c>
      <c r="W121" s="2">
        <f t="shared" si="84"/>
        <v>0</v>
      </c>
      <c r="X121" s="2">
        <f t="shared" si="85"/>
        <v>0</v>
      </c>
      <c r="Y121" s="2">
        <f t="shared" si="86"/>
        <v>0</v>
      </c>
      <c r="Z121" s="2"/>
      <c r="AA121" s="2">
        <v>56622586</v>
      </c>
      <c r="AB121" s="2">
        <f t="shared" si="87"/>
        <v>548.16</v>
      </c>
      <c r="AC121" s="2">
        <f t="shared" si="88"/>
        <v>133.13</v>
      </c>
      <c r="AD121" s="2">
        <f t="shared" si="89"/>
        <v>160.24799999999999</v>
      </c>
      <c r="AE121" s="2">
        <f t="shared" si="90"/>
        <v>20.966000000000001</v>
      </c>
      <c r="AF121" s="2">
        <f t="shared" si="91"/>
        <v>254.78200000000001</v>
      </c>
      <c r="AG121" s="2">
        <f t="shared" si="92"/>
        <v>0</v>
      </c>
      <c r="AH121" s="2">
        <f t="shared" si="93"/>
        <v>20.680000000000003</v>
      </c>
      <c r="AI121" s="2">
        <f t="shared" si="94"/>
        <v>0</v>
      </c>
      <c r="AJ121" s="2">
        <f t="shared" si="95"/>
        <v>0</v>
      </c>
      <c r="AK121" s="2">
        <v>510.43</v>
      </c>
      <c r="AL121" s="2">
        <v>133.13</v>
      </c>
      <c r="AM121" s="2">
        <v>145.68</v>
      </c>
      <c r="AN121" s="2">
        <v>19.059999999999999</v>
      </c>
      <c r="AO121" s="2">
        <v>231.62</v>
      </c>
      <c r="AP121" s="2">
        <v>0</v>
      </c>
      <c r="AQ121" s="2">
        <v>18.8</v>
      </c>
      <c r="AR121" s="2">
        <v>0</v>
      </c>
      <c r="AS121" s="2">
        <v>0</v>
      </c>
      <c r="AT121" s="2">
        <v>112</v>
      </c>
      <c r="AU121" s="2">
        <v>70</v>
      </c>
      <c r="AV121" s="2">
        <v>1.0669999999999999</v>
      </c>
      <c r="AW121" s="2">
        <v>1.081</v>
      </c>
      <c r="AX121" s="2"/>
      <c r="AY121" s="2"/>
      <c r="AZ121" s="2">
        <v>1</v>
      </c>
      <c r="BA121" s="2">
        <v>1</v>
      </c>
      <c r="BB121" s="2">
        <v>1</v>
      </c>
      <c r="BC121" s="2">
        <v>1</v>
      </c>
      <c r="BD121" s="2" t="s">
        <v>3</v>
      </c>
      <c r="BE121" s="2" t="s">
        <v>3</v>
      </c>
      <c r="BF121" s="2" t="s">
        <v>3</v>
      </c>
      <c r="BG121" s="2" t="s">
        <v>3</v>
      </c>
      <c r="BH121" s="2">
        <v>0</v>
      </c>
      <c r="BI121" s="2">
        <v>2</v>
      </c>
      <c r="BJ121" s="2" t="s">
        <v>188</v>
      </c>
      <c r="BK121" s="2"/>
      <c r="BL121" s="2"/>
      <c r="BM121" s="2">
        <v>318</v>
      </c>
      <c r="BN121" s="2">
        <v>0</v>
      </c>
      <c r="BO121" s="2" t="s">
        <v>3</v>
      </c>
      <c r="BP121" s="2">
        <v>0</v>
      </c>
      <c r="BQ121" s="2">
        <v>40</v>
      </c>
      <c r="BR121" s="2">
        <v>0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 t="s">
        <v>3</v>
      </c>
      <c r="BZ121" s="2">
        <v>112</v>
      </c>
      <c r="CA121" s="2">
        <v>70</v>
      </c>
      <c r="CB121" s="2" t="s">
        <v>3</v>
      </c>
      <c r="CC121" s="2"/>
      <c r="CD121" s="2"/>
      <c r="CE121" s="2">
        <v>30</v>
      </c>
      <c r="CF121" s="2">
        <v>0</v>
      </c>
      <c r="CG121" s="2">
        <v>0</v>
      </c>
      <c r="CH121" s="2"/>
      <c r="CI121" s="2"/>
      <c r="CJ121" s="2"/>
      <c r="CK121" s="2"/>
      <c r="CL121" s="2"/>
      <c r="CM121" s="2">
        <v>0</v>
      </c>
      <c r="CN121" s="2" t="s">
        <v>671</v>
      </c>
      <c r="CO121" s="2">
        <v>0</v>
      </c>
      <c r="CP121" s="2">
        <f t="shared" si="96"/>
        <v>0</v>
      </c>
      <c r="CQ121" s="2">
        <f t="shared" si="97"/>
        <v>143.91</v>
      </c>
      <c r="CR121" s="2">
        <f t="shared" si="98"/>
        <v>170.98</v>
      </c>
      <c r="CS121" s="2">
        <f t="shared" si="99"/>
        <v>22.37</v>
      </c>
      <c r="CT121" s="2">
        <f t="shared" si="100"/>
        <v>271.85000000000002</v>
      </c>
      <c r="CU121" s="2">
        <f t="shared" si="101"/>
        <v>0</v>
      </c>
      <c r="CV121" s="2">
        <f t="shared" si="102"/>
        <v>22.065560000000001</v>
      </c>
      <c r="CW121" s="2">
        <f t="shared" si="103"/>
        <v>0</v>
      </c>
      <c r="CX121" s="2">
        <f t="shared" si="104"/>
        <v>0</v>
      </c>
      <c r="CY121" s="2">
        <f>((S121*BZ121)/100)</f>
        <v>0</v>
      </c>
      <c r="CZ121" s="2">
        <f>((S121*CA121)/100)</f>
        <v>0</v>
      </c>
      <c r="DA121" s="2"/>
      <c r="DB121" s="2"/>
      <c r="DC121" s="2" t="s">
        <v>3</v>
      </c>
      <c r="DD121" s="2" t="s">
        <v>3</v>
      </c>
      <c r="DE121" s="2" t="s">
        <v>22</v>
      </c>
      <c r="DF121" s="2" t="s">
        <v>22</v>
      </c>
      <c r="DG121" s="2" t="s">
        <v>22</v>
      </c>
      <c r="DH121" s="2" t="s">
        <v>3</v>
      </c>
      <c r="DI121" s="2" t="s">
        <v>22</v>
      </c>
      <c r="DJ121" s="2" t="s">
        <v>22</v>
      </c>
      <c r="DK121" s="2" t="s">
        <v>3</v>
      </c>
      <c r="DL121" s="2" t="s">
        <v>3</v>
      </c>
      <c r="DM121" s="2" t="s">
        <v>3</v>
      </c>
      <c r="DN121" s="2">
        <v>0</v>
      </c>
      <c r="DO121" s="2">
        <v>0</v>
      </c>
      <c r="DP121" s="2">
        <v>1</v>
      </c>
      <c r="DQ121" s="2">
        <v>1</v>
      </c>
      <c r="DR121" s="2"/>
      <c r="DS121" s="2"/>
      <c r="DT121" s="2"/>
      <c r="DU121" s="2">
        <v>1013</v>
      </c>
      <c r="DV121" s="2" t="s">
        <v>164</v>
      </c>
      <c r="DW121" s="2" t="s">
        <v>164</v>
      </c>
      <c r="DX121" s="2">
        <v>1</v>
      </c>
      <c r="DY121" s="2"/>
      <c r="DZ121" s="2" t="s">
        <v>3</v>
      </c>
      <c r="EA121" s="2" t="s">
        <v>3</v>
      </c>
      <c r="EB121" s="2" t="s">
        <v>3</v>
      </c>
      <c r="EC121" s="2" t="s">
        <v>3</v>
      </c>
      <c r="ED121" s="2"/>
      <c r="EE121" s="2">
        <v>51696357</v>
      </c>
      <c r="EF121" s="2">
        <v>40</v>
      </c>
      <c r="EG121" s="2" t="s">
        <v>166</v>
      </c>
      <c r="EH121" s="2">
        <v>0</v>
      </c>
      <c r="EI121" s="2" t="s">
        <v>3</v>
      </c>
      <c r="EJ121" s="2">
        <v>2</v>
      </c>
      <c r="EK121" s="2">
        <v>318</v>
      </c>
      <c r="EL121" s="2" t="s">
        <v>167</v>
      </c>
      <c r="EM121" s="2" t="s">
        <v>168</v>
      </c>
      <c r="EN121" s="2"/>
      <c r="EO121" s="2" t="s">
        <v>25</v>
      </c>
      <c r="EP121" s="2"/>
      <c r="EQ121" s="2">
        <v>131072</v>
      </c>
      <c r="ER121" s="2">
        <v>510.43</v>
      </c>
      <c r="ES121" s="2">
        <v>133.13</v>
      </c>
      <c r="ET121" s="2">
        <v>145.68</v>
      </c>
      <c r="EU121" s="2">
        <v>19.059999999999999</v>
      </c>
      <c r="EV121" s="2">
        <v>231.62</v>
      </c>
      <c r="EW121" s="2">
        <v>18.8</v>
      </c>
      <c r="EX121" s="2">
        <v>0</v>
      </c>
      <c r="EY121" s="2">
        <v>0</v>
      </c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>
        <v>0</v>
      </c>
      <c r="FR121" s="2">
        <v>0</v>
      </c>
      <c r="FS121" s="2">
        <v>0</v>
      </c>
      <c r="FT121" s="2"/>
      <c r="FU121" s="2"/>
      <c r="FV121" s="2"/>
      <c r="FW121" s="2"/>
      <c r="FX121" s="2">
        <v>112</v>
      </c>
      <c r="FY121" s="2">
        <v>70</v>
      </c>
      <c r="FZ121" s="2"/>
      <c r="GA121" s="2" t="s">
        <v>3</v>
      </c>
      <c r="GB121" s="2"/>
      <c r="GC121" s="2"/>
      <c r="GD121" s="2">
        <v>0</v>
      </c>
      <c r="GE121" s="2"/>
      <c r="GF121" s="2">
        <v>-2096903897</v>
      </c>
      <c r="GG121" s="2">
        <v>2</v>
      </c>
      <c r="GH121" s="2">
        <v>1</v>
      </c>
      <c r="GI121" s="2">
        <v>-2</v>
      </c>
      <c r="GJ121" s="2">
        <v>0</v>
      </c>
      <c r="GK121" s="2">
        <f>ROUND(R121*(R12)/100,2)</f>
        <v>0</v>
      </c>
      <c r="GL121" s="2">
        <f t="shared" si="105"/>
        <v>0</v>
      </c>
      <c r="GM121" s="2">
        <f t="shared" si="106"/>
        <v>0</v>
      </c>
      <c r="GN121" s="2">
        <f t="shared" si="107"/>
        <v>0</v>
      </c>
      <c r="GO121" s="2">
        <f t="shared" si="108"/>
        <v>0</v>
      </c>
      <c r="GP121" s="2">
        <f t="shared" si="109"/>
        <v>0</v>
      </c>
      <c r="GQ121" s="2"/>
      <c r="GR121" s="2">
        <v>0</v>
      </c>
      <c r="GS121" s="2">
        <v>0</v>
      </c>
      <c r="GT121" s="2">
        <v>0</v>
      </c>
      <c r="GU121" s="2" t="s">
        <v>3</v>
      </c>
      <c r="GV121" s="2">
        <f t="shared" si="110"/>
        <v>0</v>
      </c>
      <c r="GW121" s="2">
        <v>1</v>
      </c>
      <c r="GX121" s="2">
        <f t="shared" si="111"/>
        <v>0</v>
      </c>
      <c r="GY121" s="2"/>
      <c r="GZ121" s="2"/>
      <c r="HA121" s="2">
        <v>0</v>
      </c>
      <c r="HB121" s="2">
        <v>0</v>
      </c>
      <c r="HC121" s="2">
        <f t="shared" si="112"/>
        <v>0</v>
      </c>
      <c r="HD121" s="2"/>
      <c r="HE121" s="2" t="s">
        <v>3</v>
      </c>
      <c r="HF121" s="2" t="s">
        <v>3</v>
      </c>
      <c r="HG121" s="2"/>
      <c r="HH121" s="2"/>
      <c r="HI121" s="2"/>
      <c r="HJ121" s="2"/>
      <c r="HK121" s="2"/>
      <c r="HL121" s="2"/>
      <c r="HM121" s="2" t="s">
        <v>3</v>
      </c>
      <c r="HN121" s="2" t="s">
        <v>3</v>
      </c>
      <c r="HO121" s="2" t="s">
        <v>3</v>
      </c>
      <c r="HP121" s="2" t="s">
        <v>3</v>
      </c>
      <c r="HQ121" s="2" t="s">
        <v>3</v>
      </c>
      <c r="HR121" s="2"/>
      <c r="HS121" s="2">
        <v>0</v>
      </c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>
        <v>0</v>
      </c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x14ac:dyDescent="0.2">
      <c r="A122">
        <v>17</v>
      </c>
      <c r="B122">
        <v>1</v>
      </c>
      <c r="C122">
        <f>ROW(SmtRes!A106)</f>
        <v>106</v>
      </c>
      <c r="D122">
        <f>ROW(EtalonRes!A368)</f>
        <v>368</v>
      </c>
      <c r="E122" t="s">
        <v>194</v>
      </c>
      <c r="F122" t="s">
        <v>186</v>
      </c>
      <c r="G122" t="s">
        <v>195</v>
      </c>
      <c r="H122" t="s">
        <v>164</v>
      </c>
      <c r="I122">
        <v>0</v>
      </c>
      <c r="J122">
        <v>0</v>
      </c>
      <c r="K122">
        <v>0</v>
      </c>
      <c r="O122">
        <f t="shared" si="76"/>
        <v>0</v>
      </c>
      <c r="P122">
        <f t="shared" si="77"/>
        <v>0</v>
      </c>
      <c r="Q122">
        <f t="shared" si="78"/>
        <v>0</v>
      </c>
      <c r="R122">
        <f t="shared" si="79"/>
        <v>0</v>
      </c>
      <c r="S122">
        <f t="shared" si="80"/>
        <v>0</v>
      </c>
      <c r="T122">
        <f t="shared" si="81"/>
        <v>0</v>
      </c>
      <c r="U122">
        <f t="shared" si="82"/>
        <v>0</v>
      </c>
      <c r="V122">
        <f t="shared" si="83"/>
        <v>0</v>
      </c>
      <c r="W122">
        <f t="shared" si="84"/>
        <v>0</v>
      </c>
      <c r="X122">
        <f t="shared" si="85"/>
        <v>0</v>
      </c>
      <c r="Y122">
        <f t="shared" si="86"/>
        <v>0</v>
      </c>
      <c r="AA122">
        <v>56616093</v>
      </c>
      <c r="AB122">
        <f t="shared" si="87"/>
        <v>548.16</v>
      </c>
      <c r="AC122">
        <f t="shared" si="88"/>
        <v>133.13</v>
      </c>
      <c r="AD122">
        <f t="shared" si="89"/>
        <v>160.24799999999999</v>
      </c>
      <c r="AE122">
        <f t="shared" si="90"/>
        <v>20.966000000000001</v>
      </c>
      <c r="AF122">
        <f t="shared" si="91"/>
        <v>254.78200000000001</v>
      </c>
      <c r="AG122">
        <f t="shared" si="92"/>
        <v>0</v>
      </c>
      <c r="AH122">
        <f t="shared" si="93"/>
        <v>20.680000000000003</v>
      </c>
      <c r="AI122">
        <f t="shared" si="94"/>
        <v>0</v>
      </c>
      <c r="AJ122">
        <f t="shared" si="95"/>
        <v>0</v>
      </c>
      <c r="AK122">
        <v>510.43</v>
      </c>
      <c r="AL122">
        <v>133.13</v>
      </c>
      <c r="AM122">
        <v>145.68</v>
      </c>
      <c r="AN122">
        <v>19.059999999999999</v>
      </c>
      <c r="AO122">
        <v>231.62</v>
      </c>
      <c r="AP122">
        <v>0</v>
      </c>
      <c r="AQ122">
        <v>18.8</v>
      </c>
      <c r="AR122">
        <v>0</v>
      </c>
      <c r="AS122">
        <v>0</v>
      </c>
      <c r="AT122">
        <v>92</v>
      </c>
      <c r="AU122">
        <v>43</v>
      </c>
      <c r="AV122">
        <v>1.0669999999999999</v>
      </c>
      <c r="AW122">
        <v>1.081</v>
      </c>
      <c r="AZ122">
        <v>1</v>
      </c>
      <c r="BA122">
        <v>34.51</v>
      </c>
      <c r="BB122">
        <v>12.3</v>
      </c>
      <c r="BC122">
        <v>6.47</v>
      </c>
      <c r="BD122" t="s">
        <v>3</v>
      </c>
      <c r="BE122" t="s">
        <v>3</v>
      </c>
      <c r="BF122" t="s">
        <v>3</v>
      </c>
      <c r="BG122" t="s">
        <v>3</v>
      </c>
      <c r="BH122">
        <v>0</v>
      </c>
      <c r="BI122">
        <v>2</v>
      </c>
      <c r="BJ122" t="s">
        <v>188</v>
      </c>
      <c r="BM122">
        <v>318</v>
      </c>
      <c r="BN122">
        <v>0</v>
      </c>
      <c r="BO122" t="s">
        <v>186</v>
      </c>
      <c r="BP122">
        <v>1</v>
      </c>
      <c r="BQ122">
        <v>40</v>
      </c>
      <c r="BR122">
        <v>0</v>
      </c>
      <c r="BS122">
        <v>34.51</v>
      </c>
      <c r="BT122">
        <v>1</v>
      </c>
      <c r="BU122">
        <v>1</v>
      </c>
      <c r="BV122">
        <v>1</v>
      </c>
      <c r="BW122">
        <v>1</v>
      </c>
      <c r="BX122">
        <v>1</v>
      </c>
      <c r="BY122" t="s">
        <v>3</v>
      </c>
      <c r="BZ122">
        <v>92</v>
      </c>
      <c r="CA122">
        <v>43</v>
      </c>
      <c r="CB122" t="s">
        <v>3</v>
      </c>
      <c r="CE122">
        <v>30</v>
      </c>
      <c r="CF122">
        <v>0</v>
      </c>
      <c r="CG122">
        <v>0</v>
      </c>
      <c r="CM122">
        <v>0</v>
      </c>
      <c r="CN122" t="s">
        <v>671</v>
      </c>
      <c r="CO122">
        <v>0</v>
      </c>
      <c r="CP122">
        <f t="shared" si="96"/>
        <v>0</v>
      </c>
      <c r="CQ122">
        <f t="shared" si="97"/>
        <v>931.1</v>
      </c>
      <c r="CR122">
        <f t="shared" si="98"/>
        <v>2103.0500000000002</v>
      </c>
      <c r="CS122">
        <f t="shared" si="99"/>
        <v>771.99</v>
      </c>
      <c r="CT122">
        <f t="shared" si="100"/>
        <v>9381.5400000000009</v>
      </c>
      <c r="CU122">
        <f t="shared" si="101"/>
        <v>0</v>
      </c>
      <c r="CV122">
        <f t="shared" si="102"/>
        <v>22.065560000000001</v>
      </c>
      <c r="CW122">
        <f t="shared" si="103"/>
        <v>0</v>
      </c>
      <c r="CX122">
        <f t="shared" si="104"/>
        <v>0</v>
      </c>
      <c r="CY122">
        <f>S122*(BZ122/100)</f>
        <v>0</v>
      </c>
      <c r="CZ122">
        <f>S122*(CA122/100)</f>
        <v>0</v>
      </c>
      <c r="DC122" t="s">
        <v>3</v>
      </c>
      <c r="DD122" t="s">
        <v>3</v>
      </c>
      <c r="DE122" t="s">
        <v>22</v>
      </c>
      <c r="DF122" t="s">
        <v>22</v>
      </c>
      <c r="DG122" t="s">
        <v>22</v>
      </c>
      <c r="DH122" t="s">
        <v>3</v>
      </c>
      <c r="DI122" t="s">
        <v>22</v>
      </c>
      <c r="DJ122" t="s">
        <v>22</v>
      </c>
      <c r="DK122" t="s">
        <v>3</v>
      </c>
      <c r="DL122" t="s">
        <v>3</v>
      </c>
      <c r="DM122" t="s">
        <v>3</v>
      </c>
      <c r="DN122">
        <v>112</v>
      </c>
      <c r="DO122">
        <v>70</v>
      </c>
      <c r="DP122">
        <v>1.0669999999999999</v>
      </c>
      <c r="DQ122">
        <v>1.081</v>
      </c>
      <c r="DU122">
        <v>1013</v>
      </c>
      <c r="DV122" t="s">
        <v>164</v>
      </c>
      <c r="DW122" t="s">
        <v>164</v>
      </c>
      <c r="DX122">
        <v>1</v>
      </c>
      <c r="DZ122" t="s">
        <v>3</v>
      </c>
      <c r="EA122" t="s">
        <v>3</v>
      </c>
      <c r="EB122" t="s">
        <v>3</v>
      </c>
      <c r="EC122" t="s">
        <v>3</v>
      </c>
      <c r="EE122">
        <v>51696357</v>
      </c>
      <c r="EF122">
        <v>40</v>
      </c>
      <c r="EG122" t="s">
        <v>166</v>
      </c>
      <c r="EH122">
        <v>0</v>
      </c>
      <c r="EI122" t="s">
        <v>3</v>
      </c>
      <c r="EJ122">
        <v>2</v>
      </c>
      <c r="EK122">
        <v>318</v>
      </c>
      <c r="EL122" t="s">
        <v>167</v>
      </c>
      <c r="EM122" t="s">
        <v>168</v>
      </c>
      <c r="EO122" t="s">
        <v>25</v>
      </c>
      <c r="EQ122">
        <v>131072</v>
      </c>
      <c r="ER122">
        <v>510.43</v>
      </c>
      <c r="ES122">
        <v>133.13</v>
      </c>
      <c r="ET122">
        <v>145.68</v>
      </c>
      <c r="EU122">
        <v>19.059999999999999</v>
      </c>
      <c r="EV122">
        <v>231.62</v>
      </c>
      <c r="EW122">
        <v>18.8</v>
      </c>
      <c r="EX122">
        <v>0</v>
      </c>
      <c r="EY122">
        <v>0</v>
      </c>
      <c r="FQ122">
        <v>0</v>
      </c>
      <c r="FR122">
        <v>0</v>
      </c>
      <c r="FS122">
        <v>0</v>
      </c>
      <c r="FX122">
        <v>112</v>
      </c>
      <c r="FY122">
        <v>70</v>
      </c>
      <c r="GA122" t="s">
        <v>3</v>
      </c>
      <c r="GD122">
        <v>0</v>
      </c>
      <c r="GF122">
        <v>-2096903897</v>
      </c>
      <c r="GG122">
        <v>2</v>
      </c>
      <c r="GH122">
        <v>1</v>
      </c>
      <c r="GI122">
        <v>2</v>
      </c>
      <c r="GJ122">
        <v>0</v>
      </c>
      <c r="GK122">
        <f>ROUND(R122*(S12)/100,2)</f>
        <v>0</v>
      </c>
      <c r="GL122">
        <f t="shared" si="105"/>
        <v>0</v>
      </c>
      <c r="GM122">
        <f t="shared" si="106"/>
        <v>0</v>
      </c>
      <c r="GN122">
        <f t="shared" si="107"/>
        <v>0</v>
      </c>
      <c r="GO122">
        <f t="shared" si="108"/>
        <v>0</v>
      </c>
      <c r="GP122">
        <f t="shared" si="109"/>
        <v>0</v>
      </c>
      <c r="GR122">
        <v>0</v>
      </c>
      <c r="GS122">
        <v>3</v>
      </c>
      <c r="GT122">
        <v>0</v>
      </c>
      <c r="GU122" t="s">
        <v>3</v>
      </c>
      <c r="GV122">
        <f t="shared" si="110"/>
        <v>0</v>
      </c>
      <c r="GW122">
        <v>1</v>
      </c>
      <c r="GX122">
        <f t="shared" si="111"/>
        <v>0</v>
      </c>
      <c r="HA122">
        <v>0</v>
      </c>
      <c r="HB122">
        <v>0</v>
      </c>
      <c r="HC122">
        <f t="shared" si="112"/>
        <v>0</v>
      </c>
      <c r="HE122" t="s">
        <v>3</v>
      </c>
      <c r="HF122" t="s">
        <v>3</v>
      </c>
      <c r="HM122" t="s">
        <v>3</v>
      </c>
      <c r="HN122" t="s">
        <v>3</v>
      </c>
      <c r="HO122" t="s">
        <v>3</v>
      </c>
      <c r="HP122" t="s">
        <v>3</v>
      </c>
      <c r="HQ122" t="s">
        <v>3</v>
      </c>
      <c r="HS122">
        <v>0</v>
      </c>
      <c r="IK122">
        <v>0</v>
      </c>
    </row>
    <row r="123" spans="1:255" x14ac:dyDescent="0.2">
      <c r="A123" s="2">
        <v>17</v>
      </c>
      <c r="B123" s="2">
        <v>1</v>
      </c>
      <c r="C123" s="2">
        <f>ROW(SmtRes!A107)</f>
        <v>107</v>
      </c>
      <c r="D123" s="2">
        <f>ROW(EtalonRes!A382)</f>
        <v>382</v>
      </c>
      <c r="E123" s="2" t="s">
        <v>196</v>
      </c>
      <c r="F123" s="2" t="s">
        <v>186</v>
      </c>
      <c r="G123" s="2" t="s">
        <v>195</v>
      </c>
      <c r="H123" s="2" t="s">
        <v>164</v>
      </c>
      <c r="I123" s="2">
        <v>0</v>
      </c>
      <c r="J123" s="2">
        <v>0</v>
      </c>
      <c r="K123" s="2">
        <v>0</v>
      </c>
      <c r="L123" s="2"/>
      <c r="M123" s="2"/>
      <c r="N123" s="2"/>
      <c r="O123" s="2">
        <f t="shared" si="76"/>
        <v>0</v>
      </c>
      <c r="P123" s="2">
        <f t="shared" si="77"/>
        <v>0</v>
      </c>
      <c r="Q123" s="2">
        <f t="shared" si="78"/>
        <v>0</v>
      </c>
      <c r="R123" s="2">
        <f t="shared" si="79"/>
        <v>0</v>
      </c>
      <c r="S123" s="2">
        <f t="shared" si="80"/>
        <v>0</v>
      </c>
      <c r="T123" s="2">
        <f t="shared" si="81"/>
        <v>0</v>
      </c>
      <c r="U123" s="2">
        <f t="shared" si="82"/>
        <v>0</v>
      </c>
      <c r="V123" s="2">
        <f t="shared" si="83"/>
        <v>0</v>
      </c>
      <c r="W123" s="2">
        <f t="shared" si="84"/>
        <v>0</v>
      </c>
      <c r="X123" s="2">
        <f t="shared" si="85"/>
        <v>0</v>
      </c>
      <c r="Y123" s="2">
        <f t="shared" si="86"/>
        <v>0</v>
      </c>
      <c r="Z123" s="2"/>
      <c r="AA123" s="2">
        <v>56622586</v>
      </c>
      <c r="AB123" s="2">
        <f t="shared" si="87"/>
        <v>548.16</v>
      </c>
      <c r="AC123" s="2">
        <f t="shared" si="88"/>
        <v>133.13</v>
      </c>
      <c r="AD123" s="2">
        <f t="shared" si="89"/>
        <v>160.24799999999999</v>
      </c>
      <c r="AE123" s="2">
        <f t="shared" si="90"/>
        <v>20.966000000000001</v>
      </c>
      <c r="AF123" s="2">
        <f t="shared" si="91"/>
        <v>254.78200000000001</v>
      </c>
      <c r="AG123" s="2">
        <f t="shared" si="92"/>
        <v>0</v>
      </c>
      <c r="AH123" s="2">
        <f t="shared" si="93"/>
        <v>20.680000000000003</v>
      </c>
      <c r="AI123" s="2">
        <f t="shared" si="94"/>
        <v>0</v>
      </c>
      <c r="AJ123" s="2">
        <f t="shared" si="95"/>
        <v>0</v>
      </c>
      <c r="AK123" s="2">
        <v>510.43</v>
      </c>
      <c r="AL123" s="2">
        <v>133.13</v>
      </c>
      <c r="AM123" s="2">
        <v>145.68</v>
      </c>
      <c r="AN123" s="2">
        <v>19.059999999999999</v>
      </c>
      <c r="AO123" s="2">
        <v>231.62</v>
      </c>
      <c r="AP123" s="2">
        <v>0</v>
      </c>
      <c r="AQ123" s="2">
        <v>18.8</v>
      </c>
      <c r="AR123" s="2">
        <v>0</v>
      </c>
      <c r="AS123" s="2">
        <v>0</v>
      </c>
      <c r="AT123" s="2">
        <v>112</v>
      </c>
      <c r="AU123" s="2">
        <v>70</v>
      </c>
      <c r="AV123" s="2">
        <v>1.0669999999999999</v>
      </c>
      <c r="AW123" s="2">
        <v>1.081</v>
      </c>
      <c r="AX123" s="2"/>
      <c r="AY123" s="2"/>
      <c r="AZ123" s="2">
        <v>1</v>
      </c>
      <c r="BA123" s="2">
        <v>1</v>
      </c>
      <c r="BB123" s="2">
        <v>1</v>
      </c>
      <c r="BC123" s="2">
        <v>1</v>
      </c>
      <c r="BD123" s="2" t="s">
        <v>3</v>
      </c>
      <c r="BE123" s="2" t="s">
        <v>3</v>
      </c>
      <c r="BF123" s="2" t="s">
        <v>3</v>
      </c>
      <c r="BG123" s="2" t="s">
        <v>3</v>
      </c>
      <c r="BH123" s="2">
        <v>0</v>
      </c>
      <c r="BI123" s="2">
        <v>2</v>
      </c>
      <c r="BJ123" s="2" t="s">
        <v>188</v>
      </c>
      <c r="BK123" s="2"/>
      <c r="BL123" s="2"/>
      <c r="BM123" s="2">
        <v>318</v>
      </c>
      <c r="BN123" s="2">
        <v>0</v>
      </c>
      <c r="BO123" s="2" t="s">
        <v>3</v>
      </c>
      <c r="BP123" s="2">
        <v>0</v>
      </c>
      <c r="BQ123" s="2">
        <v>40</v>
      </c>
      <c r="BR123" s="2">
        <v>0</v>
      </c>
      <c r="BS123" s="2">
        <v>1</v>
      </c>
      <c r="BT123" s="2">
        <v>1</v>
      </c>
      <c r="BU123" s="2">
        <v>1</v>
      </c>
      <c r="BV123" s="2">
        <v>1</v>
      </c>
      <c r="BW123" s="2">
        <v>1</v>
      </c>
      <c r="BX123" s="2">
        <v>1</v>
      </c>
      <c r="BY123" s="2" t="s">
        <v>3</v>
      </c>
      <c r="BZ123" s="2">
        <v>112</v>
      </c>
      <c r="CA123" s="2">
        <v>70</v>
      </c>
      <c r="CB123" s="2" t="s">
        <v>3</v>
      </c>
      <c r="CC123" s="2"/>
      <c r="CD123" s="2"/>
      <c r="CE123" s="2">
        <v>30</v>
      </c>
      <c r="CF123" s="2">
        <v>0</v>
      </c>
      <c r="CG123" s="2">
        <v>0</v>
      </c>
      <c r="CH123" s="2"/>
      <c r="CI123" s="2"/>
      <c r="CJ123" s="2"/>
      <c r="CK123" s="2"/>
      <c r="CL123" s="2"/>
      <c r="CM123" s="2">
        <v>0</v>
      </c>
      <c r="CN123" s="2" t="s">
        <v>671</v>
      </c>
      <c r="CO123" s="2">
        <v>0</v>
      </c>
      <c r="CP123" s="2">
        <f t="shared" si="96"/>
        <v>0</v>
      </c>
      <c r="CQ123" s="2">
        <f t="shared" si="97"/>
        <v>143.91</v>
      </c>
      <c r="CR123" s="2">
        <f t="shared" si="98"/>
        <v>170.98</v>
      </c>
      <c r="CS123" s="2">
        <f t="shared" si="99"/>
        <v>22.37</v>
      </c>
      <c r="CT123" s="2">
        <f t="shared" si="100"/>
        <v>271.85000000000002</v>
      </c>
      <c r="CU123" s="2">
        <f t="shared" si="101"/>
        <v>0</v>
      </c>
      <c r="CV123" s="2">
        <f t="shared" si="102"/>
        <v>22.065560000000001</v>
      </c>
      <c r="CW123" s="2">
        <f t="shared" si="103"/>
        <v>0</v>
      </c>
      <c r="CX123" s="2">
        <f t="shared" si="104"/>
        <v>0</v>
      </c>
      <c r="CY123" s="2">
        <f>((S123*BZ123)/100)</f>
        <v>0</v>
      </c>
      <c r="CZ123" s="2">
        <f>((S123*CA123)/100)</f>
        <v>0</v>
      </c>
      <c r="DA123" s="2"/>
      <c r="DB123" s="2"/>
      <c r="DC123" s="2" t="s">
        <v>3</v>
      </c>
      <c r="DD123" s="2" t="s">
        <v>3</v>
      </c>
      <c r="DE123" s="2" t="s">
        <v>22</v>
      </c>
      <c r="DF123" s="2" t="s">
        <v>22</v>
      </c>
      <c r="DG123" s="2" t="s">
        <v>22</v>
      </c>
      <c r="DH123" s="2" t="s">
        <v>3</v>
      </c>
      <c r="DI123" s="2" t="s">
        <v>22</v>
      </c>
      <c r="DJ123" s="2" t="s">
        <v>22</v>
      </c>
      <c r="DK123" s="2" t="s">
        <v>3</v>
      </c>
      <c r="DL123" s="2" t="s">
        <v>3</v>
      </c>
      <c r="DM123" s="2" t="s">
        <v>3</v>
      </c>
      <c r="DN123" s="2">
        <v>0</v>
      </c>
      <c r="DO123" s="2">
        <v>0</v>
      </c>
      <c r="DP123" s="2">
        <v>1</v>
      </c>
      <c r="DQ123" s="2">
        <v>1</v>
      </c>
      <c r="DR123" s="2"/>
      <c r="DS123" s="2"/>
      <c r="DT123" s="2"/>
      <c r="DU123" s="2">
        <v>1013</v>
      </c>
      <c r="DV123" s="2" t="s">
        <v>164</v>
      </c>
      <c r="DW123" s="2" t="s">
        <v>164</v>
      </c>
      <c r="DX123" s="2">
        <v>1</v>
      </c>
      <c r="DY123" s="2"/>
      <c r="DZ123" s="2" t="s">
        <v>3</v>
      </c>
      <c r="EA123" s="2" t="s">
        <v>3</v>
      </c>
      <c r="EB123" s="2" t="s">
        <v>3</v>
      </c>
      <c r="EC123" s="2" t="s">
        <v>3</v>
      </c>
      <c r="ED123" s="2"/>
      <c r="EE123" s="2">
        <v>51696357</v>
      </c>
      <c r="EF123" s="2">
        <v>40</v>
      </c>
      <c r="EG123" s="2" t="s">
        <v>166</v>
      </c>
      <c r="EH123" s="2">
        <v>0</v>
      </c>
      <c r="EI123" s="2" t="s">
        <v>3</v>
      </c>
      <c r="EJ123" s="2">
        <v>2</v>
      </c>
      <c r="EK123" s="2">
        <v>318</v>
      </c>
      <c r="EL123" s="2" t="s">
        <v>167</v>
      </c>
      <c r="EM123" s="2" t="s">
        <v>168</v>
      </c>
      <c r="EN123" s="2"/>
      <c r="EO123" s="2" t="s">
        <v>25</v>
      </c>
      <c r="EP123" s="2"/>
      <c r="EQ123" s="2">
        <v>131072</v>
      </c>
      <c r="ER123" s="2">
        <v>510.43</v>
      </c>
      <c r="ES123" s="2">
        <v>133.13</v>
      </c>
      <c r="ET123" s="2">
        <v>145.68</v>
      </c>
      <c r="EU123" s="2">
        <v>19.059999999999999</v>
      </c>
      <c r="EV123" s="2">
        <v>231.62</v>
      </c>
      <c r="EW123" s="2">
        <v>18.8</v>
      </c>
      <c r="EX123" s="2">
        <v>0</v>
      </c>
      <c r="EY123" s="2">
        <v>0</v>
      </c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>
        <v>0</v>
      </c>
      <c r="FR123" s="2">
        <v>0</v>
      </c>
      <c r="FS123" s="2">
        <v>0</v>
      </c>
      <c r="FT123" s="2"/>
      <c r="FU123" s="2"/>
      <c r="FV123" s="2"/>
      <c r="FW123" s="2"/>
      <c r="FX123" s="2">
        <v>112</v>
      </c>
      <c r="FY123" s="2">
        <v>70</v>
      </c>
      <c r="FZ123" s="2"/>
      <c r="GA123" s="2" t="s">
        <v>3</v>
      </c>
      <c r="GB123" s="2"/>
      <c r="GC123" s="2"/>
      <c r="GD123" s="2">
        <v>0</v>
      </c>
      <c r="GE123" s="2"/>
      <c r="GF123" s="2">
        <v>-2096903897</v>
      </c>
      <c r="GG123" s="2">
        <v>2</v>
      </c>
      <c r="GH123" s="2">
        <v>1</v>
      </c>
      <c r="GI123" s="2">
        <v>-2</v>
      </c>
      <c r="GJ123" s="2">
        <v>0</v>
      </c>
      <c r="GK123" s="2">
        <f>ROUND(R123*(R12)/100,2)</f>
        <v>0</v>
      </c>
      <c r="GL123" s="2">
        <f t="shared" si="105"/>
        <v>0</v>
      </c>
      <c r="GM123" s="2">
        <f t="shared" si="106"/>
        <v>0</v>
      </c>
      <c r="GN123" s="2">
        <f t="shared" si="107"/>
        <v>0</v>
      </c>
      <c r="GO123" s="2">
        <f t="shared" si="108"/>
        <v>0</v>
      </c>
      <c r="GP123" s="2">
        <f t="shared" si="109"/>
        <v>0</v>
      </c>
      <c r="GQ123" s="2"/>
      <c r="GR123" s="2">
        <v>0</v>
      </c>
      <c r="GS123" s="2">
        <v>0</v>
      </c>
      <c r="GT123" s="2">
        <v>0</v>
      </c>
      <c r="GU123" s="2" t="s">
        <v>3</v>
      </c>
      <c r="GV123" s="2">
        <f t="shared" si="110"/>
        <v>0</v>
      </c>
      <c r="GW123" s="2">
        <v>1</v>
      </c>
      <c r="GX123" s="2">
        <f t="shared" si="111"/>
        <v>0</v>
      </c>
      <c r="GY123" s="2"/>
      <c r="GZ123" s="2"/>
      <c r="HA123" s="2">
        <v>0</v>
      </c>
      <c r="HB123" s="2">
        <v>0</v>
      </c>
      <c r="HC123" s="2">
        <f t="shared" si="112"/>
        <v>0</v>
      </c>
      <c r="HD123" s="2"/>
      <c r="HE123" s="2" t="s">
        <v>3</v>
      </c>
      <c r="HF123" s="2" t="s">
        <v>3</v>
      </c>
      <c r="HG123" s="2"/>
      <c r="HH123" s="2"/>
      <c r="HI123" s="2"/>
      <c r="HJ123" s="2"/>
      <c r="HK123" s="2"/>
      <c r="HL123" s="2"/>
      <c r="HM123" s="2" t="s">
        <v>3</v>
      </c>
      <c r="HN123" s="2" t="s">
        <v>3</v>
      </c>
      <c r="HO123" s="2" t="s">
        <v>3</v>
      </c>
      <c r="HP123" s="2" t="s">
        <v>3</v>
      </c>
      <c r="HQ123" s="2" t="s">
        <v>3</v>
      </c>
      <c r="HR123" s="2"/>
      <c r="HS123" s="2">
        <v>0</v>
      </c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>
        <v>0</v>
      </c>
      <c r="IL123" s="2"/>
      <c r="IM123" s="2"/>
      <c r="IN123" s="2"/>
      <c r="IO123" s="2"/>
      <c r="IP123" s="2"/>
      <c r="IQ123" s="2"/>
      <c r="IR123" s="2"/>
      <c r="IS123" s="2"/>
      <c r="IT123" s="2"/>
      <c r="IU123" s="2"/>
    </row>
    <row r="124" spans="1:255" x14ac:dyDescent="0.2">
      <c r="A124">
        <v>17</v>
      </c>
      <c r="B124">
        <v>1</v>
      </c>
      <c r="C124">
        <f>ROW(SmtRes!A108)</f>
        <v>108</v>
      </c>
      <c r="D124">
        <f>ROW(EtalonRes!A396)</f>
        <v>396</v>
      </c>
      <c r="E124" t="s">
        <v>196</v>
      </c>
      <c r="F124" t="s">
        <v>186</v>
      </c>
      <c r="G124" t="s">
        <v>195</v>
      </c>
      <c r="H124" t="s">
        <v>164</v>
      </c>
      <c r="I124">
        <v>0</v>
      </c>
      <c r="J124">
        <v>0</v>
      </c>
      <c r="K124">
        <v>0</v>
      </c>
      <c r="O124">
        <f t="shared" si="76"/>
        <v>0</v>
      </c>
      <c r="P124">
        <f t="shared" si="77"/>
        <v>0</v>
      </c>
      <c r="Q124">
        <f t="shared" si="78"/>
        <v>0</v>
      </c>
      <c r="R124">
        <f t="shared" si="79"/>
        <v>0</v>
      </c>
      <c r="S124">
        <f t="shared" si="80"/>
        <v>0</v>
      </c>
      <c r="T124">
        <f t="shared" si="81"/>
        <v>0</v>
      </c>
      <c r="U124">
        <f t="shared" si="82"/>
        <v>0</v>
      </c>
      <c r="V124">
        <f t="shared" si="83"/>
        <v>0</v>
      </c>
      <c r="W124">
        <f t="shared" si="84"/>
        <v>0</v>
      </c>
      <c r="X124">
        <f t="shared" si="85"/>
        <v>0</v>
      </c>
      <c r="Y124">
        <f t="shared" si="86"/>
        <v>0</v>
      </c>
      <c r="AA124">
        <v>56616093</v>
      </c>
      <c r="AB124">
        <f t="shared" si="87"/>
        <v>548.16</v>
      </c>
      <c r="AC124">
        <f t="shared" si="88"/>
        <v>133.13</v>
      </c>
      <c r="AD124">
        <f t="shared" si="89"/>
        <v>160.24799999999999</v>
      </c>
      <c r="AE124">
        <f t="shared" si="90"/>
        <v>20.966000000000001</v>
      </c>
      <c r="AF124">
        <f t="shared" si="91"/>
        <v>254.78200000000001</v>
      </c>
      <c r="AG124">
        <f t="shared" si="92"/>
        <v>0</v>
      </c>
      <c r="AH124">
        <f t="shared" si="93"/>
        <v>20.680000000000003</v>
      </c>
      <c r="AI124">
        <f t="shared" si="94"/>
        <v>0</v>
      </c>
      <c r="AJ124">
        <f t="shared" si="95"/>
        <v>0</v>
      </c>
      <c r="AK124">
        <v>510.43</v>
      </c>
      <c r="AL124">
        <v>133.13</v>
      </c>
      <c r="AM124">
        <v>145.68</v>
      </c>
      <c r="AN124">
        <v>19.059999999999999</v>
      </c>
      <c r="AO124">
        <v>231.62</v>
      </c>
      <c r="AP124">
        <v>0</v>
      </c>
      <c r="AQ124">
        <v>18.8</v>
      </c>
      <c r="AR124">
        <v>0</v>
      </c>
      <c r="AS124">
        <v>0</v>
      </c>
      <c r="AT124">
        <v>92</v>
      </c>
      <c r="AU124">
        <v>43</v>
      </c>
      <c r="AV124">
        <v>1.0669999999999999</v>
      </c>
      <c r="AW124">
        <v>1.081</v>
      </c>
      <c r="AZ124">
        <v>1</v>
      </c>
      <c r="BA124">
        <v>34.51</v>
      </c>
      <c r="BB124">
        <v>12.3</v>
      </c>
      <c r="BC124">
        <v>6.47</v>
      </c>
      <c r="BD124" t="s">
        <v>3</v>
      </c>
      <c r="BE124" t="s">
        <v>3</v>
      </c>
      <c r="BF124" t="s">
        <v>3</v>
      </c>
      <c r="BG124" t="s">
        <v>3</v>
      </c>
      <c r="BH124">
        <v>0</v>
      </c>
      <c r="BI124">
        <v>2</v>
      </c>
      <c r="BJ124" t="s">
        <v>188</v>
      </c>
      <c r="BM124">
        <v>318</v>
      </c>
      <c r="BN124">
        <v>0</v>
      </c>
      <c r="BO124" t="s">
        <v>186</v>
      </c>
      <c r="BP124">
        <v>1</v>
      </c>
      <c r="BQ124">
        <v>40</v>
      </c>
      <c r="BR124">
        <v>0</v>
      </c>
      <c r="BS124">
        <v>34.51</v>
      </c>
      <c r="BT124">
        <v>1</v>
      </c>
      <c r="BU124">
        <v>1</v>
      </c>
      <c r="BV124">
        <v>1</v>
      </c>
      <c r="BW124">
        <v>1</v>
      </c>
      <c r="BX124">
        <v>1</v>
      </c>
      <c r="BY124" t="s">
        <v>3</v>
      </c>
      <c r="BZ124">
        <v>92</v>
      </c>
      <c r="CA124">
        <v>43</v>
      </c>
      <c r="CB124" t="s">
        <v>3</v>
      </c>
      <c r="CE124">
        <v>30</v>
      </c>
      <c r="CF124">
        <v>0</v>
      </c>
      <c r="CG124">
        <v>0</v>
      </c>
      <c r="CM124">
        <v>0</v>
      </c>
      <c r="CN124" t="s">
        <v>671</v>
      </c>
      <c r="CO124">
        <v>0</v>
      </c>
      <c r="CP124">
        <f t="shared" si="96"/>
        <v>0</v>
      </c>
      <c r="CQ124">
        <f t="shared" si="97"/>
        <v>931.1</v>
      </c>
      <c r="CR124">
        <f t="shared" si="98"/>
        <v>2103.0500000000002</v>
      </c>
      <c r="CS124">
        <f t="shared" si="99"/>
        <v>771.99</v>
      </c>
      <c r="CT124">
        <f t="shared" si="100"/>
        <v>9381.5400000000009</v>
      </c>
      <c r="CU124">
        <f t="shared" si="101"/>
        <v>0</v>
      </c>
      <c r="CV124">
        <f t="shared" si="102"/>
        <v>22.065560000000001</v>
      </c>
      <c r="CW124">
        <f t="shared" si="103"/>
        <v>0</v>
      </c>
      <c r="CX124">
        <f t="shared" si="104"/>
        <v>0</v>
      </c>
      <c r="CY124">
        <f>S124*(BZ124/100)</f>
        <v>0</v>
      </c>
      <c r="CZ124">
        <f>S124*(CA124/100)</f>
        <v>0</v>
      </c>
      <c r="DC124" t="s">
        <v>3</v>
      </c>
      <c r="DD124" t="s">
        <v>3</v>
      </c>
      <c r="DE124" t="s">
        <v>22</v>
      </c>
      <c r="DF124" t="s">
        <v>22</v>
      </c>
      <c r="DG124" t="s">
        <v>22</v>
      </c>
      <c r="DH124" t="s">
        <v>3</v>
      </c>
      <c r="DI124" t="s">
        <v>22</v>
      </c>
      <c r="DJ124" t="s">
        <v>22</v>
      </c>
      <c r="DK124" t="s">
        <v>3</v>
      </c>
      <c r="DL124" t="s">
        <v>3</v>
      </c>
      <c r="DM124" t="s">
        <v>3</v>
      </c>
      <c r="DN124">
        <v>112</v>
      </c>
      <c r="DO124">
        <v>70</v>
      </c>
      <c r="DP124">
        <v>1.0669999999999999</v>
      </c>
      <c r="DQ124">
        <v>1.081</v>
      </c>
      <c r="DU124">
        <v>1013</v>
      </c>
      <c r="DV124" t="s">
        <v>164</v>
      </c>
      <c r="DW124" t="s">
        <v>164</v>
      </c>
      <c r="DX124">
        <v>1</v>
      </c>
      <c r="DZ124" t="s">
        <v>3</v>
      </c>
      <c r="EA124" t="s">
        <v>3</v>
      </c>
      <c r="EB124" t="s">
        <v>3</v>
      </c>
      <c r="EC124" t="s">
        <v>3</v>
      </c>
      <c r="EE124">
        <v>51696357</v>
      </c>
      <c r="EF124">
        <v>40</v>
      </c>
      <c r="EG124" t="s">
        <v>166</v>
      </c>
      <c r="EH124">
        <v>0</v>
      </c>
      <c r="EI124" t="s">
        <v>3</v>
      </c>
      <c r="EJ124">
        <v>2</v>
      </c>
      <c r="EK124">
        <v>318</v>
      </c>
      <c r="EL124" t="s">
        <v>167</v>
      </c>
      <c r="EM124" t="s">
        <v>168</v>
      </c>
      <c r="EO124" t="s">
        <v>25</v>
      </c>
      <c r="EQ124">
        <v>131072</v>
      </c>
      <c r="ER124">
        <v>510.43</v>
      </c>
      <c r="ES124">
        <v>133.13</v>
      </c>
      <c r="ET124">
        <v>145.68</v>
      </c>
      <c r="EU124">
        <v>19.059999999999999</v>
      </c>
      <c r="EV124">
        <v>231.62</v>
      </c>
      <c r="EW124">
        <v>18.8</v>
      </c>
      <c r="EX124">
        <v>0</v>
      </c>
      <c r="EY124">
        <v>0</v>
      </c>
      <c r="FQ124">
        <v>0</v>
      </c>
      <c r="FR124">
        <v>0</v>
      </c>
      <c r="FS124">
        <v>0</v>
      </c>
      <c r="FX124">
        <v>112</v>
      </c>
      <c r="FY124">
        <v>70</v>
      </c>
      <c r="GA124" t="s">
        <v>3</v>
      </c>
      <c r="GD124">
        <v>0</v>
      </c>
      <c r="GF124">
        <v>-2096903897</v>
      </c>
      <c r="GG124">
        <v>2</v>
      </c>
      <c r="GH124">
        <v>1</v>
      </c>
      <c r="GI124">
        <v>2</v>
      </c>
      <c r="GJ124">
        <v>0</v>
      </c>
      <c r="GK124">
        <f>ROUND(R124*(S12)/100,2)</f>
        <v>0</v>
      </c>
      <c r="GL124">
        <f t="shared" si="105"/>
        <v>0</v>
      </c>
      <c r="GM124">
        <f t="shared" si="106"/>
        <v>0</v>
      </c>
      <c r="GN124">
        <f t="shared" si="107"/>
        <v>0</v>
      </c>
      <c r="GO124">
        <f t="shared" si="108"/>
        <v>0</v>
      </c>
      <c r="GP124">
        <f t="shared" si="109"/>
        <v>0</v>
      </c>
      <c r="GR124">
        <v>0</v>
      </c>
      <c r="GS124">
        <v>3</v>
      </c>
      <c r="GT124">
        <v>0</v>
      </c>
      <c r="GU124" t="s">
        <v>3</v>
      </c>
      <c r="GV124">
        <f t="shared" si="110"/>
        <v>0</v>
      </c>
      <c r="GW124">
        <v>1</v>
      </c>
      <c r="GX124">
        <f t="shared" si="111"/>
        <v>0</v>
      </c>
      <c r="HA124">
        <v>0</v>
      </c>
      <c r="HB124">
        <v>0</v>
      </c>
      <c r="HC124">
        <f t="shared" si="112"/>
        <v>0</v>
      </c>
      <c r="HE124" t="s">
        <v>3</v>
      </c>
      <c r="HF124" t="s">
        <v>3</v>
      </c>
      <c r="HM124" t="s">
        <v>3</v>
      </c>
      <c r="HN124" t="s">
        <v>3</v>
      </c>
      <c r="HO124" t="s">
        <v>3</v>
      </c>
      <c r="HP124" t="s">
        <v>3</v>
      </c>
      <c r="HQ124" t="s">
        <v>3</v>
      </c>
      <c r="HS124">
        <v>0</v>
      </c>
      <c r="IK124">
        <v>0</v>
      </c>
    </row>
    <row r="125" spans="1:255" x14ac:dyDescent="0.2">
      <c r="A125" s="2">
        <v>17</v>
      </c>
      <c r="B125" s="2">
        <v>1</v>
      </c>
      <c r="C125" s="2">
        <f>ROW(SmtRes!A109)</f>
        <v>109</v>
      </c>
      <c r="D125" s="2">
        <f>ROW(EtalonRes!A409)</f>
        <v>409</v>
      </c>
      <c r="E125" s="2" t="s">
        <v>197</v>
      </c>
      <c r="F125" s="2" t="s">
        <v>198</v>
      </c>
      <c r="G125" s="2" t="s">
        <v>199</v>
      </c>
      <c r="H125" s="2" t="s">
        <v>164</v>
      </c>
      <c r="I125" s="2">
        <v>0</v>
      </c>
      <c r="J125" s="2">
        <v>0</v>
      </c>
      <c r="K125" s="2">
        <v>0</v>
      </c>
      <c r="L125" s="2"/>
      <c r="M125" s="2"/>
      <c r="N125" s="2"/>
      <c r="O125" s="2">
        <f t="shared" si="76"/>
        <v>0</v>
      </c>
      <c r="P125" s="2">
        <f t="shared" si="77"/>
        <v>0</v>
      </c>
      <c r="Q125" s="2">
        <f t="shared" si="78"/>
        <v>0</v>
      </c>
      <c r="R125" s="2">
        <f t="shared" si="79"/>
        <v>0</v>
      </c>
      <c r="S125" s="2">
        <f t="shared" si="80"/>
        <v>0</v>
      </c>
      <c r="T125" s="2">
        <f t="shared" si="81"/>
        <v>0</v>
      </c>
      <c r="U125" s="2">
        <f t="shared" si="82"/>
        <v>0</v>
      </c>
      <c r="V125" s="2">
        <f t="shared" si="83"/>
        <v>0</v>
      </c>
      <c r="W125" s="2">
        <f t="shared" si="84"/>
        <v>0</v>
      </c>
      <c r="X125" s="2">
        <f t="shared" si="85"/>
        <v>0</v>
      </c>
      <c r="Y125" s="2">
        <f t="shared" si="86"/>
        <v>0</v>
      </c>
      <c r="Z125" s="2"/>
      <c r="AA125" s="2">
        <v>56622586</v>
      </c>
      <c r="AB125" s="2">
        <f t="shared" si="87"/>
        <v>325.14600000000002</v>
      </c>
      <c r="AC125" s="2">
        <f t="shared" si="88"/>
        <v>52.94</v>
      </c>
      <c r="AD125" s="2">
        <f t="shared" si="89"/>
        <v>58.08</v>
      </c>
      <c r="AE125" s="2">
        <f t="shared" si="90"/>
        <v>7.0839999999999996</v>
      </c>
      <c r="AF125" s="2">
        <f t="shared" si="91"/>
        <v>214.126</v>
      </c>
      <c r="AG125" s="2">
        <f t="shared" si="92"/>
        <v>0</v>
      </c>
      <c r="AH125" s="2">
        <f t="shared" si="93"/>
        <v>17.380000000000003</v>
      </c>
      <c r="AI125" s="2">
        <f t="shared" si="94"/>
        <v>0</v>
      </c>
      <c r="AJ125" s="2">
        <f t="shared" si="95"/>
        <v>0</v>
      </c>
      <c r="AK125" s="2">
        <v>300.39999999999998</v>
      </c>
      <c r="AL125" s="2">
        <v>52.94</v>
      </c>
      <c r="AM125" s="2">
        <v>52.8</v>
      </c>
      <c r="AN125" s="2">
        <v>6.44</v>
      </c>
      <c r="AO125" s="2">
        <v>194.66</v>
      </c>
      <c r="AP125" s="2">
        <v>0</v>
      </c>
      <c r="AQ125" s="2">
        <v>15.8</v>
      </c>
      <c r="AR125" s="2">
        <v>0</v>
      </c>
      <c r="AS125" s="2">
        <v>0</v>
      </c>
      <c r="AT125" s="2">
        <v>112</v>
      </c>
      <c r="AU125" s="2">
        <v>70</v>
      </c>
      <c r="AV125" s="2">
        <v>1.0669999999999999</v>
      </c>
      <c r="AW125" s="2">
        <v>1.081</v>
      </c>
      <c r="AX125" s="2"/>
      <c r="AY125" s="2"/>
      <c r="AZ125" s="2">
        <v>1</v>
      </c>
      <c r="BA125" s="2">
        <v>1</v>
      </c>
      <c r="BB125" s="2">
        <v>1</v>
      </c>
      <c r="BC125" s="2">
        <v>1</v>
      </c>
      <c r="BD125" s="2" t="s">
        <v>3</v>
      </c>
      <c r="BE125" s="2" t="s">
        <v>3</v>
      </c>
      <c r="BF125" s="2" t="s">
        <v>3</v>
      </c>
      <c r="BG125" s="2" t="s">
        <v>3</v>
      </c>
      <c r="BH125" s="2">
        <v>0</v>
      </c>
      <c r="BI125" s="2">
        <v>2</v>
      </c>
      <c r="BJ125" s="2" t="s">
        <v>200</v>
      </c>
      <c r="BK125" s="2"/>
      <c r="BL125" s="2"/>
      <c r="BM125" s="2">
        <v>318</v>
      </c>
      <c r="BN125" s="2">
        <v>0</v>
      </c>
      <c r="BO125" s="2" t="s">
        <v>3</v>
      </c>
      <c r="BP125" s="2">
        <v>0</v>
      </c>
      <c r="BQ125" s="2">
        <v>40</v>
      </c>
      <c r="BR125" s="2">
        <v>0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 t="s">
        <v>3</v>
      </c>
      <c r="BZ125" s="2">
        <v>112</v>
      </c>
      <c r="CA125" s="2">
        <v>70</v>
      </c>
      <c r="CB125" s="2" t="s">
        <v>3</v>
      </c>
      <c r="CC125" s="2"/>
      <c r="CD125" s="2"/>
      <c r="CE125" s="2">
        <v>30</v>
      </c>
      <c r="CF125" s="2">
        <v>0</v>
      </c>
      <c r="CG125" s="2">
        <v>0</v>
      </c>
      <c r="CH125" s="2"/>
      <c r="CI125" s="2"/>
      <c r="CJ125" s="2"/>
      <c r="CK125" s="2"/>
      <c r="CL125" s="2"/>
      <c r="CM125" s="2">
        <v>0</v>
      </c>
      <c r="CN125" s="2" t="s">
        <v>671</v>
      </c>
      <c r="CO125" s="2">
        <v>0</v>
      </c>
      <c r="CP125" s="2">
        <f t="shared" si="96"/>
        <v>0</v>
      </c>
      <c r="CQ125" s="2">
        <f t="shared" si="97"/>
        <v>57.23</v>
      </c>
      <c r="CR125" s="2">
        <f t="shared" si="98"/>
        <v>61.97</v>
      </c>
      <c r="CS125" s="2">
        <f t="shared" si="99"/>
        <v>7.56</v>
      </c>
      <c r="CT125" s="2">
        <f t="shared" si="100"/>
        <v>228.47</v>
      </c>
      <c r="CU125" s="2">
        <f t="shared" si="101"/>
        <v>0</v>
      </c>
      <c r="CV125" s="2">
        <f t="shared" si="102"/>
        <v>18.544460000000001</v>
      </c>
      <c r="CW125" s="2">
        <f t="shared" si="103"/>
        <v>0</v>
      </c>
      <c r="CX125" s="2">
        <f t="shared" si="104"/>
        <v>0</v>
      </c>
      <c r="CY125" s="2">
        <f>((S125*BZ125)/100)</f>
        <v>0</v>
      </c>
      <c r="CZ125" s="2">
        <f>((S125*CA125)/100)</f>
        <v>0</v>
      </c>
      <c r="DA125" s="2"/>
      <c r="DB125" s="2"/>
      <c r="DC125" s="2" t="s">
        <v>3</v>
      </c>
      <c r="DD125" s="2" t="s">
        <v>3</v>
      </c>
      <c r="DE125" s="2" t="s">
        <v>22</v>
      </c>
      <c r="DF125" s="2" t="s">
        <v>22</v>
      </c>
      <c r="DG125" s="2" t="s">
        <v>22</v>
      </c>
      <c r="DH125" s="2" t="s">
        <v>3</v>
      </c>
      <c r="DI125" s="2" t="s">
        <v>22</v>
      </c>
      <c r="DJ125" s="2" t="s">
        <v>22</v>
      </c>
      <c r="DK125" s="2" t="s">
        <v>3</v>
      </c>
      <c r="DL125" s="2" t="s">
        <v>3</v>
      </c>
      <c r="DM125" s="2" t="s">
        <v>3</v>
      </c>
      <c r="DN125" s="2">
        <v>0</v>
      </c>
      <c r="DO125" s="2">
        <v>0</v>
      </c>
      <c r="DP125" s="2">
        <v>1</v>
      </c>
      <c r="DQ125" s="2">
        <v>1</v>
      </c>
      <c r="DR125" s="2"/>
      <c r="DS125" s="2"/>
      <c r="DT125" s="2"/>
      <c r="DU125" s="2">
        <v>1013</v>
      </c>
      <c r="DV125" s="2" t="s">
        <v>164</v>
      </c>
      <c r="DW125" s="2" t="s">
        <v>164</v>
      </c>
      <c r="DX125" s="2">
        <v>1</v>
      </c>
      <c r="DY125" s="2"/>
      <c r="DZ125" s="2" t="s">
        <v>3</v>
      </c>
      <c r="EA125" s="2" t="s">
        <v>3</v>
      </c>
      <c r="EB125" s="2" t="s">
        <v>3</v>
      </c>
      <c r="EC125" s="2" t="s">
        <v>3</v>
      </c>
      <c r="ED125" s="2"/>
      <c r="EE125" s="2">
        <v>51696357</v>
      </c>
      <c r="EF125" s="2">
        <v>40</v>
      </c>
      <c r="EG125" s="2" t="s">
        <v>166</v>
      </c>
      <c r="EH125" s="2">
        <v>0</v>
      </c>
      <c r="EI125" s="2" t="s">
        <v>3</v>
      </c>
      <c r="EJ125" s="2">
        <v>2</v>
      </c>
      <c r="EK125" s="2">
        <v>318</v>
      </c>
      <c r="EL125" s="2" t="s">
        <v>167</v>
      </c>
      <c r="EM125" s="2" t="s">
        <v>168</v>
      </c>
      <c r="EN125" s="2"/>
      <c r="EO125" s="2" t="s">
        <v>25</v>
      </c>
      <c r="EP125" s="2"/>
      <c r="EQ125" s="2">
        <v>131072</v>
      </c>
      <c r="ER125" s="2">
        <v>300.39999999999998</v>
      </c>
      <c r="ES125" s="2">
        <v>52.94</v>
      </c>
      <c r="ET125" s="2">
        <v>52.8</v>
      </c>
      <c r="EU125" s="2">
        <v>6.44</v>
      </c>
      <c r="EV125" s="2">
        <v>194.66</v>
      </c>
      <c r="EW125" s="2">
        <v>15.8</v>
      </c>
      <c r="EX125" s="2">
        <v>0</v>
      </c>
      <c r="EY125" s="2">
        <v>0</v>
      </c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>
        <v>0</v>
      </c>
      <c r="FR125" s="2">
        <v>0</v>
      </c>
      <c r="FS125" s="2">
        <v>0</v>
      </c>
      <c r="FT125" s="2"/>
      <c r="FU125" s="2"/>
      <c r="FV125" s="2"/>
      <c r="FW125" s="2"/>
      <c r="FX125" s="2">
        <v>112</v>
      </c>
      <c r="FY125" s="2">
        <v>70</v>
      </c>
      <c r="FZ125" s="2"/>
      <c r="GA125" s="2" t="s">
        <v>3</v>
      </c>
      <c r="GB125" s="2"/>
      <c r="GC125" s="2"/>
      <c r="GD125" s="2">
        <v>0</v>
      </c>
      <c r="GE125" s="2"/>
      <c r="GF125" s="2">
        <v>916548554</v>
      </c>
      <c r="GG125" s="2">
        <v>2</v>
      </c>
      <c r="GH125" s="2">
        <v>1</v>
      </c>
      <c r="GI125" s="2">
        <v>-2</v>
      </c>
      <c r="GJ125" s="2">
        <v>0</v>
      </c>
      <c r="GK125" s="2">
        <f>ROUND(R125*(R12)/100,2)</f>
        <v>0</v>
      </c>
      <c r="GL125" s="2">
        <f t="shared" si="105"/>
        <v>0</v>
      </c>
      <c r="GM125" s="2">
        <f t="shared" si="106"/>
        <v>0</v>
      </c>
      <c r="GN125" s="2">
        <f t="shared" si="107"/>
        <v>0</v>
      </c>
      <c r="GO125" s="2">
        <f t="shared" si="108"/>
        <v>0</v>
      </c>
      <c r="GP125" s="2">
        <f t="shared" si="109"/>
        <v>0</v>
      </c>
      <c r="GQ125" s="2"/>
      <c r="GR125" s="2">
        <v>0</v>
      </c>
      <c r="GS125" s="2">
        <v>0</v>
      </c>
      <c r="GT125" s="2">
        <v>0</v>
      </c>
      <c r="GU125" s="2" t="s">
        <v>3</v>
      </c>
      <c r="GV125" s="2">
        <f t="shared" si="110"/>
        <v>0</v>
      </c>
      <c r="GW125" s="2">
        <v>1</v>
      </c>
      <c r="GX125" s="2">
        <f t="shared" si="111"/>
        <v>0</v>
      </c>
      <c r="GY125" s="2"/>
      <c r="GZ125" s="2"/>
      <c r="HA125" s="2">
        <v>0</v>
      </c>
      <c r="HB125" s="2">
        <v>0</v>
      </c>
      <c r="HC125" s="2">
        <f t="shared" si="112"/>
        <v>0</v>
      </c>
      <c r="HD125" s="2"/>
      <c r="HE125" s="2" t="s">
        <v>3</v>
      </c>
      <c r="HF125" s="2" t="s">
        <v>3</v>
      </c>
      <c r="HG125" s="2"/>
      <c r="HH125" s="2"/>
      <c r="HI125" s="2"/>
      <c r="HJ125" s="2"/>
      <c r="HK125" s="2"/>
      <c r="HL125" s="2"/>
      <c r="HM125" s="2" t="s">
        <v>3</v>
      </c>
      <c r="HN125" s="2" t="s">
        <v>3</v>
      </c>
      <c r="HO125" s="2" t="s">
        <v>3</v>
      </c>
      <c r="HP125" s="2" t="s">
        <v>3</v>
      </c>
      <c r="HQ125" s="2" t="s">
        <v>3</v>
      </c>
      <c r="HR125" s="2"/>
      <c r="HS125" s="2">
        <v>0</v>
      </c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>
        <v>0</v>
      </c>
      <c r="IL125" s="2"/>
      <c r="IM125" s="2"/>
      <c r="IN125" s="2"/>
      <c r="IO125" s="2"/>
      <c r="IP125" s="2"/>
      <c r="IQ125" s="2"/>
      <c r="IR125" s="2"/>
      <c r="IS125" s="2"/>
      <c r="IT125" s="2"/>
      <c r="IU125" s="2"/>
    </row>
    <row r="126" spans="1:255" x14ac:dyDescent="0.2">
      <c r="A126">
        <v>17</v>
      </c>
      <c r="B126">
        <v>1</v>
      </c>
      <c r="C126">
        <f>ROW(SmtRes!A110)</f>
        <v>110</v>
      </c>
      <c r="D126">
        <f>ROW(EtalonRes!A422)</f>
        <v>422</v>
      </c>
      <c r="E126" t="s">
        <v>197</v>
      </c>
      <c r="F126" t="s">
        <v>198</v>
      </c>
      <c r="G126" t="s">
        <v>199</v>
      </c>
      <c r="H126" t="s">
        <v>164</v>
      </c>
      <c r="I126">
        <v>0</v>
      </c>
      <c r="J126">
        <v>0</v>
      </c>
      <c r="K126">
        <v>0</v>
      </c>
      <c r="O126">
        <f t="shared" si="76"/>
        <v>0</v>
      </c>
      <c r="P126">
        <f t="shared" si="77"/>
        <v>0</v>
      </c>
      <c r="Q126">
        <f t="shared" si="78"/>
        <v>0</v>
      </c>
      <c r="R126">
        <f t="shared" si="79"/>
        <v>0</v>
      </c>
      <c r="S126">
        <f t="shared" si="80"/>
        <v>0</v>
      </c>
      <c r="T126">
        <f t="shared" si="81"/>
        <v>0</v>
      </c>
      <c r="U126">
        <f t="shared" si="82"/>
        <v>0</v>
      </c>
      <c r="V126">
        <f t="shared" si="83"/>
        <v>0</v>
      </c>
      <c r="W126">
        <f t="shared" si="84"/>
        <v>0</v>
      </c>
      <c r="X126">
        <f t="shared" si="85"/>
        <v>0</v>
      </c>
      <c r="Y126">
        <f t="shared" si="86"/>
        <v>0</v>
      </c>
      <c r="AA126">
        <v>56616093</v>
      </c>
      <c r="AB126">
        <f t="shared" si="87"/>
        <v>325.14600000000002</v>
      </c>
      <c r="AC126">
        <f t="shared" si="88"/>
        <v>52.94</v>
      </c>
      <c r="AD126">
        <f t="shared" si="89"/>
        <v>58.08</v>
      </c>
      <c r="AE126">
        <f t="shared" si="90"/>
        <v>7.0839999999999996</v>
      </c>
      <c r="AF126">
        <f t="shared" si="91"/>
        <v>214.126</v>
      </c>
      <c r="AG126">
        <f t="shared" si="92"/>
        <v>0</v>
      </c>
      <c r="AH126">
        <f t="shared" si="93"/>
        <v>17.380000000000003</v>
      </c>
      <c r="AI126">
        <f t="shared" si="94"/>
        <v>0</v>
      </c>
      <c r="AJ126">
        <f t="shared" si="95"/>
        <v>0</v>
      </c>
      <c r="AK126">
        <v>300.39999999999998</v>
      </c>
      <c r="AL126">
        <v>52.94</v>
      </c>
      <c r="AM126">
        <v>52.8</v>
      </c>
      <c r="AN126">
        <v>6.44</v>
      </c>
      <c r="AO126">
        <v>194.66</v>
      </c>
      <c r="AP126">
        <v>0</v>
      </c>
      <c r="AQ126">
        <v>15.8</v>
      </c>
      <c r="AR126">
        <v>0</v>
      </c>
      <c r="AS126">
        <v>0</v>
      </c>
      <c r="AT126">
        <v>92</v>
      </c>
      <c r="AU126">
        <v>43</v>
      </c>
      <c r="AV126">
        <v>1.0669999999999999</v>
      </c>
      <c r="AW126">
        <v>1.081</v>
      </c>
      <c r="AZ126">
        <v>1</v>
      </c>
      <c r="BA126">
        <v>34.51</v>
      </c>
      <c r="BB126">
        <v>12.04</v>
      </c>
      <c r="BC126">
        <v>17.38</v>
      </c>
      <c r="BD126" t="s">
        <v>3</v>
      </c>
      <c r="BE126" t="s">
        <v>3</v>
      </c>
      <c r="BF126" t="s">
        <v>3</v>
      </c>
      <c r="BG126" t="s">
        <v>3</v>
      </c>
      <c r="BH126">
        <v>0</v>
      </c>
      <c r="BI126">
        <v>2</v>
      </c>
      <c r="BJ126" t="s">
        <v>200</v>
      </c>
      <c r="BM126">
        <v>318</v>
      </c>
      <c r="BN126">
        <v>0</v>
      </c>
      <c r="BO126" t="s">
        <v>198</v>
      </c>
      <c r="BP126">
        <v>1</v>
      </c>
      <c r="BQ126">
        <v>40</v>
      </c>
      <c r="BR126">
        <v>0</v>
      </c>
      <c r="BS126">
        <v>34.51</v>
      </c>
      <c r="BT126">
        <v>1</v>
      </c>
      <c r="BU126">
        <v>1</v>
      </c>
      <c r="BV126">
        <v>1</v>
      </c>
      <c r="BW126">
        <v>1</v>
      </c>
      <c r="BX126">
        <v>1</v>
      </c>
      <c r="BY126" t="s">
        <v>3</v>
      </c>
      <c r="BZ126">
        <v>92</v>
      </c>
      <c r="CA126">
        <v>43</v>
      </c>
      <c r="CB126" t="s">
        <v>3</v>
      </c>
      <c r="CE126">
        <v>30</v>
      </c>
      <c r="CF126">
        <v>0</v>
      </c>
      <c r="CG126">
        <v>0</v>
      </c>
      <c r="CM126">
        <v>0</v>
      </c>
      <c r="CN126" t="s">
        <v>671</v>
      </c>
      <c r="CO126">
        <v>0</v>
      </c>
      <c r="CP126">
        <f t="shared" si="96"/>
        <v>0</v>
      </c>
      <c r="CQ126">
        <f t="shared" si="97"/>
        <v>994.66</v>
      </c>
      <c r="CR126">
        <f t="shared" si="98"/>
        <v>746.12</v>
      </c>
      <c r="CS126">
        <f t="shared" si="99"/>
        <v>260.89999999999998</v>
      </c>
      <c r="CT126">
        <f t="shared" si="100"/>
        <v>7884.5</v>
      </c>
      <c r="CU126">
        <f t="shared" si="101"/>
        <v>0</v>
      </c>
      <c r="CV126">
        <f t="shared" si="102"/>
        <v>18.544460000000001</v>
      </c>
      <c r="CW126">
        <f t="shared" si="103"/>
        <v>0</v>
      </c>
      <c r="CX126">
        <f t="shared" si="104"/>
        <v>0</v>
      </c>
      <c r="CY126">
        <f>S126*(BZ126/100)</f>
        <v>0</v>
      </c>
      <c r="CZ126">
        <f>S126*(CA126/100)</f>
        <v>0</v>
      </c>
      <c r="DC126" t="s">
        <v>3</v>
      </c>
      <c r="DD126" t="s">
        <v>3</v>
      </c>
      <c r="DE126" t="s">
        <v>22</v>
      </c>
      <c r="DF126" t="s">
        <v>22</v>
      </c>
      <c r="DG126" t="s">
        <v>22</v>
      </c>
      <c r="DH126" t="s">
        <v>3</v>
      </c>
      <c r="DI126" t="s">
        <v>22</v>
      </c>
      <c r="DJ126" t="s">
        <v>22</v>
      </c>
      <c r="DK126" t="s">
        <v>3</v>
      </c>
      <c r="DL126" t="s">
        <v>3</v>
      </c>
      <c r="DM126" t="s">
        <v>3</v>
      </c>
      <c r="DN126">
        <v>112</v>
      </c>
      <c r="DO126">
        <v>70</v>
      </c>
      <c r="DP126">
        <v>1.0669999999999999</v>
      </c>
      <c r="DQ126">
        <v>1.081</v>
      </c>
      <c r="DU126">
        <v>1013</v>
      </c>
      <c r="DV126" t="s">
        <v>164</v>
      </c>
      <c r="DW126" t="s">
        <v>164</v>
      </c>
      <c r="DX126">
        <v>1</v>
      </c>
      <c r="DZ126" t="s">
        <v>3</v>
      </c>
      <c r="EA126" t="s">
        <v>3</v>
      </c>
      <c r="EB126" t="s">
        <v>3</v>
      </c>
      <c r="EC126" t="s">
        <v>3</v>
      </c>
      <c r="EE126">
        <v>51696357</v>
      </c>
      <c r="EF126">
        <v>40</v>
      </c>
      <c r="EG126" t="s">
        <v>166</v>
      </c>
      <c r="EH126">
        <v>0</v>
      </c>
      <c r="EI126" t="s">
        <v>3</v>
      </c>
      <c r="EJ126">
        <v>2</v>
      </c>
      <c r="EK126">
        <v>318</v>
      </c>
      <c r="EL126" t="s">
        <v>167</v>
      </c>
      <c r="EM126" t="s">
        <v>168</v>
      </c>
      <c r="EO126" t="s">
        <v>25</v>
      </c>
      <c r="EQ126">
        <v>131072</v>
      </c>
      <c r="ER126">
        <v>300.39999999999998</v>
      </c>
      <c r="ES126">
        <v>52.94</v>
      </c>
      <c r="ET126">
        <v>52.8</v>
      </c>
      <c r="EU126">
        <v>6.44</v>
      </c>
      <c r="EV126">
        <v>194.66</v>
      </c>
      <c r="EW126">
        <v>15.8</v>
      </c>
      <c r="EX126">
        <v>0</v>
      </c>
      <c r="EY126">
        <v>0</v>
      </c>
      <c r="FQ126">
        <v>0</v>
      </c>
      <c r="FR126">
        <v>0</v>
      </c>
      <c r="FS126">
        <v>0</v>
      </c>
      <c r="FX126">
        <v>112</v>
      </c>
      <c r="FY126">
        <v>70</v>
      </c>
      <c r="GA126" t="s">
        <v>3</v>
      </c>
      <c r="GD126">
        <v>0</v>
      </c>
      <c r="GF126">
        <v>916548554</v>
      </c>
      <c r="GG126">
        <v>2</v>
      </c>
      <c r="GH126">
        <v>1</v>
      </c>
      <c r="GI126">
        <v>2</v>
      </c>
      <c r="GJ126">
        <v>0</v>
      </c>
      <c r="GK126">
        <f>ROUND(R126*(S12)/100,2)</f>
        <v>0</v>
      </c>
      <c r="GL126">
        <f t="shared" si="105"/>
        <v>0</v>
      </c>
      <c r="GM126">
        <f t="shared" si="106"/>
        <v>0</v>
      </c>
      <c r="GN126">
        <f t="shared" si="107"/>
        <v>0</v>
      </c>
      <c r="GO126">
        <f t="shared" si="108"/>
        <v>0</v>
      </c>
      <c r="GP126">
        <f t="shared" si="109"/>
        <v>0</v>
      </c>
      <c r="GR126">
        <v>0</v>
      </c>
      <c r="GS126">
        <v>3</v>
      </c>
      <c r="GT126">
        <v>0</v>
      </c>
      <c r="GU126" t="s">
        <v>3</v>
      </c>
      <c r="GV126">
        <f t="shared" si="110"/>
        <v>0</v>
      </c>
      <c r="GW126">
        <v>1</v>
      </c>
      <c r="GX126">
        <f t="shared" si="111"/>
        <v>0</v>
      </c>
      <c r="HA126">
        <v>0</v>
      </c>
      <c r="HB126">
        <v>0</v>
      </c>
      <c r="HC126">
        <f t="shared" si="112"/>
        <v>0</v>
      </c>
      <c r="HE126" t="s">
        <v>3</v>
      </c>
      <c r="HF126" t="s">
        <v>3</v>
      </c>
      <c r="HM126" t="s">
        <v>3</v>
      </c>
      <c r="HN126" t="s">
        <v>3</v>
      </c>
      <c r="HO126" t="s">
        <v>3</v>
      </c>
      <c r="HP126" t="s">
        <v>3</v>
      </c>
      <c r="HQ126" t="s">
        <v>3</v>
      </c>
      <c r="HS126">
        <v>0</v>
      </c>
      <c r="IK126">
        <v>0</v>
      </c>
    </row>
    <row r="127" spans="1:255" x14ac:dyDescent="0.2">
      <c r="A127" s="2">
        <v>17</v>
      </c>
      <c r="B127" s="2">
        <v>1</v>
      </c>
      <c r="C127" s="2"/>
      <c r="D127" s="2">
        <f>ROW(EtalonRes!A435)</f>
        <v>435</v>
      </c>
      <c r="E127" s="2" t="s">
        <v>201</v>
      </c>
      <c r="F127" s="2" t="s">
        <v>202</v>
      </c>
      <c r="G127" s="2" t="s">
        <v>203</v>
      </c>
      <c r="H127" s="2" t="s">
        <v>164</v>
      </c>
      <c r="I127" s="2">
        <v>0</v>
      </c>
      <c r="J127" s="2">
        <v>0</v>
      </c>
      <c r="K127" s="2">
        <v>0</v>
      </c>
      <c r="L127" s="2"/>
      <c r="M127" s="2"/>
      <c r="N127" s="2"/>
      <c r="O127" s="2">
        <f t="shared" si="76"/>
        <v>0</v>
      </c>
      <c r="P127" s="2">
        <f t="shared" si="77"/>
        <v>0</v>
      </c>
      <c r="Q127" s="2">
        <f t="shared" si="78"/>
        <v>0</v>
      </c>
      <c r="R127" s="2">
        <f t="shared" si="79"/>
        <v>0</v>
      </c>
      <c r="S127" s="2">
        <f t="shared" si="80"/>
        <v>0</v>
      </c>
      <c r="T127" s="2">
        <f t="shared" si="81"/>
        <v>0</v>
      </c>
      <c r="U127" s="2">
        <f t="shared" si="82"/>
        <v>0</v>
      </c>
      <c r="V127" s="2">
        <f t="shared" si="83"/>
        <v>0</v>
      </c>
      <c r="W127" s="2">
        <f t="shared" si="84"/>
        <v>0</v>
      </c>
      <c r="X127" s="2">
        <f t="shared" si="85"/>
        <v>0</v>
      </c>
      <c r="Y127" s="2">
        <f t="shared" si="86"/>
        <v>0</v>
      </c>
      <c r="Z127" s="2"/>
      <c r="AA127" s="2">
        <v>56622586</v>
      </c>
      <c r="AB127" s="2">
        <f t="shared" si="87"/>
        <v>435.23399999999998</v>
      </c>
      <c r="AC127" s="2">
        <f t="shared" si="88"/>
        <v>52.94</v>
      </c>
      <c r="AD127" s="2">
        <f t="shared" si="89"/>
        <v>111.254</v>
      </c>
      <c r="AE127" s="2">
        <f t="shared" si="90"/>
        <v>14.718</v>
      </c>
      <c r="AF127" s="2">
        <f t="shared" si="91"/>
        <v>271.04000000000002</v>
      </c>
      <c r="AG127" s="2">
        <f t="shared" si="92"/>
        <v>0</v>
      </c>
      <c r="AH127" s="2">
        <f t="shared" si="93"/>
        <v>22</v>
      </c>
      <c r="AI127" s="2">
        <f t="shared" si="94"/>
        <v>0</v>
      </c>
      <c r="AJ127" s="2">
        <f t="shared" si="95"/>
        <v>0</v>
      </c>
      <c r="AK127" s="2">
        <v>400.48</v>
      </c>
      <c r="AL127" s="2">
        <v>52.94</v>
      </c>
      <c r="AM127" s="2">
        <v>101.14</v>
      </c>
      <c r="AN127" s="2">
        <v>13.38</v>
      </c>
      <c r="AO127" s="2">
        <v>246.4</v>
      </c>
      <c r="AP127" s="2">
        <v>0</v>
      </c>
      <c r="AQ127" s="2">
        <v>20</v>
      </c>
      <c r="AR127" s="2">
        <v>0</v>
      </c>
      <c r="AS127" s="2">
        <v>0</v>
      </c>
      <c r="AT127" s="2">
        <v>112</v>
      </c>
      <c r="AU127" s="2">
        <v>70</v>
      </c>
      <c r="AV127" s="2">
        <v>1.0669999999999999</v>
      </c>
      <c r="AW127" s="2">
        <v>1.081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0</v>
      </c>
      <c r="BI127" s="2">
        <v>2</v>
      </c>
      <c r="BJ127" s="2" t="s">
        <v>204</v>
      </c>
      <c r="BK127" s="2"/>
      <c r="BL127" s="2"/>
      <c r="BM127" s="2">
        <v>318</v>
      </c>
      <c r="BN127" s="2">
        <v>0</v>
      </c>
      <c r="BO127" s="2" t="s">
        <v>3</v>
      </c>
      <c r="BP127" s="2">
        <v>0</v>
      </c>
      <c r="BQ127" s="2">
        <v>40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112</v>
      </c>
      <c r="CA127" s="2">
        <v>70</v>
      </c>
      <c r="CB127" s="2" t="s">
        <v>3</v>
      </c>
      <c r="CC127" s="2"/>
      <c r="CD127" s="2"/>
      <c r="CE127" s="2">
        <v>30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671</v>
      </c>
      <c r="CO127" s="2">
        <v>0</v>
      </c>
      <c r="CP127" s="2">
        <f t="shared" si="96"/>
        <v>0</v>
      </c>
      <c r="CQ127" s="2">
        <f t="shared" si="97"/>
        <v>57.23</v>
      </c>
      <c r="CR127" s="2">
        <f t="shared" si="98"/>
        <v>118.71</v>
      </c>
      <c r="CS127" s="2">
        <f t="shared" si="99"/>
        <v>15.7</v>
      </c>
      <c r="CT127" s="2">
        <f t="shared" si="100"/>
        <v>289.2</v>
      </c>
      <c r="CU127" s="2">
        <f t="shared" si="101"/>
        <v>0</v>
      </c>
      <c r="CV127" s="2">
        <f t="shared" si="102"/>
        <v>23.474</v>
      </c>
      <c r="CW127" s="2">
        <f t="shared" si="103"/>
        <v>0</v>
      </c>
      <c r="CX127" s="2">
        <f t="shared" si="104"/>
        <v>0</v>
      </c>
      <c r="CY127" s="2">
        <f>((S127*BZ127)/100)</f>
        <v>0</v>
      </c>
      <c r="CZ127" s="2">
        <f>((S127*CA127)/100)</f>
        <v>0</v>
      </c>
      <c r="DA127" s="2"/>
      <c r="DB127" s="2"/>
      <c r="DC127" s="2" t="s">
        <v>3</v>
      </c>
      <c r="DD127" s="2" t="s">
        <v>3</v>
      </c>
      <c r="DE127" s="2" t="s">
        <v>22</v>
      </c>
      <c r="DF127" s="2" t="s">
        <v>22</v>
      </c>
      <c r="DG127" s="2" t="s">
        <v>22</v>
      </c>
      <c r="DH127" s="2" t="s">
        <v>3</v>
      </c>
      <c r="DI127" s="2" t="s">
        <v>22</v>
      </c>
      <c r="DJ127" s="2" t="s">
        <v>22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1013</v>
      </c>
      <c r="DV127" s="2" t="s">
        <v>164</v>
      </c>
      <c r="DW127" s="2" t="s">
        <v>164</v>
      </c>
      <c r="DX127" s="2">
        <v>1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51696357</v>
      </c>
      <c r="EF127" s="2">
        <v>40</v>
      </c>
      <c r="EG127" s="2" t="s">
        <v>166</v>
      </c>
      <c r="EH127" s="2">
        <v>0</v>
      </c>
      <c r="EI127" s="2" t="s">
        <v>3</v>
      </c>
      <c r="EJ127" s="2">
        <v>2</v>
      </c>
      <c r="EK127" s="2">
        <v>318</v>
      </c>
      <c r="EL127" s="2" t="s">
        <v>167</v>
      </c>
      <c r="EM127" s="2" t="s">
        <v>168</v>
      </c>
      <c r="EN127" s="2"/>
      <c r="EO127" s="2" t="s">
        <v>25</v>
      </c>
      <c r="EP127" s="2"/>
      <c r="EQ127" s="2">
        <v>131072</v>
      </c>
      <c r="ER127" s="2">
        <v>400.48</v>
      </c>
      <c r="ES127" s="2">
        <v>52.94</v>
      </c>
      <c r="ET127" s="2">
        <v>101.14</v>
      </c>
      <c r="EU127" s="2">
        <v>13.38</v>
      </c>
      <c r="EV127" s="2">
        <v>246.4</v>
      </c>
      <c r="EW127" s="2">
        <v>20</v>
      </c>
      <c r="EX127" s="2">
        <v>0</v>
      </c>
      <c r="EY127" s="2">
        <v>0</v>
      </c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v>0</v>
      </c>
      <c r="FS127" s="2">
        <v>0</v>
      </c>
      <c r="FT127" s="2"/>
      <c r="FU127" s="2"/>
      <c r="FV127" s="2"/>
      <c r="FW127" s="2"/>
      <c r="FX127" s="2">
        <v>112</v>
      </c>
      <c r="FY127" s="2">
        <v>70</v>
      </c>
      <c r="FZ127" s="2"/>
      <c r="GA127" s="2" t="s">
        <v>3</v>
      </c>
      <c r="GB127" s="2"/>
      <c r="GC127" s="2"/>
      <c r="GD127" s="2">
        <v>0</v>
      </c>
      <c r="GE127" s="2"/>
      <c r="GF127" s="2">
        <v>-245617765</v>
      </c>
      <c r="GG127" s="2">
        <v>2</v>
      </c>
      <c r="GH127" s="2">
        <v>1</v>
      </c>
      <c r="GI127" s="2">
        <v>-2</v>
      </c>
      <c r="GJ127" s="2">
        <v>0</v>
      </c>
      <c r="GK127" s="2">
        <f>ROUND(R127*(R12)/100,2)</f>
        <v>0</v>
      </c>
      <c r="GL127" s="2">
        <f t="shared" si="105"/>
        <v>0</v>
      </c>
      <c r="GM127" s="2">
        <f t="shared" si="106"/>
        <v>0</v>
      </c>
      <c r="GN127" s="2">
        <f t="shared" si="107"/>
        <v>0</v>
      </c>
      <c r="GO127" s="2">
        <f t="shared" si="108"/>
        <v>0</v>
      </c>
      <c r="GP127" s="2">
        <f t="shared" si="109"/>
        <v>0</v>
      </c>
      <c r="GQ127" s="2"/>
      <c r="GR127" s="2">
        <v>0</v>
      </c>
      <c r="GS127" s="2">
        <v>0</v>
      </c>
      <c r="GT127" s="2">
        <v>0</v>
      </c>
      <c r="GU127" s="2" t="s">
        <v>3</v>
      </c>
      <c r="GV127" s="2">
        <f t="shared" si="110"/>
        <v>0</v>
      </c>
      <c r="GW127" s="2">
        <v>1</v>
      </c>
      <c r="GX127" s="2">
        <f t="shared" si="111"/>
        <v>0</v>
      </c>
      <c r="GY127" s="2"/>
      <c r="GZ127" s="2"/>
      <c r="HA127" s="2">
        <v>0</v>
      </c>
      <c r="HB127" s="2">
        <v>0</v>
      </c>
      <c r="HC127" s="2">
        <f t="shared" si="112"/>
        <v>0</v>
      </c>
      <c r="HD127" s="2"/>
      <c r="HE127" s="2" t="s">
        <v>3</v>
      </c>
      <c r="HF127" s="2" t="s">
        <v>3</v>
      </c>
      <c r="HG127" s="2"/>
      <c r="HH127" s="2"/>
      <c r="HI127" s="2"/>
      <c r="HJ127" s="2"/>
      <c r="HK127" s="2"/>
      <c r="HL127" s="2"/>
      <c r="HM127" s="2" t="s">
        <v>3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2">
      <c r="A128">
        <v>17</v>
      </c>
      <c r="B128">
        <v>1</v>
      </c>
      <c r="D128">
        <f>ROW(EtalonRes!A448)</f>
        <v>448</v>
      </c>
      <c r="E128" t="s">
        <v>201</v>
      </c>
      <c r="F128" t="s">
        <v>202</v>
      </c>
      <c r="G128" t="s">
        <v>203</v>
      </c>
      <c r="H128" t="s">
        <v>164</v>
      </c>
      <c r="I128">
        <v>0</v>
      </c>
      <c r="J128">
        <v>0</v>
      </c>
      <c r="K128">
        <v>0</v>
      </c>
      <c r="O128">
        <f t="shared" si="76"/>
        <v>0</v>
      </c>
      <c r="P128">
        <f t="shared" si="77"/>
        <v>0</v>
      </c>
      <c r="Q128">
        <f t="shared" si="78"/>
        <v>0</v>
      </c>
      <c r="R128">
        <f t="shared" si="79"/>
        <v>0</v>
      </c>
      <c r="S128">
        <f t="shared" si="80"/>
        <v>0</v>
      </c>
      <c r="T128">
        <f t="shared" si="81"/>
        <v>0</v>
      </c>
      <c r="U128">
        <f t="shared" si="82"/>
        <v>0</v>
      </c>
      <c r="V128">
        <f t="shared" si="83"/>
        <v>0</v>
      </c>
      <c r="W128">
        <f t="shared" si="84"/>
        <v>0</v>
      </c>
      <c r="X128">
        <f t="shared" si="85"/>
        <v>0</v>
      </c>
      <c r="Y128">
        <f t="shared" si="86"/>
        <v>0</v>
      </c>
      <c r="AA128">
        <v>56616093</v>
      </c>
      <c r="AB128">
        <f t="shared" si="87"/>
        <v>435.23399999999998</v>
      </c>
      <c r="AC128">
        <f t="shared" si="88"/>
        <v>52.94</v>
      </c>
      <c r="AD128">
        <f t="shared" si="89"/>
        <v>111.254</v>
      </c>
      <c r="AE128">
        <f t="shared" si="90"/>
        <v>14.718</v>
      </c>
      <c r="AF128">
        <f t="shared" si="91"/>
        <v>271.04000000000002</v>
      </c>
      <c r="AG128">
        <f t="shared" si="92"/>
        <v>0</v>
      </c>
      <c r="AH128">
        <f t="shared" si="93"/>
        <v>22</v>
      </c>
      <c r="AI128">
        <f t="shared" si="94"/>
        <v>0</v>
      </c>
      <c r="AJ128">
        <f t="shared" si="95"/>
        <v>0</v>
      </c>
      <c r="AK128">
        <v>400.48</v>
      </c>
      <c r="AL128">
        <v>52.94</v>
      </c>
      <c r="AM128">
        <v>101.14</v>
      </c>
      <c r="AN128">
        <v>13.38</v>
      </c>
      <c r="AO128">
        <v>246.4</v>
      </c>
      <c r="AP128">
        <v>0</v>
      </c>
      <c r="AQ128">
        <v>20</v>
      </c>
      <c r="AR128">
        <v>0</v>
      </c>
      <c r="AS128">
        <v>0</v>
      </c>
      <c r="AT128">
        <v>92</v>
      </c>
      <c r="AU128">
        <v>43</v>
      </c>
      <c r="AV128">
        <v>1.0669999999999999</v>
      </c>
      <c r="AW128">
        <v>1.081</v>
      </c>
      <c r="AZ128">
        <v>1</v>
      </c>
      <c r="BA128">
        <v>34.51</v>
      </c>
      <c r="BB128">
        <v>12.32</v>
      </c>
      <c r="BC128">
        <v>17.38</v>
      </c>
      <c r="BD128" t="s">
        <v>3</v>
      </c>
      <c r="BE128" t="s">
        <v>3</v>
      </c>
      <c r="BF128" t="s">
        <v>3</v>
      </c>
      <c r="BG128" t="s">
        <v>3</v>
      </c>
      <c r="BH128">
        <v>0</v>
      </c>
      <c r="BI128">
        <v>2</v>
      </c>
      <c r="BJ128" t="s">
        <v>204</v>
      </c>
      <c r="BM128">
        <v>318</v>
      </c>
      <c r="BN128">
        <v>0</v>
      </c>
      <c r="BO128" t="s">
        <v>202</v>
      </c>
      <c r="BP128">
        <v>1</v>
      </c>
      <c r="BQ128">
        <v>40</v>
      </c>
      <c r="BR128">
        <v>0</v>
      </c>
      <c r="BS128">
        <v>34.51</v>
      </c>
      <c r="BT128">
        <v>1</v>
      </c>
      <c r="BU128">
        <v>1</v>
      </c>
      <c r="BV128">
        <v>1</v>
      </c>
      <c r="BW128">
        <v>1</v>
      </c>
      <c r="BX128">
        <v>1</v>
      </c>
      <c r="BY128" t="s">
        <v>3</v>
      </c>
      <c r="BZ128">
        <v>92</v>
      </c>
      <c r="CA128">
        <v>43</v>
      </c>
      <c r="CB128" t="s">
        <v>3</v>
      </c>
      <c r="CE128">
        <v>30</v>
      </c>
      <c r="CF128">
        <v>0</v>
      </c>
      <c r="CG128">
        <v>0</v>
      </c>
      <c r="CM128">
        <v>0</v>
      </c>
      <c r="CN128" t="s">
        <v>671</v>
      </c>
      <c r="CO128">
        <v>0</v>
      </c>
      <c r="CP128">
        <f t="shared" si="96"/>
        <v>0</v>
      </c>
      <c r="CQ128">
        <f t="shared" si="97"/>
        <v>994.66</v>
      </c>
      <c r="CR128">
        <f t="shared" si="98"/>
        <v>1462.51</v>
      </c>
      <c r="CS128">
        <f t="shared" si="99"/>
        <v>541.80999999999995</v>
      </c>
      <c r="CT128">
        <f t="shared" si="100"/>
        <v>9980.2900000000009</v>
      </c>
      <c r="CU128">
        <f t="shared" si="101"/>
        <v>0</v>
      </c>
      <c r="CV128">
        <f t="shared" si="102"/>
        <v>23.474</v>
      </c>
      <c r="CW128">
        <f t="shared" si="103"/>
        <v>0</v>
      </c>
      <c r="CX128">
        <f t="shared" si="104"/>
        <v>0</v>
      </c>
      <c r="CY128">
        <f>S128*(BZ128/100)</f>
        <v>0</v>
      </c>
      <c r="CZ128">
        <f>S128*(CA128/100)</f>
        <v>0</v>
      </c>
      <c r="DC128" t="s">
        <v>3</v>
      </c>
      <c r="DD128" t="s">
        <v>3</v>
      </c>
      <c r="DE128" t="s">
        <v>22</v>
      </c>
      <c r="DF128" t="s">
        <v>22</v>
      </c>
      <c r="DG128" t="s">
        <v>22</v>
      </c>
      <c r="DH128" t="s">
        <v>3</v>
      </c>
      <c r="DI128" t="s">
        <v>22</v>
      </c>
      <c r="DJ128" t="s">
        <v>22</v>
      </c>
      <c r="DK128" t="s">
        <v>3</v>
      </c>
      <c r="DL128" t="s">
        <v>3</v>
      </c>
      <c r="DM128" t="s">
        <v>3</v>
      </c>
      <c r="DN128">
        <v>112</v>
      </c>
      <c r="DO128">
        <v>70</v>
      </c>
      <c r="DP128">
        <v>1.0669999999999999</v>
      </c>
      <c r="DQ128">
        <v>1.081</v>
      </c>
      <c r="DU128">
        <v>1013</v>
      </c>
      <c r="DV128" t="s">
        <v>164</v>
      </c>
      <c r="DW128" t="s">
        <v>164</v>
      </c>
      <c r="DX128">
        <v>1</v>
      </c>
      <c r="DZ128" t="s">
        <v>3</v>
      </c>
      <c r="EA128" t="s">
        <v>3</v>
      </c>
      <c r="EB128" t="s">
        <v>3</v>
      </c>
      <c r="EC128" t="s">
        <v>3</v>
      </c>
      <c r="EE128">
        <v>51696357</v>
      </c>
      <c r="EF128">
        <v>40</v>
      </c>
      <c r="EG128" t="s">
        <v>166</v>
      </c>
      <c r="EH128">
        <v>0</v>
      </c>
      <c r="EI128" t="s">
        <v>3</v>
      </c>
      <c r="EJ128">
        <v>2</v>
      </c>
      <c r="EK128">
        <v>318</v>
      </c>
      <c r="EL128" t="s">
        <v>167</v>
      </c>
      <c r="EM128" t="s">
        <v>168</v>
      </c>
      <c r="EO128" t="s">
        <v>25</v>
      </c>
      <c r="EQ128">
        <v>131072</v>
      </c>
      <c r="ER128">
        <v>400.48</v>
      </c>
      <c r="ES128">
        <v>52.94</v>
      </c>
      <c r="ET128">
        <v>101.14</v>
      </c>
      <c r="EU128">
        <v>13.38</v>
      </c>
      <c r="EV128">
        <v>246.4</v>
      </c>
      <c r="EW128">
        <v>20</v>
      </c>
      <c r="EX128">
        <v>0</v>
      </c>
      <c r="EY128">
        <v>0</v>
      </c>
      <c r="FQ128">
        <v>0</v>
      </c>
      <c r="FR128">
        <v>0</v>
      </c>
      <c r="FS128">
        <v>0</v>
      </c>
      <c r="FX128">
        <v>112</v>
      </c>
      <c r="FY128">
        <v>70</v>
      </c>
      <c r="GA128" t="s">
        <v>3</v>
      </c>
      <c r="GD128">
        <v>0</v>
      </c>
      <c r="GF128">
        <v>-245617765</v>
      </c>
      <c r="GG128">
        <v>2</v>
      </c>
      <c r="GH128">
        <v>1</v>
      </c>
      <c r="GI128">
        <v>2</v>
      </c>
      <c r="GJ128">
        <v>0</v>
      </c>
      <c r="GK128">
        <f>ROUND(R128*(S12)/100,2)</f>
        <v>0</v>
      </c>
      <c r="GL128">
        <f t="shared" si="105"/>
        <v>0</v>
      </c>
      <c r="GM128">
        <f t="shared" si="106"/>
        <v>0</v>
      </c>
      <c r="GN128">
        <f t="shared" si="107"/>
        <v>0</v>
      </c>
      <c r="GO128">
        <f t="shared" si="108"/>
        <v>0</v>
      </c>
      <c r="GP128">
        <f t="shared" si="109"/>
        <v>0</v>
      </c>
      <c r="GR128">
        <v>0</v>
      </c>
      <c r="GS128">
        <v>3</v>
      </c>
      <c r="GT128">
        <v>0</v>
      </c>
      <c r="GU128" t="s">
        <v>3</v>
      </c>
      <c r="GV128">
        <f t="shared" si="110"/>
        <v>0</v>
      </c>
      <c r="GW128">
        <v>1</v>
      </c>
      <c r="GX128">
        <f t="shared" si="111"/>
        <v>0</v>
      </c>
      <c r="HA128">
        <v>0</v>
      </c>
      <c r="HB128">
        <v>0</v>
      </c>
      <c r="HC128">
        <f t="shared" si="112"/>
        <v>0</v>
      </c>
      <c r="HE128" t="s">
        <v>3</v>
      </c>
      <c r="HF128" t="s">
        <v>3</v>
      </c>
      <c r="HM128" t="s">
        <v>3</v>
      </c>
      <c r="HN128" t="s">
        <v>3</v>
      </c>
      <c r="HO128" t="s">
        <v>3</v>
      </c>
      <c r="HP128" t="s">
        <v>3</v>
      </c>
      <c r="HQ128" t="s">
        <v>3</v>
      </c>
      <c r="HS128">
        <v>0</v>
      </c>
      <c r="IK128">
        <v>0</v>
      </c>
    </row>
    <row r="129" spans="1:255" x14ac:dyDescent="0.2">
      <c r="A129" s="2">
        <v>17</v>
      </c>
      <c r="B129" s="2">
        <v>1</v>
      </c>
      <c r="C129" s="2">
        <f>ROW(SmtRes!A111)</f>
        <v>111</v>
      </c>
      <c r="D129" s="2">
        <f>ROW(EtalonRes!A461)</f>
        <v>461</v>
      </c>
      <c r="E129" s="2" t="s">
        <v>205</v>
      </c>
      <c r="F129" s="2" t="s">
        <v>202</v>
      </c>
      <c r="G129" s="2" t="s">
        <v>206</v>
      </c>
      <c r="H129" s="2" t="s">
        <v>164</v>
      </c>
      <c r="I129" s="2">
        <v>0</v>
      </c>
      <c r="J129" s="2">
        <v>0</v>
      </c>
      <c r="K129" s="2">
        <v>0</v>
      </c>
      <c r="L129" s="2"/>
      <c r="M129" s="2"/>
      <c r="N129" s="2"/>
      <c r="O129" s="2">
        <f t="shared" ref="O129:O160" si="113">ROUND(CP129,2)</f>
        <v>0</v>
      </c>
      <c r="P129" s="2">
        <f t="shared" ref="P129:P160" si="114">ROUND((ROUND((AC129*AW129*I129),2)*BC129),2)</f>
        <v>0</v>
      </c>
      <c r="Q129" s="2">
        <f t="shared" ref="Q129:Q160" si="115">(ROUND((ROUND((((ET129*1.1))*AV129*I129),2)*BB129),2)+ROUND((ROUND(((AE129-((EU129*1.1)))*AV129*I129),2)*BS129),2))</f>
        <v>0</v>
      </c>
      <c r="R129" s="2">
        <f t="shared" ref="R129:R160" si="116">ROUND((ROUND((AE129*AV129*I129),2)*BS129),2)</f>
        <v>0</v>
      </c>
      <c r="S129" s="2">
        <f t="shared" ref="S129:S160" si="117">ROUND((ROUND((AF129*AV129*I129),2)*BA129),2)</f>
        <v>0</v>
      </c>
      <c r="T129" s="2">
        <f t="shared" ref="T129:T160" si="118">ROUND(CU129*I129,2)</f>
        <v>0</v>
      </c>
      <c r="U129" s="2">
        <f t="shared" ref="U129:U160" si="119">CV129*I129</f>
        <v>0</v>
      </c>
      <c r="V129" s="2">
        <f t="shared" ref="V129:V160" si="120">CW129*I129</f>
        <v>0</v>
      </c>
      <c r="W129" s="2">
        <f t="shared" ref="W129:W160" si="121">ROUND(CX129*I129,2)</f>
        <v>0</v>
      </c>
      <c r="X129" s="2">
        <f t="shared" ref="X129:X160" si="122">ROUND(CY129,2)</f>
        <v>0</v>
      </c>
      <c r="Y129" s="2">
        <f t="shared" ref="Y129:Y160" si="123">ROUND(CZ129,2)</f>
        <v>0</v>
      </c>
      <c r="Z129" s="2"/>
      <c r="AA129" s="2">
        <v>56622586</v>
      </c>
      <c r="AB129" s="2">
        <f t="shared" ref="AB129:AB160" si="124">ROUND((AC129+AD129+AF129),6)</f>
        <v>435.23399999999998</v>
      </c>
      <c r="AC129" s="2">
        <f t="shared" ref="AC129:AC160" si="125">ROUND((ES129),6)</f>
        <v>52.94</v>
      </c>
      <c r="AD129" s="2">
        <f t="shared" ref="AD129:AD160" si="126">ROUND(((((ET129*1.1))-((EU129*1.1)))+AE129),6)</f>
        <v>111.254</v>
      </c>
      <c r="AE129" s="2">
        <f t="shared" ref="AE129:AE160" si="127">ROUND(((EU129*1.1)),6)</f>
        <v>14.718</v>
      </c>
      <c r="AF129" s="2">
        <f t="shared" ref="AF129:AF160" si="128">ROUND(((EV129*1.1)),6)</f>
        <v>271.04000000000002</v>
      </c>
      <c r="AG129" s="2">
        <f t="shared" ref="AG129:AG160" si="129">ROUND((AP129),6)</f>
        <v>0</v>
      </c>
      <c r="AH129" s="2">
        <f t="shared" ref="AH129:AH160" si="130">((EW129*1.1))</f>
        <v>22</v>
      </c>
      <c r="AI129" s="2">
        <f t="shared" ref="AI129:AI160" si="131">((EX129*1.1))</f>
        <v>0</v>
      </c>
      <c r="AJ129" s="2">
        <f t="shared" ref="AJ129:AJ160" si="132">(AS129)</f>
        <v>0</v>
      </c>
      <c r="AK129" s="2">
        <v>400.48</v>
      </c>
      <c r="AL129" s="2">
        <v>52.94</v>
      </c>
      <c r="AM129" s="2">
        <v>101.14</v>
      </c>
      <c r="AN129" s="2">
        <v>13.38</v>
      </c>
      <c r="AO129" s="2">
        <v>246.4</v>
      </c>
      <c r="AP129" s="2">
        <v>0</v>
      </c>
      <c r="AQ129" s="2">
        <v>20</v>
      </c>
      <c r="AR129" s="2">
        <v>0</v>
      </c>
      <c r="AS129" s="2">
        <v>0</v>
      </c>
      <c r="AT129" s="2">
        <v>112</v>
      </c>
      <c r="AU129" s="2">
        <v>70</v>
      </c>
      <c r="AV129" s="2">
        <v>1.0669999999999999</v>
      </c>
      <c r="AW129" s="2">
        <v>1.081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0</v>
      </c>
      <c r="BI129" s="2">
        <v>2</v>
      </c>
      <c r="BJ129" s="2" t="s">
        <v>204</v>
      </c>
      <c r="BK129" s="2"/>
      <c r="BL129" s="2"/>
      <c r="BM129" s="2">
        <v>318</v>
      </c>
      <c r="BN129" s="2">
        <v>0</v>
      </c>
      <c r="BO129" s="2" t="s">
        <v>3</v>
      </c>
      <c r="BP129" s="2">
        <v>0</v>
      </c>
      <c r="BQ129" s="2">
        <v>40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112</v>
      </c>
      <c r="CA129" s="2">
        <v>70</v>
      </c>
      <c r="CB129" s="2" t="s">
        <v>3</v>
      </c>
      <c r="CC129" s="2"/>
      <c r="CD129" s="2"/>
      <c r="CE129" s="2">
        <v>30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671</v>
      </c>
      <c r="CO129" s="2">
        <v>0</v>
      </c>
      <c r="CP129" s="2">
        <f t="shared" ref="CP129:CP160" si="133">(P129+Q129+S129)</f>
        <v>0</v>
      </c>
      <c r="CQ129" s="2">
        <f t="shared" ref="CQ129:CQ160" si="134">ROUND((ROUND((AC129*AW129*1),2)*BC129),2)</f>
        <v>57.23</v>
      </c>
      <c r="CR129" s="2">
        <f t="shared" ref="CR129:CR160" si="135">(ROUND((ROUND((((ET129*1.1))*AV129*1),2)*BB129),2)+ROUND((ROUND(((AE129-((EU129*1.1)))*AV129*1),2)*BS129),2))</f>
        <v>118.71</v>
      </c>
      <c r="CS129" s="2">
        <f t="shared" ref="CS129:CS160" si="136">ROUND((ROUND((AE129*AV129*1),2)*BS129),2)</f>
        <v>15.7</v>
      </c>
      <c r="CT129" s="2">
        <f t="shared" ref="CT129:CT160" si="137">ROUND((ROUND((AF129*AV129*1),2)*BA129),2)</f>
        <v>289.2</v>
      </c>
      <c r="CU129" s="2">
        <f t="shared" ref="CU129:CU160" si="138">AG129</f>
        <v>0</v>
      </c>
      <c r="CV129" s="2">
        <f t="shared" ref="CV129:CV160" si="139">(AH129*AV129)</f>
        <v>23.474</v>
      </c>
      <c r="CW129" s="2">
        <f t="shared" ref="CW129:CW160" si="140">AI129</f>
        <v>0</v>
      </c>
      <c r="CX129" s="2">
        <f t="shared" ref="CX129:CX160" si="141">AJ129</f>
        <v>0</v>
      </c>
      <c r="CY129" s="2">
        <f>((S129*BZ129)/100)</f>
        <v>0</v>
      </c>
      <c r="CZ129" s="2">
        <f>((S129*CA129)/100)</f>
        <v>0</v>
      </c>
      <c r="DA129" s="2"/>
      <c r="DB129" s="2"/>
      <c r="DC129" s="2" t="s">
        <v>3</v>
      </c>
      <c r="DD129" s="2" t="s">
        <v>3</v>
      </c>
      <c r="DE129" s="2" t="s">
        <v>22</v>
      </c>
      <c r="DF129" s="2" t="s">
        <v>22</v>
      </c>
      <c r="DG129" s="2" t="s">
        <v>22</v>
      </c>
      <c r="DH129" s="2" t="s">
        <v>3</v>
      </c>
      <c r="DI129" s="2" t="s">
        <v>22</v>
      </c>
      <c r="DJ129" s="2" t="s">
        <v>22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1013</v>
      </c>
      <c r="DV129" s="2" t="s">
        <v>164</v>
      </c>
      <c r="DW129" s="2" t="s">
        <v>164</v>
      </c>
      <c r="DX129" s="2">
        <v>1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51696357</v>
      </c>
      <c r="EF129" s="2">
        <v>40</v>
      </c>
      <c r="EG129" s="2" t="s">
        <v>166</v>
      </c>
      <c r="EH129" s="2">
        <v>0</v>
      </c>
      <c r="EI129" s="2" t="s">
        <v>3</v>
      </c>
      <c r="EJ129" s="2">
        <v>2</v>
      </c>
      <c r="EK129" s="2">
        <v>318</v>
      </c>
      <c r="EL129" s="2" t="s">
        <v>167</v>
      </c>
      <c r="EM129" s="2" t="s">
        <v>168</v>
      </c>
      <c r="EN129" s="2"/>
      <c r="EO129" s="2" t="s">
        <v>25</v>
      </c>
      <c r="EP129" s="2"/>
      <c r="EQ129" s="2">
        <v>131072</v>
      </c>
      <c r="ER129" s="2">
        <v>400.48</v>
      </c>
      <c r="ES129" s="2">
        <v>52.94</v>
      </c>
      <c r="ET129" s="2">
        <v>101.14</v>
      </c>
      <c r="EU129" s="2">
        <v>13.38</v>
      </c>
      <c r="EV129" s="2">
        <v>246.4</v>
      </c>
      <c r="EW129" s="2">
        <v>20</v>
      </c>
      <c r="EX129" s="2">
        <v>0</v>
      </c>
      <c r="EY129" s="2">
        <v>0</v>
      </c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v>0</v>
      </c>
      <c r="FS129" s="2">
        <v>0</v>
      </c>
      <c r="FT129" s="2"/>
      <c r="FU129" s="2"/>
      <c r="FV129" s="2"/>
      <c r="FW129" s="2"/>
      <c r="FX129" s="2">
        <v>112</v>
      </c>
      <c r="FY129" s="2">
        <v>70</v>
      </c>
      <c r="FZ129" s="2"/>
      <c r="GA129" s="2" t="s">
        <v>3</v>
      </c>
      <c r="GB129" s="2"/>
      <c r="GC129" s="2"/>
      <c r="GD129" s="2">
        <v>0</v>
      </c>
      <c r="GE129" s="2"/>
      <c r="GF129" s="2">
        <v>-1704617451</v>
      </c>
      <c r="GG129" s="2">
        <v>2</v>
      </c>
      <c r="GH129" s="2">
        <v>1</v>
      </c>
      <c r="GI129" s="2">
        <v>-2</v>
      </c>
      <c r="GJ129" s="2">
        <v>0</v>
      </c>
      <c r="GK129" s="2">
        <f>ROUND(R129*(R12)/100,2)</f>
        <v>0</v>
      </c>
      <c r="GL129" s="2">
        <f t="shared" ref="GL129:GL160" si="142">ROUND(IF(AND(BH129=3,BI129=3,FS129&lt;&gt;0),P129,0),2)</f>
        <v>0</v>
      </c>
      <c r="GM129" s="2">
        <f t="shared" ref="GM129:GM160" si="143">ROUND(O129+X129+Y129+GK129,2)+GX129</f>
        <v>0</v>
      </c>
      <c r="GN129" s="2">
        <f t="shared" ref="GN129:GN160" si="144">IF(OR(BI129=0,BI129=1),GM129-GX129,0)</f>
        <v>0</v>
      </c>
      <c r="GO129" s="2">
        <f t="shared" ref="GO129:GO160" si="145">IF(BI129=2,GM129-GX129,0)</f>
        <v>0</v>
      </c>
      <c r="GP129" s="2">
        <f t="shared" ref="GP129:GP160" si="146">IF(BI129=4,GM129-GX129,0)</f>
        <v>0</v>
      </c>
      <c r="GQ129" s="2"/>
      <c r="GR129" s="2">
        <v>0</v>
      </c>
      <c r="GS129" s="2">
        <v>0</v>
      </c>
      <c r="GT129" s="2">
        <v>0</v>
      </c>
      <c r="GU129" s="2" t="s">
        <v>3</v>
      </c>
      <c r="GV129" s="2">
        <f t="shared" ref="GV129:GV160" si="147">ROUND((GT129),6)</f>
        <v>0</v>
      </c>
      <c r="GW129" s="2">
        <v>1</v>
      </c>
      <c r="GX129" s="2">
        <f t="shared" ref="GX129:GX160" si="148">ROUND(HC129*I129,2)</f>
        <v>0</v>
      </c>
      <c r="GY129" s="2"/>
      <c r="GZ129" s="2"/>
      <c r="HA129" s="2">
        <v>0</v>
      </c>
      <c r="HB129" s="2">
        <v>0</v>
      </c>
      <c r="HC129" s="2">
        <f t="shared" ref="HC129:HC160" si="149">GV129*GW129</f>
        <v>0</v>
      </c>
      <c r="HD129" s="2"/>
      <c r="HE129" s="2" t="s">
        <v>3</v>
      </c>
      <c r="HF129" s="2" t="s">
        <v>3</v>
      </c>
      <c r="HG129" s="2"/>
      <c r="HH129" s="2"/>
      <c r="HI129" s="2"/>
      <c r="HJ129" s="2"/>
      <c r="HK129" s="2"/>
      <c r="HL129" s="2"/>
      <c r="HM129" s="2" t="s">
        <v>3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">
      <c r="A130">
        <v>17</v>
      </c>
      <c r="B130">
        <v>1</v>
      </c>
      <c r="C130">
        <f>ROW(SmtRes!A112)</f>
        <v>112</v>
      </c>
      <c r="D130">
        <f>ROW(EtalonRes!A474)</f>
        <v>474</v>
      </c>
      <c r="E130" t="s">
        <v>205</v>
      </c>
      <c r="F130" t="s">
        <v>202</v>
      </c>
      <c r="G130" t="s">
        <v>206</v>
      </c>
      <c r="H130" t="s">
        <v>164</v>
      </c>
      <c r="I130">
        <v>0</v>
      </c>
      <c r="J130">
        <v>0</v>
      </c>
      <c r="K130">
        <v>0</v>
      </c>
      <c r="O130">
        <f t="shared" si="113"/>
        <v>0</v>
      </c>
      <c r="P130">
        <f t="shared" si="114"/>
        <v>0</v>
      </c>
      <c r="Q130">
        <f t="shared" si="115"/>
        <v>0</v>
      </c>
      <c r="R130">
        <f t="shared" si="116"/>
        <v>0</v>
      </c>
      <c r="S130">
        <f t="shared" si="117"/>
        <v>0</v>
      </c>
      <c r="T130">
        <f t="shared" si="118"/>
        <v>0</v>
      </c>
      <c r="U130">
        <f t="shared" si="119"/>
        <v>0</v>
      </c>
      <c r="V130">
        <f t="shared" si="120"/>
        <v>0</v>
      </c>
      <c r="W130">
        <f t="shared" si="121"/>
        <v>0</v>
      </c>
      <c r="X130">
        <f t="shared" si="122"/>
        <v>0</v>
      </c>
      <c r="Y130">
        <f t="shared" si="123"/>
        <v>0</v>
      </c>
      <c r="AA130">
        <v>56616093</v>
      </c>
      <c r="AB130">
        <f t="shared" si="124"/>
        <v>435.23399999999998</v>
      </c>
      <c r="AC130">
        <f t="shared" si="125"/>
        <v>52.94</v>
      </c>
      <c r="AD130">
        <f t="shared" si="126"/>
        <v>111.254</v>
      </c>
      <c r="AE130">
        <f t="shared" si="127"/>
        <v>14.718</v>
      </c>
      <c r="AF130">
        <f t="shared" si="128"/>
        <v>271.04000000000002</v>
      </c>
      <c r="AG130">
        <f t="shared" si="129"/>
        <v>0</v>
      </c>
      <c r="AH130">
        <f t="shared" si="130"/>
        <v>22</v>
      </c>
      <c r="AI130">
        <f t="shared" si="131"/>
        <v>0</v>
      </c>
      <c r="AJ130">
        <f t="shared" si="132"/>
        <v>0</v>
      </c>
      <c r="AK130">
        <v>400.48</v>
      </c>
      <c r="AL130">
        <v>52.94</v>
      </c>
      <c r="AM130">
        <v>101.14</v>
      </c>
      <c r="AN130">
        <v>13.38</v>
      </c>
      <c r="AO130">
        <v>246.4</v>
      </c>
      <c r="AP130">
        <v>0</v>
      </c>
      <c r="AQ130">
        <v>20</v>
      </c>
      <c r="AR130">
        <v>0</v>
      </c>
      <c r="AS130">
        <v>0</v>
      </c>
      <c r="AT130">
        <v>92</v>
      </c>
      <c r="AU130">
        <v>43</v>
      </c>
      <c r="AV130">
        <v>1.0669999999999999</v>
      </c>
      <c r="AW130">
        <v>1.081</v>
      </c>
      <c r="AZ130">
        <v>1</v>
      </c>
      <c r="BA130">
        <v>34.51</v>
      </c>
      <c r="BB130">
        <v>12.32</v>
      </c>
      <c r="BC130">
        <v>17.38</v>
      </c>
      <c r="BD130" t="s">
        <v>3</v>
      </c>
      <c r="BE130" t="s">
        <v>3</v>
      </c>
      <c r="BF130" t="s">
        <v>3</v>
      </c>
      <c r="BG130" t="s">
        <v>3</v>
      </c>
      <c r="BH130">
        <v>0</v>
      </c>
      <c r="BI130">
        <v>2</v>
      </c>
      <c r="BJ130" t="s">
        <v>204</v>
      </c>
      <c r="BM130">
        <v>318</v>
      </c>
      <c r="BN130">
        <v>0</v>
      </c>
      <c r="BO130" t="s">
        <v>202</v>
      </c>
      <c r="BP130">
        <v>1</v>
      </c>
      <c r="BQ130">
        <v>40</v>
      </c>
      <c r="BR130">
        <v>0</v>
      </c>
      <c r="BS130">
        <v>34.51</v>
      </c>
      <c r="BT130">
        <v>1</v>
      </c>
      <c r="BU130">
        <v>1</v>
      </c>
      <c r="BV130">
        <v>1</v>
      </c>
      <c r="BW130">
        <v>1</v>
      </c>
      <c r="BX130">
        <v>1</v>
      </c>
      <c r="BY130" t="s">
        <v>3</v>
      </c>
      <c r="BZ130">
        <v>92</v>
      </c>
      <c r="CA130">
        <v>43</v>
      </c>
      <c r="CB130" t="s">
        <v>3</v>
      </c>
      <c r="CE130">
        <v>30</v>
      </c>
      <c r="CF130">
        <v>0</v>
      </c>
      <c r="CG130">
        <v>0</v>
      </c>
      <c r="CM130">
        <v>0</v>
      </c>
      <c r="CN130" t="s">
        <v>671</v>
      </c>
      <c r="CO130">
        <v>0</v>
      </c>
      <c r="CP130">
        <f t="shared" si="133"/>
        <v>0</v>
      </c>
      <c r="CQ130">
        <f t="shared" si="134"/>
        <v>994.66</v>
      </c>
      <c r="CR130">
        <f t="shared" si="135"/>
        <v>1462.51</v>
      </c>
      <c r="CS130">
        <f t="shared" si="136"/>
        <v>541.80999999999995</v>
      </c>
      <c r="CT130">
        <f t="shared" si="137"/>
        <v>9980.2900000000009</v>
      </c>
      <c r="CU130">
        <f t="shared" si="138"/>
        <v>0</v>
      </c>
      <c r="CV130">
        <f t="shared" si="139"/>
        <v>23.474</v>
      </c>
      <c r="CW130">
        <f t="shared" si="140"/>
        <v>0</v>
      </c>
      <c r="CX130">
        <f t="shared" si="141"/>
        <v>0</v>
      </c>
      <c r="CY130">
        <f>S130*(BZ130/100)</f>
        <v>0</v>
      </c>
      <c r="CZ130">
        <f>S130*(CA130/100)</f>
        <v>0</v>
      </c>
      <c r="DC130" t="s">
        <v>3</v>
      </c>
      <c r="DD130" t="s">
        <v>3</v>
      </c>
      <c r="DE130" t="s">
        <v>22</v>
      </c>
      <c r="DF130" t="s">
        <v>22</v>
      </c>
      <c r="DG130" t="s">
        <v>22</v>
      </c>
      <c r="DH130" t="s">
        <v>3</v>
      </c>
      <c r="DI130" t="s">
        <v>22</v>
      </c>
      <c r="DJ130" t="s">
        <v>22</v>
      </c>
      <c r="DK130" t="s">
        <v>3</v>
      </c>
      <c r="DL130" t="s">
        <v>3</v>
      </c>
      <c r="DM130" t="s">
        <v>3</v>
      </c>
      <c r="DN130">
        <v>112</v>
      </c>
      <c r="DO130">
        <v>70</v>
      </c>
      <c r="DP130">
        <v>1.0669999999999999</v>
      </c>
      <c r="DQ130">
        <v>1.081</v>
      </c>
      <c r="DU130">
        <v>1013</v>
      </c>
      <c r="DV130" t="s">
        <v>164</v>
      </c>
      <c r="DW130" t="s">
        <v>164</v>
      </c>
      <c r="DX130">
        <v>1</v>
      </c>
      <c r="DZ130" t="s">
        <v>3</v>
      </c>
      <c r="EA130" t="s">
        <v>3</v>
      </c>
      <c r="EB130" t="s">
        <v>3</v>
      </c>
      <c r="EC130" t="s">
        <v>3</v>
      </c>
      <c r="EE130">
        <v>51696357</v>
      </c>
      <c r="EF130">
        <v>40</v>
      </c>
      <c r="EG130" t="s">
        <v>166</v>
      </c>
      <c r="EH130">
        <v>0</v>
      </c>
      <c r="EI130" t="s">
        <v>3</v>
      </c>
      <c r="EJ130">
        <v>2</v>
      </c>
      <c r="EK130">
        <v>318</v>
      </c>
      <c r="EL130" t="s">
        <v>167</v>
      </c>
      <c r="EM130" t="s">
        <v>168</v>
      </c>
      <c r="EO130" t="s">
        <v>25</v>
      </c>
      <c r="EQ130">
        <v>131072</v>
      </c>
      <c r="ER130">
        <v>400.48</v>
      </c>
      <c r="ES130">
        <v>52.94</v>
      </c>
      <c r="ET130">
        <v>101.14</v>
      </c>
      <c r="EU130">
        <v>13.38</v>
      </c>
      <c r="EV130">
        <v>246.4</v>
      </c>
      <c r="EW130">
        <v>20</v>
      </c>
      <c r="EX130">
        <v>0</v>
      </c>
      <c r="EY130">
        <v>0</v>
      </c>
      <c r="FQ130">
        <v>0</v>
      </c>
      <c r="FR130">
        <v>0</v>
      </c>
      <c r="FS130">
        <v>0</v>
      </c>
      <c r="FX130">
        <v>112</v>
      </c>
      <c r="FY130">
        <v>70</v>
      </c>
      <c r="GA130" t="s">
        <v>3</v>
      </c>
      <c r="GD130">
        <v>0</v>
      </c>
      <c r="GF130">
        <v>-1704617451</v>
      </c>
      <c r="GG130">
        <v>2</v>
      </c>
      <c r="GH130">
        <v>1</v>
      </c>
      <c r="GI130">
        <v>2</v>
      </c>
      <c r="GJ130">
        <v>0</v>
      </c>
      <c r="GK130">
        <f>ROUND(R130*(S12)/100,2)</f>
        <v>0</v>
      </c>
      <c r="GL130">
        <f t="shared" si="142"/>
        <v>0</v>
      </c>
      <c r="GM130">
        <f t="shared" si="143"/>
        <v>0</v>
      </c>
      <c r="GN130">
        <f t="shared" si="144"/>
        <v>0</v>
      </c>
      <c r="GO130">
        <f t="shared" si="145"/>
        <v>0</v>
      </c>
      <c r="GP130">
        <f t="shared" si="146"/>
        <v>0</v>
      </c>
      <c r="GR130">
        <v>0</v>
      </c>
      <c r="GS130">
        <v>3</v>
      </c>
      <c r="GT130">
        <v>0</v>
      </c>
      <c r="GU130" t="s">
        <v>3</v>
      </c>
      <c r="GV130">
        <f t="shared" si="147"/>
        <v>0</v>
      </c>
      <c r="GW130">
        <v>1</v>
      </c>
      <c r="GX130">
        <f t="shared" si="148"/>
        <v>0</v>
      </c>
      <c r="HA130">
        <v>0</v>
      </c>
      <c r="HB130">
        <v>0</v>
      </c>
      <c r="HC130">
        <f t="shared" si="149"/>
        <v>0</v>
      </c>
      <c r="HE130" t="s">
        <v>3</v>
      </c>
      <c r="HF130" t="s">
        <v>3</v>
      </c>
      <c r="HM130" t="s">
        <v>3</v>
      </c>
      <c r="HN130" t="s">
        <v>3</v>
      </c>
      <c r="HO130" t="s">
        <v>3</v>
      </c>
      <c r="HP130" t="s">
        <v>3</v>
      </c>
      <c r="HQ130" t="s">
        <v>3</v>
      </c>
      <c r="HS130">
        <v>0</v>
      </c>
      <c r="IK130">
        <v>0</v>
      </c>
    </row>
    <row r="131" spans="1:255" x14ac:dyDescent="0.2">
      <c r="A131" s="2">
        <v>17</v>
      </c>
      <c r="B131" s="2">
        <v>1</v>
      </c>
      <c r="C131" s="2">
        <f>ROW(SmtRes!A113)</f>
        <v>113</v>
      </c>
      <c r="D131" s="2">
        <f>ROW(EtalonRes!A487)</f>
        <v>487</v>
      </c>
      <c r="E131" s="2" t="s">
        <v>207</v>
      </c>
      <c r="F131" s="2" t="s">
        <v>202</v>
      </c>
      <c r="G131" s="2" t="s">
        <v>206</v>
      </c>
      <c r="H131" s="2" t="s">
        <v>164</v>
      </c>
      <c r="I131" s="2">
        <f>ROUND(94.94/100,9)</f>
        <v>0.94940000000000002</v>
      </c>
      <c r="J131" s="2">
        <v>0</v>
      </c>
      <c r="K131" s="2">
        <f>ROUND(94.94/100,9)</f>
        <v>0.94940000000000002</v>
      </c>
      <c r="L131" s="2"/>
      <c r="M131" s="2"/>
      <c r="N131" s="2"/>
      <c r="O131" s="2">
        <f t="shared" si="113"/>
        <v>441.6</v>
      </c>
      <c r="P131" s="2">
        <f t="shared" si="114"/>
        <v>54.33</v>
      </c>
      <c r="Q131" s="2">
        <f t="shared" si="115"/>
        <v>112.7</v>
      </c>
      <c r="R131" s="2">
        <f t="shared" si="116"/>
        <v>14.91</v>
      </c>
      <c r="S131" s="2">
        <f t="shared" si="117"/>
        <v>274.57</v>
      </c>
      <c r="T131" s="2">
        <f t="shared" si="118"/>
        <v>0</v>
      </c>
      <c r="U131" s="2">
        <f t="shared" si="119"/>
        <v>22.286215600000002</v>
      </c>
      <c r="V131" s="2">
        <f t="shared" si="120"/>
        <v>0</v>
      </c>
      <c r="W131" s="2">
        <f t="shared" si="121"/>
        <v>0</v>
      </c>
      <c r="X131" s="2">
        <f t="shared" si="122"/>
        <v>307.52</v>
      </c>
      <c r="Y131" s="2">
        <f t="shared" si="123"/>
        <v>192.2</v>
      </c>
      <c r="Z131" s="2"/>
      <c r="AA131" s="2">
        <v>56622586</v>
      </c>
      <c r="AB131" s="2">
        <f t="shared" si="124"/>
        <v>435.23399999999998</v>
      </c>
      <c r="AC131" s="2">
        <f t="shared" si="125"/>
        <v>52.94</v>
      </c>
      <c r="AD131" s="2">
        <f t="shared" si="126"/>
        <v>111.254</v>
      </c>
      <c r="AE131" s="2">
        <f t="shared" si="127"/>
        <v>14.718</v>
      </c>
      <c r="AF131" s="2">
        <f t="shared" si="128"/>
        <v>271.04000000000002</v>
      </c>
      <c r="AG131" s="2">
        <f t="shared" si="129"/>
        <v>0</v>
      </c>
      <c r="AH131" s="2">
        <f t="shared" si="130"/>
        <v>22</v>
      </c>
      <c r="AI131" s="2">
        <f t="shared" si="131"/>
        <v>0</v>
      </c>
      <c r="AJ131" s="2">
        <f t="shared" si="132"/>
        <v>0</v>
      </c>
      <c r="AK131" s="2">
        <v>400.48</v>
      </c>
      <c r="AL131" s="2">
        <v>52.94</v>
      </c>
      <c r="AM131" s="2">
        <v>101.14</v>
      </c>
      <c r="AN131" s="2">
        <v>13.38</v>
      </c>
      <c r="AO131" s="2">
        <v>246.4</v>
      </c>
      <c r="AP131" s="2">
        <v>0</v>
      </c>
      <c r="AQ131" s="2">
        <v>20</v>
      </c>
      <c r="AR131" s="2">
        <v>0</v>
      </c>
      <c r="AS131" s="2">
        <v>0</v>
      </c>
      <c r="AT131" s="2">
        <v>112</v>
      </c>
      <c r="AU131" s="2">
        <v>70</v>
      </c>
      <c r="AV131" s="2">
        <v>1.0669999999999999</v>
      </c>
      <c r="AW131" s="2">
        <v>1.081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0</v>
      </c>
      <c r="BI131" s="2">
        <v>2</v>
      </c>
      <c r="BJ131" s="2" t="s">
        <v>204</v>
      </c>
      <c r="BK131" s="2"/>
      <c r="BL131" s="2"/>
      <c r="BM131" s="2">
        <v>318</v>
      </c>
      <c r="BN131" s="2">
        <v>0</v>
      </c>
      <c r="BO131" s="2" t="s">
        <v>3</v>
      </c>
      <c r="BP131" s="2">
        <v>0</v>
      </c>
      <c r="BQ131" s="2">
        <v>40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112</v>
      </c>
      <c r="CA131" s="2">
        <v>70</v>
      </c>
      <c r="CB131" s="2" t="s">
        <v>3</v>
      </c>
      <c r="CC131" s="2"/>
      <c r="CD131" s="2"/>
      <c r="CE131" s="2">
        <v>30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671</v>
      </c>
      <c r="CO131" s="2">
        <v>0</v>
      </c>
      <c r="CP131" s="2">
        <f t="shared" si="133"/>
        <v>441.6</v>
      </c>
      <c r="CQ131" s="2">
        <f t="shared" si="134"/>
        <v>57.23</v>
      </c>
      <c r="CR131" s="2">
        <f t="shared" si="135"/>
        <v>118.71</v>
      </c>
      <c r="CS131" s="2">
        <f t="shared" si="136"/>
        <v>15.7</v>
      </c>
      <c r="CT131" s="2">
        <f t="shared" si="137"/>
        <v>289.2</v>
      </c>
      <c r="CU131" s="2">
        <f t="shared" si="138"/>
        <v>0</v>
      </c>
      <c r="CV131" s="2">
        <f t="shared" si="139"/>
        <v>23.474</v>
      </c>
      <c r="CW131" s="2">
        <f t="shared" si="140"/>
        <v>0</v>
      </c>
      <c r="CX131" s="2">
        <f t="shared" si="141"/>
        <v>0</v>
      </c>
      <c r="CY131" s="2">
        <f>((S131*BZ131)/100)</f>
        <v>307.51839999999999</v>
      </c>
      <c r="CZ131" s="2">
        <f>((S131*CA131)/100)</f>
        <v>192.19899999999998</v>
      </c>
      <c r="DA131" s="2"/>
      <c r="DB131" s="2"/>
      <c r="DC131" s="2" t="s">
        <v>3</v>
      </c>
      <c r="DD131" s="2" t="s">
        <v>3</v>
      </c>
      <c r="DE131" s="2" t="s">
        <v>22</v>
      </c>
      <c r="DF131" s="2" t="s">
        <v>22</v>
      </c>
      <c r="DG131" s="2" t="s">
        <v>22</v>
      </c>
      <c r="DH131" s="2" t="s">
        <v>3</v>
      </c>
      <c r="DI131" s="2" t="s">
        <v>22</v>
      </c>
      <c r="DJ131" s="2" t="s">
        <v>22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1013</v>
      </c>
      <c r="DV131" s="2" t="s">
        <v>164</v>
      </c>
      <c r="DW131" s="2" t="s">
        <v>164</v>
      </c>
      <c r="DX131" s="2">
        <v>1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51696357</v>
      </c>
      <c r="EF131" s="2">
        <v>40</v>
      </c>
      <c r="EG131" s="2" t="s">
        <v>166</v>
      </c>
      <c r="EH131" s="2">
        <v>0</v>
      </c>
      <c r="EI131" s="2" t="s">
        <v>3</v>
      </c>
      <c r="EJ131" s="2">
        <v>2</v>
      </c>
      <c r="EK131" s="2">
        <v>318</v>
      </c>
      <c r="EL131" s="2" t="s">
        <v>167</v>
      </c>
      <c r="EM131" s="2" t="s">
        <v>168</v>
      </c>
      <c r="EN131" s="2"/>
      <c r="EO131" s="2" t="s">
        <v>25</v>
      </c>
      <c r="EP131" s="2"/>
      <c r="EQ131" s="2">
        <v>131072</v>
      </c>
      <c r="ER131" s="2">
        <v>400.48</v>
      </c>
      <c r="ES131" s="2">
        <v>52.94</v>
      </c>
      <c r="ET131" s="2">
        <v>101.14</v>
      </c>
      <c r="EU131" s="2">
        <v>13.38</v>
      </c>
      <c r="EV131" s="2">
        <v>246.4</v>
      </c>
      <c r="EW131" s="2">
        <v>20</v>
      </c>
      <c r="EX131" s="2">
        <v>0</v>
      </c>
      <c r="EY131" s="2">
        <v>0</v>
      </c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v>0</v>
      </c>
      <c r="FS131" s="2">
        <v>0</v>
      </c>
      <c r="FT131" s="2"/>
      <c r="FU131" s="2"/>
      <c r="FV131" s="2"/>
      <c r="FW131" s="2"/>
      <c r="FX131" s="2">
        <v>112</v>
      </c>
      <c r="FY131" s="2">
        <v>70</v>
      </c>
      <c r="FZ131" s="2"/>
      <c r="GA131" s="2" t="s">
        <v>3</v>
      </c>
      <c r="GB131" s="2"/>
      <c r="GC131" s="2"/>
      <c r="GD131" s="2">
        <v>0</v>
      </c>
      <c r="GE131" s="2"/>
      <c r="GF131" s="2">
        <v>-1704617451</v>
      </c>
      <c r="GG131" s="2">
        <v>2</v>
      </c>
      <c r="GH131" s="2">
        <v>1</v>
      </c>
      <c r="GI131" s="2">
        <v>-2</v>
      </c>
      <c r="GJ131" s="2">
        <v>0</v>
      </c>
      <c r="GK131" s="2">
        <f>ROUND(R131*(R12)/100,2)</f>
        <v>26.09</v>
      </c>
      <c r="GL131" s="2">
        <f t="shared" si="142"/>
        <v>0</v>
      </c>
      <c r="GM131" s="2">
        <f t="shared" si="143"/>
        <v>967.41</v>
      </c>
      <c r="GN131" s="2">
        <f t="shared" si="144"/>
        <v>0</v>
      </c>
      <c r="GO131" s="2">
        <f t="shared" si="145"/>
        <v>967.41</v>
      </c>
      <c r="GP131" s="2">
        <f t="shared" si="146"/>
        <v>0</v>
      </c>
      <c r="GQ131" s="2"/>
      <c r="GR131" s="2">
        <v>0</v>
      </c>
      <c r="GS131" s="2">
        <v>0</v>
      </c>
      <c r="GT131" s="2">
        <v>0</v>
      </c>
      <c r="GU131" s="2" t="s">
        <v>3</v>
      </c>
      <c r="GV131" s="2">
        <f t="shared" si="147"/>
        <v>0</v>
      </c>
      <c r="GW131" s="2">
        <v>1</v>
      </c>
      <c r="GX131" s="2">
        <f t="shared" si="148"/>
        <v>0</v>
      </c>
      <c r="GY131" s="2"/>
      <c r="GZ131" s="2"/>
      <c r="HA131" s="2">
        <v>0</v>
      </c>
      <c r="HB131" s="2">
        <v>0</v>
      </c>
      <c r="HC131" s="2">
        <f t="shared" si="149"/>
        <v>0</v>
      </c>
      <c r="HD131" s="2"/>
      <c r="HE131" s="2" t="s">
        <v>3</v>
      </c>
      <c r="HF131" s="2" t="s">
        <v>3</v>
      </c>
      <c r="HG131" s="2"/>
      <c r="HH131" s="2"/>
      <c r="HI131" s="2"/>
      <c r="HJ131" s="2"/>
      <c r="HK131" s="2"/>
      <c r="HL131" s="2"/>
      <c r="HM131" s="2" t="s">
        <v>3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">
      <c r="A132">
        <v>17</v>
      </c>
      <c r="B132">
        <v>1</v>
      </c>
      <c r="C132">
        <f>ROW(SmtRes!A114)</f>
        <v>114</v>
      </c>
      <c r="D132">
        <f>ROW(EtalonRes!A500)</f>
        <v>500</v>
      </c>
      <c r="E132" t="s">
        <v>207</v>
      </c>
      <c r="F132" t="s">
        <v>202</v>
      </c>
      <c r="G132" t="s">
        <v>206</v>
      </c>
      <c r="H132" t="s">
        <v>164</v>
      </c>
      <c r="I132">
        <f>ROUND(94.94/100,9)</f>
        <v>0.94940000000000002</v>
      </c>
      <c r="J132">
        <v>0</v>
      </c>
      <c r="K132">
        <f>ROUND(94.94/100,9)</f>
        <v>0.94940000000000002</v>
      </c>
      <c r="O132">
        <f t="shared" si="113"/>
        <v>11808.13</v>
      </c>
      <c r="P132">
        <f t="shared" si="114"/>
        <v>944.26</v>
      </c>
      <c r="Q132">
        <f t="shared" si="115"/>
        <v>1388.46</v>
      </c>
      <c r="R132">
        <f t="shared" si="116"/>
        <v>514.54</v>
      </c>
      <c r="S132">
        <f t="shared" si="117"/>
        <v>9475.41</v>
      </c>
      <c r="T132">
        <f t="shared" si="118"/>
        <v>0</v>
      </c>
      <c r="U132">
        <f t="shared" si="119"/>
        <v>22.286215600000002</v>
      </c>
      <c r="V132">
        <f t="shared" si="120"/>
        <v>0</v>
      </c>
      <c r="W132">
        <f t="shared" si="121"/>
        <v>0</v>
      </c>
      <c r="X132">
        <f t="shared" si="122"/>
        <v>8717.3799999999992</v>
      </c>
      <c r="Y132">
        <f t="shared" si="123"/>
        <v>4074.43</v>
      </c>
      <c r="AA132">
        <v>56616093</v>
      </c>
      <c r="AB132">
        <f t="shared" si="124"/>
        <v>435.23399999999998</v>
      </c>
      <c r="AC132">
        <f t="shared" si="125"/>
        <v>52.94</v>
      </c>
      <c r="AD132">
        <f t="shared" si="126"/>
        <v>111.254</v>
      </c>
      <c r="AE132">
        <f t="shared" si="127"/>
        <v>14.718</v>
      </c>
      <c r="AF132">
        <f t="shared" si="128"/>
        <v>271.04000000000002</v>
      </c>
      <c r="AG132">
        <f t="shared" si="129"/>
        <v>0</v>
      </c>
      <c r="AH132">
        <f t="shared" si="130"/>
        <v>22</v>
      </c>
      <c r="AI132">
        <f t="shared" si="131"/>
        <v>0</v>
      </c>
      <c r="AJ132">
        <f t="shared" si="132"/>
        <v>0</v>
      </c>
      <c r="AK132">
        <v>400.48</v>
      </c>
      <c r="AL132">
        <v>52.94</v>
      </c>
      <c r="AM132">
        <v>101.14</v>
      </c>
      <c r="AN132">
        <v>13.38</v>
      </c>
      <c r="AO132">
        <v>246.4</v>
      </c>
      <c r="AP132">
        <v>0</v>
      </c>
      <c r="AQ132">
        <v>20</v>
      </c>
      <c r="AR132">
        <v>0</v>
      </c>
      <c r="AS132">
        <v>0</v>
      </c>
      <c r="AT132">
        <v>92</v>
      </c>
      <c r="AU132">
        <v>43</v>
      </c>
      <c r="AV132">
        <v>1.0669999999999999</v>
      </c>
      <c r="AW132">
        <v>1.081</v>
      </c>
      <c r="AZ132">
        <v>1</v>
      </c>
      <c r="BA132">
        <v>34.51</v>
      </c>
      <c r="BB132">
        <v>12.32</v>
      </c>
      <c r="BC132">
        <v>17.38</v>
      </c>
      <c r="BD132" t="s">
        <v>3</v>
      </c>
      <c r="BE132" t="s">
        <v>3</v>
      </c>
      <c r="BF132" t="s">
        <v>3</v>
      </c>
      <c r="BG132" t="s">
        <v>3</v>
      </c>
      <c r="BH132">
        <v>0</v>
      </c>
      <c r="BI132">
        <v>2</v>
      </c>
      <c r="BJ132" t="s">
        <v>204</v>
      </c>
      <c r="BM132">
        <v>318</v>
      </c>
      <c r="BN132">
        <v>0</v>
      </c>
      <c r="BO132" t="s">
        <v>202</v>
      </c>
      <c r="BP132">
        <v>1</v>
      </c>
      <c r="BQ132">
        <v>40</v>
      </c>
      <c r="BR132">
        <v>0</v>
      </c>
      <c r="BS132">
        <v>34.51</v>
      </c>
      <c r="BT132">
        <v>1</v>
      </c>
      <c r="BU132">
        <v>1</v>
      </c>
      <c r="BV132">
        <v>1</v>
      </c>
      <c r="BW132">
        <v>1</v>
      </c>
      <c r="BX132">
        <v>1</v>
      </c>
      <c r="BY132" t="s">
        <v>3</v>
      </c>
      <c r="BZ132">
        <v>92</v>
      </c>
      <c r="CA132">
        <v>43</v>
      </c>
      <c r="CB132" t="s">
        <v>3</v>
      </c>
      <c r="CE132">
        <v>30</v>
      </c>
      <c r="CF132">
        <v>0</v>
      </c>
      <c r="CG132">
        <v>0</v>
      </c>
      <c r="CM132">
        <v>0</v>
      </c>
      <c r="CN132" t="s">
        <v>671</v>
      </c>
      <c r="CO132">
        <v>0</v>
      </c>
      <c r="CP132">
        <f t="shared" si="133"/>
        <v>11808.130000000001</v>
      </c>
      <c r="CQ132">
        <f t="shared" si="134"/>
        <v>994.66</v>
      </c>
      <c r="CR132">
        <f t="shared" si="135"/>
        <v>1462.51</v>
      </c>
      <c r="CS132">
        <f t="shared" si="136"/>
        <v>541.80999999999995</v>
      </c>
      <c r="CT132">
        <f t="shared" si="137"/>
        <v>9980.2900000000009</v>
      </c>
      <c r="CU132">
        <f t="shared" si="138"/>
        <v>0</v>
      </c>
      <c r="CV132">
        <f t="shared" si="139"/>
        <v>23.474</v>
      </c>
      <c r="CW132">
        <f t="shared" si="140"/>
        <v>0</v>
      </c>
      <c r="CX132">
        <f t="shared" si="141"/>
        <v>0</v>
      </c>
      <c r="CY132">
        <f>S132*(BZ132/100)</f>
        <v>8717.3772000000008</v>
      </c>
      <c r="CZ132">
        <f>S132*(CA132/100)</f>
        <v>4074.4263000000001</v>
      </c>
      <c r="DC132" t="s">
        <v>3</v>
      </c>
      <c r="DD132" t="s">
        <v>3</v>
      </c>
      <c r="DE132" t="s">
        <v>22</v>
      </c>
      <c r="DF132" t="s">
        <v>22</v>
      </c>
      <c r="DG132" t="s">
        <v>22</v>
      </c>
      <c r="DH132" t="s">
        <v>3</v>
      </c>
      <c r="DI132" t="s">
        <v>22</v>
      </c>
      <c r="DJ132" t="s">
        <v>22</v>
      </c>
      <c r="DK132" t="s">
        <v>3</v>
      </c>
      <c r="DL132" t="s">
        <v>3</v>
      </c>
      <c r="DM132" t="s">
        <v>3</v>
      </c>
      <c r="DN132">
        <v>112</v>
      </c>
      <c r="DO132">
        <v>70</v>
      </c>
      <c r="DP132">
        <v>1.0669999999999999</v>
      </c>
      <c r="DQ132">
        <v>1.081</v>
      </c>
      <c r="DU132">
        <v>1013</v>
      </c>
      <c r="DV132" t="s">
        <v>164</v>
      </c>
      <c r="DW132" t="s">
        <v>164</v>
      </c>
      <c r="DX132">
        <v>1</v>
      </c>
      <c r="DZ132" t="s">
        <v>3</v>
      </c>
      <c r="EA132" t="s">
        <v>3</v>
      </c>
      <c r="EB132" t="s">
        <v>3</v>
      </c>
      <c r="EC132" t="s">
        <v>3</v>
      </c>
      <c r="EE132">
        <v>51696357</v>
      </c>
      <c r="EF132">
        <v>40</v>
      </c>
      <c r="EG132" t="s">
        <v>166</v>
      </c>
      <c r="EH132">
        <v>0</v>
      </c>
      <c r="EI132" t="s">
        <v>3</v>
      </c>
      <c r="EJ132">
        <v>2</v>
      </c>
      <c r="EK132">
        <v>318</v>
      </c>
      <c r="EL132" t="s">
        <v>167</v>
      </c>
      <c r="EM132" t="s">
        <v>168</v>
      </c>
      <c r="EO132" t="s">
        <v>25</v>
      </c>
      <c r="EQ132">
        <v>131072</v>
      </c>
      <c r="ER132">
        <v>400.48</v>
      </c>
      <c r="ES132">
        <v>52.94</v>
      </c>
      <c r="ET132">
        <v>101.14</v>
      </c>
      <c r="EU132">
        <v>13.38</v>
      </c>
      <c r="EV132">
        <v>246.4</v>
      </c>
      <c r="EW132">
        <v>20</v>
      </c>
      <c r="EX132">
        <v>0</v>
      </c>
      <c r="EY132">
        <v>0</v>
      </c>
      <c r="FQ132">
        <v>0</v>
      </c>
      <c r="FR132">
        <v>0</v>
      </c>
      <c r="FS132">
        <v>0</v>
      </c>
      <c r="FX132">
        <v>112</v>
      </c>
      <c r="FY132">
        <v>70</v>
      </c>
      <c r="GA132" t="s">
        <v>3</v>
      </c>
      <c r="GD132">
        <v>0</v>
      </c>
      <c r="GF132">
        <v>-1704617451</v>
      </c>
      <c r="GG132">
        <v>2</v>
      </c>
      <c r="GH132">
        <v>1</v>
      </c>
      <c r="GI132">
        <v>2</v>
      </c>
      <c r="GJ132">
        <v>0</v>
      </c>
      <c r="GK132">
        <f>ROUND(R132*(S12)/100,2)</f>
        <v>823.26</v>
      </c>
      <c r="GL132">
        <f t="shared" si="142"/>
        <v>0</v>
      </c>
      <c r="GM132">
        <f t="shared" si="143"/>
        <v>25423.200000000001</v>
      </c>
      <c r="GN132">
        <f t="shared" si="144"/>
        <v>0</v>
      </c>
      <c r="GO132">
        <f t="shared" si="145"/>
        <v>25423.200000000001</v>
      </c>
      <c r="GP132">
        <f t="shared" si="146"/>
        <v>0</v>
      </c>
      <c r="GR132">
        <v>0</v>
      </c>
      <c r="GS132">
        <v>3</v>
      </c>
      <c r="GT132">
        <v>0</v>
      </c>
      <c r="GU132" t="s">
        <v>3</v>
      </c>
      <c r="GV132">
        <f t="shared" si="147"/>
        <v>0</v>
      </c>
      <c r="GW132">
        <v>1</v>
      </c>
      <c r="GX132">
        <f t="shared" si="148"/>
        <v>0</v>
      </c>
      <c r="HA132">
        <v>0</v>
      </c>
      <c r="HB132">
        <v>0</v>
      </c>
      <c r="HC132">
        <f t="shared" si="149"/>
        <v>0</v>
      </c>
      <c r="HE132" t="s">
        <v>3</v>
      </c>
      <c r="HF132" t="s">
        <v>3</v>
      </c>
      <c r="HM132" t="s">
        <v>3</v>
      </c>
      <c r="HN132" t="s">
        <v>3</v>
      </c>
      <c r="HO132" t="s">
        <v>3</v>
      </c>
      <c r="HP132" t="s">
        <v>3</v>
      </c>
      <c r="HQ132" t="s">
        <v>3</v>
      </c>
      <c r="HS132">
        <v>0</v>
      </c>
      <c r="IK132">
        <v>0</v>
      </c>
    </row>
    <row r="133" spans="1:255" x14ac:dyDescent="0.2">
      <c r="A133" s="2">
        <v>17</v>
      </c>
      <c r="B133" s="2">
        <v>1</v>
      </c>
      <c r="C133" s="2">
        <f>ROW(SmtRes!A115)</f>
        <v>115</v>
      </c>
      <c r="D133" s="2">
        <f>ROW(EtalonRes!A513)</f>
        <v>513</v>
      </c>
      <c r="E133" s="2" t="s">
        <v>208</v>
      </c>
      <c r="F133" s="2" t="s">
        <v>209</v>
      </c>
      <c r="G133" s="2" t="s">
        <v>210</v>
      </c>
      <c r="H133" s="2" t="s">
        <v>164</v>
      </c>
      <c r="I133" s="2">
        <f>ROUND(199.98/100,9)</f>
        <v>1.9998</v>
      </c>
      <c r="J133" s="2">
        <v>0</v>
      </c>
      <c r="K133" s="2">
        <f>ROUND(199.98/100,9)</f>
        <v>1.9998</v>
      </c>
      <c r="L133" s="2"/>
      <c r="M133" s="2"/>
      <c r="N133" s="2"/>
      <c r="O133" s="2">
        <f t="shared" si="113"/>
        <v>1179.98</v>
      </c>
      <c r="P133" s="2">
        <f t="shared" si="114"/>
        <v>114.44</v>
      </c>
      <c r="Q133" s="2">
        <f t="shared" si="115"/>
        <v>348.39</v>
      </c>
      <c r="R133" s="2">
        <f t="shared" si="116"/>
        <v>44.13</v>
      </c>
      <c r="S133" s="2">
        <f t="shared" si="117"/>
        <v>717.15</v>
      </c>
      <c r="T133" s="2">
        <f t="shared" si="118"/>
        <v>0</v>
      </c>
      <c r="U133" s="2">
        <f t="shared" si="119"/>
        <v>58.209698448000005</v>
      </c>
      <c r="V133" s="2">
        <f t="shared" si="120"/>
        <v>0</v>
      </c>
      <c r="W133" s="2">
        <f t="shared" si="121"/>
        <v>0</v>
      </c>
      <c r="X133" s="2">
        <f t="shared" si="122"/>
        <v>803.21</v>
      </c>
      <c r="Y133" s="2">
        <f t="shared" si="123"/>
        <v>502.01</v>
      </c>
      <c r="Z133" s="2"/>
      <c r="AA133" s="2">
        <v>56622586</v>
      </c>
      <c r="AB133" s="2">
        <f t="shared" si="124"/>
        <v>552.30700000000002</v>
      </c>
      <c r="AC133" s="2">
        <f t="shared" si="125"/>
        <v>52.94</v>
      </c>
      <c r="AD133" s="2">
        <f t="shared" si="126"/>
        <v>163.273</v>
      </c>
      <c r="AE133" s="2">
        <f t="shared" si="127"/>
        <v>20.68</v>
      </c>
      <c r="AF133" s="2">
        <f t="shared" si="128"/>
        <v>336.09399999999999</v>
      </c>
      <c r="AG133" s="2">
        <f t="shared" si="129"/>
        <v>0</v>
      </c>
      <c r="AH133" s="2">
        <f t="shared" si="130"/>
        <v>27.280000000000005</v>
      </c>
      <c r="AI133" s="2">
        <f t="shared" si="131"/>
        <v>0</v>
      </c>
      <c r="AJ133" s="2">
        <f t="shared" si="132"/>
        <v>0</v>
      </c>
      <c r="AK133" s="2">
        <v>506.91</v>
      </c>
      <c r="AL133" s="2">
        <v>52.94</v>
      </c>
      <c r="AM133" s="2">
        <v>148.43</v>
      </c>
      <c r="AN133" s="2">
        <v>18.8</v>
      </c>
      <c r="AO133" s="2">
        <v>305.54000000000002</v>
      </c>
      <c r="AP133" s="2">
        <v>0</v>
      </c>
      <c r="AQ133" s="2">
        <v>24.8</v>
      </c>
      <c r="AR133" s="2">
        <v>0</v>
      </c>
      <c r="AS133" s="2">
        <v>0</v>
      </c>
      <c r="AT133" s="2">
        <v>112</v>
      </c>
      <c r="AU133" s="2">
        <v>70</v>
      </c>
      <c r="AV133" s="2">
        <v>1.0669999999999999</v>
      </c>
      <c r="AW133" s="2">
        <v>1.081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0</v>
      </c>
      <c r="BI133" s="2">
        <v>2</v>
      </c>
      <c r="BJ133" s="2" t="s">
        <v>211</v>
      </c>
      <c r="BK133" s="2"/>
      <c r="BL133" s="2"/>
      <c r="BM133" s="2">
        <v>318</v>
      </c>
      <c r="BN133" s="2">
        <v>0</v>
      </c>
      <c r="BO133" s="2" t="s">
        <v>3</v>
      </c>
      <c r="BP133" s="2">
        <v>0</v>
      </c>
      <c r="BQ133" s="2">
        <v>40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112</v>
      </c>
      <c r="CA133" s="2">
        <v>70</v>
      </c>
      <c r="CB133" s="2" t="s">
        <v>3</v>
      </c>
      <c r="CC133" s="2"/>
      <c r="CD133" s="2"/>
      <c r="CE133" s="2">
        <v>30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671</v>
      </c>
      <c r="CO133" s="2">
        <v>0</v>
      </c>
      <c r="CP133" s="2">
        <f t="shared" si="133"/>
        <v>1179.98</v>
      </c>
      <c r="CQ133" s="2">
        <f t="shared" si="134"/>
        <v>57.23</v>
      </c>
      <c r="CR133" s="2">
        <f t="shared" si="135"/>
        <v>174.21</v>
      </c>
      <c r="CS133" s="2">
        <f t="shared" si="136"/>
        <v>22.07</v>
      </c>
      <c r="CT133" s="2">
        <f t="shared" si="137"/>
        <v>358.61</v>
      </c>
      <c r="CU133" s="2">
        <f t="shared" si="138"/>
        <v>0</v>
      </c>
      <c r="CV133" s="2">
        <f t="shared" si="139"/>
        <v>29.107760000000003</v>
      </c>
      <c r="CW133" s="2">
        <f t="shared" si="140"/>
        <v>0</v>
      </c>
      <c r="CX133" s="2">
        <f t="shared" si="141"/>
        <v>0</v>
      </c>
      <c r="CY133" s="2">
        <f>((S133*BZ133)/100)</f>
        <v>803.20800000000008</v>
      </c>
      <c r="CZ133" s="2">
        <f>((S133*CA133)/100)</f>
        <v>502.005</v>
      </c>
      <c r="DA133" s="2"/>
      <c r="DB133" s="2"/>
      <c r="DC133" s="2" t="s">
        <v>3</v>
      </c>
      <c r="DD133" s="2" t="s">
        <v>3</v>
      </c>
      <c r="DE133" s="2" t="s">
        <v>22</v>
      </c>
      <c r="DF133" s="2" t="s">
        <v>22</v>
      </c>
      <c r="DG133" s="2" t="s">
        <v>22</v>
      </c>
      <c r="DH133" s="2" t="s">
        <v>3</v>
      </c>
      <c r="DI133" s="2" t="s">
        <v>22</v>
      </c>
      <c r="DJ133" s="2" t="s">
        <v>22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1013</v>
      </c>
      <c r="DV133" s="2" t="s">
        <v>164</v>
      </c>
      <c r="DW133" s="2" t="s">
        <v>164</v>
      </c>
      <c r="DX133" s="2">
        <v>1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51696357</v>
      </c>
      <c r="EF133" s="2">
        <v>40</v>
      </c>
      <c r="EG133" s="2" t="s">
        <v>166</v>
      </c>
      <c r="EH133" s="2">
        <v>0</v>
      </c>
      <c r="EI133" s="2" t="s">
        <v>3</v>
      </c>
      <c r="EJ133" s="2">
        <v>2</v>
      </c>
      <c r="EK133" s="2">
        <v>318</v>
      </c>
      <c r="EL133" s="2" t="s">
        <v>167</v>
      </c>
      <c r="EM133" s="2" t="s">
        <v>168</v>
      </c>
      <c r="EN133" s="2"/>
      <c r="EO133" s="2" t="s">
        <v>25</v>
      </c>
      <c r="EP133" s="2"/>
      <c r="EQ133" s="2">
        <v>131072</v>
      </c>
      <c r="ER133" s="2">
        <v>506.91</v>
      </c>
      <c r="ES133" s="2">
        <v>52.94</v>
      </c>
      <c r="ET133" s="2">
        <v>148.43</v>
      </c>
      <c r="EU133" s="2">
        <v>18.8</v>
      </c>
      <c r="EV133" s="2">
        <v>305.54000000000002</v>
      </c>
      <c r="EW133" s="2">
        <v>24.8</v>
      </c>
      <c r="EX133" s="2">
        <v>0</v>
      </c>
      <c r="EY133" s="2">
        <v>0</v>
      </c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v>0</v>
      </c>
      <c r="FS133" s="2">
        <v>0</v>
      </c>
      <c r="FT133" s="2"/>
      <c r="FU133" s="2"/>
      <c r="FV133" s="2"/>
      <c r="FW133" s="2"/>
      <c r="FX133" s="2">
        <v>112</v>
      </c>
      <c r="FY133" s="2">
        <v>70</v>
      </c>
      <c r="FZ133" s="2"/>
      <c r="GA133" s="2" t="s">
        <v>3</v>
      </c>
      <c r="GB133" s="2"/>
      <c r="GC133" s="2"/>
      <c r="GD133" s="2">
        <v>0</v>
      </c>
      <c r="GE133" s="2"/>
      <c r="GF133" s="2">
        <v>1532517885</v>
      </c>
      <c r="GG133" s="2">
        <v>2</v>
      </c>
      <c r="GH133" s="2">
        <v>1</v>
      </c>
      <c r="GI133" s="2">
        <v>-2</v>
      </c>
      <c r="GJ133" s="2">
        <v>0</v>
      </c>
      <c r="GK133" s="2">
        <f>ROUND(R133*(R12)/100,2)</f>
        <v>77.23</v>
      </c>
      <c r="GL133" s="2">
        <f t="shared" si="142"/>
        <v>0</v>
      </c>
      <c r="GM133" s="2">
        <f t="shared" si="143"/>
        <v>2562.4299999999998</v>
      </c>
      <c r="GN133" s="2">
        <f t="shared" si="144"/>
        <v>0</v>
      </c>
      <c r="GO133" s="2">
        <f t="shared" si="145"/>
        <v>2562.4299999999998</v>
      </c>
      <c r="GP133" s="2">
        <f t="shared" si="146"/>
        <v>0</v>
      </c>
      <c r="GQ133" s="2"/>
      <c r="GR133" s="2">
        <v>0</v>
      </c>
      <c r="GS133" s="2">
        <v>0</v>
      </c>
      <c r="GT133" s="2">
        <v>0</v>
      </c>
      <c r="GU133" s="2" t="s">
        <v>3</v>
      </c>
      <c r="GV133" s="2">
        <f t="shared" si="147"/>
        <v>0</v>
      </c>
      <c r="GW133" s="2">
        <v>1</v>
      </c>
      <c r="GX133" s="2">
        <f t="shared" si="148"/>
        <v>0</v>
      </c>
      <c r="GY133" s="2"/>
      <c r="GZ133" s="2"/>
      <c r="HA133" s="2">
        <v>0</v>
      </c>
      <c r="HB133" s="2">
        <v>0</v>
      </c>
      <c r="HC133" s="2">
        <f t="shared" si="149"/>
        <v>0</v>
      </c>
      <c r="HD133" s="2"/>
      <c r="HE133" s="2" t="s">
        <v>3</v>
      </c>
      <c r="HF133" s="2" t="s">
        <v>3</v>
      </c>
      <c r="HG133" s="2"/>
      <c r="HH133" s="2"/>
      <c r="HI133" s="2"/>
      <c r="HJ133" s="2"/>
      <c r="HK133" s="2"/>
      <c r="HL133" s="2"/>
      <c r="HM133" s="2" t="s">
        <v>3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2">
      <c r="A134">
        <v>17</v>
      </c>
      <c r="B134">
        <v>1</v>
      </c>
      <c r="C134">
        <f>ROW(SmtRes!A116)</f>
        <v>116</v>
      </c>
      <c r="D134">
        <f>ROW(EtalonRes!A526)</f>
        <v>526</v>
      </c>
      <c r="E134" t="s">
        <v>208</v>
      </c>
      <c r="F134" t="s">
        <v>209</v>
      </c>
      <c r="G134" t="s">
        <v>210</v>
      </c>
      <c r="H134" t="s">
        <v>164</v>
      </c>
      <c r="I134">
        <f>ROUND(199.98/100,9)</f>
        <v>1.9998</v>
      </c>
      <c r="J134">
        <v>0</v>
      </c>
      <c r="K134">
        <f>ROUND(199.98/100,9)</f>
        <v>1.9998</v>
      </c>
      <c r="O134">
        <f t="shared" si="113"/>
        <v>30984.69</v>
      </c>
      <c r="P134">
        <f t="shared" si="114"/>
        <v>1988.97</v>
      </c>
      <c r="Q134">
        <f t="shared" si="115"/>
        <v>4246.87</v>
      </c>
      <c r="R134">
        <f t="shared" si="116"/>
        <v>1522.93</v>
      </c>
      <c r="S134">
        <f t="shared" si="117"/>
        <v>24748.85</v>
      </c>
      <c r="T134">
        <f t="shared" si="118"/>
        <v>0</v>
      </c>
      <c r="U134">
        <f t="shared" si="119"/>
        <v>58.209698448000005</v>
      </c>
      <c r="V134">
        <f t="shared" si="120"/>
        <v>0</v>
      </c>
      <c r="W134">
        <f t="shared" si="121"/>
        <v>0</v>
      </c>
      <c r="X134">
        <f t="shared" si="122"/>
        <v>22768.94</v>
      </c>
      <c r="Y134">
        <f t="shared" si="123"/>
        <v>10642.01</v>
      </c>
      <c r="AA134">
        <v>56616093</v>
      </c>
      <c r="AB134">
        <f t="shared" si="124"/>
        <v>552.30700000000002</v>
      </c>
      <c r="AC134">
        <f t="shared" si="125"/>
        <v>52.94</v>
      </c>
      <c r="AD134">
        <f t="shared" si="126"/>
        <v>163.273</v>
      </c>
      <c r="AE134">
        <f t="shared" si="127"/>
        <v>20.68</v>
      </c>
      <c r="AF134">
        <f t="shared" si="128"/>
        <v>336.09399999999999</v>
      </c>
      <c r="AG134">
        <f t="shared" si="129"/>
        <v>0</v>
      </c>
      <c r="AH134">
        <f t="shared" si="130"/>
        <v>27.280000000000005</v>
      </c>
      <c r="AI134">
        <f t="shared" si="131"/>
        <v>0</v>
      </c>
      <c r="AJ134">
        <f t="shared" si="132"/>
        <v>0</v>
      </c>
      <c r="AK134">
        <v>506.91</v>
      </c>
      <c r="AL134">
        <v>52.94</v>
      </c>
      <c r="AM134">
        <v>148.43</v>
      </c>
      <c r="AN134">
        <v>18.8</v>
      </c>
      <c r="AO134">
        <v>305.54000000000002</v>
      </c>
      <c r="AP134">
        <v>0</v>
      </c>
      <c r="AQ134">
        <v>24.8</v>
      </c>
      <c r="AR134">
        <v>0</v>
      </c>
      <c r="AS134">
        <v>0</v>
      </c>
      <c r="AT134">
        <v>92</v>
      </c>
      <c r="AU134">
        <v>43</v>
      </c>
      <c r="AV134">
        <v>1.0669999999999999</v>
      </c>
      <c r="AW134">
        <v>1.081</v>
      </c>
      <c r="AZ134">
        <v>1</v>
      </c>
      <c r="BA134">
        <v>34.51</v>
      </c>
      <c r="BB134">
        <v>12.19</v>
      </c>
      <c r="BC134">
        <v>17.38</v>
      </c>
      <c r="BD134" t="s">
        <v>3</v>
      </c>
      <c r="BE134" t="s">
        <v>3</v>
      </c>
      <c r="BF134" t="s">
        <v>3</v>
      </c>
      <c r="BG134" t="s">
        <v>3</v>
      </c>
      <c r="BH134">
        <v>0</v>
      </c>
      <c r="BI134">
        <v>2</v>
      </c>
      <c r="BJ134" t="s">
        <v>211</v>
      </c>
      <c r="BM134">
        <v>318</v>
      </c>
      <c r="BN134">
        <v>0</v>
      </c>
      <c r="BO134" t="s">
        <v>209</v>
      </c>
      <c r="BP134">
        <v>1</v>
      </c>
      <c r="BQ134">
        <v>40</v>
      </c>
      <c r="BR134">
        <v>0</v>
      </c>
      <c r="BS134">
        <v>34.51</v>
      </c>
      <c r="BT134">
        <v>1</v>
      </c>
      <c r="BU134">
        <v>1</v>
      </c>
      <c r="BV134">
        <v>1</v>
      </c>
      <c r="BW134">
        <v>1</v>
      </c>
      <c r="BX134">
        <v>1</v>
      </c>
      <c r="BY134" t="s">
        <v>3</v>
      </c>
      <c r="BZ134">
        <v>92</v>
      </c>
      <c r="CA134">
        <v>43</v>
      </c>
      <c r="CB134" t="s">
        <v>3</v>
      </c>
      <c r="CE134">
        <v>30</v>
      </c>
      <c r="CF134">
        <v>0</v>
      </c>
      <c r="CG134">
        <v>0</v>
      </c>
      <c r="CM134">
        <v>0</v>
      </c>
      <c r="CN134" t="s">
        <v>671</v>
      </c>
      <c r="CO134">
        <v>0</v>
      </c>
      <c r="CP134">
        <f t="shared" si="133"/>
        <v>30984.69</v>
      </c>
      <c r="CQ134">
        <f t="shared" si="134"/>
        <v>994.66</v>
      </c>
      <c r="CR134">
        <f t="shared" si="135"/>
        <v>2123.62</v>
      </c>
      <c r="CS134">
        <f t="shared" si="136"/>
        <v>761.64</v>
      </c>
      <c r="CT134">
        <f t="shared" si="137"/>
        <v>12375.63</v>
      </c>
      <c r="CU134">
        <f t="shared" si="138"/>
        <v>0</v>
      </c>
      <c r="CV134">
        <f t="shared" si="139"/>
        <v>29.107760000000003</v>
      </c>
      <c r="CW134">
        <f t="shared" si="140"/>
        <v>0</v>
      </c>
      <c r="CX134">
        <f t="shared" si="141"/>
        <v>0</v>
      </c>
      <c r="CY134">
        <f>S134*(BZ134/100)</f>
        <v>22768.941999999999</v>
      </c>
      <c r="CZ134">
        <f>S134*(CA134/100)</f>
        <v>10642.005499999999</v>
      </c>
      <c r="DC134" t="s">
        <v>3</v>
      </c>
      <c r="DD134" t="s">
        <v>3</v>
      </c>
      <c r="DE134" t="s">
        <v>22</v>
      </c>
      <c r="DF134" t="s">
        <v>22</v>
      </c>
      <c r="DG134" t="s">
        <v>22</v>
      </c>
      <c r="DH134" t="s">
        <v>3</v>
      </c>
      <c r="DI134" t="s">
        <v>22</v>
      </c>
      <c r="DJ134" t="s">
        <v>22</v>
      </c>
      <c r="DK134" t="s">
        <v>3</v>
      </c>
      <c r="DL134" t="s">
        <v>3</v>
      </c>
      <c r="DM134" t="s">
        <v>3</v>
      </c>
      <c r="DN134">
        <v>112</v>
      </c>
      <c r="DO134">
        <v>70</v>
      </c>
      <c r="DP134">
        <v>1.0669999999999999</v>
      </c>
      <c r="DQ134">
        <v>1.081</v>
      </c>
      <c r="DU134">
        <v>1013</v>
      </c>
      <c r="DV134" t="s">
        <v>164</v>
      </c>
      <c r="DW134" t="s">
        <v>164</v>
      </c>
      <c r="DX134">
        <v>1</v>
      </c>
      <c r="DZ134" t="s">
        <v>3</v>
      </c>
      <c r="EA134" t="s">
        <v>3</v>
      </c>
      <c r="EB134" t="s">
        <v>3</v>
      </c>
      <c r="EC134" t="s">
        <v>3</v>
      </c>
      <c r="EE134">
        <v>51696357</v>
      </c>
      <c r="EF134">
        <v>40</v>
      </c>
      <c r="EG134" t="s">
        <v>166</v>
      </c>
      <c r="EH134">
        <v>0</v>
      </c>
      <c r="EI134" t="s">
        <v>3</v>
      </c>
      <c r="EJ134">
        <v>2</v>
      </c>
      <c r="EK134">
        <v>318</v>
      </c>
      <c r="EL134" t="s">
        <v>167</v>
      </c>
      <c r="EM134" t="s">
        <v>168</v>
      </c>
      <c r="EO134" t="s">
        <v>25</v>
      </c>
      <c r="EQ134">
        <v>131072</v>
      </c>
      <c r="ER134">
        <v>506.91</v>
      </c>
      <c r="ES134">
        <v>52.94</v>
      </c>
      <c r="ET134">
        <v>148.43</v>
      </c>
      <c r="EU134">
        <v>18.8</v>
      </c>
      <c r="EV134">
        <v>305.54000000000002</v>
      </c>
      <c r="EW134">
        <v>24.8</v>
      </c>
      <c r="EX134">
        <v>0</v>
      </c>
      <c r="EY134">
        <v>0</v>
      </c>
      <c r="FQ134">
        <v>0</v>
      </c>
      <c r="FR134">
        <v>0</v>
      </c>
      <c r="FS134">
        <v>0</v>
      </c>
      <c r="FX134">
        <v>112</v>
      </c>
      <c r="FY134">
        <v>70</v>
      </c>
      <c r="GA134" t="s">
        <v>3</v>
      </c>
      <c r="GD134">
        <v>0</v>
      </c>
      <c r="GF134">
        <v>1532517885</v>
      </c>
      <c r="GG134">
        <v>2</v>
      </c>
      <c r="GH134">
        <v>1</v>
      </c>
      <c r="GI134">
        <v>2</v>
      </c>
      <c r="GJ134">
        <v>0</v>
      </c>
      <c r="GK134">
        <f>ROUND(R134*(S12)/100,2)</f>
        <v>2436.69</v>
      </c>
      <c r="GL134">
        <f t="shared" si="142"/>
        <v>0</v>
      </c>
      <c r="GM134">
        <f t="shared" si="143"/>
        <v>66832.33</v>
      </c>
      <c r="GN134">
        <f t="shared" si="144"/>
        <v>0</v>
      </c>
      <c r="GO134">
        <f t="shared" si="145"/>
        <v>66832.33</v>
      </c>
      <c r="GP134">
        <f t="shared" si="146"/>
        <v>0</v>
      </c>
      <c r="GR134">
        <v>0</v>
      </c>
      <c r="GS134">
        <v>3</v>
      </c>
      <c r="GT134">
        <v>0</v>
      </c>
      <c r="GU134" t="s">
        <v>3</v>
      </c>
      <c r="GV134">
        <f t="shared" si="147"/>
        <v>0</v>
      </c>
      <c r="GW134">
        <v>1</v>
      </c>
      <c r="GX134">
        <f t="shared" si="148"/>
        <v>0</v>
      </c>
      <c r="HA134">
        <v>0</v>
      </c>
      <c r="HB134">
        <v>0</v>
      </c>
      <c r="HC134">
        <f t="shared" si="149"/>
        <v>0</v>
      </c>
      <c r="HE134" t="s">
        <v>3</v>
      </c>
      <c r="HF134" t="s">
        <v>3</v>
      </c>
      <c r="HM134" t="s">
        <v>3</v>
      </c>
      <c r="HN134" t="s">
        <v>3</v>
      </c>
      <c r="HO134" t="s">
        <v>3</v>
      </c>
      <c r="HP134" t="s">
        <v>3</v>
      </c>
      <c r="HQ134" t="s">
        <v>3</v>
      </c>
      <c r="HS134">
        <v>0</v>
      </c>
      <c r="IK134">
        <v>0</v>
      </c>
    </row>
    <row r="135" spans="1:255" x14ac:dyDescent="0.2">
      <c r="A135" s="2">
        <v>17</v>
      </c>
      <c r="B135" s="2">
        <v>1</v>
      </c>
      <c r="C135" s="2"/>
      <c r="D135" s="2">
        <f>ROW(EtalonRes!A539)</f>
        <v>539</v>
      </c>
      <c r="E135" s="2" t="s">
        <v>212</v>
      </c>
      <c r="F135" s="2" t="s">
        <v>209</v>
      </c>
      <c r="G135" s="2" t="s">
        <v>213</v>
      </c>
      <c r="H135" s="2" t="s">
        <v>164</v>
      </c>
      <c r="I135" s="2">
        <v>0</v>
      </c>
      <c r="J135" s="2">
        <v>0</v>
      </c>
      <c r="K135" s="2">
        <v>0</v>
      </c>
      <c r="L135" s="2"/>
      <c r="M135" s="2"/>
      <c r="N135" s="2"/>
      <c r="O135" s="2">
        <f t="shared" si="113"/>
        <v>0</v>
      </c>
      <c r="P135" s="2">
        <f t="shared" si="114"/>
        <v>0</v>
      </c>
      <c r="Q135" s="2">
        <f t="shared" si="115"/>
        <v>0</v>
      </c>
      <c r="R135" s="2">
        <f t="shared" si="116"/>
        <v>0</v>
      </c>
      <c r="S135" s="2">
        <f t="shared" si="117"/>
        <v>0</v>
      </c>
      <c r="T135" s="2">
        <f t="shared" si="118"/>
        <v>0</v>
      </c>
      <c r="U135" s="2">
        <f t="shared" si="119"/>
        <v>0</v>
      </c>
      <c r="V135" s="2">
        <f t="shared" si="120"/>
        <v>0</v>
      </c>
      <c r="W135" s="2">
        <f t="shared" si="121"/>
        <v>0</v>
      </c>
      <c r="X135" s="2">
        <f t="shared" si="122"/>
        <v>0</v>
      </c>
      <c r="Y135" s="2">
        <f t="shared" si="123"/>
        <v>0</v>
      </c>
      <c r="Z135" s="2"/>
      <c r="AA135" s="2">
        <v>56622586</v>
      </c>
      <c r="AB135" s="2">
        <f t="shared" si="124"/>
        <v>552.30700000000002</v>
      </c>
      <c r="AC135" s="2">
        <f t="shared" si="125"/>
        <v>52.94</v>
      </c>
      <c r="AD135" s="2">
        <f t="shared" si="126"/>
        <v>163.273</v>
      </c>
      <c r="AE135" s="2">
        <f t="shared" si="127"/>
        <v>20.68</v>
      </c>
      <c r="AF135" s="2">
        <f t="shared" si="128"/>
        <v>336.09399999999999</v>
      </c>
      <c r="AG135" s="2">
        <f t="shared" si="129"/>
        <v>0</v>
      </c>
      <c r="AH135" s="2">
        <f t="shared" si="130"/>
        <v>27.280000000000005</v>
      </c>
      <c r="AI135" s="2">
        <f t="shared" si="131"/>
        <v>0</v>
      </c>
      <c r="AJ135" s="2">
        <f t="shared" si="132"/>
        <v>0</v>
      </c>
      <c r="AK135" s="2">
        <v>506.91</v>
      </c>
      <c r="AL135" s="2">
        <v>52.94</v>
      </c>
      <c r="AM135" s="2">
        <v>148.43</v>
      </c>
      <c r="AN135" s="2">
        <v>18.8</v>
      </c>
      <c r="AO135" s="2">
        <v>305.54000000000002</v>
      </c>
      <c r="AP135" s="2">
        <v>0</v>
      </c>
      <c r="AQ135" s="2">
        <v>24.8</v>
      </c>
      <c r="AR135" s="2">
        <v>0</v>
      </c>
      <c r="AS135" s="2">
        <v>0</v>
      </c>
      <c r="AT135" s="2">
        <v>112</v>
      </c>
      <c r="AU135" s="2">
        <v>70</v>
      </c>
      <c r="AV135" s="2">
        <v>1.0669999999999999</v>
      </c>
      <c r="AW135" s="2">
        <v>1.081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0</v>
      </c>
      <c r="BI135" s="2">
        <v>2</v>
      </c>
      <c r="BJ135" s="2" t="s">
        <v>211</v>
      </c>
      <c r="BK135" s="2"/>
      <c r="BL135" s="2"/>
      <c r="BM135" s="2">
        <v>318</v>
      </c>
      <c r="BN135" s="2">
        <v>0</v>
      </c>
      <c r="BO135" s="2" t="s">
        <v>3</v>
      </c>
      <c r="BP135" s="2">
        <v>0</v>
      </c>
      <c r="BQ135" s="2">
        <v>40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112</v>
      </c>
      <c r="CA135" s="2">
        <v>70</v>
      </c>
      <c r="CB135" s="2" t="s">
        <v>3</v>
      </c>
      <c r="CC135" s="2"/>
      <c r="CD135" s="2"/>
      <c r="CE135" s="2">
        <v>30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671</v>
      </c>
      <c r="CO135" s="2">
        <v>0</v>
      </c>
      <c r="CP135" s="2">
        <f t="shared" si="133"/>
        <v>0</v>
      </c>
      <c r="CQ135" s="2">
        <f t="shared" si="134"/>
        <v>57.23</v>
      </c>
      <c r="CR135" s="2">
        <f t="shared" si="135"/>
        <v>174.21</v>
      </c>
      <c r="CS135" s="2">
        <f t="shared" si="136"/>
        <v>22.07</v>
      </c>
      <c r="CT135" s="2">
        <f t="shared" si="137"/>
        <v>358.61</v>
      </c>
      <c r="CU135" s="2">
        <f t="shared" si="138"/>
        <v>0</v>
      </c>
      <c r="CV135" s="2">
        <f t="shared" si="139"/>
        <v>29.107760000000003</v>
      </c>
      <c r="CW135" s="2">
        <f t="shared" si="140"/>
        <v>0</v>
      </c>
      <c r="CX135" s="2">
        <f t="shared" si="141"/>
        <v>0</v>
      </c>
      <c r="CY135" s="2">
        <f>((S135*BZ135)/100)</f>
        <v>0</v>
      </c>
      <c r="CZ135" s="2">
        <f>((S135*CA135)/100)</f>
        <v>0</v>
      </c>
      <c r="DA135" s="2"/>
      <c r="DB135" s="2"/>
      <c r="DC135" s="2" t="s">
        <v>3</v>
      </c>
      <c r="DD135" s="2" t="s">
        <v>3</v>
      </c>
      <c r="DE135" s="2" t="s">
        <v>22</v>
      </c>
      <c r="DF135" s="2" t="s">
        <v>22</v>
      </c>
      <c r="DG135" s="2" t="s">
        <v>22</v>
      </c>
      <c r="DH135" s="2" t="s">
        <v>3</v>
      </c>
      <c r="DI135" s="2" t="s">
        <v>22</v>
      </c>
      <c r="DJ135" s="2" t="s">
        <v>22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1013</v>
      </c>
      <c r="DV135" s="2" t="s">
        <v>164</v>
      </c>
      <c r="DW135" s="2" t="s">
        <v>164</v>
      </c>
      <c r="DX135" s="2">
        <v>1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51696357</v>
      </c>
      <c r="EF135" s="2">
        <v>40</v>
      </c>
      <c r="EG135" s="2" t="s">
        <v>166</v>
      </c>
      <c r="EH135" s="2">
        <v>0</v>
      </c>
      <c r="EI135" s="2" t="s">
        <v>3</v>
      </c>
      <c r="EJ135" s="2">
        <v>2</v>
      </c>
      <c r="EK135" s="2">
        <v>318</v>
      </c>
      <c r="EL135" s="2" t="s">
        <v>167</v>
      </c>
      <c r="EM135" s="2" t="s">
        <v>168</v>
      </c>
      <c r="EN135" s="2"/>
      <c r="EO135" s="2" t="s">
        <v>25</v>
      </c>
      <c r="EP135" s="2"/>
      <c r="EQ135" s="2">
        <v>131072</v>
      </c>
      <c r="ER135" s="2">
        <v>506.91</v>
      </c>
      <c r="ES135" s="2">
        <v>52.94</v>
      </c>
      <c r="ET135" s="2">
        <v>148.43</v>
      </c>
      <c r="EU135" s="2">
        <v>18.8</v>
      </c>
      <c r="EV135" s="2">
        <v>305.54000000000002</v>
      </c>
      <c r="EW135" s="2">
        <v>24.8</v>
      </c>
      <c r="EX135" s="2">
        <v>0</v>
      </c>
      <c r="EY135" s="2">
        <v>0</v>
      </c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v>0</v>
      </c>
      <c r="FS135" s="2">
        <v>0</v>
      </c>
      <c r="FT135" s="2"/>
      <c r="FU135" s="2"/>
      <c r="FV135" s="2"/>
      <c r="FW135" s="2"/>
      <c r="FX135" s="2">
        <v>112</v>
      </c>
      <c r="FY135" s="2">
        <v>70</v>
      </c>
      <c r="FZ135" s="2"/>
      <c r="GA135" s="2" t="s">
        <v>3</v>
      </c>
      <c r="GB135" s="2"/>
      <c r="GC135" s="2"/>
      <c r="GD135" s="2">
        <v>0</v>
      </c>
      <c r="GE135" s="2"/>
      <c r="GF135" s="2">
        <v>1304130757</v>
      </c>
      <c r="GG135" s="2">
        <v>2</v>
      </c>
      <c r="GH135" s="2">
        <v>1</v>
      </c>
      <c r="GI135" s="2">
        <v>-2</v>
      </c>
      <c r="GJ135" s="2">
        <v>0</v>
      </c>
      <c r="GK135" s="2">
        <f>ROUND(R135*(R12)/100,2)</f>
        <v>0</v>
      </c>
      <c r="GL135" s="2">
        <f t="shared" si="142"/>
        <v>0</v>
      </c>
      <c r="GM135" s="2">
        <f t="shared" si="143"/>
        <v>0</v>
      </c>
      <c r="GN135" s="2">
        <f t="shared" si="144"/>
        <v>0</v>
      </c>
      <c r="GO135" s="2">
        <f t="shared" si="145"/>
        <v>0</v>
      </c>
      <c r="GP135" s="2">
        <f t="shared" si="146"/>
        <v>0</v>
      </c>
      <c r="GQ135" s="2"/>
      <c r="GR135" s="2">
        <v>0</v>
      </c>
      <c r="GS135" s="2">
        <v>0</v>
      </c>
      <c r="GT135" s="2">
        <v>0</v>
      </c>
      <c r="GU135" s="2" t="s">
        <v>3</v>
      </c>
      <c r="GV135" s="2">
        <f t="shared" si="147"/>
        <v>0</v>
      </c>
      <c r="GW135" s="2">
        <v>1</v>
      </c>
      <c r="GX135" s="2">
        <f t="shared" si="148"/>
        <v>0</v>
      </c>
      <c r="GY135" s="2"/>
      <c r="GZ135" s="2"/>
      <c r="HA135" s="2">
        <v>0</v>
      </c>
      <c r="HB135" s="2">
        <v>0</v>
      </c>
      <c r="HC135" s="2">
        <f t="shared" si="149"/>
        <v>0</v>
      </c>
      <c r="HD135" s="2"/>
      <c r="HE135" s="2" t="s">
        <v>3</v>
      </c>
      <c r="HF135" s="2" t="s">
        <v>3</v>
      </c>
      <c r="HG135" s="2"/>
      <c r="HH135" s="2"/>
      <c r="HI135" s="2"/>
      <c r="HJ135" s="2"/>
      <c r="HK135" s="2"/>
      <c r="HL135" s="2"/>
      <c r="HM135" s="2" t="s">
        <v>3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2">
      <c r="A136">
        <v>17</v>
      </c>
      <c r="B136">
        <v>1</v>
      </c>
      <c r="D136">
        <f>ROW(EtalonRes!A552)</f>
        <v>552</v>
      </c>
      <c r="E136" t="s">
        <v>212</v>
      </c>
      <c r="F136" t="s">
        <v>209</v>
      </c>
      <c r="G136" t="s">
        <v>213</v>
      </c>
      <c r="H136" t="s">
        <v>164</v>
      </c>
      <c r="I136">
        <v>0</v>
      </c>
      <c r="J136">
        <v>0</v>
      </c>
      <c r="K136">
        <v>0</v>
      </c>
      <c r="O136">
        <f t="shared" si="113"/>
        <v>0</v>
      </c>
      <c r="P136">
        <f t="shared" si="114"/>
        <v>0</v>
      </c>
      <c r="Q136">
        <f t="shared" si="115"/>
        <v>0</v>
      </c>
      <c r="R136">
        <f t="shared" si="116"/>
        <v>0</v>
      </c>
      <c r="S136">
        <f t="shared" si="117"/>
        <v>0</v>
      </c>
      <c r="T136">
        <f t="shared" si="118"/>
        <v>0</v>
      </c>
      <c r="U136">
        <f t="shared" si="119"/>
        <v>0</v>
      </c>
      <c r="V136">
        <f t="shared" si="120"/>
        <v>0</v>
      </c>
      <c r="W136">
        <f t="shared" si="121"/>
        <v>0</v>
      </c>
      <c r="X136">
        <f t="shared" si="122"/>
        <v>0</v>
      </c>
      <c r="Y136">
        <f t="shared" si="123"/>
        <v>0</v>
      </c>
      <c r="AA136">
        <v>56616093</v>
      </c>
      <c r="AB136">
        <f t="shared" si="124"/>
        <v>552.30700000000002</v>
      </c>
      <c r="AC136">
        <f t="shared" si="125"/>
        <v>52.94</v>
      </c>
      <c r="AD136">
        <f t="shared" si="126"/>
        <v>163.273</v>
      </c>
      <c r="AE136">
        <f t="shared" si="127"/>
        <v>20.68</v>
      </c>
      <c r="AF136">
        <f t="shared" si="128"/>
        <v>336.09399999999999</v>
      </c>
      <c r="AG136">
        <f t="shared" si="129"/>
        <v>0</v>
      </c>
      <c r="AH136">
        <f t="shared" si="130"/>
        <v>27.280000000000005</v>
      </c>
      <c r="AI136">
        <f t="shared" si="131"/>
        <v>0</v>
      </c>
      <c r="AJ136">
        <f t="shared" si="132"/>
        <v>0</v>
      </c>
      <c r="AK136">
        <v>506.91</v>
      </c>
      <c r="AL136">
        <v>52.94</v>
      </c>
      <c r="AM136">
        <v>148.43</v>
      </c>
      <c r="AN136">
        <v>18.8</v>
      </c>
      <c r="AO136">
        <v>305.54000000000002</v>
      </c>
      <c r="AP136">
        <v>0</v>
      </c>
      <c r="AQ136">
        <v>24.8</v>
      </c>
      <c r="AR136">
        <v>0</v>
      </c>
      <c r="AS136">
        <v>0</v>
      </c>
      <c r="AT136">
        <v>92</v>
      </c>
      <c r="AU136">
        <v>43</v>
      </c>
      <c r="AV136">
        <v>1.0669999999999999</v>
      </c>
      <c r="AW136">
        <v>1.081</v>
      </c>
      <c r="AZ136">
        <v>1</v>
      </c>
      <c r="BA136">
        <v>34.51</v>
      </c>
      <c r="BB136">
        <v>12.19</v>
      </c>
      <c r="BC136">
        <v>17.38</v>
      </c>
      <c r="BD136" t="s">
        <v>3</v>
      </c>
      <c r="BE136" t="s">
        <v>3</v>
      </c>
      <c r="BF136" t="s">
        <v>3</v>
      </c>
      <c r="BG136" t="s">
        <v>3</v>
      </c>
      <c r="BH136">
        <v>0</v>
      </c>
      <c r="BI136">
        <v>2</v>
      </c>
      <c r="BJ136" t="s">
        <v>211</v>
      </c>
      <c r="BM136">
        <v>318</v>
      </c>
      <c r="BN136">
        <v>0</v>
      </c>
      <c r="BO136" t="s">
        <v>209</v>
      </c>
      <c r="BP136">
        <v>1</v>
      </c>
      <c r="BQ136">
        <v>40</v>
      </c>
      <c r="BR136">
        <v>0</v>
      </c>
      <c r="BS136">
        <v>34.51</v>
      </c>
      <c r="BT136">
        <v>1</v>
      </c>
      <c r="BU136">
        <v>1</v>
      </c>
      <c r="BV136">
        <v>1</v>
      </c>
      <c r="BW136">
        <v>1</v>
      </c>
      <c r="BX136">
        <v>1</v>
      </c>
      <c r="BY136" t="s">
        <v>3</v>
      </c>
      <c r="BZ136">
        <v>92</v>
      </c>
      <c r="CA136">
        <v>43</v>
      </c>
      <c r="CB136" t="s">
        <v>3</v>
      </c>
      <c r="CE136">
        <v>30</v>
      </c>
      <c r="CF136">
        <v>0</v>
      </c>
      <c r="CG136">
        <v>0</v>
      </c>
      <c r="CM136">
        <v>0</v>
      </c>
      <c r="CN136" t="s">
        <v>671</v>
      </c>
      <c r="CO136">
        <v>0</v>
      </c>
      <c r="CP136">
        <f t="shared" si="133"/>
        <v>0</v>
      </c>
      <c r="CQ136">
        <f t="shared" si="134"/>
        <v>994.66</v>
      </c>
      <c r="CR136">
        <f t="shared" si="135"/>
        <v>2123.62</v>
      </c>
      <c r="CS136">
        <f t="shared" si="136"/>
        <v>761.64</v>
      </c>
      <c r="CT136">
        <f t="shared" si="137"/>
        <v>12375.63</v>
      </c>
      <c r="CU136">
        <f t="shared" si="138"/>
        <v>0</v>
      </c>
      <c r="CV136">
        <f t="shared" si="139"/>
        <v>29.107760000000003</v>
      </c>
      <c r="CW136">
        <f t="shared" si="140"/>
        <v>0</v>
      </c>
      <c r="CX136">
        <f t="shared" si="141"/>
        <v>0</v>
      </c>
      <c r="CY136">
        <f>S136*(BZ136/100)</f>
        <v>0</v>
      </c>
      <c r="CZ136">
        <f>S136*(CA136/100)</f>
        <v>0</v>
      </c>
      <c r="DC136" t="s">
        <v>3</v>
      </c>
      <c r="DD136" t="s">
        <v>3</v>
      </c>
      <c r="DE136" t="s">
        <v>22</v>
      </c>
      <c r="DF136" t="s">
        <v>22</v>
      </c>
      <c r="DG136" t="s">
        <v>22</v>
      </c>
      <c r="DH136" t="s">
        <v>3</v>
      </c>
      <c r="DI136" t="s">
        <v>22</v>
      </c>
      <c r="DJ136" t="s">
        <v>22</v>
      </c>
      <c r="DK136" t="s">
        <v>3</v>
      </c>
      <c r="DL136" t="s">
        <v>3</v>
      </c>
      <c r="DM136" t="s">
        <v>3</v>
      </c>
      <c r="DN136">
        <v>112</v>
      </c>
      <c r="DO136">
        <v>70</v>
      </c>
      <c r="DP136">
        <v>1.0669999999999999</v>
      </c>
      <c r="DQ136">
        <v>1.081</v>
      </c>
      <c r="DU136">
        <v>1013</v>
      </c>
      <c r="DV136" t="s">
        <v>164</v>
      </c>
      <c r="DW136" t="s">
        <v>164</v>
      </c>
      <c r="DX136">
        <v>1</v>
      </c>
      <c r="DZ136" t="s">
        <v>3</v>
      </c>
      <c r="EA136" t="s">
        <v>3</v>
      </c>
      <c r="EB136" t="s">
        <v>3</v>
      </c>
      <c r="EC136" t="s">
        <v>3</v>
      </c>
      <c r="EE136">
        <v>51696357</v>
      </c>
      <c r="EF136">
        <v>40</v>
      </c>
      <c r="EG136" t="s">
        <v>166</v>
      </c>
      <c r="EH136">
        <v>0</v>
      </c>
      <c r="EI136" t="s">
        <v>3</v>
      </c>
      <c r="EJ136">
        <v>2</v>
      </c>
      <c r="EK136">
        <v>318</v>
      </c>
      <c r="EL136" t="s">
        <v>167</v>
      </c>
      <c r="EM136" t="s">
        <v>168</v>
      </c>
      <c r="EO136" t="s">
        <v>25</v>
      </c>
      <c r="EQ136">
        <v>131072</v>
      </c>
      <c r="ER136">
        <v>506.91</v>
      </c>
      <c r="ES136">
        <v>52.94</v>
      </c>
      <c r="ET136">
        <v>148.43</v>
      </c>
      <c r="EU136">
        <v>18.8</v>
      </c>
      <c r="EV136">
        <v>305.54000000000002</v>
      </c>
      <c r="EW136">
        <v>24.8</v>
      </c>
      <c r="EX136">
        <v>0</v>
      </c>
      <c r="EY136">
        <v>0</v>
      </c>
      <c r="FQ136">
        <v>0</v>
      </c>
      <c r="FR136">
        <v>0</v>
      </c>
      <c r="FS136">
        <v>0</v>
      </c>
      <c r="FX136">
        <v>112</v>
      </c>
      <c r="FY136">
        <v>70</v>
      </c>
      <c r="GA136" t="s">
        <v>3</v>
      </c>
      <c r="GD136">
        <v>0</v>
      </c>
      <c r="GF136">
        <v>1304130757</v>
      </c>
      <c r="GG136">
        <v>2</v>
      </c>
      <c r="GH136">
        <v>1</v>
      </c>
      <c r="GI136">
        <v>2</v>
      </c>
      <c r="GJ136">
        <v>0</v>
      </c>
      <c r="GK136">
        <f>ROUND(R136*(S12)/100,2)</f>
        <v>0</v>
      </c>
      <c r="GL136">
        <f t="shared" si="142"/>
        <v>0</v>
      </c>
      <c r="GM136">
        <f t="shared" si="143"/>
        <v>0</v>
      </c>
      <c r="GN136">
        <f t="shared" si="144"/>
        <v>0</v>
      </c>
      <c r="GO136">
        <f t="shared" si="145"/>
        <v>0</v>
      </c>
      <c r="GP136">
        <f t="shared" si="146"/>
        <v>0</v>
      </c>
      <c r="GR136">
        <v>0</v>
      </c>
      <c r="GS136">
        <v>3</v>
      </c>
      <c r="GT136">
        <v>0</v>
      </c>
      <c r="GU136" t="s">
        <v>3</v>
      </c>
      <c r="GV136">
        <f t="shared" si="147"/>
        <v>0</v>
      </c>
      <c r="GW136">
        <v>1</v>
      </c>
      <c r="GX136">
        <f t="shared" si="148"/>
        <v>0</v>
      </c>
      <c r="HA136">
        <v>0</v>
      </c>
      <c r="HB136">
        <v>0</v>
      </c>
      <c r="HC136">
        <f t="shared" si="149"/>
        <v>0</v>
      </c>
      <c r="HE136" t="s">
        <v>3</v>
      </c>
      <c r="HF136" t="s">
        <v>3</v>
      </c>
      <c r="HM136" t="s">
        <v>3</v>
      </c>
      <c r="HN136" t="s">
        <v>3</v>
      </c>
      <c r="HO136" t="s">
        <v>3</v>
      </c>
      <c r="HP136" t="s">
        <v>3</v>
      </c>
      <c r="HQ136" t="s">
        <v>3</v>
      </c>
      <c r="HS136">
        <v>0</v>
      </c>
      <c r="IK136">
        <v>0</v>
      </c>
    </row>
    <row r="137" spans="1:255" x14ac:dyDescent="0.2">
      <c r="A137" s="2">
        <v>17</v>
      </c>
      <c r="B137" s="2">
        <v>1</v>
      </c>
      <c r="C137" s="2">
        <f>ROW(SmtRes!A117)</f>
        <v>117</v>
      </c>
      <c r="D137" s="2">
        <f>ROW(EtalonRes!A565)</f>
        <v>565</v>
      </c>
      <c r="E137" s="2" t="s">
        <v>214</v>
      </c>
      <c r="F137" s="2" t="s">
        <v>209</v>
      </c>
      <c r="G137" s="2" t="s">
        <v>215</v>
      </c>
      <c r="H137" s="2" t="s">
        <v>164</v>
      </c>
      <c r="I137" s="2">
        <v>0</v>
      </c>
      <c r="J137" s="2">
        <v>0</v>
      </c>
      <c r="K137" s="2">
        <v>0</v>
      </c>
      <c r="L137" s="2"/>
      <c r="M137" s="2"/>
      <c r="N137" s="2"/>
      <c r="O137" s="2">
        <f t="shared" si="113"/>
        <v>0</v>
      </c>
      <c r="P137" s="2">
        <f t="shared" si="114"/>
        <v>0</v>
      </c>
      <c r="Q137" s="2">
        <f t="shared" si="115"/>
        <v>0</v>
      </c>
      <c r="R137" s="2">
        <f t="shared" si="116"/>
        <v>0</v>
      </c>
      <c r="S137" s="2">
        <f t="shared" si="117"/>
        <v>0</v>
      </c>
      <c r="T137" s="2">
        <f t="shared" si="118"/>
        <v>0</v>
      </c>
      <c r="U137" s="2">
        <f t="shared" si="119"/>
        <v>0</v>
      </c>
      <c r="V137" s="2">
        <f t="shared" si="120"/>
        <v>0</v>
      </c>
      <c r="W137" s="2">
        <f t="shared" si="121"/>
        <v>0</v>
      </c>
      <c r="X137" s="2">
        <f t="shared" si="122"/>
        <v>0</v>
      </c>
      <c r="Y137" s="2">
        <f t="shared" si="123"/>
        <v>0</v>
      </c>
      <c r="Z137" s="2"/>
      <c r="AA137" s="2">
        <v>56622586</v>
      </c>
      <c r="AB137" s="2">
        <f t="shared" si="124"/>
        <v>552.30700000000002</v>
      </c>
      <c r="AC137" s="2">
        <f t="shared" si="125"/>
        <v>52.94</v>
      </c>
      <c r="AD137" s="2">
        <f t="shared" si="126"/>
        <v>163.273</v>
      </c>
      <c r="AE137" s="2">
        <f t="shared" si="127"/>
        <v>20.68</v>
      </c>
      <c r="AF137" s="2">
        <f t="shared" si="128"/>
        <v>336.09399999999999</v>
      </c>
      <c r="AG137" s="2">
        <f t="shared" si="129"/>
        <v>0</v>
      </c>
      <c r="AH137" s="2">
        <f t="shared" si="130"/>
        <v>27.280000000000005</v>
      </c>
      <c r="AI137" s="2">
        <f t="shared" si="131"/>
        <v>0</v>
      </c>
      <c r="AJ137" s="2">
        <f t="shared" si="132"/>
        <v>0</v>
      </c>
      <c r="AK137" s="2">
        <v>506.91</v>
      </c>
      <c r="AL137" s="2">
        <v>52.94</v>
      </c>
      <c r="AM137" s="2">
        <v>148.43</v>
      </c>
      <c r="AN137" s="2">
        <v>18.8</v>
      </c>
      <c r="AO137" s="2">
        <v>305.54000000000002</v>
      </c>
      <c r="AP137" s="2">
        <v>0</v>
      </c>
      <c r="AQ137" s="2">
        <v>24.8</v>
      </c>
      <c r="AR137" s="2">
        <v>0</v>
      </c>
      <c r="AS137" s="2">
        <v>0</v>
      </c>
      <c r="AT137" s="2">
        <v>112</v>
      </c>
      <c r="AU137" s="2">
        <v>70</v>
      </c>
      <c r="AV137" s="2">
        <v>1.0669999999999999</v>
      </c>
      <c r="AW137" s="2">
        <v>1.081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0</v>
      </c>
      <c r="BI137" s="2">
        <v>2</v>
      </c>
      <c r="BJ137" s="2" t="s">
        <v>211</v>
      </c>
      <c r="BK137" s="2"/>
      <c r="BL137" s="2"/>
      <c r="BM137" s="2">
        <v>318</v>
      </c>
      <c r="BN137" s="2">
        <v>0</v>
      </c>
      <c r="BO137" s="2" t="s">
        <v>3</v>
      </c>
      <c r="BP137" s="2">
        <v>0</v>
      </c>
      <c r="BQ137" s="2">
        <v>40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112</v>
      </c>
      <c r="CA137" s="2">
        <v>70</v>
      </c>
      <c r="CB137" s="2" t="s">
        <v>3</v>
      </c>
      <c r="CC137" s="2"/>
      <c r="CD137" s="2"/>
      <c r="CE137" s="2">
        <v>30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671</v>
      </c>
      <c r="CO137" s="2">
        <v>0</v>
      </c>
      <c r="CP137" s="2">
        <f t="shared" si="133"/>
        <v>0</v>
      </c>
      <c r="CQ137" s="2">
        <f t="shared" si="134"/>
        <v>57.23</v>
      </c>
      <c r="CR137" s="2">
        <f t="shared" si="135"/>
        <v>174.21</v>
      </c>
      <c r="CS137" s="2">
        <f t="shared" si="136"/>
        <v>22.07</v>
      </c>
      <c r="CT137" s="2">
        <f t="shared" si="137"/>
        <v>358.61</v>
      </c>
      <c r="CU137" s="2">
        <f t="shared" si="138"/>
        <v>0</v>
      </c>
      <c r="CV137" s="2">
        <f t="shared" si="139"/>
        <v>29.107760000000003</v>
      </c>
      <c r="CW137" s="2">
        <f t="shared" si="140"/>
        <v>0</v>
      </c>
      <c r="CX137" s="2">
        <f t="shared" si="141"/>
        <v>0</v>
      </c>
      <c r="CY137" s="2">
        <f>((S137*BZ137)/100)</f>
        <v>0</v>
      </c>
      <c r="CZ137" s="2">
        <f>((S137*CA137)/100)</f>
        <v>0</v>
      </c>
      <c r="DA137" s="2"/>
      <c r="DB137" s="2"/>
      <c r="DC137" s="2" t="s">
        <v>3</v>
      </c>
      <c r="DD137" s="2" t="s">
        <v>3</v>
      </c>
      <c r="DE137" s="2" t="s">
        <v>22</v>
      </c>
      <c r="DF137" s="2" t="s">
        <v>22</v>
      </c>
      <c r="DG137" s="2" t="s">
        <v>22</v>
      </c>
      <c r="DH137" s="2" t="s">
        <v>3</v>
      </c>
      <c r="DI137" s="2" t="s">
        <v>22</v>
      </c>
      <c r="DJ137" s="2" t="s">
        <v>22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1013</v>
      </c>
      <c r="DV137" s="2" t="s">
        <v>164</v>
      </c>
      <c r="DW137" s="2" t="s">
        <v>164</v>
      </c>
      <c r="DX137" s="2">
        <v>1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51696357</v>
      </c>
      <c r="EF137" s="2">
        <v>40</v>
      </c>
      <c r="EG137" s="2" t="s">
        <v>166</v>
      </c>
      <c r="EH137" s="2">
        <v>0</v>
      </c>
      <c r="EI137" s="2" t="s">
        <v>3</v>
      </c>
      <c r="EJ137" s="2">
        <v>2</v>
      </c>
      <c r="EK137" s="2">
        <v>318</v>
      </c>
      <c r="EL137" s="2" t="s">
        <v>167</v>
      </c>
      <c r="EM137" s="2" t="s">
        <v>168</v>
      </c>
      <c r="EN137" s="2"/>
      <c r="EO137" s="2" t="s">
        <v>25</v>
      </c>
      <c r="EP137" s="2"/>
      <c r="EQ137" s="2">
        <v>131072</v>
      </c>
      <c r="ER137" s="2">
        <v>506.91</v>
      </c>
      <c r="ES137" s="2">
        <v>52.94</v>
      </c>
      <c r="ET137" s="2">
        <v>148.43</v>
      </c>
      <c r="EU137" s="2">
        <v>18.8</v>
      </c>
      <c r="EV137" s="2">
        <v>305.54000000000002</v>
      </c>
      <c r="EW137" s="2">
        <v>24.8</v>
      </c>
      <c r="EX137" s="2">
        <v>0</v>
      </c>
      <c r="EY137" s="2">
        <v>0</v>
      </c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v>0</v>
      </c>
      <c r="FS137" s="2">
        <v>0</v>
      </c>
      <c r="FT137" s="2"/>
      <c r="FU137" s="2"/>
      <c r="FV137" s="2"/>
      <c r="FW137" s="2"/>
      <c r="FX137" s="2">
        <v>112</v>
      </c>
      <c r="FY137" s="2">
        <v>70</v>
      </c>
      <c r="FZ137" s="2"/>
      <c r="GA137" s="2" t="s">
        <v>3</v>
      </c>
      <c r="GB137" s="2"/>
      <c r="GC137" s="2"/>
      <c r="GD137" s="2">
        <v>0</v>
      </c>
      <c r="GE137" s="2"/>
      <c r="GF137" s="2">
        <v>458543560</v>
      </c>
      <c r="GG137" s="2">
        <v>2</v>
      </c>
      <c r="GH137" s="2">
        <v>1</v>
      </c>
      <c r="GI137" s="2">
        <v>-2</v>
      </c>
      <c r="GJ137" s="2">
        <v>0</v>
      </c>
      <c r="GK137" s="2">
        <f>ROUND(R137*(R12)/100,2)</f>
        <v>0</v>
      </c>
      <c r="GL137" s="2">
        <f t="shared" si="142"/>
        <v>0</v>
      </c>
      <c r="GM137" s="2">
        <f t="shared" si="143"/>
        <v>0</v>
      </c>
      <c r="GN137" s="2">
        <f t="shared" si="144"/>
        <v>0</v>
      </c>
      <c r="GO137" s="2">
        <f t="shared" si="145"/>
        <v>0</v>
      </c>
      <c r="GP137" s="2">
        <f t="shared" si="146"/>
        <v>0</v>
      </c>
      <c r="GQ137" s="2"/>
      <c r="GR137" s="2">
        <v>0</v>
      </c>
      <c r="GS137" s="2">
        <v>0</v>
      </c>
      <c r="GT137" s="2">
        <v>0</v>
      </c>
      <c r="GU137" s="2" t="s">
        <v>3</v>
      </c>
      <c r="GV137" s="2">
        <f t="shared" si="147"/>
        <v>0</v>
      </c>
      <c r="GW137" s="2">
        <v>1</v>
      </c>
      <c r="GX137" s="2">
        <f t="shared" si="148"/>
        <v>0</v>
      </c>
      <c r="GY137" s="2"/>
      <c r="GZ137" s="2"/>
      <c r="HA137" s="2">
        <v>0</v>
      </c>
      <c r="HB137" s="2">
        <v>0</v>
      </c>
      <c r="HC137" s="2">
        <f t="shared" si="149"/>
        <v>0</v>
      </c>
      <c r="HD137" s="2"/>
      <c r="HE137" s="2" t="s">
        <v>3</v>
      </c>
      <c r="HF137" s="2" t="s">
        <v>3</v>
      </c>
      <c r="HG137" s="2"/>
      <c r="HH137" s="2"/>
      <c r="HI137" s="2"/>
      <c r="HJ137" s="2"/>
      <c r="HK137" s="2"/>
      <c r="HL137" s="2"/>
      <c r="HM137" s="2" t="s">
        <v>3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2">
      <c r="A138">
        <v>17</v>
      </c>
      <c r="B138">
        <v>1</v>
      </c>
      <c r="C138">
        <f>ROW(SmtRes!A118)</f>
        <v>118</v>
      </c>
      <c r="D138">
        <f>ROW(EtalonRes!A578)</f>
        <v>578</v>
      </c>
      <c r="E138" t="s">
        <v>214</v>
      </c>
      <c r="F138" t="s">
        <v>209</v>
      </c>
      <c r="G138" t="s">
        <v>215</v>
      </c>
      <c r="H138" t="s">
        <v>164</v>
      </c>
      <c r="I138">
        <v>0</v>
      </c>
      <c r="J138">
        <v>0</v>
      </c>
      <c r="K138">
        <v>0</v>
      </c>
      <c r="O138">
        <f t="shared" si="113"/>
        <v>0</v>
      </c>
      <c r="P138">
        <f t="shared" si="114"/>
        <v>0</v>
      </c>
      <c r="Q138">
        <f t="shared" si="115"/>
        <v>0</v>
      </c>
      <c r="R138">
        <f t="shared" si="116"/>
        <v>0</v>
      </c>
      <c r="S138">
        <f t="shared" si="117"/>
        <v>0</v>
      </c>
      <c r="T138">
        <f t="shared" si="118"/>
        <v>0</v>
      </c>
      <c r="U138">
        <f t="shared" si="119"/>
        <v>0</v>
      </c>
      <c r="V138">
        <f t="shared" si="120"/>
        <v>0</v>
      </c>
      <c r="W138">
        <f t="shared" si="121"/>
        <v>0</v>
      </c>
      <c r="X138">
        <f t="shared" si="122"/>
        <v>0</v>
      </c>
      <c r="Y138">
        <f t="shared" si="123"/>
        <v>0</v>
      </c>
      <c r="AA138">
        <v>56616093</v>
      </c>
      <c r="AB138">
        <f t="shared" si="124"/>
        <v>552.30700000000002</v>
      </c>
      <c r="AC138">
        <f t="shared" si="125"/>
        <v>52.94</v>
      </c>
      <c r="AD138">
        <f t="shared" si="126"/>
        <v>163.273</v>
      </c>
      <c r="AE138">
        <f t="shared" si="127"/>
        <v>20.68</v>
      </c>
      <c r="AF138">
        <f t="shared" si="128"/>
        <v>336.09399999999999</v>
      </c>
      <c r="AG138">
        <f t="shared" si="129"/>
        <v>0</v>
      </c>
      <c r="AH138">
        <f t="shared" si="130"/>
        <v>27.280000000000005</v>
      </c>
      <c r="AI138">
        <f t="shared" si="131"/>
        <v>0</v>
      </c>
      <c r="AJ138">
        <f t="shared" si="132"/>
        <v>0</v>
      </c>
      <c r="AK138">
        <v>506.91</v>
      </c>
      <c r="AL138">
        <v>52.94</v>
      </c>
      <c r="AM138">
        <v>148.43</v>
      </c>
      <c r="AN138">
        <v>18.8</v>
      </c>
      <c r="AO138">
        <v>305.54000000000002</v>
      </c>
      <c r="AP138">
        <v>0</v>
      </c>
      <c r="AQ138">
        <v>24.8</v>
      </c>
      <c r="AR138">
        <v>0</v>
      </c>
      <c r="AS138">
        <v>0</v>
      </c>
      <c r="AT138">
        <v>92</v>
      </c>
      <c r="AU138">
        <v>43</v>
      </c>
      <c r="AV138">
        <v>1.0669999999999999</v>
      </c>
      <c r="AW138">
        <v>1.081</v>
      </c>
      <c r="AZ138">
        <v>1</v>
      </c>
      <c r="BA138">
        <v>34.51</v>
      </c>
      <c r="BB138">
        <v>12.19</v>
      </c>
      <c r="BC138">
        <v>17.38</v>
      </c>
      <c r="BD138" t="s">
        <v>3</v>
      </c>
      <c r="BE138" t="s">
        <v>3</v>
      </c>
      <c r="BF138" t="s">
        <v>3</v>
      </c>
      <c r="BG138" t="s">
        <v>3</v>
      </c>
      <c r="BH138">
        <v>0</v>
      </c>
      <c r="BI138">
        <v>2</v>
      </c>
      <c r="BJ138" t="s">
        <v>211</v>
      </c>
      <c r="BM138">
        <v>318</v>
      </c>
      <c r="BN138">
        <v>0</v>
      </c>
      <c r="BO138" t="s">
        <v>209</v>
      </c>
      <c r="BP138">
        <v>1</v>
      </c>
      <c r="BQ138">
        <v>40</v>
      </c>
      <c r="BR138">
        <v>0</v>
      </c>
      <c r="BS138">
        <v>34.51</v>
      </c>
      <c r="BT138">
        <v>1</v>
      </c>
      <c r="BU138">
        <v>1</v>
      </c>
      <c r="BV138">
        <v>1</v>
      </c>
      <c r="BW138">
        <v>1</v>
      </c>
      <c r="BX138">
        <v>1</v>
      </c>
      <c r="BY138" t="s">
        <v>3</v>
      </c>
      <c r="BZ138">
        <v>92</v>
      </c>
      <c r="CA138">
        <v>43</v>
      </c>
      <c r="CB138" t="s">
        <v>3</v>
      </c>
      <c r="CE138">
        <v>30</v>
      </c>
      <c r="CF138">
        <v>0</v>
      </c>
      <c r="CG138">
        <v>0</v>
      </c>
      <c r="CM138">
        <v>0</v>
      </c>
      <c r="CN138" t="s">
        <v>671</v>
      </c>
      <c r="CO138">
        <v>0</v>
      </c>
      <c r="CP138">
        <f t="shared" si="133"/>
        <v>0</v>
      </c>
      <c r="CQ138">
        <f t="shared" si="134"/>
        <v>994.66</v>
      </c>
      <c r="CR138">
        <f t="shared" si="135"/>
        <v>2123.62</v>
      </c>
      <c r="CS138">
        <f t="shared" si="136"/>
        <v>761.64</v>
      </c>
      <c r="CT138">
        <f t="shared" si="137"/>
        <v>12375.63</v>
      </c>
      <c r="CU138">
        <f t="shared" si="138"/>
        <v>0</v>
      </c>
      <c r="CV138">
        <f t="shared" si="139"/>
        <v>29.107760000000003</v>
      </c>
      <c r="CW138">
        <f t="shared" si="140"/>
        <v>0</v>
      </c>
      <c r="CX138">
        <f t="shared" si="141"/>
        <v>0</v>
      </c>
      <c r="CY138">
        <f>S138*(BZ138/100)</f>
        <v>0</v>
      </c>
      <c r="CZ138">
        <f>S138*(CA138/100)</f>
        <v>0</v>
      </c>
      <c r="DC138" t="s">
        <v>3</v>
      </c>
      <c r="DD138" t="s">
        <v>3</v>
      </c>
      <c r="DE138" t="s">
        <v>22</v>
      </c>
      <c r="DF138" t="s">
        <v>22</v>
      </c>
      <c r="DG138" t="s">
        <v>22</v>
      </c>
      <c r="DH138" t="s">
        <v>3</v>
      </c>
      <c r="DI138" t="s">
        <v>22</v>
      </c>
      <c r="DJ138" t="s">
        <v>22</v>
      </c>
      <c r="DK138" t="s">
        <v>3</v>
      </c>
      <c r="DL138" t="s">
        <v>3</v>
      </c>
      <c r="DM138" t="s">
        <v>3</v>
      </c>
      <c r="DN138">
        <v>112</v>
      </c>
      <c r="DO138">
        <v>70</v>
      </c>
      <c r="DP138">
        <v>1.0669999999999999</v>
      </c>
      <c r="DQ138">
        <v>1.081</v>
      </c>
      <c r="DU138">
        <v>1013</v>
      </c>
      <c r="DV138" t="s">
        <v>164</v>
      </c>
      <c r="DW138" t="s">
        <v>164</v>
      </c>
      <c r="DX138">
        <v>1</v>
      </c>
      <c r="DZ138" t="s">
        <v>3</v>
      </c>
      <c r="EA138" t="s">
        <v>3</v>
      </c>
      <c r="EB138" t="s">
        <v>3</v>
      </c>
      <c r="EC138" t="s">
        <v>3</v>
      </c>
      <c r="EE138">
        <v>51696357</v>
      </c>
      <c r="EF138">
        <v>40</v>
      </c>
      <c r="EG138" t="s">
        <v>166</v>
      </c>
      <c r="EH138">
        <v>0</v>
      </c>
      <c r="EI138" t="s">
        <v>3</v>
      </c>
      <c r="EJ138">
        <v>2</v>
      </c>
      <c r="EK138">
        <v>318</v>
      </c>
      <c r="EL138" t="s">
        <v>167</v>
      </c>
      <c r="EM138" t="s">
        <v>168</v>
      </c>
      <c r="EO138" t="s">
        <v>25</v>
      </c>
      <c r="EQ138">
        <v>131072</v>
      </c>
      <c r="ER138">
        <v>506.91</v>
      </c>
      <c r="ES138">
        <v>52.94</v>
      </c>
      <c r="ET138">
        <v>148.43</v>
      </c>
      <c r="EU138">
        <v>18.8</v>
      </c>
      <c r="EV138">
        <v>305.54000000000002</v>
      </c>
      <c r="EW138">
        <v>24.8</v>
      </c>
      <c r="EX138">
        <v>0</v>
      </c>
      <c r="EY138">
        <v>0</v>
      </c>
      <c r="FQ138">
        <v>0</v>
      </c>
      <c r="FR138">
        <v>0</v>
      </c>
      <c r="FS138">
        <v>0</v>
      </c>
      <c r="FX138">
        <v>112</v>
      </c>
      <c r="FY138">
        <v>70</v>
      </c>
      <c r="GA138" t="s">
        <v>3</v>
      </c>
      <c r="GD138">
        <v>0</v>
      </c>
      <c r="GF138">
        <v>458543560</v>
      </c>
      <c r="GG138">
        <v>2</v>
      </c>
      <c r="GH138">
        <v>1</v>
      </c>
      <c r="GI138">
        <v>2</v>
      </c>
      <c r="GJ138">
        <v>0</v>
      </c>
      <c r="GK138">
        <f>ROUND(R138*(S12)/100,2)</f>
        <v>0</v>
      </c>
      <c r="GL138">
        <f t="shared" si="142"/>
        <v>0</v>
      </c>
      <c r="GM138">
        <f t="shared" si="143"/>
        <v>0</v>
      </c>
      <c r="GN138">
        <f t="shared" si="144"/>
        <v>0</v>
      </c>
      <c r="GO138">
        <f t="shared" si="145"/>
        <v>0</v>
      </c>
      <c r="GP138">
        <f t="shared" si="146"/>
        <v>0</v>
      </c>
      <c r="GR138">
        <v>0</v>
      </c>
      <c r="GS138">
        <v>3</v>
      </c>
      <c r="GT138">
        <v>0</v>
      </c>
      <c r="GU138" t="s">
        <v>3</v>
      </c>
      <c r="GV138">
        <f t="shared" si="147"/>
        <v>0</v>
      </c>
      <c r="GW138">
        <v>1</v>
      </c>
      <c r="GX138">
        <f t="shared" si="148"/>
        <v>0</v>
      </c>
      <c r="HA138">
        <v>0</v>
      </c>
      <c r="HB138">
        <v>0</v>
      </c>
      <c r="HC138">
        <f t="shared" si="149"/>
        <v>0</v>
      </c>
      <c r="HE138" t="s">
        <v>3</v>
      </c>
      <c r="HF138" t="s">
        <v>3</v>
      </c>
      <c r="HM138" t="s">
        <v>3</v>
      </c>
      <c r="HN138" t="s">
        <v>3</v>
      </c>
      <c r="HO138" t="s">
        <v>3</v>
      </c>
      <c r="HP138" t="s">
        <v>3</v>
      </c>
      <c r="HQ138" t="s">
        <v>3</v>
      </c>
      <c r="HS138">
        <v>0</v>
      </c>
      <c r="IK138">
        <v>0</v>
      </c>
    </row>
    <row r="139" spans="1:255" x14ac:dyDescent="0.2">
      <c r="A139" s="2">
        <v>17</v>
      </c>
      <c r="B139" s="2">
        <v>1</v>
      </c>
      <c r="C139" s="2">
        <f>ROW(SmtRes!A119)</f>
        <v>119</v>
      </c>
      <c r="D139" s="2">
        <f>ROW(EtalonRes!A591)</f>
        <v>591</v>
      </c>
      <c r="E139" s="2" t="s">
        <v>216</v>
      </c>
      <c r="F139" s="2" t="s">
        <v>209</v>
      </c>
      <c r="G139" s="2" t="s">
        <v>215</v>
      </c>
      <c r="H139" s="2" t="s">
        <v>164</v>
      </c>
      <c r="I139" s="2">
        <v>0</v>
      </c>
      <c r="J139" s="2">
        <v>0</v>
      </c>
      <c r="K139" s="2">
        <v>0</v>
      </c>
      <c r="L139" s="2"/>
      <c r="M139" s="2"/>
      <c r="N139" s="2"/>
      <c r="O139" s="2">
        <f t="shared" si="113"/>
        <v>0</v>
      </c>
      <c r="P139" s="2">
        <f t="shared" si="114"/>
        <v>0</v>
      </c>
      <c r="Q139" s="2">
        <f t="shared" si="115"/>
        <v>0</v>
      </c>
      <c r="R139" s="2">
        <f t="shared" si="116"/>
        <v>0</v>
      </c>
      <c r="S139" s="2">
        <f t="shared" si="117"/>
        <v>0</v>
      </c>
      <c r="T139" s="2">
        <f t="shared" si="118"/>
        <v>0</v>
      </c>
      <c r="U139" s="2">
        <f t="shared" si="119"/>
        <v>0</v>
      </c>
      <c r="V139" s="2">
        <f t="shared" si="120"/>
        <v>0</v>
      </c>
      <c r="W139" s="2">
        <f t="shared" si="121"/>
        <v>0</v>
      </c>
      <c r="X139" s="2">
        <f t="shared" si="122"/>
        <v>0</v>
      </c>
      <c r="Y139" s="2">
        <f t="shared" si="123"/>
        <v>0</v>
      </c>
      <c r="Z139" s="2"/>
      <c r="AA139" s="2">
        <v>56622586</v>
      </c>
      <c r="AB139" s="2">
        <f t="shared" si="124"/>
        <v>552.30700000000002</v>
      </c>
      <c r="AC139" s="2">
        <f t="shared" si="125"/>
        <v>52.94</v>
      </c>
      <c r="AD139" s="2">
        <f t="shared" si="126"/>
        <v>163.273</v>
      </c>
      <c r="AE139" s="2">
        <f t="shared" si="127"/>
        <v>20.68</v>
      </c>
      <c r="AF139" s="2">
        <f t="shared" si="128"/>
        <v>336.09399999999999</v>
      </c>
      <c r="AG139" s="2">
        <f t="shared" si="129"/>
        <v>0</v>
      </c>
      <c r="AH139" s="2">
        <f t="shared" si="130"/>
        <v>27.280000000000005</v>
      </c>
      <c r="AI139" s="2">
        <f t="shared" si="131"/>
        <v>0</v>
      </c>
      <c r="AJ139" s="2">
        <f t="shared" si="132"/>
        <v>0</v>
      </c>
      <c r="AK139" s="2">
        <v>506.91</v>
      </c>
      <c r="AL139" s="2">
        <v>52.94</v>
      </c>
      <c r="AM139" s="2">
        <v>148.43</v>
      </c>
      <c r="AN139" s="2">
        <v>18.8</v>
      </c>
      <c r="AO139" s="2">
        <v>305.54000000000002</v>
      </c>
      <c r="AP139" s="2">
        <v>0</v>
      </c>
      <c r="AQ139" s="2">
        <v>24.8</v>
      </c>
      <c r="AR139" s="2">
        <v>0</v>
      </c>
      <c r="AS139" s="2">
        <v>0</v>
      </c>
      <c r="AT139" s="2">
        <v>112</v>
      </c>
      <c r="AU139" s="2">
        <v>70</v>
      </c>
      <c r="AV139" s="2">
        <v>1.0669999999999999</v>
      </c>
      <c r="AW139" s="2">
        <v>1.081</v>
      </c>
      <c r="AX139" s="2"/>
      <c r="AY139" s="2"/>
      <c r="AZ139" s="2">
        <v>1</v>
      </c>
      <c r="BA139" s="2">
        <v>1</v>
      </c>
      <c r="BB139" s="2">
        <v>1</v>
      </c>
      <c r="BC139" s="2">
        <v>1</v>
      </c>
      <c r="BD139" s="2" t="s">
        <v>3</v>
      </c>
      <c r="BE139" s="2" t="s">
        <v>3</v>
      </c>
      <c r="BF139" s="2" t="s">
        <v>3</v>
      </c>
      <c r="BG139" s="2" t="s">
        <v>3</v>
      </c>
      <c r="BH139" s="2">
        <v>0</v>
      </c>
      <c r="BI139" s="2">
        <v>2</v>
      </c>
      <c r="BJ139" s="2" t="s">
        <v>211</v>
      </c>
      <c r="BK139" s="2"/>
      <c r="BL139" s="2"/>
      <c r="BM139" s="2">
        <v>318</v>
      </c>
      <c r="BN139" s="2">
        <v>0</v>
      </c>
      <c r="BO139" s="2" t="s">
        <v>3</v>
      </c>
      <c r="BP139" s="2">
        <v>0</v>
      </c>
      <c r="BQ139" s="2">
        <v>40</v>
      </c>
      <c r="BR139" s="2">
        <v>0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 t="s">
        <v>3</v>
      </c>
      <c r="BZ139" s="2">
        <v>112</v>
      </c>
      <c r="CA139" s="2">
        <v>70</v>
      </c>
      <c r="CB139" s="2" t="s">
        <v>3</v>
      </c>
      <c r="CC139" s="2"/>
      <c r="CD139" s="2"/>
      <c r="CE139" s="2">
        <v>30</v>
      </c>
      <c r="CF139" s="2">
        <v>0</v>
      </c>
      <c r="CG139" s="2">
        <v>0</v>
      </c>
      <c r="CH139" s="2"/>
      <c r="CI139" s="2"/>
      <c r="CJ139" s="2"/>
      <c r="CK139" s="2"/>
      <c r="CL139" s="2"/>
      <c r="CM139" s="2">
        <v>0</v>
      </c>
      <c r="CN139" s="2" t="s">
        <v>671</v>
      </c>
      <c r="CO139" s="2">
        <v>0</v>
      </c>
      <c r="CP139" s="2">
        <f t="shared" si="133"/>
        <v>0</v>
      </c>
      <c r="CQ139" s="2">
        <f t="shared" si="134"/>
        <v>57.23</v>
      </c>
      <c r="CR139" s="2">
        <f t="shared" si="135"/>
        <v>174.21</v>
      </c>
      <c r="CS139" s="2">
        <f t="shared" si="136"/>
        <v>22.07</v>
      </c>
      <c r="CT139" s="2">
        <f t="shared" si="137"/>
        <v>358.61</v>
      </c>
      <c r="CU139" s="2">
        <f t="shared" si="138"/>
        <v>0</v>
      </c>
      <c r="CV139" s="2">
        <f t="shared" si="139"/>
        <v>29.107760000000003</v>
      </c>
      <c r="CW139" s="2">
        <f t="shared" si="140"/>
        <v>0</v>
      </c>
      <c r="CX139" s="2">
        <f t="shared" si="141"/>
        <v>0</v>
      </c>
      <c r="CY139" s="2">
        <f>((S139*BZ139)/100)</f>
        <v>0</v>
      </c>
      <c r="CZ139" s="2">
        <f>((S139*CA139)/100)</f>
        <v>0</v>
      </c>
      <c r="DA139" s="2"/>
      <c r="DB139" s="2"/>
      <c r="DC139" s="2" t="s">
        <v>3</v>
      </c>
      <c r="DD139" s="2" t="s">
        <v>3</v>
      </c>
      <c r="DE139" s="2" t="s">
        <v>22</v>
      </c>
      <c r="DF139" s="2" t="s">
        <v>22</v>
      </c>
      <c r="DG139" s="2" t="s">
        <v>22</v>
      </c>
      <c r="DH139" s="2" t="s">
        <v>3</v>
      </c>
      <c r="DI139" s="2" t="s">
        <v>22</v>
      </c>
      <c r="DJ139" s="2" t="s">
        <v>22</v>
      </c>
      <c r="DK139" s="2" t="s">
        <v>3</v>
      </c>
      <c r="DL139" s="2" t="s">
        <v>3</v>
      </c>
      <c r="DM139" s="2" t="s">
        <v>3</v>
      </c>
      <c r="DN139" s="2">
        <v>0</v>
      </c>
      <c r="DO139" s="2">
        <v>0</v>
      </c>
      <c r="DP139" s="2">
        <v>1</v>
      </c>
      <c r="DQ139" s="2">
        <v>1</v>
      </c>
      <c r="DR139" s="2"/>
      <c r="DS139" s="2"/>
      <c r="DT139" s="2"/>
      <c r="DU139" s="2">
        <v>1013</v>
      </c>
      <c r="DV139" s="2" t="s">
        <v>164</v>
      </c>
      <c r="DW139" s="2" t="s">
        <v>164</v>
      </c>
      <c r="DX139" s="2">
        <v>1</v>
      </c>
      <c r="DY139" s="2"/>
      <c r="DZ139" s="2" t="s">
        <v>3</v>
      </c>
      <c r="EA139" s="2" t="s">
        <v>3</v>
      </c>
      <c r="EB139" s="2" t="s">
        <v>3</v>
      </c>
      <c r="EC139" s="2" t="s">
        <v>3</v>
      </c>
      <c r="ED139" s="2"/>
      <c r="EE139" s="2">
        <v>51696357</v>
      </c>
      <c r="EF139" s="2">
        <v>40</v>
      </c>
      <c r="EG139" s="2" t="s">
        <v>166</v>
      </c>
      <c r="EH139" s="2">
        <v>0</v>
      </c>
      <c r="EI139" s="2" t="s">
        <v>3</v>
      </c>
      <c r="EJ139" s="2">
        <v>2</v>
      </c>
      <c r="EK139" s="2">
        <v>318</v>
      </c>
      <c r="EL139" s="2" t="s">
        <v>167</v>
      </c>
      <c r="EM139" s="2" t="s">
        <v>168</v>
      </c>
      <c r="EN139" s="2"/>
      <c r="EO139" s="2" t="s">
        <v>25</v>
      </c>
      <c r="EP139" s="2"/>
      <c r="EQ139" s="2">
        <v>131072</v>
      </c>
      <c r="ER139" s="2">
        <v>506.91</v>
      </c>
      <c r="ES139" s="2">
        <v>52.94</v>
      </c>
      <c r="ET139" s="2">
        <v>148.43</v>
      </c>
      <c r="EU139" s="2">
        <v>18.8</v>
      </c>
      <c r="EV139" s="2">
        <v>305.54000000000002</v>
      </c>
      <c r="EW139" s="2">
        <v>24.8</v>
      </c>
      <c r="EX139" s="2">
        <v>0</v>
      </c>
      <c r="EY139" s="2">
        <v>0</v>
      </c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>
        <v>0</v>
      </c>
      <c r="FR139" s="2">
        <v>0</v>
      </c>
      <c r="FS139" s="2">
        <v>0</v>
      </c>
      <c r="FT139" s="2"/>
      <c r="FU139" s="2"/>
      <c r="FV139" s="2"/>
      <c r="FW139" s="2"/>
      <c r="FX139" s="2">
        <v>112</v>
      </c>
      <c r="FY139" s="2">
        <v>70</v>
      </c>
      <c r="FZ139" s="2"/>
      <c r="GA139" s="2" t="s">
        <v>3</v>
      </c>
      <c r="GB139" s="2"/>
      <c r="GC139" s="2"/>
      <c r="GD139" s="2">
        <v>0</v>
      </c>
      <c r="GE139" s="2"/>
      <c r="GF139" s="2">
        <v>458543560</v>
      </c>
      <c r="GG139" s="2">
        <v>2</v>
      </c>
      <c r="GH139" s="2">
        <v>1</v>
      </c>
      <c r="GI139" s="2">
        <v>-2</v>
      </c>
      <c r="GJ139" s="2">
        <v>0</v>
      </c>
      <c r="GK139" s="2">
        <f>ROUND(R139*(R12)/100,2)</f>
        <v>0</v>
      </c>
      <c r="GL139" s="2">
        <f t="shared" si="142"/>
        <v>0</v>
      </c>
      <c r="GM139" s="2">
        <f t="shared" si="143"/>
        <v>0</v>
      </c>
      <c r="GN139" s="2">
        <f t="shared" si="144"/>
        <v>0</v>
      </c>
      <c r="GO139" s="2">
        <f t="shared" si="145"/>
        <v>0</v>
      </c>
      <c r="GP139" s="2">
        <f t="shared" si="146"/>
        <v>0</v>
      </c>
      <c r="GQ139" s="2"/>
      <c r="GR139" s="2">
        <v>0</v>
      </c>
      <c r="GS139" s="2">
        <v>0</v>
      </c>
      <c r="GT139" s="2">
        <v>0</v>
      </c>
      <c r="GU139" s="2" t="s">
        <v>3</v>
      </c>
      <c r="GV139" s="2">
        <f t="shared" si="147"/>
        <v>0</v>
      </c>
      <c r="GW139" s="2">
        <v>1</v>
      </c>
      <c r="GX139" s="2">
        <f t="shared" si="148"/>
        <v>0</v>
      </c>
      <c r="GY139" s="2"/>
      <c r="GZ139" s="2"/>
      <c r="HA139" s="2">
        <v>0</v>
      </c>
      <c r="HB139" s="2">
        <v>0</v>
      </c>
      <c r="HC139" s="2">
        <f t="shared" si="149"/>
        <v>0</v>
      </c>
      <c r="HD139" s="2"/>
      <c r="HE139" s="2" t="s">
        <v>3</v>
      </c>
      <c r="HF139" s="2" t="s">
        <v>3</v>
      </c>
      <c r="HG139" s="2"/>
      <c r="HH139" s="2"/>
      <c r="HI139" s="2"/>
      <c r="HJ139" s="2"/>
      <c r="HK139" s="2"/>
      <c r="HL139" s="2"/>
      <c r="HM139" s="2" t="s">
        <v>3</v>
      </c>
      <c r="HN139" s="2" t="s">
        <v>3</v>
      </c>
      <c r="HO139" s="2" t="s">
        <v>3</v>
      </c>
      <c r="HP139" s="2" t="s">
        <v>3</v>
      </c>
      <c r="HQ139" s="2" t="s">
        <v>3</v>
      </c>
      <c r="HR139" s="2"/>
      <c r="HS139" s="2">
        <v>0</v>
      </c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>
        <v>0</v>
      </c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x14ac:dyDescent="0.2">
      <c r="A140">
        <v>17</v>
      </c>
      <c r="B140">
        <v>1</v>
      </c>
      <c r="C140">
        <f>ROW(SmtRes!A120)</f>
        <v>120</v>
      </c>
      <c r="D140">
        <f>ROW(EtalonRes!A604)</f>
        <v>604</v>
      </c>
      <c r="E140" t="s">
        <v>216</v>
      </c>
      <c r="F140" t="s">
        <v>209</v>
      </c>
      <c r="G140" t="s">
        <v>215</v>
      </c>
      <c r="H140" t="s">
        <v>164</v>
      </c>
      <c r="I140">
        <v>0</v>
      </c>
      <c r="J140">
        <v>0</v>
      </c>
      <c r="K140">
        <v>0</v>
      </c>
      <c r="O140">
        <f t="shared" si="113"/>
        <v>0</v>
      </c>
      <c r="P140">
        <f t="shared" si="114"/>
        <v>0</v>
      </c>
      <c r="Q140">
        <f t="shared" si="115"/>
        <v>0</v>
      </c>
      <c r="R140">
        <f t="shared" si="116"/>
        <v>0</v>
      </c>
      <c r="S140">
        <f t="shared" si="117"/>
        <v>0</v>
      </c>
      <c r="T140">
        <f t="shared" si="118"/>
        <v>0</v>
      </c>
      <c r="U140">
        <f t="shared" si="119"/>
        <v>0</v>
      </c>
      <c r="V140">
        <f t="shared" si="120"/>
        <v>0</v>
      </c>
      <c r="W140">
        <f t="shared" si="121"/>
        <v>0</v>
      </c>
      <c r="X140">
        <f t="shared" si="122"/>
        <v>0</v>
      </c>
      <c r="Y140">
        <f t="shared" si="123"/>
        <v>0</v>
      </c>
      <c r="AA140">
        <v>56616093</v>
      </c>
      <c r="AB140">
        <f t="shared" si="124"/>
        <v>552.30700000000002</v>
      </c>
      <c r="AC140">
        <f t="shared" si="125"/>
        <v>52.94</v>
      </c>
      <c r="AD140">
        <f t="shared" si="126"/>
        <v>163.273</v>
      </c>
      <c r="AE140">
        <f t="shared" si="127"/>
        <v>20.68</v>
      </c>
      <c r="AF140">
        <f t="shared" si="128"/>
        <v>336.09399999999999</v>
      </c>
      <c r="AG140">
        <f t="shared" si="129"/>
        <v>0</v>
      </c>
      <c r="AH140">
        <f t="shared" si="130"/>
        <v>27.280000000000005</v>
      </c>
      <c r="AI140">
        <f t="shared" si="131"/>
        <v>0</v>
      </c>
      <c r="AJ140">
        <f t="shared" si="132"/>
        <v>0</v>
      </c>
      <c r="AK140">
        <v>506.91</v>
      </c>
      <c r="AL140">
        <v>52.94</v>
      </c>
      <c r="AM140">
        <v>148.43</v>
      </c>
      <c r="AN140">
        <v>18.8</v>
      </c>
      <c r="AO140">
        <v>305.54000000000002</v>
      </c>
      <c r="AP140">
        <v>0</v>
      </c>
      <c r="AQ140">
        <v>24.8</v>
      </c>
      <c r="AR140">
        <v>0</v>
      </c>
      <c r="AS140">
        <v>0</v>
      </c>
      <c r="AT140">
        <v>92</v>
      </c>
      <c r="AU140">
        <v>43</v>
      </c>
      <c r="AV140">
        <v>1.0669999999999999</v>
      </c>
      <c r="AW140">
        <v>1.081</v>
      </c>
      <c r="AZ140">
        <v>1</v>
      </c>
      <c r="BA140">
        <v>34.51</v>
      </c>
      <c r="BB140">
        <v>12.19</v>
      </c>
      <c r="BC140">
        <v>17.38</v>
      </c>
      <c r="BD140" t="s">
        <v>3</v>
      </c>
      <c r="BE140" t="s">
        <v>3</v>
      </c>
      <c r="BF140" t="s">
        <v>3</v>
      </c>
      <c r="BG140" t="s">
        <v>3</v>
      </c>
      <c r="BH140">
        <v>0</v>
      </c>
      <c r="BI140">
        <v>2</v>
      </c>
      <c r="BJ140" t="s">
        <v>211</v>
      </c>
      <c r="BM140">
        <v>318</v>
      </c>
      <c r="BN140">
        <v>0</v>
      </c>
      <c r="BO140" t="s">
        <v>209</v>
      </c>
      <c r="BP140">
        <v>1</v>
      </c>
      <c r="BQ140">
        <v>40</v>
      </c>
      <c r="BR140">
        <v>0</v>
      </c>
      <c r="BS140">
        <v>34.51</v>
      </c>
      <c r="BT140">
        <v>1</v>
      </c>
      <c r="BU140">
        <v>1</v>
      </c>
      <c r="BV140">
        <v>1</v>
      </c>
      <c r="BW140">
        <v>1</v>
      </c>
      <c r="BX140">
        <v>1</v>
      </c>
      <c r="BY140" t="s">
        <v>3</v>
      </c>
      <c r="BZ140">
        <v>92</v>
      </c>
      <c r="CA140">
        <v>43</v>
      </c>
      <c r="CB140" t="s">
        <v>3</v>
      </c>
      <c r="CE140">
        <v>30</v>
      </c>
      <c r="CF140">
        <v>0</v>
      </c>
      <c r="CG140">
        <v>0</v>
      </c>
      <c r="CM140">
        <v>0</v>
      </c>
      <c r="CN140" t="s">
        <v>671</v>
      </c>
      <c r="CO140">
        <v>0</v>
      </c>
      <c r="CP140">
        <f t="shared" si="133"/>
        <v>0</v>
      </c>
      <c r="CQ140">
        <f t="shared" si="134"/>
        <v>994.66</v>
      </c>
      <c r="CR140">
        <f t="shared" si="135"/>
        <v>2123.62</v>
      </c>
      <c r="CS140">
        <f t="shared" si="136"/>
        <v>761.64</v>
      </c>
      <c r="CT140">
        <f t="shared" si="137"/>
        <v>12375.63</v>
      </c>
      <c r="CU140">
        <f t="shared" si="138"/>
        <v>0</v>
      </c>
      <c r="CV140">
        <f t="shared" si="139"/>
        <v>29.107760000000003</v>
      </c>
      <c r="CW140">
        <f t="shared" si="140"/>
        <v>0</v>
      </c>
      <c r="CX140">
        <f t="shared" si="141"/>
        <v>0</v>
      </c>
      <c r="CY140">
        <f>S140*(BZ140/100)</f>
        <v>0</v>
      </c>
      <c r="CZ140">
        <f>S140*(CA140/100)</f>
        <v>0</v>
      </c>
      <c r="DC140" t="s">
        <v>3</v>
      </c>
      <c r="DD140" t="s">
        <v>3</v>
      </c>
      <c r="DE140" t="s">
        <v>22</v>
      </c>
      <c r="DF140" t="s">
        <v>22</v>
      </c>
      <c r="DG140" t="s">
        <v>22</v>
      </c>
      <c r="DH140" t="s">
        <v>3</v>
      </c>
      <c r="DI140" t="s">
        <v>22</v>
      </c>
      <c r="DJ140" t="s">
        <v>22</v>
      </c>
      <c r="DK140" t="s">
        <v>3</v>
      </c>
      <c r="DL140" t="s">
        <v>3</v>
      </c>
      <c r="DM140" t="s">
        <v>3</v>
      </c>
      <c r="DN140">
        <v>112</v>
      </c>
      <c r="DO140">
        <v>70</v>
      </c>
      <c r="DP140">
        <v>1.0669999999999999</v>
      </c>
      <c r="DQ140">
        <v>1.081</v>
      </c>
      <c r="DU140">
        <v>1013</v>
      </c>
      <c r="DV140" t="s">
        <v>164</v>
      </c>
      <c r="DW140" t="s">
        <v>164</v>
      </c>
      <c r="DX140">
        <v>1</v>
      </c>
      <c r="DZ140" t="s">
        <v>3</v>
      </c>
      <c r="EA140" t="s">
        <v>3</v>
      </c>
      <c r="EB140" t="s">
        <v>3</v>
      </c>
      <c r="EC140" t="s">
        <v>3</v>
      </c>
      <c r="EE140">
        <v>51696357</v>
      </c>
      <c r="EF140">
        <v>40</v>
      </c>
      <c r="EG140" t="s">
        <v>166</v>
      </c>
      <c r="EH140">
        <v>0</v>
      </c>
      <c r="EI140" t="s">
        <v>3</v>
      </c>
      <c r="EJ140">
        <v>2</v>
      </c>
      <c r="EK140">
        <v>318</v>
      </c>
      <c r="EL140" t="s">
        <v>167</v>
      </c>
      <c r="EM140" t="s">
        <v>168</v>
      </c>
      <c r="EO140" t="s">
        <v>25</v>
      </c>
      <c r="EQ140">
        <v>131072</v>
      </c>
      <c r="ER140">
        <v>506.91</v>
      </c>
      <c r="ES140">
        <v>52.94</v>
      </c>
      <c r="ET140">
        <v>148.43</v>
      </c>
      <c r="EU140">
        <v>18.8</v>
      </c>
      <c r="EV140">
        <v>305.54000000000002</v>
      </c>
      <c r="EW140">
        <v>24.8</v>
      </c>
      <c r="EX140">
        <v>0</v>
      </c>
      <c r="EY140">
        <v>0</v>
      </c>
      <c r="FQ140">
        <v>0</v>
      </c>
      <c r="FR140">
        <v>0</v>
      </c>
      <c r="FS140">
        <v>0</v>
      </c>
      <c r="FX140">
        <v>112</v>
      </c>
      <c r="FY140">
        <v>70</v>
      </c>
      <c r="GA140" t="s">
        <v>3</v>
      </c>
      <c r="GD140">
        <v>0</v>
      </c>
      <c r="GF140">
        <v>458543560</v>
      </c>
      <c r="GG140">
        <v>2</v>
      </c>
      <c r="GH140">
        <v>1</v>
      </c>
      <c r="GI140">
        <v>2</v>
      </c>
      <c r="GJ140">
        <v>0</v>
      </c>
      <c r="GK140">
        <f>ROUND(R140*(S12)/100,2)</f>
        <v>0</v>
      </c>
      <c r="GL140">
        <f t="shared" si="142"/>
        <v>0</v>
      </c>
      <c r="GM140">
        <f t="shared" si="143"/>
        <v>0</v>
      </c>
      <c r="GN140">
        <f t="shared" si="144"/>
        <v>0</v>
      </c>
      <c r="GO140">
        <f t="shared" si="145"/>
        <v>0</v>
      </c>
      <c r="GP140">
        <f t="shared" si="146"/>
        <v>0</v>
      </c>
      <c r="GR140">
        <v>0</v>
      </c>
      <c r="GS140">
        <v>3</v>
      </c>
      <c r="GT140">
        <v>0</v>
      </c>
      <c r="GU140" t="s">
        <v>3</v>
      </c>
      <c r="GV140">
        <f t="shared" si="147"/>
        <v>0</v>
      </c>
      <c r="GW140">
        <v>1</v>
      </c>
      <c r="GX140">
        <f t="shared" si="148"/>
        <v>0</v>
      </c>
      <c r="HA140">
        <v>0</v>
      </c>
      <c r="HB140">
        <v>0</v>
      </c>
      <c r="HC140">
        <f t="shared" si="149"/>
        <v>0</v>
      </c>
      <c r="HE140" t="s">
        <v>3</v>
      </c>
      <c r="HF140" t="s">
        <v>3</v>
      </c>
      <c r="HM140" t="s">
        <v>3</v>
      </c>
      <c r="HN140" t="s">
        <v>3</v>
      </c>
      <c r="HO140" t="s">
        <v>3</v>
      </c>
      <c r="HP140" t="s">
        <v>3</v>
      </c>
      <c r="HQ140" t="s">
        <v>3</v>
      </c>
      <c r="HS140">
        <v>0</v>
      </c>
      <c r="IK140">
        <v>0</v>
      </c>
    </row>
    <row r="141" spans="1:255" x14ac:dyDescent="0.2">
      <c r="A141" s="2">
        <v>17</v>
      </c>
      <c r="B141" s="2">
        <v>1</v>
      </c>
      <c r="C141" s="2">
        <f>ROW(SmtRes!A121)</f>
        <v>121</v>
      </c>
      <c r="D141" s="2">
        <f>ROW(EtalonRes!A617)</f>
        <v>617</v>
      </c>
      <c r="E141" s="2" t="s">
        <v>217</v>
      </c>
      <c r="F141" s="2" t="s">
        <v>209</v>
      </c>
      <c r="G141" s="2" t="s">
        <v>218</v>
      </c>
      <c r="H141" s="2" t="s">
        <v>164</v>
      </c>
      <c r="I141" s="2">
        <v>0</v>
      </c>
      <c r="J141" s="2">
        <v>0</v>
      </c>
      <c r="K141" s="2">
        <v>0</v>
      </c>
      <c r="L141" s="2"/>
      <c r="M141" s="2"/>
      <c r="N141" s="2"/>
      <c r="O141" s="2">
        <f t="shared" si="113"/>
        <v>0</v>
      </c>
      <c r="P141" s="2">
        <f t="shared" si="114"/>
        <v>0</v>
      </c>
      <c r="Q141" s="2">
        <f t="shared" si="115"/>
        <v>0</v>
      </c>
      <c r="R141" s="2">
        <f t="shared" si="116"/>
        <v>0</v>
      </c>
      <c r="S141" s="2">
        <f t="shared" si="117"/>
        <v>0</v>
      </c>
      <c r="T141" s="2">
        <f t="shared" si="118"/>
        <v>0</v>
      </c>
      <c r="U141" s="2">
        <f t="shared" si="119"/>
        <v>0</v>
      </c>
      <c r="V141" s="2">
        <f t="shared" si="120"/>
        <v>0</v>
      </c>
      <c r="W141" s="2">
        <f t="shared" si="121"/>
        <v>0</v>
      </c>
      <c r="X141" s="2">
        <f t="shared" si="122"/>
        <v>0</v>
      </c>
      <c r="Y141" s="2">
        <f t="shared" si="123"/>
        <v>0</v>
      </c>
      <c r="Z141" s="2"/>
      <c r="AA141" s="2">
        <v>56622586</v>
      </c>
      <c r="AB141" s="2">
        <f t="shared" si="124"/>
        <v>552.30700000000002</v>
      </c>
      <c r="AC141" s="2">
        <f t="shared" si="125"/>
        <v>52.94</v>
      </c>
      <c r="AD141" s="2">
        <f t="shared" si="126"/>
        <v>163.273</v>
      </c>
      <c r="AE141" s="2">
        <f t="shared" si="127"/>
        <v>20.68</v>
      </c>
      <c r="AF141" s="2">
        <f t="shared" si="128"/>
        <v>336.09399999999999</v>
      </c>
      <c r="AG141" s="2">
        <f t="shared" si="129"/>
        <v>0</v>
      </c>
      <c r="AH141" s="2">
        <f t="shared" si="130"/>
        <v>27.280000000000005</v>
      </c>
      <c r="AI141" s="2">
        <f t="shared" si="131"/>
        <v>0</v>
      </c>
      <c r="AJ141" s="2">
        <f t="shared" si="132"/>
        <v>0</v>
      </c>
      <c r="AK141" s="2">
        <v>506.91</v>
      </c>
      <c r="AL141" s="2">
        <v>52.94</v>
      </c>
      <c r="AM141" s="2">
        <v>148.43</v>
      </c>
      <c r="AN141" s="2">
        <v>18.8</v>
      </c>
      <c r="AO141" s="2">
        <v>305.54000000000002</v>
      </c>
      <c r="AP141" s="2">
        <v>0</v>
      </c>
      <c r="AQ141" s="2">
        <v>24.8</v>
      </c>
      <c r="AR141" s="2">
        <v>0</v>
      </c>
      <c r="AS141" s="2">
        <v>0</v>
      </c>
      <c r="AT141" s="2">
        <v>112</v>
      </c>
      <c r="AU141" s="2">
        <v>70</v>
      </c>
      <c r="AV141" s="2">
        <v>1.0669999999999999</v>
      </c>
      <c r="AW141" s="2">
        <v>1.081</v>
      </c>
      <c r="AX141" s="2"/>
      <c r="AY141" s="2"/>
      <c r="AZ141" s="2">
        <v>1</v>
      </c>
      <c r="BA141" s="2">
        <v>1</v>
      </c>
      <c r="BB141" s="2">
        <v>1</v>
      </c>
      <c r="BC141" s="2">
        <v>1</v>
      </c>
      <c r="BD141" s="2" t="s">
        <v>3</v>
      </c>
      <c r="BE141" s="2" t="s">
        <v>3</v>
      </c>
      <c r="BF141" s="2" t="s">
        <v>3</v>
      </c>
      <c r="BG141" s="2" t="s">
        <v>3</v>
      </c>
      <c r="BH141" s="2">
        <v>0</v>
      </c>
      <c r="BI141" s="2">
        <v>2</v>
      </c>
      <c r="BJ141" s="2" t="s">
        <v>211</v>
      </c>
      <c r="BK141" s="2"/>
      <c r="BL141" s="2"/>
      <c r="BM141" s="2">
        <v>318</v>
      </c>
      <c r="BN141" s="2">
        <v>0</v>
      </c>
      <c r="BO141" s="2" t="s">
        <v>3</v>
      </c>
      <c r="BP141" s="2">
        <v>0</v>
      </c>
      <c r="BQ141" s="2">
        <v>40</v>
      </c>
      <c r="BR141" s="2">
        <v>0</v>
      </c>
      <c r="BS141" s="2">
        <v>1</v>
      </c>
      <c r="BT141" s="2">
        <v>1</v>
      </c>
      <c r="BU141" s="2">
        <v>1</v>
      </c>
      <c r="BV141" s="2">
        <v>1</v>
      </c>
      <c r="BW141" s="2">
        <v>1</v>
      </c>
      <c r="BX141" s="2">
        <v>1</v>
      </c>
      <c r="BY141" s="2" t="s">
        <v>3</v>
      </c>
      <c r="BZ141" s="2">
        <v>112</v>
      </c>
      <c r="CA141" s="2">
        <v>70</v>
      </c>
      <c r="CB141" s="2" t="s">
        <v>3</v>
      </c>
      <c r="CC141" s="2"/>
      <c r="CD141" s="2"/>
      <c r="CE141" s="2">
        <v>30</v>
      </c>
      <c r="CF141" s="2">
        <v>0</v>
      </c>
      <c r="CG141" s="2">
        <v>0</v>
      </c>
      <c r="CH141" s="2"/>
      <c r="CI141" s="2"/>
      <c r="CJ141" s="2"/>
      <c r="CK141" s="2"/>
      <c r="CL141" s="2"/>
      <c r="CM141" s="2">
        <v>0</v>
      </c>
      <c r="CN141" s="2" t="s">
        <v>671</v>
      </c>
      <c r="CO141" s="2">
        <v>0</v>
      </c>
      <c r="CP141" s="2">
        <f t="shared" si="133"/>
        <v>0</v>
      </c>
      <c r="CQ141" s="2">
        <f t="shared" si="134"/>
        <v>57.23</v>
      </c>
      <c r="CR141" s="2">
        <f t="shared" si="135"/>
        <v>174.21</v>
      </c>
      <c r="CS141" s="2">
        <f t="shared" si="136"/>
        <v>22.07</v>
      </c>
      <c r="CT141" s="2">
        <f t="shared" si="137"/>
        <v>358.61</v>
      </c>
      <c r="CU141" s="2">
        <f t="shared" si="138"/>
        <v>0</v>
      </c>
      <c r="CV141" s="2">
        <f t="shared" si="139"/>
        <v>29.107760000000003</v>
      </c>
      <c r="CW141" s="2">
        <f t="shared" si="140"/>
        <v>0</v>
      </c>
      <c r="CX141" s="2">
        <f t="shared" si="141"/>
        <v>0</v>
      </c>
      <c r="CY141" s="2">
        <f>((S141*BZ141)/100)</f>
        <v>0</v>
      </c>
      <c r="CZ141" s="2">
        <f>((S141*CA141)/100)</f>
        <v>0</v>
      </c>
      <c r="DA141" s="2"/>
      <c r="DB141" s="2"/>
      <c r="DC141" s="2" t="s">
        <v>3</v>
      </c>
      <c r="DD141" s="2" t="s">
        <v>3</v>
      </c>
      <c r="DE141" s="2" t="s">
        <v>22</v>
      </c>
      <c r="DF141" s="2" t="s">
        <v>22</v>
      </c>
      <c r="DG141" s="2" t="s">
        <v>22</v>
      </c>
      <c r="DH141" s="2" t="s">
        <v>3</v>
      </c>
      <c r="DI141" s="2" t="s">
        <v>22</v>
      </c>
      <c r="DJ141" s="2" t="s">
        <v>22</v>
      </c>
      <c r="DK141" s="2" t="s">
        <v>3</v>
      </c>
      <c r="DL141" s="2" t="s">
        <v>3</v>
      </c>
      <c r="DM141" s="2" t="s">
        <v>3</v>
      </c>
      <c r="DN141" s="2">
        <v>0</v>
      </c>
      <c r="DO141" s="2">
        <v>0</v>
      </c>
      <c r="DP141" s="2">
        <v>1</v>
      </c>
      <c r="DQ141" s="2">
        <v>1</v>
      </c>
      <c r="DR141" s="2"/>
      <c r="DS141" s="2"/>
      <c r="DT141" s="2"/>
      <c r="DU141" s="2">
        <v>1013</v>
      </c>
      <c r="DV141" s="2" t="s">
        <v>164</v>
      </c>
      <c r="DW141" s="2" t="s">
        <v>164</v>
      </c>
      <c r="DX141" s="2">
        <v>1</v>
      </c>
      <c r="DY141" s="2"/>
      <c r="DZ141" s="2" t="s">
        <v>3</v>
      </c>
      <c r="EA141" s="2" t="s">
        <v>3</v>
      </c>
      <c r="EB141" s="2" t="s">
        <v>3</v>
      </c>
      <c r="EC141" s="2" t="s">
        <v>3</v>
      </c>
      <c r="ED141" s="2"/>
      <c r="EE141" s="2">
        <v>51696357</v>
      </c>
      <c r="EF141" s="2">
        <v>40</v>
      </c>
      <c r="EG141" s="2" t="s">
        <v>166</v>
      </c>
      <c r="EH141" s="2">
        <v>0</v>
      </c>
      <c r="EI141" s="2" t="s">
        <v>3</v>
      </c>
      <c r="EJ141" s="2">
        <v>2</v>
      </c>
      <c r="EK141" s="2">
        <v>318</v>
      </c>
      <c r="EL141" s="2" t="s">
        <v>167</v>
      </c>
      <c r="EM141" s="2" t="s">
        <v>168</v>
      </c>
      <c r="EN141" s="2"/>
      <c r="EO141" s="2" t="s">
        <v>25</v>
      </c>
      <c r="EP141" s="2"/>
      <c r="EQ141" s="2">
        <v>131072</v>
      </c>
      <c r="ER141" s="2">
        <v>506.91</v>
      </c>
      <c r="ES141" s="2">
        <v>52.94</v>
      </c>
      <c r="ET141" s="2">
        <v>148.43</v>
      </c>
      <c r="EU141" s="2">
        <v>18.8</v>
      </c>
      <c r="EV141" s="2">
        <v>305.54000000000002</v>
      </c>
      <c r="EW141" s="2">
        <v>24.8</v>
      </c>
      <c r="EX141" s="2">
        <v>0</v>
      </c>
      <c r="EY141" s="2">
        <v>0</v>
      </c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>
        <v>0</v>
      </c>
      <c r="FR141" s="2">
        <v>0</v>
      </c>
      <c r="FS141" s="2">
        <v>0</v>
      </c>
      <c r="FT141" s="2"/>
      <c r="FU141" s="2"/>
      <c r="FV141" s="2"/>
      <c r="FW141" s="2"/>
      <c r="FX141" s="2">
        <v>112</v>
      </c>
      <c r="FY141" s="2">
        <v>70</v>
      </c>
      <c r="FZ141" s="2"/>
      <c r="GA141" s="2" t="s">
        <v>3</v>
      </c>
      <c r="GB141" s="2"/>
      <c r="GC141" s="2"/>
      <c r="GD141" s="2">
        <v>0</v>
      </c>
      <c r="GE141" s="2"/>
      <c r="GF141" s="2">
        <v>-1277062924</v>
      </c>
      <c r="GG141" s="2">
        <v>2</v>
      </c>
      <c r="GH141" s="2">
        <v>1</v>
      </c>
      <c r="GI141" s="2">
        <v>-2</v>
      </c>
      <c r="GJ141" s="2">
        <v>0</v>
      </c>
      <c r="GK141" s="2">
        <f>ROUND(R141*(R12)/100,2)</f>
        <v>0</v>
      </c>
      <c r="GL141" s="2">
        <f t="shared" si="142"/>
        <v>0</v>
      </c>
      <c r="GM141" s="2">
        <f t="shared" si="143"/>
        <v>0</v>
      </c>
      <c r="GN141" s="2">
        <f t="shared" si="144"/>
        <v>0</v>
      </c>
      <c r="GO141" s="2">
        <f t="shared" si="145"/>
        <v>0</v>
      </c>
      <c r="GP141" s="2">
        <f t="shared" si="146"/>
        <v>0</v>
      </c>
      <c r="GQ141" s="2"/>
      <c r="GR141" s="2">
        <v>0</v>
      </c>
      <c r="GS141" s="2">
        <v>0</v>
      </c>
      <c r="GT141" s="2">
        <v>0</v>
      </c>
      <c r="GU141" s="2" t="s">
        <v>3</v>
      </c>
      <c r="GV141" s="2">
        <f t="shared" si="147"/>
        <v>0</v>
      </c>
      <c r="GW141" s="2">
        <v>1</v>
      </c>
      <c r="GX141" s="2">
        <f t="shared" si="148"/>
        <v>0</v>
      </c>
      <c r="GY141" s="2"/>
      <c r="GZ141" s="2"/>
      <c r="HA141" s="2">
        <v>0</v>
      </c>
      <c r="HB141" s="2">
        <v>0</v>
      </c>
      <c r="HC141" s="2">
        <f t="shared" si="149"/>
        <v>0</v>
      </c>
      <c r="HD141" s="2"/>
      <c r="HE141" s="2" t="s">
        <v>3</v>
      </c>
      <c r="HF141" s="2" t="s">
        <v>3</v>
      </c>
      <c r="HG141" s="2"/>
      <c r="HH141" s="2"/>
      <c r="HI141" s="2"/>
      <c r="HJ141" s="2"/>
      <c r="HK141" s="2"/>
      <c r="HL141" s="2"/>
      <c r="HM141" s="2" t="s">
        <v>3</v>
      </c>
      <c r="HN141" s="2" t="s">
        <v>3</v>
      </c>
      <c r="HO141" s="2" t="s">
        <v>3</v>
      </c>
      <c r="HP141" s="2" t="s">
        <v>3</v>
      </c>
      <c r="HQ141" s="2" t="s">
        <v>3</v>
      </c>
      <c r="HR141" s="2"/>
      <c r="HS141" s="2">
        <v>0</v>
      </c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>
        <v>0</v>
      </c>
      <c r="IL141" s="2"/>
      <c r="IM141" s="2"/>
      <c r="IN141" s="2"/>
      <c r="IO141" s="2"/>
      <c r="IP141" s="2"/>
      <c r="IQ141" s="2"/>
      <c r="IR141" s="2"/>
      <c r="IS141" s="2"/>
      <c r="IT141" s="2"/>
      <c r="IU141" s="2"/>
    </row>
    <row r="142" spans="1:255" x14ac:dyDescent="0.2">
      <c r="A142">
        <v>17</v>
      </c>
      <c r="B142">
        <v>1</v>
      </c>
      <c r="C142">
        <f>ROW(SmtRes!A122)</f>
        <v>122</v>
      </c>
      <c r="D142">
        <f>ROW(EtalonRes!A630)</f>
        <v>630</v>
      </c>
      <c r="E142" t="s">
        <v>217</v>
      </c>
      <c r="F142" t="s">
        <v>209</v>
      </c>
      <c r="G142" t="s">
        <v>218</v>
      </c>
      <c r="H142" t="s">
        <v>164</v>
      </c>
      <c r="I142">
        <v>0</v>
      </c>
      <c r="J142">
        <v>0</v>
      </c>
      <c r="K142">
        <v>0</v>
      </c>
      <c r="O142">
        <f t="shared" si="113"/>
        <v>0</v>
      </c>
      <c r="P142">
        <f t="shared" si="114"/>
        <v>0</v>
      </c>
      <c r="Q142">
        <f t="shared" si="115"/>
        <v>0</v>
      </c>
      <c r="R142">
        <f t="shared" si="116"/>
        <v>0</v>
      </c>
      <c r="S142">
        <f t="shared" si="117"/>
        <v>0</v>
      </c>
      <c r="T142">
        <f t="shared" si="118"/>
        <v>0</v>
      </c>
      <c r="U142">
        <f t="shared" si="119"/>
        <v>0</v>
      </c>
      <c r="V142">
        <f t="shared" si="120"/>
        <v>0</v>
      </c>
      <c r="W142">
        <f t="shared" si="121"/>
        <v>0</v>
      </c>
      <c r="X142">
        <f t="shared" si="122"/>
        <v>0</v>
      </c>
      <c r="Y142">
        <f t="shared" si="123"/>
        <v>0</v>
      </c>
      <c r="AA142">
        <v>56616093</v>
      </c>
      <c r="AB142">
        <f t="shared" si="124"/>
        <v>552.30700000000002</v>
      </c>
      <c r="AC142">
        <f t="shared" si="125"/>
        <v>52.94</v>
      </c>
      <c r="AD142">
        <f t="shared" si="126"/>
        <v>163.273</v>
      </c>
      <c r="AE142">
        <f t="shared" si="127"/>
        <v>20.68</v>
      </c>
      <c r="AF142">
        <f t="shared" si="128"/>
        <v>336.09399999999999</v>
      </c>
      <c r="AG142">
        <f t="shared" si="129"/>
        <v>0</v>
      </c>
      <c r="AH142">
        <f t="shared" si="130"/>
        <v>27.280000000000005</v>
      </c>
      <c r="AI142">
        <f t="shared" si="131"/>
        <v>0</v>
      </c>
      <c r="AJ142">
        <f t="shared" si="132"/>
        <v>0</v>
      </c>
      <c r="AK142">
        <v>506.91</v>
      </c>
      <c r="AL142">
        <v>52.94</v>
      </c>
      <c r="AM142">
        <v>148.43</v>
      </c>
      <c r="AN142">
        <v>18.8</v>
      </c>
      <c r="AO142">
        <v>305.54000000000002</v>
      </c>
      <c r="AP142">
        <v>0</v>
      </c>
      <c r="AQ142">
        <v>24.8</v>
      </c>
      <c r="AR142">
        <v>0</v>
      </c>
      <c r="AS142">
        <v>0</v>
      </c>
      <c r="AT142">
        <v>92</v>
      </c>
      <c r="AU142">
        <v>43</v>
      </c>
      <c r="AV142">
        <v>1.0669999999999999</v>
      </c>
      <c r="AW142">
        <v>1.081</v>
      </c>
      <c r="AZ142">
        <v>1</v>
      </c>
      <c r="BA142">
        <v>34.51</v>
      </c>
      <c r="BB142">
        <v>12.19</v>
      </c>
      <c r="BC142">
        <v>17.38</v>
      </c>
      <c r="BD142" t="s">
        <v>3</v>
      </c>
      <c r="BE142" t="s">
        <v>3</v>
      </c>
      <c r="BF142" t="s">
        <v>3</v>
      </c>
      <c r="BG142" t="s">
        <v>3</v>
      </c>
      <c r="BH142">
        <v>0</v>
      </c>
      <c r="BI142">
        <v>2</v>
      </c>
      <c r="BJ142" t="s">
        <v>211</v>
      </c>
      <c r="BM142">
        <v>318</v>
      </c>
      <c r="BN142">
        <v>0</v>
      </c>
      <c r="BO142" t="s">
        <v>209</v>
      </c>
      <c r="BP142">
        <v>1</v>
      </c>
      <c r="BQ142">
        <v>40</v>
      </c>
      <c r="BR142">
        <v>0</v>
      </c>
      <c r="BS142">
        <v>34.51</v>
      </c>
      <c r="BT142">
        <v>1</v>
      </c>
      <c r="BU142">
        <v>1</v>
      </c>
      <c r="BV142">
        <v>1</v>
      </c>
      <c r="BW142">
        <v>1</v>
      </c>
      <c r="BX142">
        <v>1</v>
      </c>
      <c r="BY142" t="s">
        <v>3</v>
      </c>
      <c r="BZ142">
        <v>92</v>
      </c>
      <c r="CA142">
        <v>43</v>
      </c>
      <c r="CB142" t="s">
        <v>3</v>
      </c>
      <c r="CE142">
        <v>30</v>
      </c>
      <c r="CF142">
        <v>0</v>
      </c>
      <c r="CG142">
        <v>0</v>
      </c>
      <c r="CM142">
        <v>0</v>
      </c>
      <c r="CN142" t="s">
        <v>671</v>
      </c>
      <c r="CO142">
        <v>0</v>
      </c>
      <c r="CP142">
        <f t="shared" si="133"/>
        <v>0</v>
      </c>
      <c r="CQ142">
        <f t="shared" si="134"/>
        <v>994.66</v>
      </c>
      <c r="CR142">
        <f t="shared" si="135"/>
        <v>2123.62</v>
      </c>
      <c r="CS142">
        <f t="shared" si="136"/>
        <v>761.64</v>
      </c>
      <c r="CT142">
        <f t="shared" si="137"/>
        <v>12375.63</v>
      </c>
      <c r="CU142">
        <f t="shared" si="138"/>
        <v>0</v>
      </c>
      <c r="CV142">
        <f t="shared" si="139"/>
        <v>29.107760000000003</v>
      </c>
      <c r="CW142">
        <f t="shared" si="140"/>
        <v>0</v>
      </c>
      <c r="CX142">
        <f t="shared" si="141"/>
        <v>0</v>
      </c>
      <c r="CY142">
        <f>S142*(BZ142/100)</f>
        <v>0</v>
      </c>
      <c r="CZ142">
        <f>S142*(CA142/100)</f>
        <v>0</v>
      </c>
      <c r="DC142" t="s">
        <v>3</v>
      </c>
      <c r="DD142" t="s">
        <v>3</v>
      </c>
      <c r="DE142" t="s">
        <v>22</v>
      </c>
      <c r="DF142" t="s">
        <v>22</v>
      </c>
      <c r="DG142" t="s">
        <v>22</v>
      </c>
      <c r="DH142" t="s">
        <v>3</v>
      </c>
      <c r="DI142" t="s">
        <v>22</v>
      </c>
      <c r="DJ142" t="s">
        <v>22</v>
      </c>
      <c r="DK142" t="s">
        <v>3</v>
      </c>
      <c r="DL142" t="s">
        <v>3</v>
      </c>
      <c r="DM142" t="s">
        <v>3</v>
      </c>
      <c r="DN142">
        <v>112</v>
      </c>
      <c r="DO142">
        <v>70</v>
      </c>
      <c r="DP142">
        <v>1.0669999999999999</v>
      </c>
      <c r="DQ142">
        <v>1.081</v>
      </c>
      <c r="DU142">
        <v>1013</v>
      </c>
      <c r="DV142" t="s">
        <v>164</v>
      </c>
      <c r="DW142" t="s">
        <v>164</v>
      </c>
      <c r="DX142">
        <v>1</v>
      </c>
      <c r="DZ142" t="s">
        <v>3</v>
      </c>
      <c r="EA142" t="s">
        <v>3</v>
      </c>
      <c r="EB142" t="s">
        <v>3</v>
      </c>
      <c r="EC142" t="s">
        <v>3</v>
      </c>
      <c r="EE142">
        <v>51696357</v>
      </c>
      <c r="EF142">
        <v>40</v>
      </c>
      <c r="EG142" t="s">
        <v>166</v>
      </c>
      <c r="EH142">
        <v>0</v>
      </c>
      <c r="EI142" t="s">
        <v>3</v>
      </c>
      <c r="EJ142">
        <v>2</v>
      </c>
      <c r="EK142">
        <v>318</v>
      </c>
      <c r="EL142" t="s">
        <v>167</v>
      </c>
      <c r="EM142" t="s">
        <v>168</v>
      </c>
      <c r="EO142" t="s">
        <v>25</v>
      </c>
      <c r="EQ142">
        <v>131072</v>
      </c>
      <c r="ER142">
        <v>506.91</v>
      </c>
      <c r="ES142">
        <v>52.94</v>
      </c>
      <c r="ET142">
        <v>148.43</v>
      </c>
      <c r="EU142">
        <v>18.8</v>
      </c>
      <c r="EV142">
        <v>305.54000000000002</v>
      </c>
      <c r="EW142">
        <v>24.8</v>
      </c>
      <c r="EX142">
        <v>0</v>
      </c>
      <c r="EY142">
        <v>0</v>
      </c>
      <c r="FQ142">
        <v>0</v>
      </c>
      <c r="FR142">
        <v>0</v>
      </c>
      <c r="FS142">
        <v>0</v>
      </c>
      <c r="FX142">
        <v>112</v>
      </c>
      <c r="FY142">
        <v>70</v>
      </c>
      <c r="GA142" t="s">
        <v>3</v>
      </c>
      <c r="GD142">
        <v>0</v>
      </c>
      <c r="GF142">
        <v>-1277062924</v>
      </c>
      <c r="GG142">
        <v>2</v>
      </c>
      <c r="GH142">
        <v>1</v>
      </c>
      <c r="GI142">
        <v>2</v>
      </c>
      <c r="GJ142">
        <v>0</v>
      </c>
      <c r="GK142">
        <f>ROUND(R142*(S12)/100,2)</f>
        <v>0</v>
      </c>
      <c r="GL142">
        <f t="shared" si="142"/>
        <v>0</v>
      </c>
      <c r="GM142">
        <f t="shared" si="143"/>
        <v>0</v>
      </c>
      <c r="GN142">
        <f t="shared" si="144"/>
        <v>0</v>
      </c>
      <c r="GO142">
        <f t="shared" si="145"/>
        <v>0</v>
      </c>
      <c r="GP142">
        <f t="shared" si="146"/>
        <v>0</v>
      </c>
      <c r="GR142">
        <v>0</v>
      </c>
      <c r="GS142">
        <v>3</v>
      </c>
      <c r="GT142">
        <v>0</v>
      </c>
      <c r="GU142" t="s">
        <v>3</v>
      </c>
      <c r="GV142">
        <f t="shared" si="147"/>
        <v>0</v>
      </c>
      <c r="GW142">
        <v>1</v>
      </c>
      <c r="GX142">
        <f t="shared" si="148"/>
        <v>0</v>
      </c>
      <c r="HA142">
        <v>0</v>
      </c>
      <c r="HB142">
        <v>0</v>
      </c>
      <c r="HC142">
        <f t="shared" si="149"/>
        <v>0</v>
      </c>
      <c r="HE142" t="s">
        <v>3</v>
      </c>
      <c r="HF142" t="s">
        <v>3</v>
      </c>
      <c r="HM142" t="s">
        <v>3</v>
      </c>
      <c r="HN142" t="s">
        <v>3</v>
      </c>
      <c r="HO142" t="s">
        <v>3</v>
      </c>
      <c r="HP142" t="s">
        <v>3</v>
      </c>
      <c r="HQ142" t="s">
        <v>3</v>
      </c>
      <c r="HS142">
        <v>0</v>
      </c>
      <c r="IK142">
        <v>0</v>
      </c>
    </row>
    <row r="143" spans="1:255" x14ac:dyDescent="0.2">
      <c r="A143" s="2">
        <v>17</v>
      </c>
      <c r="B143" s="2">
        <v>1</v>
      </c>
      <c r="C143" s="2">
        <f>ROW(SmtRes!A123)</f>
        <v>123</v>
      </c>
      <c r="D143" s="2">
        <f>ROW(EtalonRes!A643)</f>
        <v>643</v>
      </c>
      <c r="E143" s="2" t="s">
        <v>219</v>
      </c>
      <c r="F143" s="2" t="s">
        <v>209</v>
      </c>
      <c r="G143" s="2" t="s">
        <v>218</v>
      </c>
      <c r="H143" s="2" t="s">
        <v>164</v>
      </c>
      <c r="I143" s="2">
        <v>0</v>
      </c>
      <c r="J143" s="2">
        <v>0</v>
      </c>
      <c r="K143" s="2">
        <v>0</v>
      </c>
      <c r="L143" s="2"/>
      <c r="M143" s="2"/>
      <c r="N143" s="2"/>
      <c r="O143" s="2">
        <f t="shared" si="113"/>
        <v>0</v>
      </c>
      <c r="P143" s="2">
        <f t="shared" si="114"/>
        <v>0</v>
      </c>
      <c r="Q143" s="2">
        <f t="shared" si="115"/>
        <v>0</v>
      </c>
      <c r="R143" s="2">
        <f t="shared" si="116"/>
        <v>0</v>
      </c>
      <c r="S143" s="2">
        <f t="shared" si="117"/>
        <v>0</v>
      </c>
      <c r="T143" s="2">
        <f t="shared" si="118"/>
        <v>0</v>
      </c>
      <c r="U143" s="2">
        <f t="shared" si="119"/>
        <v>0</v>
      </c>
      <c r="V143" s="2">
        <f t="shared" si="120"/>
        <v>0</v>
      </c>
      <c r="W143" s="2">
        <f t="shared" si="121"/>
        <v>0</v>
      </c>
      <c r="X143" s="2">
        <f t="shared" si="122"/>
        <v>0</v>
      </c>
      <c r="Y143" s="2">
        <f t="shared" si="123"/>
        <v>0</v>
      </c>
      <c r="Z143" s="2"/>
      <c r="AA143" s="2">
        <v>56622586</v>
      </c>
      <c r="AB143" s="2">
        <f t="shared" si="124"/>
        <v>552.30700000000002</v>
      </c>
      <c r="AC143" s="2">
        <f t="shared" si="125"/>
        <v>52.94</v>
      </c>
      <c r="AD143" s="2">
        <f t="shared" si="126"/>
        <v>163.273</v>
      </c>
      <c r="AE143" s="2">
        <f t="shared" si="127"/>
        <v>20.68</v>
      </c>
      <c r="AF143" s="2">
        <f t="shared" si="128"/>
        <v>336.09399999999999</v>
      </c>
      <c r="AG143" s="2">
        <f t="shared" si="129"/>
        <v>0</v>
      </c>
      <c r="AH143" s="2">
        <f t="shared" si="130"/>
        <v>27.280000000000005</v>
      </c>
      <c r="AI143" s="2">
        <f t="shared" si="131"/>
        <v>0</v>
      </c>
      <c r="AJ143" s="2">
        <f t="shared" si="132"/>
        <v>0</v>
      </c>
      <c r="AK143" s="2">
        <v>506.91</v>
      </c>
      <c r="AL143" s="2">
        <v>52.94</v>
      </c>
      <c r="AM143" s="2">
        <v>148.43</v>
      </c>
      <c r="AN143" s="2">
        <v>18.8</v>
      </c>
      <c r="AO143" s="2">
        <v>305.54000000000002</v>
      </c>
      <c r="AP143" s="2">
        <v>0</v>
      </c>
      <c r="AQ143" s="2">
        <v>24.8</v>
      </c>
      <c r="AR143" s="2">
        <v>0</v>
      </c>
      <c r="AS143" s="2">
        <v>0</v>
      </c>
      <c r="AT143" s="2">
        <v>112</v>
      </c>
      <c r="AU143" s="2">
        <v>70</v>
      </c>
      <c r="AV143" s="2">
        <v>1.0669999999999999</v>
      </c>
      <c r="AW143" s="2">
        <v>1.081</v>
      </c>
      <c r="AX143" s="2"/>
      <c r="AY143" s="2"/>
      <c r="AZ143" s="2">
        <v>1</v>
      </c>
      <c r="BA143" s="2">
        <v>1</v>
      </c>
      <c r="BB143" s="2">
        <v>1</v>
      </c>
      <c r="BC143" s="2">
        <v>1</v>
      </c>
      <c r="BD143" s="2" t="s">
        <v>3</v>
      </c>
      <c r="BE143" s="2" t="s">
        <v>3</v>
      </c>
      <c r="BF143" s="2" t="s">
        <v>3</v>
      </c>
      <c r="BG143" s="2" t="s">
        <v>3</v>
      </c>
      <c r="BH143" s="2">
        <v>0</v>
      </c>
      <c r="BI143" s="2">
        <v>2</v>
      </c>
      <c r="BJ143" s="2" t="s">
        <v>211</v>
      </c>
      <c r="BK143" s="2"/>
      <c r="BL143" s="2"/>
      <c r="BM143" s="2">
        <v>318</v>
      </c>
      <c r="BN143" s="2">
        <v>0</v>
      </c>
      <c r="BO143" s="2" t="s">
        <v>3</v>
      </c>
      <c r="BP143" s="2">
        <v>0</v>
      </c>
      <c r="BQ143" s="2">
        <v>40</v>
      </c>
      <c r="BR143" s="2">
        <v>0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 t="s">
        <v>3</v>
      </c>
      <c r="BZ143" s="2">
        <v>112</v>
      </c>
      <c r="CA143" s="2">
        <v>70</v>
      </c>
      <c r="CB143" s="2" t="s">
        <v>3</v>
      </c>
      <c r="CC143" s="2"/>
      <c r="CD143" s="2"/>
      <c r="CE143" s="2">
        <v>30</v>
      </c>
      <c r="CF143" s="2">
        <v>0</v>
      </c>
      <c r="CG143" s="2">
        <v>0</v>
      </c>
      <c r="CH143" s="2"/>
      <c r="CI143" s="2"/>
      <c r="CJ143" s="2"/>
      <c r="CK143" s="2"/>
      <c r="CL143" s="2"/>
      <c r="CM143" s="2">
        <v>0</v>
      </c>
      <c r="CN143" s="2" t="s">
        <v>671</v>
      </c>
      <c r="CO143" s="2">
        <v>0</v>
      </c>
      <c r="CP143" s="2">
        <f t="shared" si="133"/>
        <v>0</v>
      </c>
      <c r="CQ143" s="2">
        <f t="shared" si="134"/>
        <v>57.23</v>
      </c>
      <c r="CR143" s="2">
        <f t="shared" si="135"/>
        <v>174.21</v>
      </c>
      <c r="CS143" s="2">
        <f t="shared" si="136"/>
        <v>22.07</v>
      </c>
      <c r="CT143" s="2">
        <f t="shared" si="137"/>
        <v>358.61</v>
      </c>
      <c r="CU143" s="2">
        <f t="shared" si="138"/>
        <v>0</v>
      </c>
      <c r="CV143" s="2">
        <f t="shared" si="139"/>
        <v>29.107760000000003</v>
      </c>
      <c r="CW143" s="2">
        <f t="shared" si="140"/>
        <v>0</v>
      </c>
      <c r="CX143" s="2">
        <f t="shared" si="141"/>
        <v>0</v>
      </c>
      <c r="CY143" s="2">
        <f>((S143*BZ143)/100)</f>
        <v>0</v>
      </c>
      <c r="CZ143" s="2">
        <f>((S143*CA143)/100)</f>
        <v>0</v>
      </c>
      <c r="DA143" s="2"/>
      <c r="DB143" s="2"/>
      <c r="DC143" s="2" t="s">
        <v>3</v>
      </c>
      <c r="DD143" s="2" t="s">
        <v>3</v>
      </c>
      <c r="DE143" s="2" t="s">
        <v>22</v>
      </c>
      <c r="DF143" s="2" t="s">
        <v>22</v>
      </c>
      <c r="DG143" s="2" t="s">
        <v>22</v>
      </c>
      <c r="DH143" s="2" t="s">
        <v>3</v>
      </c>
      <c r="DI143" s="2" t="s">
        <v>22</v>
      </c>
      <c r="DJ143" s="2" t="s">
        <v>22</v>
      </c>
      <c r="DK143" s="2" t="s">
        <v>3</v>
      </c>
      <c r="DL143" s="2" t="s">
        <v>3</v>
      </c>
      <c r="DM143" s="2" t="s">
        <v>3</v>
      </c>
      <c r="DN143" s="2">
        <v>0</v>
      </c>
      <c r="DO143" s="2">
        <v>0</v>
      </c>
      <c r="DP143" s="2">
        <v>1</v>
      </c>
      <c r="DQ143" s="2">
        <v>1</v>
      </c>
      <c r="DR143" s="2"/>
      <c r="DS143" s="2"/>
      <c r="DT143" s="2"/>
      <c r="DU143" s="2">
        <v>1013</v>
      </c>
      <c r="DV143" s="2" t="s">
        <v>164</v>
      </c>
      <c r="DW143" s="2" t="s">
        <v>164</v>
      </c>
      <c r="DX143" s="2">
        <v>1</v>
      </c>
      <c r="DY143" s="2"/>
      <c r="DZ143" s="2" t="s">
        <v>3</v>
      </c>
      <c r="EA143" s="2" t="s">
        <v>3</v>
      </c>
      <c r="EB143" s="2" t="s">
        <v>3</v>
      </c>
      <c r="EC143" s="2" t="s">
        <v>3</v>
      </c>
      <c r="ED143" s="2"/>
      <c r="EE143" s="2">
        <v>51696357</v>
      </c>
      <c r="EF143" s="2">
        <v>40</v>
      </c>
      <c r="EG143" s="2" t="s">
        <v>166</v>
      </c>
      <c r="EH143" s="2">
        <v>0</v>
      </c>
      <c r="EI143" s="2" t="s">
        <v>3</v>
      </c>
      <c r="EJ143" s="2">
        <v>2</v>
      </c>
      <c r="EK143" s="2">
        <v>318</v>
      </c>
      <c r="EL143" s="2" t="s">
        <v>167</v>
      </c>
      <c r="EM143" s="2" t="s">
        <v>168</v>
      </c>
      <c r="EN143" s="2"/>
      <c r="EO143" s="2" t="s">
        <v>25</v>
      </c>
      <c r="EP143" s="2"/>
      <c r="EQ143" s="2">
        <v>131072</v>
      </c>
      <c r="ER143" s="2">
        <v>506.91</v>
      </c>
      <c r="ES143" s="2">
        <v>52.94</v>
      </c>
      <c r="ET143" s="2">
        <v>148.43</v>
      </c>
      <c r="EU143" s="2">
        <v>18.8</v>
      </c>
      <c r="EV143" s="2">
        <v>305.54000000000002</v>
      </c>
      <c r="EW143" s="2">
        <v>24.8</v>
      </c>
      <c r="EX143" s="2">
        <v>0</v>
      </c>
      <c r="EY143" s="2">
        <v>0</v>
      </c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>
        <v>0</v>
      </c>
      <c r="FR143" s="2">
        <v>0</v>
      </c>
      <c r="FS143" s="2">
        <v>0</v>
      </c>
      <c r="FT143" s="2"/>
      <c r="FU143" s="2"/>
      <c r="FV143" s="2"/>
      <c r="FW143" s="2"/>
      <c r="FX143" s="2">
        <v>112</v>
      </c>
      <c r="FY143" s="2">
        <v>70</v>
      </c>
      <c r="FZ143" s="2"/>
      <c r="GA143" s="2" t="s">
        <v>3</v>
      </c>
      <c r="GB143" s="2"/>
      <c r="GC143" s="2"/>
      <c r="GD143" s="2">
        <v>0</v>
      </c>
      <c r="GE143" s="2"/>
      <c r="GF143" s="2">
        <v>-1277062924</v>
      </c>
      <c r="GG143" s="2">
        <v>2</v>
      </c>
      <c r="GH143" s="2">
        <v>1</v>
      </c>
      <c r="GI143" s="2">
        <v>-2</v>
      </c>
      <c r="GJ143" s="2">
        <v>0</v>
      </c>
      <c r="GK143" s="2">
        <f>ROUND(R143*(R12)/100,2)</f>
        <v>0</v>
      </c>
      <c r="GL143" s="2">
        <f t="shared" si="142"/>
        <v>0</v>
      </c>
      <c r="GM143" s="2">
        <f t="shared" si="143"/>
        <v>0</v>
      </c>
      <c r="GN143" s="2">
        <f t="shared" si="144"/>
        <v>0</v>
      </c>
      <c r="GO143" s="2">
        <f t="shared" si="145"/>
        <v>0</v>
      </c>
      <c r="GP143" s="2">
        <f t="shared" si="146"/>
        <v>0</v>
      </c>
      <c r="GQ143" s="2"/>
      <c r="GR143" s="2">
        <v>0</v>
      </c>
      <c r="GS143" s="2">
        <v>0</v>
      </c>
      <c r="GT143" s="2">
        <v>0</v>
      </c>
      <c r="GU143" s="2" t="s">
        <v>3</v>
      </c>
      <c r="GV143" s="2">
        <f t="shared" si="147"/>
        <v>0</v>
      </c>
      <c r="GW143" s="2">
        <v>1</v>
      </c>
      <c r="GX143" s="2">
        <f t="shared" si="148"/>
        <v>0</v>
      </c>
      <c r="GY143" s="2"/>
      <c r="GZ143" s="2"/>
      <c r="HA143" s="2">
        <v>0</v>
      </c>
      <c r="HB143" s="2">
        <v>0</v>
      </c>
      <c r="HC143" s="2">
        <f t="shared" si="149"/>
        <v>0</v>
      </c>
      <c r="HD143" s="2"/>
      <c r="HE143" s="2" t="s">
        <v>3</v>
      </c>
      <c r="HF143" s="2" t="s">
        <v>3</v>
      </c>
      <c r="HG143" s="2"/>
      <c r="HH143" s="2"/>
      <c r="HI143" s="2"/>
      <c r="HJ143" s="2"/>
      <c r="HK143" s="2"/>
      <c r="HL143" s="2"/>
      <c r="HM143" s="2" t="s">
        <v>3</v>
      </c>
      <c r="HN143" s="2" t="s">
        <v>3</v>
      </c>
      <c r="HO143" s="2" t="s">
        <v>3</v>
      </c>
      <c r="HP143" s="2" t="s">
        <v>3</v>
      </c>
      <c r="HQ143" s="2" t="s">
        <v>3</v>
      </c>
      <c r="HR143" s="2"/>
      <c r="HS143" s="2">
        <v>0</v>
      </c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>
        <v>0</v>
      </c>
      <c r="IL143" s="2"/>
      <c r="IM143" s="2"/>
      <c r="IN143" s="2"/>
      <c r="IO143" s="2"/>
      <c r="IP143" s="2"/>
      <c r="IQ143" s="2"/>
      <c r="IR143" s="2"/>
      <c r="IS143" s="2"/>
      <c r="IT143" s="2"/>
      <c r="IU143" s="2"/>
    </row>
    <row r="144" spans="1:255" x14ac:dyDescent="0.2">
      <c r="A144">
        <v>17</v>
      </c>
      <c r="B144">
        <v>1</v>
      </c>
      <c r="C144">
        <f>ROW(SmtRes!A124)</f>
        <v>124</v>
      </c>
      <c r="D144">
        <f>ROW(EtalonRes!A656)</f>
        <v>656</v>
      </c>
      <c r="E144" t="s">
        <v>219</v>
      </c>
      <c r="F144" t="s">
        <v>209</v>
      </c>
      <c r="G144" t="s">
        <v>218</v>
      </c>
      <c r="H144" t="s">
        <v>164</v>
      </c>
      <c r="I144">
        <v>0</v>
      </c>
      <c r="J144">
        <v>0</v>
      </c>
      <c r="K144">
        <v>0</v>
      </c>
      <c r="O144">
        <f t="shared" si="113"/>
        <v>0</v>
      </c>
      <c r="P144">
        <f t="shared" si="114"/>
        <v>0</v>
      </c>
      <c r="Q144">
        <f t="shared" si="115"/>
        <v>0</v>
      </c>
      <c r="R144">
        <f t="shared" si="116"/>
        <v>0</v>
      </c>
      <c r="S144">
        <f t="shared" si="117"/>
        <v>0</v>
      </c>
      <c r="T144">
        <f t="shared" si="118"/>
        <v>0</v>
      </c>
      <c r="U144">
        <f t="shared" si="119"/>
        <v>0</v>
      </c>
      <c r="V144">
        <f t="shared" si="120"/>
        <v>0</v>
      </c>
      <c r="W144">
        <f t="shared" si="121"/>
        <v>0</v>
      </c>
      <c r="X144">
        <f t="shared" si="122"/>
        <v>0</v>
      </c>
      <c r="Y144">
        <f t="shared" si="123"/>
        <v>0</v>
      </c>
      <c r="AA144">
        <v>56616093</v>
      </c>
      <c r="AB144">
        <f t="shared" si="124"/>
        <v>552.30700000000002</v>
      </c>
      <c r="AC144">
        <f t="shared" si="125"/>
        <v>52.94</v>
      </c>
      <c r="AD144">
        <f t="shared" si="126"/>
        <v>163.273</v>
      </c>
      <c r="AE144">
        <f t="shared" si="127"/>
        <v>20.68</v>
      </c>
      <c r="AF144">
        <f t="shared" si="128"/>
        <v>336.09399999999999</v>
      </c>
      <c r="AG144">
        <f t="shared" si="129"/>
        <v>0</v>
      </c>
      <c r="AH144">
        <f t="shared" si="130"/>
        <v>27.280000000000005</v>
      </c>
      <c r="AI144">
        <f t="shared" si="131"/>
        <v>0</v>
      </c>
      <c r="AJ144">
        <f t="shared" si="132"/>
        <v>0</v>
      </c>
      <c r="AK144">
        <v>506.91</v>
      </c>
      <c r="AL144">
        <v>52.94</v>
      </c>
      <c r="AM144">
        <v>148.43</v>
      </c>
      <c r="AN144">
        <v>18.8</v>
      </c>
      <c r="AO144">
        <v>305.54000000000002</v>
      </c>
      <c r="AP144">
        <v>0</v>
      </c>
      <c r="AQ144">
        <v>24.8</v>
      </c>
      <c r="AR144">
        <v>0</v>
      </c>
      <c r="AS144">
        <v>0</v>
      </c>
      <c r="AT144">
        <v>92</v>
      </c>
      <c r="AU144">
        <v>43</v>
      </c>
      <c r="AV144">
        <v>1.0669999999999999</v>
      </c>
      <c r="AW144">
        <v>1.081</v>
      </c>
      <c r="AZ144">
        <v>1</v>
      </c>
      <c r="BA144">
        <v>34.51</v>
      </c>
      <c r="BB144">
        <v>12.19</v>
      </c>
      <c r="BC144">
        <v>17.38</v>
      </c>
      <c r="BD144" t="s">
        <v>3</v>
      </c>
      <c r="BE144" t="s">
        <v>3</v>
      </c>
      <c r="BF144" t="s">
        <v>3</v>
      </c>
      <c r="BG144" t="s">
        <v>3</v>
      </c>
      <c r="BH144">
        <v>0</v>
      </c>
      <c r="BI144">
        <v>2</v>
      </c>
      <c r="BJ144" t="s">
        <v>211</v>
      </c>
      <c r="BM144">
        <v>318</v>
      </c>
      <c r="BN144">
        <v>0</v>
      </c>
      <c r="BO144" t="s">
        <v>209</v>
      </c>
      <c r="BP144">
        <v>1</v>
      </c>
      <c r="BQ144">
        <v>40</v>
      </c>
      <c r="BR144">
        <v>0</v>
      </c>
      <c r="BS144">
        <v>34.51</v>
      </c>
      <c r="BT144">
        <v>1</v>
      </c>
      <c r="BU144">
        <v>1</v>
      </c>
      <c r="BV144">
        <v>1</v>
      </c>
      <c r="BW144">
        <v>1</v>
      </c>
      <c r="BX144">
        <v>1</v>
      </c>
      <c r="BY144" t="s">
        <v>3</v>
      </c>
      <c r="BZ144">
        <v>92</v>
      </c>
      <c r="CA144">
        <v>43</v>
      </c>
      <c r="CB144" t="s">
        <v>3</v>
      </c>
      <c r="CE144">
        <v>30</v>
      </c>
      <c r="CF144">
        <v>0</v>
      </c>
      <c r="CG144">
        <v>0</v>
      </c>
      <c r="CM144">
        <v>0</v>
      </c>
      <c r="CN144" t="s">
        <v>671</v>
      </c>
      <c r="CO144">
        <v>0</v>
      </c>
      <c r="CP144">
        <f t="shared" si="133"/>
        <v>0</v>
      </c>
      <c r="CQ144">
        <f t="shared" si="134"/>
        <v>994.66</v>
      </c>
      <c r="CR144">
        <f t="shared" si="135"/>
        <v>2123.62</v>
      </c>
      <c r="CS144">
        <f t="shared" si="136"/>
        <v>761.64</v>
      </c>
      <c r="CT144">
        <f t="shared" si="137"/>
        <v>12375.63</v>
      </c>
      <c r="CU144">
        <f t="shared" si="138"/>
        <v>0</v>
      </c>
      <c r="CV144">
        <f t="shared" si="139"/>
        <v>29.107760000000003</v>
      </c>
      <c r="CW144">
        <f t="shared" si="140"/>
        <v>0</v>
      </c>
      <c r="CX144">
        <f t="shared" si="141"/>
        <v>0</v>
      </c>
      <c r="CY144">
        <f>S144*(BZ144/100)</f>
        <v>0</v>
      </c>
      <c r="CZ144">
        <f>S144*(CA144/100)</f>
        <v>0</v>
      </c>
      <c r="DC144" t="s">
        <v>3</v>
      </c>
      <c r="DD144" t="s">
        <v>3</v>
      </c>
      <c r="DE144" t="s">
        <v>22</v>
      </c>
      <c r="DF144" t="s">
        <v>22</v>
      </c>
      <c r="DG144" t="s">
        <v>22</v>
      </c>
      <c r="DH144" t="s">
        <v>3</v>
      </c>
      <c r="DI144" t="s">
        <v>22</v>
      </c>
      <c r="DJ144" t="s">
        <v>22</v>
      </c>
      <c r="DK144" t="s">
        <v>3</v>
      </c>
      <c r="DL144" t="s">
        <v>3</v>
      </c>
      <c r="DM144" t="s">
        <v>3</v>
      </c>
      <c r="DN144">
        <v>112</v>
      </c>
      <c r="DO144">
        <v>70</v>
      </c>
      <c r="DP144">
        <v>1.0669999999999999</v>
      </c>
      <c r="DQ144">
        <v>1.081</v>
      </c>
      <c r="DU144">
        <v>1013</v>
      </c>
      <c r="DV144" t="s">
        <v>164</v>
      </c>
      <c r="DW144" t="s">
        <v>164</v>
      </c>
      <c r="DX144">
        <v>1</v>
      </c>
      <c r="DZ144" t="s">
        <v>3</v>
      </c>
      <c r="EA144" t="s">
        <v>3</v>
      </c>
      <c r="EB144" t="s">
        <v>3</v>
      </c>
      <c r="EC144" t="s">
        <v>3</v>
      </c>
      <c r="EE144">
        <v>51696357</v>
      </c>
      <c r="EF144">
        <v>40</v>
      </c>
      <c r="EG144" t="s">
        <v>166</v>
      </c>
      <c r="EH144">
        <v>0</v>
      </c>
      <c r="EI144" t="s">
        <v>3</v>
      </c>
      <c r="EJ144">
        <v>2</v>
      </c>
      <c r="EK144">
        <v>318</v>
      </c>
      <c r="EL144" t="s">
        <v>167</v>
      </c>
      <c r="EM144" t="s">
        <v>168</v>
      </c>
      <c r="EO144" t="s">
        <v>25</v>
      </c>
      <c r="EQ144">
        <v>131072</v>
      </c>
      <c r="ER144">
        <v>506.91</v>
      </c>
      <c r="ES144">
        <v>52.94</v>
      </c>
      <c r="ET144">
        <v>148.43</v>
      </c>
      <c r="EU144">
        <v>18.8</v>
      </c>
      <c r="EV144">
        <v>305.54000000000002</v>
      </c>
      <c r="EW144">
        <v>24.8</v>
      </c>
      <c r="EX144">
        <v>0</v>
      </c>
      <c r="EY144">
        <v>0</v>
      </c>
      <c r="FQ144">
        <v>0</v>
      </c>
      <c r="FR144">
        <v>0</v>
      </c>
      <c r="FS144">
        <v>0</v>
      </c>
      <c r="FX144">
        <v>112</v>
      </c>
      <c r="FY144">
        <v>70</v>
      </c>
      <c r="GA144" t="s">
        <v>3</v>
      </c>
      <c r="GD144">
        <v>0</v>
      </c>
      <c r="GF144">
        <v>-1277062924</v>
      </c>
      <c r="GG144">
        <v>2</v>
      </c>
      <c r="GH144">
        <v>1</v>
      </c>
      <c r="GI144">
        <v>2</v>
      </c>
      <c r="GJ144">
        <v>0</v>
      </c>
      <c r="GK144">
        <f>ROUND(R144*(S12)/100,2)</f>
        <v>0</v>
      </c>
      <c r="GL144">
        <f t="shared" si="142"/>
        <v>0</v>
      </c>
      <c r="GM144">
        <f t="shared" si="143"/>
        <v>0</v>
      </c>
      <c r="GN144">
        <f t="shared" si="144"/>
        <v>0</v>
      </c>
      <c r="GO144">
        <f t="shared" si="145"/>
        <v>0</v>
      </c>
      <c r="GP144">
        <f t="shared" si="146"/>
        <v>0</v>
      </c>
      <c r="GR144">
        <v>0</v>
      </c>
      <c r="GS144">
        <v>3</v>
      </c>
      <c r="GT144">
        <v>0</v>
      </c>
      <c r="GU144" t="s">
        <v>3</v>
      </c>
      <c r="GV144">
        <f t="shared" si="147"/>
        <v>0</v>
      </c>
      <c r="GW144">
        <v>1</v>
      </c>
      <c r="GX144">
        <f t="shared" si="148"/>
        <v>0</v>
      </c>
      <c r="HA144">
        <v>0</v>
      </c>
      <c r="HB144">
        <v>0</v>
      </c>
      <c r="HC144">
        <f t="shared" si="149"/>
        <v>0</v>
      </c>
      <c r="HE144" t="s">
        <v>3</v>
      </c>
      <c r="HF144" t="s">
        <v>3</v>
      </c>
      <c r="HM144" t="s">
        <v>3</v>
      </c>
      <c r="HN144" t="s">
        <v>3</v>
      </c>
      <c r="HO144" t="s">
        <v>3</v>
      </c>
      <c r="HP144" t="s">
        <v>3</v>
      </c>
      <c r="HQ144" t="s">
        <v>3</v>
      </c>
      <c r="HS144">
        <v>0</v>
      </c>
      <c r="IK144">
        <v>0</v>
      </c>
    </row>
    <row r="145" spans="1:255" x14ac:dyDescent="0.2">
      <c r="A145" s="2">
        <v>17</v>
      </c>
      <c r="B145" s="2">
        <v>1</v>
      </c>
      <c r="C145" s="2">
        <f>ROW(SmtRes!A125)</f>
        <v>125</v>
      </c>
      <c r="D145" s="2">
        <f>ROW(EtalonRes!A669)</f>
        <v>669</v>
      </c>
      <c r="E145" s="2" t="s">
        <v>220</v>
      </c>
      <c r="F145" s="2" t="s">
        <v>221</v>
      </c>
      <c r="G145" s="2" t="s">
        <v>222</v>
      </c>
      <c r="H145" s="2" t="s">
        <v>164</v>
      </c>
      <c r="I145" s="2">
        <v>0</v>
      </c>
      <c r="J145" s="2">
        <v>0</v>
      </c>
      <c r="K145" s="2">
        <v>0</v>
      </c>
      <c r="L145" s="2"/>
      <c r="M145" s="2"/>
      <c r="N145" s="2"/>
      <c r="O145" s="2">
        <f t="shared" si="113"/>
        <v>0</v>
      </c>
      <c r="P145" s="2">
        <f t="shared" si="114"/>
        <v>0</v>
      </c>
      <c r="Q145" s="2">
        <f t="shared" si="115"/>
        <v>0</v>
      </c>
      <c r="R145" s="2">
        <f t="shared" si="116"/>
        <v>0</v>
      </c>
      <c r="S145" s="2">
        <f t="shared" si="117"/>
        <v>0</v>
      </c>
      <c r="T145" s="2">
        <f t="shared" si="118"/>
        <v>0</v>
      </c>
      <c r="U145" s="2">
        <f t="shared" si="119"/>
        <v>0</v>
      </c>
      <c r="V145" s="2">
        <f t="shared" si="120"/>
        <v>0</v>
      </c>
      <c r="W145" s="2">
        <f t="shared" si="121"/>
        <v>0</v>
      </c>
      <c r="X145" s="2">
        <f t="shared" si="122"/>
        <v>0</v>
      </c>
      <c r="Y145" s="2">
        <f t="shared" si="123"/>
        <v>0</v>
      </c>
      <c r="Z145" s="2"/>
      <c r="AA145" s="2">
        <v>56622586</v>
      </c>
      <c r="AB145" s="2">
        <f t="shared" si="124"/>
        <v>200.67699999999999</v>
      </c>
      <c r="AC145" s="2">
        <f t="shared" si="125"/>
        <v>53.75</v>
      </c>
      <c r="AD145" s="2">
        <f t="shared" si="126"/>
        <v>50.170999999999999</v>
      </c>
      <c r="AE145" s="2">
        <f t="shared" si="127"/>
        <v>6.8090000000000002</v>
      </c>
      <c r="AF145" s="2">
        <f t="shared" si="128"/>
        <v>96.756</v>
      </c>
      <c r="AG145" s="2">
        <f t="shared" si="129"/>
        <v>0</v>
      </c>
      <c r="AH145" s="2">
        <f t="shared" si="130"/>
        <v>7.8540000000000001</v>
      </c>
      <c r="AI145" s="2">
        <f t="shared" si="131"/>
        <v>0</v>
      </c>
      <c r="AJ145" s="2">
        <f t="shared" si="132"/>
        <v>0</v>
      </c>
      <c r="AK145" s="2">
        <v>187.32</v>
      </c>
      <c r="AL145" s="2">
        <v>53.75</v>
      </c>
      <c r="AM145" s="2">
        <v>45.61</v>
      </c>
      <c r="AN145" s="2">
        <v>6.19</v>
      </c>
      <c r="AO145" s="2">
        <v>87.96</v>
      </c>
      <c r="AP145" s="2">
        <v>0</v>
      </c>
      <c r="AQ145" s="2">
        <v>7.14</v>
      </c>
      <c r="AR145" s="2">
        <v>0</v>
      </c>
      <c r="AS145" s="2">
        <v>0</v>
      </c>
      <c r="AT145" s="2">
        <v>112</v>
      </c>
      <c r="AU145" s="2">
        <v>70</v>
      </c>
      <c r="AV145" s="2">
        <v>1.0669999999999999</v>
      </c>
      <c r="AW145" s="2">
        <v>1.081</v>
      </c>
      <c r="AX145" s="2"/>
      <c r="AY145" s="2"/>
      <c r="AZ145" s="2">
        <v>1</v>
      </c>
      <c r="BA145" s="2">
        <v>1</v>
      </c>
      <c r="BB145" s="2">
        <v>1</v>
      </c>
      <c r="BC145" s="2">
        <v>1</v>
      </c>
      <c r="BD145" s="2" t="s">
        <v>3</v>
      </c>
      <c r="BE145" s="2" t="s">
        <v>3</v>
      </c>
      <c r="BF145" s="2" t="s">
        <v>3</v>
      </c>
      <c r="BG145" s="2" t="s">
        <v>3</v>
      </c>
      <c r="BH145" s="2">
        <v>0</v>
      </c>
      <c r="BI145" s="2">
        <v>2</v>
      </c>
      <c r="BJ145" s="2" t="s">
        <v>223</v>
      </c>
      <c r="BK145" s="2"/>
      <c r="BL145" s="2"/>
      <c r="BM145" s="2">
        <v>318</v>
      </c>
      <c r="BN145" s="2">
        <v>0</v>
      </c>
      <c r="BO145" s="2" t="s">
        <v>3</v>
      </c>
      <c r="BP145" s="2">
        <v>0</v>
      </c>
      <c r="BQ145" s="2">
        <v>40</v>
      </c>
      <c r="BR145" s="2">
        <v>0</v>
      </c>
      <c r="BS145" s="2">
        <v>1</v>
      </c>
      <c r="BT145" s="2">
        <v>1</v>
      </c>
      <c r="BU145" s="2">
        <v>1</v>
      </c>
      <c r="BV145" s="2">
        <v>1</v>
      </c>
      <c r="BW145" s="2">
        <v>1</v>
      </c>
      <c r="BX145" s="2">
        <v>1</v>
      </c>
      <c r="BY145" s="2" t="s">
        <v>3</v>
      </c>
      <c r="BZ145" s="2">
        <v>112</v>
      </c>
      <c r="CA145" s="2">
        <v>70</v>
      </c>
      <c r="CB145" s="2" t="s">
        <v>3</v>
      </c>
      <c r="CC145" s="2"/>
      <c r="CD145" s="2"/>
      <c r="CE145" s="2">
        <v>30</v>
      </c>
      <c r="CF145" s="2">
        <v>0</v>
      </c>
      <c r="CG145" s="2">
        <v>0</v>
      </c>
      <c r="CH145" s="2"/>
      <c r="CI145" s="2"/>
      <c r="CJ145" s="2"/>
      <c r="CK145" s="2"/>
      <c r="CL145" s="2"/>
      <c r="CM145" s="2">
        <v>0</v>
      </c>
      <c r="CN145" s="2" t="s">
        <v>671</v>
      </c>
      <c r="CO145" s="2">
        <v>0</v>
      </c>
      <c r="CP145" s="2">
        <f t="shared" si="133"/>
        <v>0</v>
      </c>
      <c r="CQ145" s="2">
        <f t="shared" si="134"/>
        <v>58.1</v>
      </c>
      <c r="CR145" s="2">
        <f t="shared" si="135"/>
        <v>53.53</v>
      </c>
      <c r="CS145" s="2">
        <f t="shared" si="136"/>
        <v>7.27</v>
      </c>
      <c r="CT145" s="2">
        <f t="shared" si="137"/>
        <v>103.24</v>
      </c>
      <c r="CU145" s="2">
        <f t="shared" si="138"/>
        <v>0</v>
      </c>
      <c r="CV145" s="2">
        <f t="shared" si="139"/>
        <v>8.3802179999999993</v>
      </c>
      <c r="CW145" s="2">
        <f t="shared" si="140"/>
        <v>0</v>
      </c>
      <c r="CX145" s="2">
        <f t="shared" si="141"/>
        <v>0</v>
      </c>
      <c r="CY145" s="2">
        <f>((S145*BZ145)/100)</f>
        <v>0</v>
      </c>
      <c r="CZ145" s="2">
        <f>((S145*CA145)/100)</f>
        <v>0</v>
      </c>
      <c r="DA145" s="2"/>
      <c r="DB145" s="2"/>
      <c r="DC145" s="2" t="s">
        <v>3</v>
      </c>
      <c r="DD145" s="2" t="s">
        <v>3</v>
      </c>
      <c r="DE145" s="2" t="s">
        <v>22</v>
      </c>
      <c r="DF145" s="2" t="s">
        <v>22</v>
      </c>
      <c r="DG145" s="2" t="s">
        <v>22</v>
      </c>
      <c r="DH145" s="2" t="s">
        <v>3</v>
      </c>
      <c r="DI145" s="2" t="s">
        <v>22</v>
      </c>
      <c r="DJ145" s="2" t="s">
        <v>22</v>
      </c>
      <c r="DK145" s="2" t="s">
        <v>3</v>
      </c>
      <c r="DL145" s="2" t="s">
        <v>3</v>
      </c>
      <c r="DM145" s="2" t="s">
        <v>3</v>
      </c>
      <c r="DN145" s="2">
        <v>0</v>
      </c>
      <c r="DO145" s="2">
        <v>0</v>
      </c>
      <c r="DP145" s="2">
        <v>1</v>
      </c>
      <c r="DQ145" s="2">
        <v>1</v>
      </c>
      <c r="DR145" s="2"/>
      <c r="DS145" s="2"/>
      <c r="DT145" s="2"/>
      <c r="DU145" s="2">
        <v>1013</v>
      </c>
      <c r="DV145" s="2" t="s">
        <v>164</v>
      </c>
      <c r="DW145" s="2" t="s">
        <v>164</v>
      </c>
      <c r="DX145" s="2">
        <v>1</v>
      </c>
      <c r="DY145" s="2"/>
      <c r="DZ145" s="2" t="s">
        <v>3</v>
      </c>
      <c r="EA145" s="2" t="s">
        <v>3</v>
      </c>
      <c r="EB145" s="2" t="s">
        <v>3</v>
      </c>
      <c r="EC145" s="2" t="s">
        <v>3</v>
      </c>
      <c r="ED145" s="2"/>
      <c r="EE145" s="2">
        <v>51696357</v>
      </c>
      <c r="EF145" s="2">
        <v>40</v>
      </c>
      <c r="EG145" s="2" t="s">
        <v>166</v>
      </c>
      <c r="EH145" s="2">
        <v>0</v>
      </c>
      <c r="EI145" s="2" t="s">
        <v>3</v>
      </c>
      <c r="EJ145" s="2">
        <v>2</v>
      </c>
      <c r="EK145" s="2">
        <v>318</v>
      </c>
      <c r="EL145" s="2" t="s">
        <v>167</v>
      </c>
      <c r="EM145" s="2" t="s">
        <v>168</v>
      </c>
      <c r="EN145" s="2"/>
      <c r="EO145" s="2" t="s">
        <v>25</v>
      </c>
      <c r="EP145" s="2"/>
      <c r="EQ145" s="2">
        <v>131072</v>
      </c>
      <c r="ER145" s="2">
        <v>187.32</v>
      </c>
      <c r="ES145" s="2">
        <v>53.75</v>
      </c>
      <c r="ET145" s="2">
        <v>45.61</v>
      </c>
      <c r="EU145" s="2">
        <v>6.19</v>
      </c>
      <c r="EV145" s="2">
        <v>87.96</v>
      </c>
      <c r="EW145" s="2">
        <v>7.14</v>
      </c>
      <c r="EX145" s="2">
        <v>0</v>
      </c>
      <c r="EY145" s="2">
        <v>0</v>
      </c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>
        <v>0</v>
      </c>
      <c r="FR145" s="2">
        <v>0</v>
      </c>
      <c r="FS145" s="2">
        <v>0</v>
      </c>
      <c r="FT145" s="2"/>
      <c r="FU145" s="2"/>
      <c r="FV145" s="2"/>
      <c r="FW145" s="2"/>
      <c r="FX145" s="2">
        <v>112</v>
      </c>
      <c r="FY145" s="2">
        <v>70</v>
      </c>
      <c r="FZ145" s="2"/>
      <c r="GA145" s="2" t="s">
        <v>3</v>
      </c>
      <c r="GB145" s="2"/>
      <c r="GC145" s="2"/>
      <c r="GD145" s="2">
        <v>0</v>
      </c>
      <c r="GE145" s="2"/>
      <c r="GF145" s="2">
        <v>-1667466673</v>
      </c>
      <c r="GG145" s="2">
        <v>2</v>
      </c>
      <c r="GH145" s="2">
        <v>1</v>
      </c>
      <c r="GI145" s="2">
        <v>-2</v>
      </c>
      <c r="GJ145" s="2">
        <v>0</v>
      </c>
      <c r="GK145" s="2">
        <f>ROUND(R145*(R12)/100,2)</f>
        <v>0</v>
      </c>
      <c r="GL145" s="2">
        <f t="shared" si="142"/>
        <v>0</v>
      </c>
      <c r="GM145" s="2">
        <f t="shared" si="143"/>
        <v>0</v>
      </c>
      <c r="GN145" s="2">
        <f t="shared" si="144"/>
        <v>0</v>
      </c>
      <c r="GO145" s="2">
        <f t="shared" si="145"/>
        <v>0</v>
      </c>
      <c r="GP145" s="2">
        <f t="shared" si="146"/>
        <v>0</v>
      </c>
      <c r="GQ145" s="2"/>
      <c r="GR145" s="2">
        <v>0</v>
      </c>
      <c r="GS145" s="2">
        <v>0</v>
      </c>
      <c r="GT145" s="2">
        <v>0</v>
      </c>
      <c r="GU145" s="2" t="s">
        <v>3</v>
      </c>
      <c r="GV145" s="2">
        <f t="shared" si="147"/>
        <v>0</v>
      </c>
      <c r="GW145" s="2">
        <v>1</v>
      </c>
      <c r="GX145" s="2">
        <f t="shared" si="148"/>
        <v>0</v>
      </c>
      <c r="GY145" s="2"/>
      <c r="GZ145" s="2"/>
      <c r="HA145" s="2">
        <v>0</v>
      </c>
      <c r="HB145" s="2">
        <v>0</v>
      </c>
      <c r="HC145" s="2">
        <f t="shared" si="149"/>
        <v>0</v>
      </c>
      <c r="HD145" s="2"/>
      <c r="HE145" s="2" t="s">
        <v>3</v>
      </c>
      <c r="HF145" s="2" t="s">
        <v>3</v>
      </c>
      <c r="HG145" s="2"/>
      <c r="HH145" s="2"/>
      <c r="HI145" s="2"/>
      <c r="HJ145" s="2"/>
      <c r="HK145" s="2"/>
      <c r="HL145" s="2"/>
      <c r="HM145" s="2" t="s">
        <v>3</v>
      </c>
      <c r="HN145" s="2" t="s">
        <v>3</v>
      </c>
      <c r="HO145" s="2" t="s">
        <v>3</v>
      </c>
      <c r="HP145" s="2" t="s">
        <v>3</v>
      </c>
      <c r="HQ145" s="2" t="s">
        <v>3</v>
      </c>
      <c r="HR145" s="2"/>
      <c r="HS145" s="2">
        <v>0</v>
      </c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>
        <v>0</v>
      </c>
      <c r="IL145" s="2"/>
      <c r="IM145" s="2"/>
      <c r="IN145" s="2"/>
      <c r="IO145" s="2"/>
      <c r="IP145" s="2"/>
      <c r="IQ145" s="2"/>
      <c r="IR145" s="2"/>
      <c r="IS145" s="2"/>
      <c r="IT145" s="2"/>
      <c r="IU145" s="2"/>
    </row>
    <row r="146" spans="1:255" x14ac:dyDescent="0.2">
      <c r="A146">
        <v>17</v>
      </c>
      <c r="B146">
        <v>1</v>
      </c>
      <c r="C146">
        <f>ROW(SmtRes!A126)</f>
        <v>126</v>
      </c>
      <c r="D146">
        <f>ROW(EtalonRes!A682)</f>
        <v>682</v>
      </c>
      <c r="E146" t="s">
        <v>220</v>
      </c>
      <c r="F146" t="s">
        <v>221</v>
      </c>
      <c r="G146" t="s">
        <v>222</v>
      </c>
      <c r="H146" t="s">
        <v>164</v>
      </c>
      <c r="I146">
        <v>0</v>
      </c>
      <c r="J146">
        <v>0</v>
      </c>
      <c r="K146">
        <v>0</v>
      </c>
      <c r="O146">
        <f t="shared" si="113"/>
        <v>0</v>
      </c>
      <c r="P146">
        <f t="shared" si="114"/>
        <v>0</v>
      </c>
      <c r="Q146">
        <f t="shared" si="115"/>
        <v>0</v>
      </c>
      <c r="R146">
        <f t="shared" si="116"/>
        <v>0</v>
      </c>
      <c r="S146">
        <f t="shared" si="117"/>
        <v>0</v>
      </c>
      <c r="T146">
        <f t="shared" si="118"/>
        <v>0</v>
      </c>
      <c r="U146">
        <f t="shared" si="119"/>
        <v>0</v>
      </c>
      <c r="V146">
        <f t="shared" si="120"/>
        <v>0</v>
      </c>
      <c r="W146">
        <f t="shared" si="121"/>
        <v>0</v>
      </c>
      <c r="X146">
        <f t="shared" si="122"/>
        <v>0</v>
      </c>
      <c r="Y146">
        <f t="shared" si="123"/>
        <v>0</v>
      </c>
      <c r="AA146">
        <v>56616093</v>
      </c>
      <c r="AB146">
        <f t="shared" si="124"/>
        <v>200.67699999999999</v>
      </c>
      <c r="AC146">
        <f t="shared" si="125"/>
        <v>53.75</v>
      </c>
      <c r="AD146">
        <f t="shared" si="126"/>
        <v>50.170999999999999</v>
      </c>
      <c r="AE146">
        <f t="shared" si="127"/>
        <v>6.8090000000000002</v>
      </c>
      <c r="AF146">
        <f t="shared" si="128"/>
        <v>96.756</v>
      </c>
      <c r="AG146">
        <f t="shared" si="129"/>
        <v>0</v>
      </c>
      <c r="AH146">
        <f t="shared" si="130"/>
        <v>7.8540000000000001</v>
      </c>
      <c r="AI146">
        <f t="shared" si="131"/>
        <v>0</v>
      </c>
      <c r="AJ146">
        <f t="shared" si="132"/>
        <v>0</v>
      </c>
      <c r="AK146">
        <v>187.32</v>
      </c>
      <c r="AL146">
        <v>53.75</v>
      </c>
      <c r="AM146">
        <v>45.61</v>
      </c>
      <c r="AN146">
        <v>6.19</v>
      </c>
      <c r="AO146">
        <v>87.96</v>
      </c>
      <c r="AP146">
        <v>0</v>
      </c>
      <c r="AQ146">
        <v>7.14</v>
      </c>
      <c r="AR146">
        <v>0</v>
      </c>
      <c r="AS146">
        <v>0</v>
      </c>
      <c r="AT146">
        <v>92</v>
      </c>
      <c r="AU146">
        <v>43</v>
      </c>
      <c r="AV146">
        <v>1.0669999999999999</v>
      </c>
      <c r="AW146">
        <v>1.081</v>
      </c>
      <c r="AZ146">
        <v>1</v>
      </c>
      <c r="BA146">
        <v>34.51</v>
      </c>
      <c r="BB146">
        <v>12.42</v>
      </c>
      <c r="BC146">
        <v>17.21</v>
      </c>
      <c r="BD146" t="s">
        <v>3</v>
      </c>
      <c r="BE146" t="s">
        <v>3</v>
      </c>
      <c r="BF146" t="s">
        <v>3</v>
      </c>
      <c r="BG146" t="s">
        <v>3</v>
      </c>
      <c r="BH146">
        <v>0</v>
      </c>
      <c r="BI146">
        <v>2</v>
      </c>
      <c r="BJ146" t="s">
        <v>223</v>
      </c>
      <c r="BM146">
        <v>318</v>
      </c>
      <c r="BN146">
        <v>0</v>
      </c>
      <c r="BO146" t="s">
        <v>221</v>
      </c>
      <c r="BP146">
        <v>1</v>
      </c>
      <c r="BQ146">
        <v>40</v>
      </c>
      <c r="BR146">
        <v>0</v>
      </c>
      <c r="BS146">
        <v>34.51</v>
      </c>
      <c r="BT146">
        <v>1</v>
      </c>
      <c r="BU146">
        <v>1</v>
      </c>
      <c r="BV146">
        <v>1</v>
      </c>
      <c r="BW146">
        <v>1</v>
      </c>
      <c r="BX146">
        <v>1</v>
      </c>
      <c r="BY146" t="s">
        <v>3</v>
      </c>
      <c r="BZ146">
        <v>92</v>
      </c>
      <c r="CA146">
        <v>43</v>
      </c>
      <c r="CB146" t="s">
        <v>3</v>
      </c>
      <c r="CE146">
        <v>30</v>
      </c>
      <c r="CF146">
        <v>0</v>
      </c>
      <c r="CG146">
        <v>0</v>
      </c>
      <c r="CM146">
        <v>0</v>
      </c>
      <c r="CN146" t="s">
        <v>671</v>
      </c>
      <c r="CO146">
        <v>0</v>
      </c>
      <c r="CP146">
        <f t="shared" si="133"/>
        <v>0</v>
      </c>
      <c r="CQ146">
        <f t="shared" si="134"/>
        <v>999.9</v>
      </c>
      <c r="CR146">
        <f t="shared" si="135"/>
        <v>664.84</v>
      </c>
      <c r="CS146">
        <f t="shared" si="136"/>
        <v>250.89</v>
      </c>
      <c r="CT146">
        <f t="shared" si="137"/>
        <v>3562.81</v>
      </c>
      <c r="CU146">
        <f t="shared" si="138"/>
        <v>0</v>
      </c>
      <c r="CV146">
        <f t="shared" si="139"/>
        <v>8.3802179999999993</v>
      </c>
      <c r="CW146">
        <f t="shared" si="140"/>
        <v>0</v>
      </c>
      <c r="CX146">
        <f t="shared" si="141"/>
        <v>0</v>
      </c>
      <c r="CY146">
        <f>S146*(BZ146/100)</f>
        <v>0</v>
      </c>
      <c r="CZ146">
        <f>S146*(CA146/100)</f>
        <v>0</v>
      </c>
      <c r="DC146" t="s">
        <v>3</v>
      </c>
      <c r="DD146" t="s">
        <v>3</v>
      </c>
      <c r="DE146" t="s">
        <v>22</v>
      </c>
      <c r="DF146" t="s">
        <v>22</v>
      </c>
      <c r="DG146" t="s">
        <v>22</v>
      </c>
      <c r="DH146" t="s">
        <v>3</v>
      </c>
      <c r="DI146" t="s">
        <v>22</v>
      </c>
      <c r="DJ146" t="s">
        <v>22</v>
      </c>
      <c r="DK146" t="s">
        <v>3</v>
      </c>
      <c r="DL146" t="s">
        <v>3</v>
      </c>
      <c r="DM146" t="s">
        <v>3</v>
      </c>
      <c r="DN146">
        <v>112</v>
      </c>
      <c r="DO146">
        <v>70</v>
      </c>
      <c r="DP146">
        <v>1.0669999999999999</v>
      </c>
      <c r="DQ146">
        <v>1.081</v>
      </c>
      <c r="DU146">
        <v>1013</v>
      </c>
      <c r="DV146" t="s">
        <v>164</v>
      </c>
      <c r="DW146" t="s">
        <v>164</v>
      </c>
      <c r="DX146">
        <v>1</v>
      </c>
      <c r="DZ146" t="s">
        <v>3</v>
      </c>
      <c r="EA146" t="s">
        <v>3</v>
      </c>
      <c r="EB146" t="s">
        <v>3</v>
      </c>
      <c r="EC146" t="s">
        <v>3</v>
      </c>
      <c r="EE146">
        <v>51696357</v>
      </c>
      <c r="EF146">
        <v>40</v>
      </c>
      <c r="EG146" t="s">
        <v>166</v>
      </c>
      <c r="EH146">
        <v>0</v>
      </c>
      <c r="EI146" t="s">
        <v>3</v>
      </c>
      <c r="EJ146">
        <v>2</v>
      </c>
      <c r="EK146">
        <v>318</v>
      </c>
      <c r="EL146" t="s">
        <v>167</v>
      </c>
      <c r="EM146" t="s">
        <v>168</v>
      </c>
      <c r="EO146" t="s">
        <v>25</v>
      </c>
      <c r="EQ146">
        <v>131072</v>
      </c>
      <c r="ER146">
        <v>187.32</v>
      </c>
      <c r="ES146">
        <v>53.75</v>
      </c>
      <c r="ET146">
        <v>45.61</v>
      </c>
      <c r="EU146">
        <v>6.19</v>
      </c>
      <c r="EV146">
        <v>87.96</v>
      </c>
      <c r="EW146">
        <v>7.14</v>
      </c>
      <c r="EX146">
        <v>0</v>
      </c>
      <c r="EY146">
        <v>0</v>
      </c>
      <c r="FQ146">
        <v>0</v>
      </c>
      <c r="FR146">
        <v>0</v>
      </c>
      <c r="FS146">
        <v>0</v>
      </c>
      <c r="FX146">
        <v>112</v>
      </c>
      <c r="FY146">
        <v>70</v>
      </c>
      <c r="GA146" t="s">
        <v>3</v>
      </c>
      <c r="GD146">
        <v>0</v>
      </c>
      <c r="GF146">
        <v>-1667466673</v>
      </c>
      <c r="GG146">
        <v>2</v>
      </c>
      <c r="GH146">
        <v>1</v>
      </c>
      <c r="GI146">
        <v>2</v>
      </c>
      <c r="GJ146">
        <v>0</v>
      </c>
      <c r="GK146">
        <f>ROUND(R146*(S12)/100,2)</f>
        <v>0</v>
      </c>
      <c r="GL146">
        <f t="shared" si="142"/>
        <v>0</v>
      </c>
      <c r="GM146">
        <f t="shared" si="143"/>
        <v>0</v>
      </c>
      <c r="GN146">
        <f t="shared" si="144"/>
        <v>0</v>
      </c>
      <c r="GO146">
        <f t="shared" si="145"/>
        <v>0</v>
      </c>
      <c r="GP146">
        <f t="shared" si="146"/>
        <v>0</v>
      </c>
      <c r="GR146">
        <v>0</v>
      </c>
      <c r="GS146">
        <v>3</v>
      </c>
      <c r="GT146">
        <v>0</v>
      </c>
      <c r="GU146" t="s">
        <v>3</v>
      </c>
      <c r="GV146">
        <f t="shared" si="147"/>
        <v>0</v>
      </c>
      <c r="GW146">
        <v>1</v>
      </c>
      <c r="GX146">
        <f t="shared" si="148"/>
        <v>0</v>
      </c>
      <c r="HA146">
        <v>0</v>
      </c>
      <c r="HB146">
        <v>0</v>
      </c>
      <c r="HC146">
        <f t="shared" si="149"/>
        <v>0</v>
      </c>
      <c r="HE146" t="s">
        <v>3</v>
      </c>
      <c r="HF146" t="s">
        <v>3</v>
      </c>
      <c r="HM146" t="s">
        <v>3</v>
      </c>
      <c r="HN146" t="s">
        <v>3</v>
      </c>
      <c r="HO146" t="s">
        <v>3</v>
      </c>
      <c r="HP146" t="s">
        <v>3</v>
      </c>
      <c r="HQ146" t="s">
        <v>3</v>
      </c>
      <c r="HS146">
        <v>0</v>
      </c>
      <c r="IK146">
        <v>0</v>
      </c>
    </row>
    <row r="147" spans="1:255" x14ac:dyDescent="0.2">
      <c r="A147" s="2">
        <v>17</v>
      </c>
      <c r="B147" s="2">
        <v>1</v>
      </c>
      <c r="C147" s="2">
        <f>ROW(SmtRes!A127)</f>
        <v>127</v>
      </c>
      <c r="D147" s="2">
        <f>ROW(EtalonRes!A695)</f>
        <v>695</v>
      </c>
      <c r="E147" s="2" t="s">
        <v>224</v>
      </c>
      <c r="F147" s="2" t="s">
        <v>225</v>
      </c>
      <c r="G147" s="2" t="s">
        <v>226</v>
      </c>
      <c r="H147" s="2" t="s">
        <v>164</v>
      </c>
      <c r="I147" s="2">
        <v>0</v>
      </c>
      <c r="J147" s="2">
        <v>0</v>
      </c>
      <c r="K147" s="2">
        <v>0</v>
      </c>
      <c r="L147" s="2"/>
      <c r="M147" s="2"/>
      <c r="N147" s="2"/>
      <c r="O147" s="2">
        <f t="shared" si="113"/>
        <v>0</v>
      </c>
      <c r="P147" s="2">
        <f t="shared" si="114"/>
        <v>0</v>
      </c>
      <c r="Q147" s="2">
        <f t="shared" si="115"/>
        <v>0</v>
      </c>
      <c r="R147" s="2">
        <f t="shared" si="116"/>
        <v>0</v>
      </c>
      <c r="S147" s="2">
        <f t="shared" si="117"/>
        <v>0</v>
      </c>
      <c r="T147" s="2">
        <f t="shared" si="118"/>
        <v>0</v>
      </c>
      <c r="U147" s="2">
        <f t="shared" si="119"/>
        <v>0</v>
      </c>
      <c r="V147" s="2">
        <f t="shared" si="120"/>
        <v>0</v>
      </c>
      <c r="W147" s="2">
        <f t="shared" si="121"/>
        <v>0</v>
      </c>
      <c r="X147" s="2">
        <f t="shared" si="122"/>
        <v>0</v>
      </c>
      <c r="Y147" s="2">
        <f t="shared" si="123"/>
        <v>0</v>
      </c>
      <c r="Z147" s="2"/>
      <c r="AA147" s="2">
        <v>56622586</v>
      </c>
      <c r="AB147" s="2">
        <f t="shared" si="124"/>
        <v>265.04899999999998</v>
      </c>
      <c r="AC147" s="2">
        <f t="shared" si="125"/>
        <v>53.75</v>
      </c>
      <c r="AD147" s="2">
        <f t="shared" si="126"/>
        <v>102.751</v>
      </c>
      <c r="AE147" s="2">
        <f t="shared" si="127"/>
        <v>14.718</v>
      </c>
      <c r="AF147" s="2">
        <f t="shared" si="128"/>
        <v>108.548</v>
      </c>
      <c r="AG147" s="2">
        <f t="shared" si="129"/>
        <v>0</v>
      </c>
      <c r="AH147" s="2">
        <f t="shared" si="130"/>
        <v>8.8109999999999999</v>
      </c>
      <c r="AI147" s="2">
        <f t="shared" si="131"/>
        <v>0</v>
      </c>
      <c r="AJ147" s="2">
        <f t="shared" si="132"/>
        <v>0</v>
      </c>
      <c r="AK147" s="2">
        <v>245.84</v>
      </c>
      <c r="AL147" s="2">
        <v>53.75</v>
      </c>
      <c r="AM147" s="2">
        <v>93.41</v>
      </c>
      <c r="AN147" s="2">
        <v>13.38</v>
      </c>
      <c r="AO147" s="2">
        <v>98.68</v>
      </c>
      <c r="AP147" s="2">
        <v>0</v>
      </c>
      <c r="AQ147" s="2">
        <v>8.01</v>
      </c>
      <c r="AR147" s="2">
        <v>0</v>
      </c>
      <c r="AS147" s="2">
        <v>0</v>
      </c>
      <c r="AT147" s="2">
        <v>112</v>
      </c>
      <c r="AU147" s="2">
        <v>70</v>
      </c>
      <c r="AV147" s="2">
        <v>1.0669999999999999</v>
      </c>
      <c r="AW147" s="2">
        <v>1.081</v>
      </c>
      <c r="AX147" s="2"/>
      <c r="AY147" s="2"/>
      <c r="AZ147" s="2">
        <v>1</v>
      </c>
      <c r="BA147" s="2">
        <v>1</v>
      </c>
      <c r="BB147" s="2">
        <v>1</v>
      </c>
      <c r="BC147" s="2">
        <v>1</v>
      </c>
      <c r="BD147" s="2" t="s">
        <v>3</v>
      </c>
      <c r="BE147" s="2" t="s">
        <v>3</v>
      </c>
      <c r="BF147" s="2" t="s">
        <v>3</v>
      </c>
      <c r="BG147" s="2" t="s">
        <v>3</v>
      </c>
      <c r="BH147" s="2">
        <v>0</v>
      </c>
      <c r="BI147" s="2">
        <v>2</v>
      </c>
      <c r="BJ147" s="2" t="s">
        <v>227</v>
      </c>
      <c r="BK147" s="2"/>
      <c r="BL147" s="2"/>
      <c r="BM147" s="2">
        <v>318</v>
      </c>
      <c r="BN147" s="2">
        <v>0</v>
      </c>
      <c r="BO147" s="2" t="s">
        <v>3</v>
      </c>
      <c r="BP147" s="2">
        <v>0</v>
      </c>
      <c r="BQ147" s="2">
        <v>40</v>
      </c>
      <c r="BR147" s="2">
        <v>0</v>
      </c>
      <c r="BS147" s="2">
        <v>1</v>
      </c>
      <c r="BT147" s="2">
        <v>1</v>
      </c>
      <c r="BU147" s="2">
        <v>1</v>
      </c>
      <c r="BV147" s="2">
        <v>1</v>
      </c>
      <c r="BW147" s="2">
        <v>1</v>
      </c>
      <c r="BX147" s="2">
        <v>1</v>
      </c>
      <c r="BY147" s="2" t="s">
        <v>3</v>
      </c>
      <c r="BZ147" s="2">
        <v>112</v>
      </c>
      <c r="CA147" s="2">
        <v>70</v>
      </c>
      <c r="CB147" s="2" t="s">
        <v>3</v>
      </c>
      <c r="CC147" s="2"/>
      <c r="CD147" s="2"/>
      <c r="CE147" s="2">
        <v>30</v>
      </c>
      <c r="CF147" s="2">
        <v>0</v>
      </c>
      <c r="CG147" s="2">
        <v>0</v>
      </c>
      <c r="CH147" s="2"/>
      <c r="CI147" s="2"/>
      <c r="CJ147" s="2"/>
      <c r="CK147" s="2"/>
      <c r="CL147" s="2"/>
      <c r="CM147" s="2">
        <v>0</v>
      </c>
      <c r="CN147" s="2" t="s">
        <v>671</v>
      </c>
      <c r="CO147" s="2">
        <v>0</v>
      </c>
      <c r="CP147" s="2">
        <f t="shared" si="133"/>
        <v>0</v>
      </c>
      <c r="CQ147" s="2">
        <f t="shared" si="134"/>
        <v>58.1</v>
      </c>
      <c r="CR147" s="2">
        <f t="shared" si="135"/>
        <v>109.64</v>
      </c>
      <c r="CS147" s="2">
        <f t="shared" si="136"/>
        <v>15.7</v>
      </c>
      <c r="CT147" s="2">
        <f t="shared" si="137"/>
        <v>115.82</v>
      </c>
      <c r="CU147" s="2">
        <f t="shared" si="138"/>
        <v>0</v>
      </c>
      <c r="CV147" s="2">
        <f t="shared" si="139"/>
        <v>9.4013369999999998</v>
      </c>
      <c r="CW147" s="2">
        <f t="shared" si="140"/>
        <v>0</v>
      </c>
      <c r="CX147" s="2">
        <f t="shared" si="141"/>
        <v>0</v>
      </c>
      <c r="CY147" s="2">
        <f>((S147*BZ147)/100)</f>
        <v>0</v>
      </c>
      <c r="CZ147" s="2">
        <f>((S147*CA147)/100)</f>
        <v>0</v>
      </c>
      <c r="DA147" s="2"/>
      <c r="DB147" s="2"/>
      <c r="DC147" s="2" t="s">
        <v>3</v>
      </c>
      <c r="DD147" s="2" t="s">
        <v>3</v>
      </c>
      <c r="DE147" s="2" t="s">
        <v>22</v>
      </c>
      <c r="DF147" s="2" t="s">
        <v>22</v>
      </c>
      <c r="DG147" s="2" t="s">
        <v>22</v>
      </c>
      <c r="DH147" s="2" t="s">
        <v>3</v>
      </c>
      <c r="DI147" s="2" t="s">
        <v>22</v>
      </c>
      <c r="DJ147" s="2" t="s">
        <v>22</v>
      </c>
      <c r="DK147" s="2" t="s">
        <v>3</v>
      </c>
      <c r="DL147" s="2" t="s">
        <v>3</v>
      </c>
      <c r="DM147" s="2" t="s">
        <v>3</v>
      </c>
      <c r="DN147" s="2">
        <v>0</v>
      </c>
      <c r="DO147" s="2">
        <v>0</v>
      </c>
      <c r="DP147" s="2">
        <v>1</v>
      </c>
      <c r="DQ147" s="2">
        <v>1</v>
      </c>
      <c r="DR147" s="2"/>
      <c r="DS147" s="2"/>
      <c r="DT147" s="2"/>
      <c r="DU147" s="2">
        <v>1013</v>
      </c>
      <c r="DV147" s="2" t="s">
        <v>164</v>
      </c>
      <c r="DW147" s="2" t="s">
        <v>164</v>
      </c>
      <c r="DX147" s="2">
        <v>1</v>
      </c>
      <c r="DY147" s="2"/>
      <c r="DZ147" s="2" t="s">
        <v>3</v>
      </c>
      <c r="EA147" s="2" t="s">
        <v>3</v>
      </c>
      <c r="EB147" s="2" t="s">
        <v>3</v>
      </c>
      <c r="EC147" s="2" t="s">
        <v>3</v>
      </c>
      <c r="ED147" s="2"/>
      <c r="EE147" s="2">
        <v>51696357</v>
      </c>
      <c r="EF147" s="2">
        <v>40</v>
      </c>
      <c r="EG147" s="2" t="s">
        <v>166</v>
      </c>
      <c r="EH147" s="2">
        <v>0</v>
      </c>
      <c r="EI147" s="2" t="s">
        <v>3</v>
      </c>
      <c r="EJ147" s="2">
        <v>2</v>
      </c>
      <c r="EK147" s="2">
        <v>318</v>
      </c>
      <c r="EL147" s="2" t="s">
        <v>167</v>
      </c>
      <c r="EM147" s="2" t="s">
        <v>168</v>
      </c>
      <c r="EN147" s="2"/>
      <c r="EO147" s="2" t="s">
        <v>25</v>
      </c>
      <c r="EP147" s="2"/>
      <c r="EQ147" s="2">
        <v>131072</v>
      </c>
      <c r="ER147" s="2">
        <v>245.84</v>
      </c>
      <c r="ES147" s="2">
        <v>53.75</v>
      </c>
      <c r="ET147" s="2">
        <v>93.41</v>
      </c>
      <c r="EU147" s="2">
        <v>13.38</v>
      </c>
      <c r="EV147" s="2">
        <v>98.68</v>
      </c>
      <c r="EW147" s="2">
        <v>8.01</v>
      </c>
      <c r="EX147" s="2">
        <v>0</v>
      </c>
      <c r="EY147" s="2">
        <v>0</v>
      </c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>
        <v>0</v>
      </c>
      <c r="FR147" s="2">
        <v>0</v>
      </c>
      <c r="FS147" s="2">
        <v>0</v>
      </c>
      <c r="FT147" s="2"/>
      <c r="FU147" s="2"/>
      <c r="FV147" s="2"/>
      <c r="FW147" s="2"/>
      <c r="FX147" s="2">
        <v>112</v>
      </c>
      <c r="FY147" s="2">
        <v>70</v>
      </c>
      <c r="FZ147" s="2"/>
      <c r="GA147" s="2" t="s">
        <v>3</v>
      </c>
      <c r="GB147" s="2"/>
      <c r="GC147" s="2"/>
      <c r="GD147" s="2">
        <v>0</v>
      </c>
      <c r="GE147" s="2"/>
      <c r="GF147" s="2">
        <v>727247887</v>
      </c>
      <c r="GG147" s="2">
        <v>2</v>
      </c>
      <c r="GH147" s="2">
        <v>1</v>
      </c>
      <c r="GI147" s="2">
        <v>-2</v>
      </c>
      <c r="GJ147" s="2">
        <v>0</v>
      </c>
      <c r="GK147" s="2">
        <f>ROUND(R147*(R12)/100,2)</f>
        <v>0</v>
      </c>
      <c r="GL147" s="2">
        <f t="shared" si="142"/>
        <v>0</v>
      </c>
      <c r="GM147" s="2">
        <f t="shared" si="143"/>
        <v>0</v>
      </c>
      <c r="GN147" s="2">
        <f t="shared" si="144"/>
        <v>0</v>
      </c>
      <c r="GO147" s="2">
        <f t="shared" si="145"/>
        <v>0</v>
      </c>
      <c r="GP147" s="2">
        <f t="shared" si="146"/>
        <v>0</v>
      </c>
      <c r="GQ147" s="2"/>
      <c r="GR147" s="2">
        <v>0</v>
      </c>
      <c r="GS147" s="2">
        <v>0</v>
      </c>
      <c r="GT147" s="2">
        <v>0</v>
      </c>
      <c r="GU147" s="2" t="s">
        <v>3</v>
      </c>
      <c r="GV147" s="2">
        <f t="shared" si="147"/>
        <v>0</v>
      </c>
      <c r="GW147" s="2">
        <v>1</v>
      </c>
      <c r="GX147" s="2">
        <f t="shared" si="148"/>
        <v>0</v>
      </c>
      <c r="GY147" s="2"/>
      <c r="GZ147" s="2"/>
      <c r="HA147" s="2">
        <v>0</v>
      </c>
      <c r="HB147" s="2">
        <v>0</v>
      </c>
      <c r="HC147" s="2">
        <f t="shared" si="149"/>
        <v>0</v>
      </c>
      <c r="HD147" s="2"/>
      <c r="HE147" s="2" t="s">
        <v>3</v>
      </c>
      <c r="HF147" s="2" t="s">
        <v>3</v>
      </c>
      <c r="HG147" s="2"/>
      <c r="HH147" s="2"/>
      <c r="HI147" s="2"/>
      <c r="HJ147" s="2"/>
      <c r="HK147" s="2"/>
      <c r="HL147" s="2"/>
      <c r="HM147" s="2" t="s">
        <v>3</v>
      </c>
      <c r="HN147" s="2" t="s">
        <v>3</v>
      </c>
      <c r="HO147" s="2" t="s">
        <v>3</v>
      </c>
      <c r="HP147" s="2" t="s">
        <v>3</v>
      </c>
      <c r="HQ147" s="2" t="s">
        <v>3</v>
      </c>
      <c r="HR147" s="2"/>
      <c r="HS147" s="2">
        <v>0</v>
      </c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>
        <v>0</v>
      </c>
      <c r="IL147" s="2"/>
      <c r="IM147" s="2"/>
      <c r="IN147" s="2"/>
      <c r="IO147" s="2"/>
      <c r="IP147" s="2"/>
      <c r="IQ147" s="2"/>
      <c r="IR147" s="2"/>
      <c r="IS147" s="2"/>
      <c r="IT147" s="2"/>
      <c r="IU147" s="2"/>
    </row>
    <row r="148" spans="1:255" x14ac:dyDescent="0.2">
      <c r="A148">
        <v>17</v>
      </c>
      <c r="B148">
        <v>1</v>
      </c>
      <c r="C148">
        <f>ROW(SmtRes!A128)</f>
        <v>128</v>
      </c>
      <c r="D148">
        <f>ROW(EtalonRes!A708)</f>
        <v>708</v>
      </c>
      <c r="E148" t="s">
        <v>224</v>
      </c>
      <c r="F148" t="s">
        <v>225</v>
      </c>
      <c r="G148" t="s">
        <v>226</v>
      </c>
      <c r="H148" t="s">
        <v>164</v>
      </c>
      <c r="I148">
        <v>0</v>
      </c>
      <c r="J148">
        <v>0</v>
      </c>
      <c r="K148">
        <v>0</v>
      </c>
      <c r="O148">
        <f t="shared" si="113"/>
        <v>0</v>
      </c>
      <c r="P148">
        <f t="shared" si="114"/>
        <v>0</v>
      </c>
      <c r="Q148">
        <f t="shared" si="115"/>
        <v>0</v>
      </c>
      <c r="R148">
        <f t="shared" si="116"/>
        <v>0</v>
      </c>
      <c r="S148">
        <f t="shared" si="117"/>
        <v>0</v>
      </c>
      <c r="T148">
        <f t="shared" si="118"/>
        <v>0</v>
      </c>
      <c r="U148">
        <f t="shared" si="119"/>
        <v>0</v>
      </c>
      <c r="V148">
        <f t="shared" si="120"/>
        <v>0</v>
      </c>
      <c r="W148">
        <f t="shared" si="121"/>
        <v>0</v>
      </c>
      <c r="X148">
        <f t="shared" si="122"/>
        <v>0</v>
      </c>
      <c r="Y148">
        <f t="shared" si="123"/>
        <v>0</v>
      </c>
      <c r="AA148">
        <v>56616093</v>
      </c>
      <c r="AB148">
        <f t="shared" si="124"/>
        <v>265.04899999999998</v>
      </c>
      <c r="AC148">
        <f t="shared" si="125"/>
        <v>53.75</v>
      </c>
      <c r="AD148">
        <f t="shared" si="126"/>
        <v>102.751</v>
      </c>
      <c r="AE148">
        <f t="shared" si="127"/>
        <v>14.718</v>
      </c>
      <c r="AF148">
        <f t="shared" si="128"/>
        <v>108.548</v>
      </c>
      <c r="AG148">
        <f t="shared" si="129"/>
        <v>0</v>
      </c>
      <c r="AH148">
        <f t="shared" si="130"/>
        <v>8.8109999999999999</v>
      </c>
      <c r="AI148">
        <f t="shared" si="131"/>
        <v>0</v>
      </c>
      <c r="AJ148">
        <f t="shared" si="132"/>
        <v>0</v>
      </c>
      <c r="AK148">
        <v>245.84</v>
      </c>
      <c r="AL148">
        <v>53.75</v>
      </c>
      <c r="AM148">
        <v>93.41</v>
      </c>
      <c r="AN148">
        <v>13.38</v>
      </c>
      <c r="AO148">
        <v>98.68</v>
      </c>
      <c r="AP148">
        <v>0</v>
      </c>
      <c r="AQ148">
        <v>8.01</v>
      </c>
      <c r="AR148">
        <v>0</v>
      </c>
      <c r="AS148">
        <v>0</v>
      </c>
      <c r="AT148">
        <v>92</v>
      </c>
      <c r="AU148">
        <v>43</v>
      </c>
      <c r="AV148">
        <v>1.0669999999999999</v>
      </c>
      <c r="AW148">
        <v>1.081</v>
      </c>
      <c r="AZ148">
        <v>1</v>
      </c>
      <c r="BA148">
        <v>34.51</v>
      </c>
      <c r="BB148">
        <v>12.62</v>
      </c>
      <c r="BC148">
        <v>17.21</v>
      </c>
      <c r="BD148" t="s">
        <v>3</v>
      </c>
      <c r="BE148" t="s">
        <v>3</v>
      </c>
      <c r="BF148" t="s">
        <v>3</v>
      </c>
      <c r="BG148" t="s">
        <v>3</v>
      </c>
      <c r="BH148">
        <v>0</v>
      </c>
      <c r="BI148">
        <v>2</v>
      </c>
      <c r="BJ148" t="s">
        <v>227</v>
      </c>
      <c r="BM148">
        <v>318</v>
      </c>
      <c r="BN148">
        <v>0</v>
      </c>
      <c r="BO148" t="s">
        <v>225</v>
      </c>
      <c r="BP148">
        <v>1</v>
      </c>
      <c r="BQ148">
        <v>40</v>
      </c>
      <c r="BR148">
        <v>0</v>
      </c>
      <c r="BS148">
        <v>34.51</v>
      </c>
      <c r="BT148">
        <v>1</v>
      </c>
      <c r="BU148">
        <v>1</v>
      </c>
      <c r="BV148">
        <v>1</v>
      </c>
      <c r="BW148">
        <v>1</v>
      </c>
      <c r="BX148">
        <v>1</v>
      </c>
      <c r="BY148" t="s">
        <v>3</v>
      </c>
      <c r="BZ148">
        <v>92</v>
      </c>
      <c r="CA148">
        <v>43</v>
      </c>
      <c r="CB148" t="s">
        <v>3</v>
      </c>
      <c r="CE148">
        <v>30</v>
      </c>
      <c r="CF148">
        <v>0</v>
      </c>
      <c r="CG148">
        <v>0</v>
      </c>
      <c r="CM148">
        <v>0</v>
      </c>
      <c r="CN148" t="s">
        <v>671</v>
      </c>
      <c r="CO148">
        <v>0</v>
      </c>
      <c r="CP148">
        <f t="shared" si="133"/>
        <v>0</v>
      </c>
      <c r="CQ148">
        <f t="shared" si="134"/>
        <v>999.9</v>
      </c>
      <c r="CR148">
        <f t="shared" si="135"/>
        <v>1383.66</v>
      </c>
      <c r="CS148">
        <f t="shared" si="136"/>
        <v>541.80999999999995</v>
      </c>
      <c r="CT148">
        <f t="shared" si="137"/>
        <v>3996.95</v>
      </c>
      <c r="CU148">
        <f t="shared" si="138"/>
        <v>0</v>
      </c>
      <c r="CV148">
        <f t="shared" si="139"/>
        <v>9.4013369999999998</v>
      </c>
      <c r="CW148">
        <f t="shared" si="140"/>
        <v>0</v>
      </c>
      <c r="CX148">
        <f t="shared" si="141"/>
        <v>0</v>
      </c>
      <c r="CY148">
        <f>S148*(BZ148/100)</f>
        <v>0</v>
      </c>
      <c r="CZ148">
        <f>S148*(CA148/100)</f>
        <v>0</v>
      </c>
      <c r="DC148" t="s">
        <v>3</v>
      </c>
      <c r="DD148" t="s">
        <v>3</v>
      </c>
      <c r="DE148" t="s">
        <v>22</v>
      </c>
      <c r="DF148" t="s">
        <v>22</v>
      </c>
      <c r="DG148" t="s">
        <v>22</v>
      </c>
      <c r="DH148" t="s">
        <v>3</v>
      </c>
      <c r="DI148" t="s">
        <v>22</v>
      </c>
      <c r="DJ148" t="s">
        <v>22</v>
      </c>
      <c r="DK148" t="s">
        <v>3</v>
      </c>
      <c r="DL148" t="s">
        <v>3</v>
      </c>
      <c r="DM148" t="s">
        <v>3</v>
      </c>
      <c r="DN148">
        <v>112</v>
      </c>
      <c r="DO148">
        <v>70</v>
      </c>
      <c r="DP148">
        <v>1.0669999999999999</v>
      </c>
      <c r="DQ148">
        <v>1.081</v>
      </c>
      <c r="DU148">
        <v>1013</v>
      </c>
      <c r="DV148" t="s">
        <v>164</v>
      </c>
      <c r="DW148" t="s">
        <v>164</v>
      </c>
      <c r="DX148">
        <v>1</v>
      </c>
      <c r="DZ148" t="s">
        <v>3</v>
      </c>
      <c r="EA148" t="s">
        <v>3</v>
      </c>
      <c r="EB148" t="s">
        <v>3</v>
      </c>
      <c r="EC148" t="s">
        <v>3</v>
      </c>
      <c r="EE148">
        <v>51696357</v>
      </c>
      <c r="EF148">
        <v>40</v>
      </c>
      <c r="EG148" t="s">
        <v>166</v>
      </c>
      <c r="EH148">
        <v>0</v>
      </c>
      <c r="EI148" t="s">
        <v>3</v>
      </c>
      <c r="EJ148">
        <v>2</v>
      </c>
      <c r="EK148">
        <v>318</v>
      </c>
      <c r="EL148" t="s">
        <v>167</v>
      </c>
      <c r="EM148" t="s">
        <v>168</v>
      </c>
      <c r="EO148" t="s">
        <v>25</v>
      </c>
      <c r="EQ148">
        <v>131072</v>
      </c>
      <c r="ER148">
        <v>245.84</v>
      </c>
      <c r="ES148">
        <v>53.75</v>
      </c>
      <c r="ET148">
        <v>93.41</v>
      </c>
      <c r="EU148">
        <v>13.38</v>
      </c>
      <c r="EV148">
        <v>98.68</v>
      </c>
      <c r="EW148">
        <v>8.01</v>
      </c>
      <c r="EX148">
        <v>0</v>
      </c>
      <c r="EY148">
        <v>0</v>
      </c>
      <c r="FQ148">
        <v>0</v>
      </c>
      <c r="FR148">
        <v>0</v>
      </c>
      <c r="FS148">
        <v>0</v>
      </c>
      <c r="FX148">
        <v>112</v>
      </c>
      <c r="FY148">
        <v>70</v>
      </c>
      <c r="GA148" t="s">
        <v>3</v>
      </c>
      <c r="GD148">
        <v>0</v>
      </c>
      <c r="GF148">
        <v>727247887</v>
      </c>
      <c r="GG148">
        <v>2</v>
      </c>
      <c r="GH148">
        <v>1</v>
      </c>
      <c r="GI148">
        <v>2</v>
      </c>
      <c r="GJ148">
        <v>0</v>
      </c>
      <c r="GK148">
        <f>ROUND(R148*(S12)/100,2)</f>
        <v>0</v>
      </c>
      <c r="GL148">
        <f t="shared" si="142"/>
        <v>0</v>
      </c>
      <c r="GM148">
        <f t="shared" si="143"/>
        <v>0</v>
      </c>
      <c r="GN148">
        <f t="shared" si="144"/>
        <v>0</v>
      </c>
      <c r="GO148">
        <f t="shared" si="145"/>
        <v>0</v>
      </c>
      <c r="GP148">
        <f t="shared" si="146"/>
        <v>0</v>
      </c>
      <c r="GR148">
        <v>0</v>
      </c>
      <c r="GS148">
        <v>3</v>
      </c>
      <c r="GT148">
        <v>0</v>
      </c>
      <c r="GU148" t="s">
        <v>3</v>
      </c>
      <c r="GV148">
        <f t="shared" si="147"/>
        <v>0</v>
      </c>
      <c r="GW148">
        <v>1</v>
      </c>
      <c r="GX148">
        <f t="shared" si="148"/>
        <v>0</v>
      </c>
      <c r="HA148">
        <v>0</v>
      </c>
      <c r="HB148">
        <v>0</v>
      </c>
      <c r="HC148">
        <f t="shared" si="149"/>
        <v>0</v>
      </c>
      <c r="HE148" t="s">
        <v>3</v>
      </c>
      <c r="HF148" t="s">
        <v>3</v>
      </c>
      <c r="HM148" t="s">
        <v>3</v>
      </c>
      <c r="HN148" t="s">
        <v>3</v>
      </c>
      <c r="HO148" t="s">
        <v>3</v>
      </c>
      <c r="HP148" t="s">
        <v>3</v>
      </c>
      <c r="HQ148" t="s">
        <v>3</v>
      </c>
      <c r="HS148">
        <v>0</v>
      </c>
      <c r="IK148">
        <v>0</v>
      </c>
    </row>
    <row r="149" spans="1:255" x14ac:dyDescent="0.2">
      <c r="A149" s="2">
        <v>17</v>
      </c>
      <c r="B149" s="2">
        <v>1</v>
      </c>
      <c r="C149" s="2">
        <f>ROW(SmtRes!A139)</f>
        <v>139</v>
      </c>
      <c r="D149" s="2">
        <f>ROW(EtalonRes!A721)</f>
        <v>721</v>
      </c>
      <c r="E149" s="2" t="s">
        <v>228</v>
      </c>
      <c r="F149" s="2" t="s">
        <v>229</v>
      </c>
      <c r="G149" s="2" t="s">
        <v>230</v>
      </c>
      <c r="H149" s="2" t="s">
        <v>164</v>
      </c>
      <c r="I149" s="2">
        <v>0</v>
      </c>
      <c r="J149" s="2">
        <v>0</v>
      </c>
      <c r="K149" s="2">
        <v>0</v>
      </c>
      <c r="L149" s="2"/>
      <c r="M149" s="2"/>
      <c r="N149" s="2"/>
      <c r="O149" s="2">
        <f t="shared" si="113"/>
        <v>0</v>
      </c>
      <c r="P149" s="2">
        <f t="shared" si="114"/>
        <v>0</v>
      </c>
      <c r="Q149" s="2">
        <f t="shared" si="115"/>
        <v>0</v>
      </c>
      <c r="R149" s="2">
        <f t="shared" si="116"/>
        <v>0</v>
      </c>
      <c r="S149" s="2">
        <f t="shared" si="117"/>
        <v>0</v>
      </c>
      <c r="T149" s="2">
        <f t="shared" si="118"/>
        <v>0</v>
      </c>
      <c r="U149" s="2">
        <f t="shared" si="119"/>
        <v>0</v>
      </c>
      <c r="V149" s="2">
        <f t="shared" si="120"/>
        <v>0</v>
      </c>
      <c r="W149" s="2">
        <f t="shared" si="121"/>
        <v>0</v>
      </c>
      <c r="X149" s="2">
        <f t="shared" si="122"/>
        <v>0</v>
      </c>
      <c r="Y149" s="2">
        <f t="shared" si="123"/>
        <v>0</v>
      </c>
      <c r="Z149" s="2"/>
      <c r="AA149" s="2">
        <v>56622586</v>
      </c>
      <c r="AB149" s="2">
        <f t="shared" si="124"/>
        <v>350.60700000000003</v>
      </c>
      <c r="AC149" s="2">
        <f t="shared" si="125"/>
        <v>53.75</v>
      </c>
      <c r="AD149" s="2">
        <f t="shared" si="126"/>
        <v>147.785</v>
      </c>
      <c r="AE149" s="2">
        <f t="shared" si="127"/>
        <v>20.547999999999998</v>
      </c>
      <c r="AF149" s="2">
        <f t="shared" si="128"/>
        <v>149.072</v>
      </c>
      <c r="AG149" s="2">
        <f t="shared" si="129"/>
        <v>0</v>
      </c>
      <c r="AH149" s="2">
        <f t="shared" si="130"/>
        <v>12.100000000000001</v>
      </c>
      <c r="AI149" s="2">
        <f t="shared" si="131"/>
        <v>0</v>
      </c>
      <c r="AJ149" s="2">
        <f t="shared" si="132"/>
        <v>0</v>
      </c>
      <c r="AK149" s="2">
        <v>323.62</v>
      </c>
      <c r="AL149" s="2">
        <v>53.75</v>
      </c>
      <c r="AM149" s="2">
        <v>134.35</v>
      </c>
      <c r="AN149" s="2">
        <v>18.68</v>
      </c>
      <c r="AO149" s="2">
        <v>135.52000000000001</v>
      </c>
      <c r="AP149" s="2">
        <v>0</v>
      </c>
      <c r="AQ149" s="2">
        <v>11</v>
      </c>
      <c r="AR149" s="2">
        <v>0</v>
      </c>
      <c r="AS149" s="2">
        <v>0</v>
      </c>
      <c r="AT149" s="2">
        <v>112</v>
      </c>
      <c r="AU149" s="2">
        <v>70</v>
      </c>
      <c r="AV149" s="2">
        <v>1.0669999999999999</v>
      </c>
      <c r="AW149" s="2">
        <v>1.081</v>
      </c>
      <c r="AX149" s="2"/>
      <c r="AY149" s="2"/>
      <c r="AZ149" s="2">
        <v>1</v>
      </c>
      <c r="BA149" s="2">
        <v>1</v>
      </c>
      <c r="BB149" s="2">
        <v>1</v>
      </c>
      <c r="BC149" s="2">
        <v>1</v>
      </c>
      <c r="BD149" s="2" t="s">
        <v>3</v>
      </c>
      <c r="BE149" s="2" t="s">
        <v>3</v>
      </c>
      <c r="BF149" s="2" t="s">
        <v>3</v>
      </c>
      <c r="BG149" s="2" t="s">
        <v>3</v>
      </c>
      <c r="BH149" s="2">
        <v>0</v>
      </c>
      <c r="BI149" s="2">
        <v>2</v>
      </c>
      <c r="BJ149" s="2" t="s">
        <v>231</v>
      </c>
      <c r="BK149" s="2"/>
      <c r="BL149" s="2"/>
      <c r="BM149" s="2">
        <v>318</v>
      </c>
      <c r="BN149" s="2">
        <v>0</v>
      </c>
      <c r="BO149" s="2" t="s">
        <v>3</v>
      </c>
      <c r="BP149" s="2">
        <v>0</v>
      </c>
      <c r="BQ149" s="2">
        <v>40</v>
      </c>
      <c r="BR149" s="2">
        <v>0</v>
      </c>
      <c r="BS149" s="2">
        <v>1</v>
      </c>
      <c r="BT149" s="2">
        <v>1</v>
      </c>
      <c r="BU149" s="2">
        <v>1</v>
      </c>
      <c r="BV149" s="2">
        <v>1</v>
      </c>
      <c r="BW149" s="2">
        <v>1</v>
      </c>
      <c r="BX149" s="2">
        <v>1</v>
      </c>
      <c r="BY149" s="2" t="s">
        <v>3</v>
      </c>
      <c r="BZ149" s="2">
        <v>112</v>
      </c>
      <c r="CA149" s="2">
        <v>70</v>
      </c>
      <c r="CB149" s="2" t="s">
        <v>3</v>
      </c>
      <c r="CC149" s="2"/>
      <c r="CD149" s="2"/>
      <c r="CE149" s="2">
        <v>30</v>
      </c>
      <c r="CF149" s="2">
        <v>0</v>
      </c>
      <c r="CG149" s="2">
        <v>0</v>
      </c>
      <c r="CH149" s="2"/>
      <c r="CI149" s="2"/>
      <c r="CJ149" s="2"/>
      <c r="CK149" s="2"/>
      <c r="CL149" s="2"/>
      <c r="CM149" s="2">
        <v>0</v>
      </c>
      <c r="CN149" s="2" t="s">
        <v>671</v>
      </c>
      <c r="CO149" s="2">
        <v>0</v>
      </c>
      <c r="CP149" s="2">
        <f t="shared" si="133"/>
        <v>0</v>
      </c>
      <c r="CQ149" s="2">
        <f t="shared" si="134"/>
        <v>58.1</v>
      </c>
      <c r="CR149" s="2">
        <f t="shared" si="135"/>
        <v>157.69</v>
      </c>
      <c r="CS149" s="2">
        <f t="shared" si="136"/>
        <v>21.92</v>
      </c>
      <c r="CT149" s="2">
        <f t="shared" si="137"/>
        <v>159.06</v>
      </c>
      <c r="CU149" s="2">
        <f t="shared" si="138"/>
        <v>0</v>
      </c>
      <c r="CV149" s="2">
        <f t="shared" si="139"/>
        <v>12.9107</v>
      </c>
      <c r="CW149" s="2">
        <f t="shared" si="140"/>
        <v>0</v>
      </c>
      <c r="CX149" s="2">
        <f t="shared" si="141"/>
        <v>0</v>
      </c>
      <c r="CY149" s="2">
        <f>((S149*BZ149)/100)</f>
        <v>0</v>
      </c>
      <c r="CZ149" s="2">
        <f>((S149*CA149)/100)</f>
        <v>0</v>
      </c>
      <c r="DA149" s="2"/>
      <c r="DB149" s="2"/>
      <c r="DC149" s="2" t="s">
        <v>3</v>
      </c>
      <c r="DD149" s="2" t="s">
        <v>3</v>
      </c>
      <c r="DE149" s="2" t="s">
        <v>22</v>
      </c>
      <c r="DF149" s="2" t="s">
        <v>22</v>
      </c>
      <c r="DG149" s="2" t="s">
        <v>22</v>
      </c>
      <c r="DH149" s="2" t="s">
        <v>3</v>
      </c>
      <c r="DI149" s="2" t="s">
        <v>22</v>
      </c>
      <c r="DJ149" s="2" t="s">
        <v>22</v>
      </c>
      <c r="DK149" s="2" t="s">
        <v>3</v>
      </c>
      <c r="DL149" s="2" t="s">
        <v>3</v>
      </c>
      <c r="DM149" s="2" t="s">
        <v>3</v>
      </c>
      <c r="DN149" s="2">
        <v>0</v>
      </c>
      <c r="DO149" s="2">
        <v>0</v>
      </c>
      <c r="DP149" s="2">
        <v>1</v>
      </c>
      <c r="DQ149" s="2">
        <v>1</v>
      </c>
      <c r="DR149" s="2"/>
      <c r="DS149" s="2"/>
      <c r="DT149" s="2"/>
      <c r="DU149" s="2">
        <v>1013</v>
      </c>
      <c r="DV149" s="2" t="s">
        <v>164</v>
      </c>
      <c r="DW149" s="2" t="s">
        <v>164</v>
      </c>
      <c r="DX149" s="2">
        <v>1</v>
      </c>
      <c r="DY149" s="2"/>
      <c r="DZ149" s="2" t="s">
        <v>3</v>
      </c>
      <c r="EA149" s="2" t="s">
        <v>3</v>
      </c>
      <c r="EB149" s="2" t="s">
        <v>3</v>
      </c>
      <c r="EC149" s="2" t="s">
        <v>3</v>
      </c>
      <c r="ED149" s="2"/>
      <c r="EE149" s="2">
        <v>51696357</v>
      </c>
      <c r="EF149" s="2">
        <v>40</v>
      </c>
      <c r="EG149" s="2" t="s">
        <v>166</v>
      </c>
      <c r="EH149" s="2">
        <v>0</v>
      </c>
      <c r="EI149" s="2" t="s">
        <v>3</v>
      </c>
      <c r="EJ149" s="2">
        <v>2</v>
      </c>
      <c r="EK149" s="2">
        <v>318</v>
      </c>
      <c r="EL149" s="2" t="s">
        <v>167</v>
      </c>
      <c r="EM149" s="2" t="s">
        <v>168</v>
      </c>
      <c r="EN149" s="2"/>
      <c r="EO149" s="2" t="s">
        <v>25</v>
      </c>
      <c r="EP149" s="2"/>
      <c r="EQ149" s="2">
        <v>131072</v>
      </c>
      <c r="ER149" s="2">
        <v>323.62</v>
      </c>
      <c r="ES149" s="2">
        <v>53.75</v>
      </c>
      <c r="ET149" s="2">
        <v>134.35</v>
      </c>
      <c r="EU149" s="2">
        <v>18.68</v>
      </c>
      <c r="EV149" s="2">
        <v>135.52000000000001</v>
      </c>
      <c r="EW149" s="2">
        <v>11</v>
      </c>
      <c r="EX149" s="2">
        <v>0</v>
      </c>
      <c r="EY149" s="2">
        <v>0</v>
      </c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>
        <v>0</v>
      </c>
      <c r="FR149" s="2">
        <v>0</v>
      </c>
      <c r="FS149" s="2">
        <v>2</v>
      </c>
      <c r="FT149" s="2"/>
      <c r="FU149" s="2"/>
      <c r="FV149" s="2"/>
      <c r="FW149" s="2"/>
      <c r="FX149" s="2">
        <v>112</v>
      </c>
      <c r="FY149" s="2">
        <v>70</v>
      </c>
      <c r="FZ149" s="2"/>
      <c r="GA149" s="2" t="s">
        <v>3</v>
      </c>
      <c r="GB149" s="2"/>
      <c r="GC149" s="2"/>
      <c r="GD149" s="2">
        <v>0</v>
      </c>
      <c r="GE149" s="2"/>
      <c r="GF149" s="2">
        <v>-1603598631</v>
      </c>
      <c r="GG149" s="2">
        <v>2</v>
      </c>
      <c r="GH149" s="2">
        <v>1</v>
      </c>
      <c r="GI149" s="2">
        <v>-2</v>
      </c>
      <c r="GJ149" s="2">
        <v>0</v>
      </c>
      <c r="GK149" s="2">
        <f>ROUND(R149*(R12)/100,2)</f>
        <v>0</v>
      </c>
      <c r="GL149" s="2">
        <f t="shared" si="142"/>
        <v>0</v>
      </c>
      <c r="GM149" s="2">
        <f t="shared" si="143"/>
        <v>0</v>
      </c>
      <c r="GN149" s="2">
        <f t="shared" si="144"/>
        <v>0</v>
      </c>
      <c r="GO149" s="2">
        <f t="shared" si="145"/>
        <v>0</v>
      </c>
      <c r="GP149" s="2">
        <f t="shared" si="146"/>
        <v>0</v>
      </c>
      <c r="GQ149" s="2"/>
      <c r="GR149" s="2">
        <v>0</v>
      </c>
      <c r="GS149" s="2">
        <v>0</v>
      </c>
      <c r="GT149" s="2">
        <v>0</v>
      </c>
      <c r="GU149" s="2" t="s">
        <v>3</v>
      </c>
      <c r="GV149" s="2">
        <f t="shared" si="147"/>
        <v>0</v>
      </c>
      <c r="GW149" s="2">
        <v>1</v>
      </c>
      <c r="GX149" s="2">
        <f t="shared" si="148"/>
        <v>0</v>
      </c>
      <c r="GY149" s="2"/>
      <c r="GZ149" s="2"/>
      <c r="HA149" s="2">
        <v>0</v>
      </c>
      <c r="HB149" s="2">
        <v>0</v>
      </c>
      <c r="HC149" s="2">
        <f t="shared" si="149"/>
        <v>0</v>
      </c>
      <c r="HD149" s="2"/>
      <c r="HE149" s="2" t="s">
        <v>3</v>
      </c>
      <c r="HF149" s="2" t="s">
        <v>3</v>
      </c>
      <c r="HG149" s="2"/>
      <c r="HH149" s="2"/>
      <c r="HI149" s="2"/>
      <c r="HJ149" s="2"/>
      <c r="HK149" s="2"/>
      <c r="HL149" s="2"/>
      <c r="HM149" s="2" t="s">
        <v>3</v>
      </c>
      <c r="HN149" s="2" t="s">
        <v>3</v>
      </c>
      <c r="HO149" s="2" t="s">
        <v>3</v>
      </c>
      <c r="HP149" s="2" t="s">
        <v>3</v>
      </c>
      <c r="HQ149" s="2" t="s">
        <v>3</v>
      </c>
      <c r="HR149" s="2"/>
      <c r="HS149" s="2">
        <v>0</v>
      </c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>
        <v>0</v>
      </c>
      <c r="IL149" s="2"/>
      <c r="IM149" s="2"/>
      <c r="IN149" s="2"/>
      <c r="IO149" s="2"/>
      <c r="IP149" s="2"/>
      <c r="IQ149" s="2"/>
      <c r="IR149" s="2"/>
      <c r="IS149" s="2"/>
      <c r="IT149" s="2"/>
      <c r="IU149" s="2"/>
    </row>
    <row r="150" spans="1:255" x14ac:dyDescent="0.2">
      <c r="A150">
        <v>17</v>
      </c>
      <c r="B150">
        <v>1</v>
      </c>
      <c r="C150">
        <f>ROW(SmtRes!A150)</f>
        <v>150</v>
      </c>
      <c r="D150">
        <f>ROW(EtalonRes!A734)</f>
        <v>734</v>
      </c>
      <c r="E150" t="s">
        <v>228</v>
      </c>
      <c r="F150" t="s">
        <v>229</v>
      </c>
      <c r="G150" t="s">
        <v>230</v>
      </c>
      <c r="H150" t="s">
        <v>164</v>
      </c>
      <c r="I150">
        <v>0</v>
      </c>
      <c r="J150">
        <v>0</v>
      </c>
      <c r="K150">
        <v>0</v>
      </c>
      <c r="O150">
        <f t="shared" si="113"/>
        <v>0</v>
      </c>
      <c r="P150">
        <f t="shared" si="114"/>
        <v>0</v>
      </c>
      <c r="Q150">
        <f t="shared" si="115"/>
        <v>0</v>
      </c>
      <c r="R150">
        <f t="shared" si="116"/>
        <v>0</v>
      </c>
      <c r="S150">
        <f t="shared" si="117"/>
        <v>0</v>
      </c>
      <c r="T150">
        <f t="shared" si="118"/>
        <v>0</v>
      </c>
      <c r="U150">
        <f t="shared" si="119"/>
        <v>0</v>
      </c>
      <c r="V150">
        <f t="shared" si="120"/>
        <v>0</v>
      </c>
      <c r="W150">
        <f t="shared" si="121"/>
        <v>0</v>
      </c>
      <c r="X150">
        <f t="shared" si="122"/>
        <v>0</v>
      </c>
      <c r="Y150">
        <f t="shared" si="123"/>
        <v>0</v>
      </c>
      <c r="AA150">
        <v>56616093</v>
      </c>
      <c r="AB150">
        <f t="shared" si="124"/>
        <v>350.60700000000003</v>
      </c>
      <c r="AC150">
        <f t="shared" si="125"/>
        <v>53.75</v>
      </c>
      <c r="AD150">
        <f t="shared" si="126"/>
        <v>147.785</v>
      </c>
      <c r="AE150">
        <f t="shared" si="127"/>
        <v>20.547999999999998</v>
      </c>
      <c r="AF150">
        <f t="shared" si="128"/>
        <v>149.072</v>
      </c>
      <c r="AG150">
        <f t="shared" si="129"/>
        <v>0</v>
      </c>
      <c r="AH150">
        <f t="shared" si="130"/>
        <v>12.100000000000001</v>
      </c>
      <c r="AI150">
        <f t="shared" si="131"/>
        <v>0</v>
      </c>
      <c r="AJ150">
        <f t="shared" si="132"/>
        <v>0</v>
      </c>
      <c r="AK150">
        <v>323.62</v>
      </c>
      <c r="AL150">
        <v>53.75</v>
      </c>
      <c r="AM150">
        <v>134.35</v>
      </c>
      <c r="AN150">
        <v>18.68</v>
      </c>
      <c r="AO150">
        <v>135.52000000000001</v>
      </c>
      <c r="AP150">
        <v>0</v>
      </c>
      <c r="AQ150">
        <v>11</v>
      </c>
      <c r="AR150">
        <v>0</v>
      </c>
      <c r="AS150">
        <v>0</v>
      </c>
      <c r="AT150">
        <v>92</v>
      </c>
      <c r="AU150">
        <v>43</v>
      </c>
      <c r="AV150">
        <v>1.0669999999999999</v>
      </c>
      <c r="AW150">
        <v>1.081</v>
      </c>
      <c r="AZ150">
        <v>1</v>
      </c>
      <c r="BA150">
        <v>34.51</v>
      </c>
      <c r="BB150">
        <v>12.52</v>
      </c>
      <c r="BC150">
        <v>17.21</v>
      </c>
      <c r="BD150" t="s">
        <v>3</v>
      </c>
      <c r="BE150" t="s">
        <v>3</v>
      </c>
      <c r="BF150" t="s">
        <v>3</v>
      </c>
      <c r="BG150" t="s">
        <v>3</v>
      </c>
      <c r="BH150">
        <v>0</v>
      </c>
      <c r="BI150">
        <v>2</v>
      </c>
      <c r="BJ150" t="s">
        <v>231</v>
      </c>
      <c r="BM150">
        <v>318</v>
      </c>
      <c r="BN150">
        <v>0</v>
      </c>
      <c r="BO150" t="s">
        <v>229</v>
      </c>
      <c r="BP150">
        <v>1</v>
      </c>
      <c r="BQ150">
        <v>40</v>
      </c>
      <c r="BR150">
        <v>0</v>
      </c>
      <c r="BS150">
        <v>34.51</v>
      </c>
      <c r="BT150">
        <v>1</v>
      </c>
      <c r="BU150">
        <v>1</v>
      </c>
      <c r="BV150">
        <v>1</v>
      </c>
      <c r="BW150">
        <v>1</v>
      </c>
      <c r="BX150">
        <v>1</v>
      </c>
      <c r="BY150" t="s">
        <v>3</v>
      </c>
      <c r="BZ150">
        <v>92</v>
      </c>
      <c r="CA150">
        <v>43</v>
      </c>
      <c r="CB150" t="s">
        <v>3</v>
      </c>
      <c r="CE150">
        <v>30</v>
      </c>
      <c r="CF150">
        <v>0</v>
      </c>
      <c r="CG150">
        <v>0</v>
      </c>
      <c r="CM150">
        <v>0</v>
      </c>
      <c r="CN150" t="s">
        <v>671</v>
      </c>
      <c r="CO150">
        <v>0</v>
      </c>
      <c r="CP150">
        <f t="shared" si="133"/>
        <v>0</v>
      </c>
      <c r="CQ150">
        <f t="shared" si="134"/>
        <v>999.9</v>
      </c>
      <c r="CR150">
        <f t="shared" si="135"/>
        <v>1974.28</v>
      </c>
      <c r="CS150">
        <f t="shared" si="136"/>
        <v>756.46</v>
      </c>
      <c r="CT150">
        <f t="shared" si="137"/>
        <v>5489.16</v>
      </c>
      <c r="CU150">
        <f t="shared" si="138"/>
        <v>0</v>
      </c>
      <c r="CV150">
        <f t="shared" si="139"/>
        <v>12.9107</v>
      </c>
      <c r="CW150">
        <f t="shared" si="140"/>
        <v>0</v>
      </c>
      <c r="CX150">
        <f t="shared" si="141"/>
        <v>0</v>
      </c>
      <c r="CY150">
        <f>S150*(BZ150/100)</f>
        <v>0</v>
      </c>
      <c r="CZ150">
        <f>S150*(CA150/100)</f>
        <v>0</v>
      </c>
      <c r="DC150" t="s">
        <v>3</v>
      </c>
      <c r="DD150" t="s">
        <v>3</v>
      </c>
      <c r="DE150" t="s">
        <v>22</v>
      </c>
      <c r="DF150" t="s">
        <v>22</v>
      </c>
      <c r="DG150" t="s">
        <v>22</v>
      </c>
      <c r="DH150" t="s">
        <v>3</v>
      </c>
      <c r="DI150" t="s">
        <v>22</v>
      </c>
      <c r="DJ150" t="s">
        <v>22</v>
      </c>
      <c r="DK150" t="s">
        <v>3</v>
      </c>
      <c r="DL150" t="s">
        <v>3</v>
      </c>
      <c r="DM150" t="s">
        <v>3</v>
      </c>
      <c r="DN150">
        <v>112</v>
      </c>
      <c r="DO150">
        <v>70</v>
      </c>
      <c r="DP150">
        <v>1.0669999999999999</v>
      </c>
      <c r="DQ150">
        <v>1.081</v>
      </c>
      <c r="DU150">
        <v>1013</v>
      </c>
      <c r="DV150" t="s">
        <v>164</v>
      </c>
      <c r="DW150" t="s">
        <v>164</v>
      </c>
      <c r="DX150">
        <v>1</v>
      </c>
      <c r="DZ150" t="s">
        <v>3</v>
      </c>
      <c r="EA150" t="s">
        <v>3</v>
      </c>
      <c r="EB150" t="s">
        <v>3</v>
      </c>
      <c r="EC150" t="s">
        <v>3</v>
      </c>
      <c r="EE150">
        <v>51696357</v>
      </c>
      <c r="EF150">
        <v>40</v>
      </c>
      <c r="EG150" t="s">
        <v>166</v>
      </c>
      <c r="EH150">
        <v>0</v>
      </c>
      <c r="EI150" t="s">
        <v>3</v>
      </c>
      <c r="EJ150">
        <v>2</v>
      </c>
      <c r="EK150">
        <v>318</v>
      </c>
      <c r="EL150" t="s">
        <v>167</v>
      </c>
      <c r="EM150" t="s">
        <v>168</v>
      </c>
      <c r="EO150" t="s">
        <v>25</v>
      </c>
      <c r="EQ150">
        <v>131072</v>
      </c>
      <c r="ER150">
        <v>323.62</v>
      </c>
      <c r="ES150">
        <v>53.75</v>
      </c>
      <c r="ET150">
        <v>134.35</v>
      </c>
      <c r="EU150">
        <v>18.68</v>
      </c>
      <c r="EV150">
        <v>135.52000000000001</v>
      </c>
      <c r="EW150">
        <v>11</v>
      </c>
      <c r="EX150">
        <v>0</v>
      </c>
      <c r="EY150">
        <v>0</v>
      </c>
      <c r="FQ150">
        <v>0</v>
      </c>
      <c r="FR150">
        <v>0</v>
      </c>
      <c r="FS150">
        <v>2</v>
      </c>
      <c r="FX150">
        <v>112</v>
      </c>
      <c r="FY150">
        <v>70</v>
      </c>
      <c r="GA150" t="s">
        <v>3</v>
      </c>
      <c r="GD150">
        <v>0</v>
      </c>
      <c r="GF150">
        <v>-1603598631</v>
      </c>
      <c r="GG150">
        <v>2</v>
      </c>
      <c r="GH150">
        <v>1</v>
      </c>
      <c r="GI150">
        <v>2</v>
      </c>
      <c r="GJ150">
        <v>0</v>
      </c>
      <c r="GK150">
        <f>ROUND(R150*(S12)/100,2)</f>
        <v>0</v>
      </c>
      <c r="GL150">
        <f t="shared" si="142"/>
        <v>0</v>
      </c>
      <c r="GM150">
        <f t="shared" si="143"/>
        <v>0</v>
      </c>
      <c r="GN150">
        <f t="shared" si="144"/>
        <v>0</v>
      </c>
      <c r="GO150">
        <f t="shared" si="145"/>
        <v>0</v>
      </c>
      <c r="GP150">
        <f t="shared" si="146"/>
        <v>0</v>
      </c>
      <c r="GR150">
        <v>0</v>
      </c>
      <c r="GS150">
        <v>3</v>
      </c>
      <c r="GT150">
        <v>0</v>
      </c>
      <c r="GU150" t="s">
        <v>3</v>
      </c>
      <c r="GV150">
        <f t="shared" si="147"/>
        <v>0</v>
      </c>
      <c r="GW150">
        <v>1</v>
      </c>
      <c r="GX150">
        <f t="shared" si="148"/>
        <v>0</v>
      </c>
      <c r="HA150">
        <v>0</v>
      </c>
      <c r="HB150">
        <v>0</v>
      </c>
      <c r="HC150">
        <f t="shared" si="149"/>
        <v>0</v>
      </c>
      <c r="HE150" t="s">
        <v>3</v>
      </c>
      <c r="HF150" t="s">
        <v>3</v>
      </c>
      <c r="HM150" t="s">
        <v>3</v>
      </c>
      <c r="HN150" t="s">
        <v>3</v>
      </c>
      <c r="HO150" t="s">
        <v>3</v>
      </c>
      <c r="HP150" t="s">
        <v>3</v>
      </c>
      <c r="HQ150" t="s">
        <v>3</v>
      </c>
      <c r="HS150">
        <v>0</v>
      </c>
      <c r="IK150">
        <v>0</v>
      </c>
    </row>
    <row r="151" spans="1:255" x14ac:dyDescent="0.2">
      <c r="A151" s="2">
        <v>17</v>
      </c>
      <c r="B151" s="2">
        <v>1</v>
      </c>
      <c r="C151" s="2">
        <f>ROW(SmtRes!A161)</f>
        <v>161</v>
      </c>
      <c r="D151" s="2">
        <f>ROW(EtalonRes!A747)</f>
        <v>747</v>
      </c>
      <c r="E151" s="2" t="s">
        <v>232</v>
      </c>
      <c r="F151" s="2" t="s">
        <v>229</v>
      </c>
      <c r="G151" s="2" t="s">
        <v>233</v>
      </c>
      <c r="H151" s="2" t="s">
        <v>164</v>
      </c>
      <c r="I151" s="2">
        <v>0</v>
      </c>
      <c r="J151" s="2">
        <v>0</v>
      </c>
      <c r="K151" s="2">
        <v>0</v>
      </c>
      <c r="L151" s="2"/>
      <c r="M151" s="2"/>
      <c r="N151" s="2"/>
      <c r="O151" s="2">
        <f t="shared" si="113"/>
        <v>0</v>
      </c>
      <c r="P151" s="2">
        <f t="shared" si="114"/>
        <v>0</v>
      </c>
      <c r="Q151" s="2">
        <f t="shared" si="115"/>
        <v>0</v>
      </c>
      <c r="R151" s="2">
        <f t="shared" si="116"/>
        <v>0</v>
      </c>
      <c r="S151" s="2">
        <f t="shared" si="117"/>
        <v>0</v>
      </c>
      <c r="T151" s="2">
        <f t="shared" si="118"/>
        <v>0</v>
      </c>
      <c r="U151" s="2">
        <f t="shared" si="119"/>
        <v>0</v>
      </c>
      <c r="V151" s="2">
        <f t="shared" si="120"/>
        <v>0</v>
      </c>
      <c r="W151" s="2">
        <f t="shared" si="121"/>
        <v>0</v>
      </c>
      <c r="X151" s="2">
        <f t="shared" si="122"/>
        <v>0</v>
      </c>
      <c r="Y151" s="2">
        <f t="shared" si="123"/>
        <v>0</v>
      </c>
      <c r="Z151" s="2"/>
      <c r="AA151" s="2">
        <v>56622586</v>
      </c>
      <c r="AB151" s="2">
        <f t="shared" si="124"/>
        <v>350.60700000000003</v>
      </c>
      <c r="AC151" s="2">
        <f t="shared" si="125"/>
        <v>53.75</v>
      </c>
      <c r="AD151" s="2">
        <f t="shared" si="126"/>
        <v>147.785</v>
      </c>
      <c r="AE151" s="2">
        <f t="shared" si="127"/>
        <v>20.547999999999998</v>
      </c>
      <c r="AF151" s="2">
        <f t="shared" si="128"/>
        <v>149.072</v>
      </c>
      <c r="AG151" s="2">
        <f t="shared" si="129"/>
        <v>0</v>
      </c>
      <c r="AH151" s="2">
        <f t="shared" si="130"/>
        <v>12.100000000000001</v>
      </c>
      <c r="AI151" s="2">
        <f t="shared" si="131"/>
        <v>0</v>
      </c>
      <c r="AJ151" s="2">
        <f t="shared" si="132"/>
        <v>0</v>
      </c>
      <c r="AK151" s="2">
        <v>323.62</v>
      </c>
      <c r="AL151" s="2">
        <v>53.75</v>
      </c>
      <c r="AM151" s="2">
        <v>134.35</v>
      </c>
      <c r="AN151" s="2">
        <v>18.68</v>
      </c>
      <c r="AO151" s="2">
        <v>135.52000000000001</v>
      </c>
      <c r="AP151" s="2">
        <v>0</v>
      </c>
      <c r="AQ151" s="2">
        <v>11</v>
      </c>
      <c r="AR151" s="2">
        <v>0</v>
      </c>
      <c r="AS151" s="2">
        <v>0</v>
      </c>
      <c r="AT151" s="2">
        <v>112</v>
      </c>
      <c r="AU151" s="2">
        <v>70</v>
      </c>
      <c r="AV151" s="2">
        <v>1.0669999999999999</v>
      </c>
      <c r="AW151" s="2">
        <v>1.081</v>
      </c>
      <c r="AX151" s="2"/>
      <c r="AY151" s="2"/>
      <c r="AZ151" s="2">
        <v>1</v>
      </c>
      <c r="BA151" s="2">
        <v>1</v>
      </c>
      <c r="BB151" s="2">
        <v>1</v>
      </c>
      <c r="BC151" s="2">
        <v>1</v>
      </c>
      <c r="BD151" s="2" t="s">
        <v>3</v>
      </c>
      <c r="BE151" s="2" t="s">
        <v>3</v>
      </c>
      <c r="BF151" s="2" t="s">
        <v>3</v>
      </c>
      <c r="BG151" s="2" t="s">
        <v>3</v>
      </c>
      <c r="BH151" s="2">
        <v>0</v>
      </c>
      <c r="BI151" s="2">
        <v>2</v>
      </c>
      <c r="BJ151" s="2" t="s">
        <v>231</v>
      </c>
      <c r="BK151" s="2"/>
      <c r="BL151" s="2"/>
      <c r="BM151" s="2">
        <v>318</v>
      </c>
      <c r="BN151" s="2">
        <v>0</v>
      </c>
      <c r="BO151" s="2" t="s">
        <v>3</v>
      </c>
      <c r="BP151" s="2">
        <v>0</v>
      </c>
      <c r="BQ151" s="2">
        <v>40</v>
      </c>
      <c r="BR151" s="2">
        <v>0</v>
      </c>
      <c r="BS151" s="2">
        <v>1</v>
      </c>
      <c r="BT151" s="2">
        <v>1</v>
      </c>
      <c r="BU151" s="2">
        <v>1</v>
      </c>
      <c r="BV151" s="2">
        <v>1</v>
      </c>
      <c r="BW151" s="2">
        <v>1</v>
      </c>
      <c r="BX151" s="2">
        <v>1</v>
      </c>
      <c r="BY151" s="2" t="s">
        <v>3</v>
      </c>
      <c r="BZ151" s="2">
        <v>112</v>
      </c>
      <c r="CA151" s="2">
        <v>70</v>
      </c>
      <c r="CB151" s="2" t="s">
        <v>3</v>
      </c>
      <c r="CC151" s="2"/>
      <c r="CD151" s="2"/>
      <c r="CE151" s="2">
        <v>30</v>
      </c>
      <c r="CF151" s="2">
        <v>0</v>
      </c>
      <c r="CG151" s="2">
        <v>0</v>
      </c>
      <c r="CH151" s="2"/>
      <c r="CI151" s="2"/>
      <c r="CJ151" s="2"/>
      <c r="CK151" s="2"/>
      <c r="CL151" s="2"/>
      <c r="CM151" s="2">
        <v>0</v>
      </c>
      <c r="CN151" s="2" t="s">
        <v>671</v>
      </c>
      <c r="CO151" s="2">
        <v>0</v>
      </c>
      <c r="CP151" s="2">
        <f t="shared" si="133"/>
        <v>0</v>
      </c>
      <c r="CQ151" s="2">
        <f t="shared" si="134"/>
        <v>58.1</v>
      </c>
      <c r="CR151" s="2">
        <f t="shared" si="135"/>
        <v>157.69</v>
      </c>
      <c r="CS151" s="2">
        <f t="shared" si="136"/>
        <v>21.92</v>
      </c>
      <c r="CT151" s="2">
        <f t="shared" si="137"/>
        <v>159.06</v>
      </c>
      <c r="CU151" s="2">
        <f t="shared" si="138"/>
        <v>0</v>
      </c>
      <c r="CV151" s="2">
        <f t="shared" si="139"/>
        <v>12.9107</v>
      </c>
      <c r="CW151" s="2">
        <f t="shared" si="140"/>
        <v>0</v>
      </c>
      <c r="CX151" s="2">
        <f t="shared" si="141"/>
        <v>0</v>
      </c>
      <c r="CY151" s="2">
        <f>((S151*BZ151)/100)</f>
        <v>0</v>
      </c>
      <c r="CZ151" s="2">
        <f>((S151*CA151)/100)</f>
        <v>0</v>
      </c>
      <c r="DA151" s="2"/>
      <c r="DB151" s="2"/>
      <c r="DC151" s="2" t="s">
        <v>3</v>
      </c>
      <c r="DD151" s="2" t="s">
        <v>3</v>
      </c>
      <c r="DE151" s="2" t="s">
        <v>22</v>
      </c>
      <c r="DF151" s="2" t="s">
        <v>22</v>
      </c>
      <c r="DG151" s="2" t="s">
        <v>22</v>
      </c>
      <c r="DH151" s="2" t="s">
        <v>3</v>
      </c>
      <c r="DI151" s="2" t="s">
        <v>22</v>
      </c>
      <c r="DJ151" s="2" t="s">
        <v>22</v>
      </c>
      <c r="DK151" s="2" t="s">
        <v>3</v>
      </c>
      <c r="DL151" s="2" t="s">
        <v>3</v>
      </c>
      <c r="DM151" s="2" t="s">
        <v>3</v>
      </c>
      <c r="DN151" s="2">
        <v>0</v>
      </c>
      <c r="DO151" s="2">
        <v>0</v>
      </c>
      <c r="DP151" s="2">
        <v>1</v>
      </c>
      <c r="DQ151" s="2">
        <v>1</v>
      </c>
      <c r="DR151" s="2"/>
      <c r="DS151" s="2"/>
      <c r="DT151" s="2"/>
      <c r="DU151" s="2">
        <v>1013</v>
      </c>
      <c r="DV151" s="2" t="s">
        <v>164</v>
      </c>
      <c r="DW151" s="2" t="s">
        <v>164</v>
      </c>
      <c r="DX151" s="2">
        <v>1</v>
      </c>
      <c r="DY151" s="2"/>
      <c r="DZ151" s="2" t="s">
        <v>3</v>
      </c>
      <c r="EA151" s="2" t="s">
        <v>3</v>
      </c>
      <c r="EB151" s="2" t="s">
        <v>3</v>
      </c>
      <c r="EC151" s="2" t="s">
        <v>3</v>
      </c>
      <c r="ED151" s="2"/>
      <c r="EE151" s="2">
        <v>51696357</v>
      </c>
      <c r="EF151" s="2">
        <v>40</v>
      </c>
      <c r="EG151" s="2" t="s">
        <v>166</v>
      </c>
      <c r="EH151" s="2">
        <v>0</v>
      </c>
      <c r="EI151" s="2" t="s">
        <v>3</v>
      </c>
      <c r="EJ151" s="2">
        <v>2</v>
      </c>
      <c r="EK151" s="2">
        <v>318</v>
      </c>
      <c r="EL151" s="2" t="s">
        <v>167</v>
      </c>
      <c r="EM151" s="2" t="s">
        <v>168</v>
      </c>
      <c r="EN151" s="2"/>
      <c r="EO151" s="2" t="s">
        <v>25</v>
      </c>
      <c r="EP151" s="2"/>
      <c r="EQ151" s="2">
        <v>131072</v>
      </c>
      <c r="ER151" s="2">
        <v>323.62</v>
      </c>
      <c r="ES151" s="2">
        <v>53.75</v>
      </c>
      <c r="ET151" s="2">
        <v>134.35</v>
      </c>
      <c r="EU151" s="2">
        <v>18.68</v>
      </c>
      <c r="EV151" s="2">
        <v>135.52000000000001</v>
      </c>
      <c r="EW151" s="2">
        <v>11</v>
      </c>
      <c r="EX151" s="2">
        <v>0</v>
      </c>
      <c r="EY151" s="2">
        <v>0</v>
      </c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>
        <v>0</v>
      </c>
      <c r="FR151" s="2">
        <v>0</v>
      </c>
      <c r="FS151" s="2">
        <v>2</v>
      </c>
      <c r="FT151" s="2"/>
      <c r="FU151" s="2"/>
      <c r="FV151" s="2"/>
      <c r="FW151" s="2"/>
      <c r="FX151" s="2">
        <v>112</v>
      </c>
      <c r="FY151" s="2">
        <v>70</v>
      </c>
      <c r="FZ151" s="2"/>
      <c r="GA151" s="2" t="s">
        <v>3</v>
      </c>
      <c r="GB151" s="2"/>
      <c r="GC151" s="2"/>
      <c r="GD151" s="2">
        <v>0</v>
      </c>
      <c r="GE151" s="2"/>
      <c r="GF151" s="2">
        <v>-220744287</v>
      </c>
      <c r="GG151" s="2">
        <v>2</v>
      </c>
      <c r="GH151" s="2">
        <v>1</v>
      </c>
      <c r="GI151" s="2">
        <v>-2</v>
      </c>
      <c r="GJ151" s="2">
        <v>0</v>
      </c>
      <c r="GK151" s="2">
        <f>ROUND(R151*(R12)/100,2)</f>
        <v>0</v>
      </c>
      <c r="GL151" s="2">
        <f t="shared" si="142"/>
        <v>0</v>
      </c>
      <c r="GM151" s="2">
        <f t="shared" si="143"/>
        <v>0</v>
      </c>
      <c r="GN151" s="2">
        <f t="shared" si="144"/>
        <v>0</v>
      </c>
      <c r="GO151" s="2">
        <f t="shared" si="145"/>
        <v>0</v>
      </c>
      <c r="GP151" s="2">
        <f t="shared" si="146"/>
        <v>0</v>
      </c>
      <c r="GQ151" s="2"/>
      <c r="GR151" s="2">
        <v>0</v>
      </c>
      <c r="GS151" s="2">
        <v>0</v>
      </c>
      <c r="GT151" s="2">
        <v>0</v>
      </c>
      <c r="GU151" s="2" t="s">
        <v>3</v>
      </c>
      <c r="GV151" s="2">
        <f t="shared" si="147"/>
        <v>0</v>
      </c>
      <c r="GW151" s="2">
        <v>1</v>
      </c>
      <c r="GX151" s="2">
        <f t="shared" si="148"/>
        <v>0</v>
      </c>
      <c r="GY151" s="2"/>
      <c r="GZ151" s="2"/>
      <c r="HA151" s="2">
        <v>0</v>
      </c>
      <c r="HB151" s="2">
        <v>0</v>
      </c>
      <c r="HC151" s="2">
        <f t="shared" si="149"/>
        <v>0</v>
      </c>
      <c r="HD151" s="2"/>
      <c r="HE151" s="2" t="s">
        <v>3</v>
      </c>
      <c r="HF151" s="2" t="s">
        <v>3</v>
      </c>
      <c r="HG151" s="2"/>
      <c r="HH151" s="2"/>
      <c r="HI151" s="2"/>
      <c r="HJ151" s="2"/>
      <c r="HK151" s="2"/>
      <c r="HL151" s="2"/>
      <c r="HM151" s="2" t="s">
        <v>3</v>
      </c>
      <c r="HN151" s="2" t="s">
        <v>3</v>
      </c>
      <c r="HO151" s="2" t="s">
        <v>3</v>
      </c>
      <c r="HP151" s="2" t="s">
        <v>3</v>
      </c>
      <c r="HQ151" s="2" t="s">
        <v>3</v>
      </c>
      <c r="HR151" s="2"/>
      <c r="HS151" s="2">
        <v>0</v>
      </c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>
        <v>0</v>
      </c>
      <c r="IL151" s="2"/>
      <c r="IM151" s="2"/>
      <c r="IN151" s="2"/>
      <c r="IO151" s="2"/>
      <c r="IP151" s="2"/>
      <c r="IQ151" s="2"/>
      <c r="IR151" s="2"/>
      <c r="IS151" s="2"/>
      <c r="IT151" s="2"/>
      <c r="IU151" s="2"/>
    </row>
    <row r="152" spans="1:255" x14ac:dyDescent="0.2">
      <c r="A152">
        <v>17</v>
      </c>
      <c r="B152">
        <v>1</v>
      </c>
      <c r="C152">
        <f>ROW(SmtRes!A172)</f>
        <v>172</v>
      </c>
      <c r="D152">
        <f>ROW(EtalonRes!A760)</f>
        <v>760</v>
      </c>
      <c r="E152" t="s">
        <v>232</v>
      </c>
      <c r="F152" t="s">
        <v>229</v>
      </c>
      <c r="G152" t="s">
        <v>233</v>
      </c>
      <c r="H152" t="s">
        <v>164</v>
      </c>
      <c r="I152">
        <v>0</v>
      </c>
      <c r="J152">
        <v>0</v>
      </c>
      <c r="K152">
        <v>0</v>
      </c>
      <c r="O152">
        <f t="shared" si="113"/>
        <v>0</v>
      </c>
      <c r="P152">
        <f t="shared" si="114"/>
        <v>0</v>
      </c>
      <c r="Q152">
        <f t="shared" si="115"/>
        <v>0</v>
      </c>
      <c r="R152">
        <f t="shared" si="116"/>
        <v>0</v>
      </c>
      <c r="S152">
        <f t="shared" si="117"/>
        <v>0</v>
      </c>
      <c r="T152">
        <f t="shared" si="118"/>
        <v>0</v>
      </c>
      <c r="U152">
        <f t="shared" si="119"/>
        <v>0</v>
      </c>
      <c r="V152">
        <f t="shared" si="120"/>
        <v>0</v>
      </c>
      <c r="W152">
        <f t="shared" si="121"/>
        <v>0</v>
      </c>
      <c r="X152">
        <f t="shared" si="122"/>
        <v>0</v>
      </c>
      <c r="Y152">
        <f t="shared" si="123"/>
        <v>0</v>
      </c>
      <c r="AA152">
        <v>56616093</v>
      </c>
      <c r="AB152">
        <f t="shared" si="124"/>
        <v>350.60700000000003</v>
      </c>
      <c r="AC152">
        <f t="shared" si="125"/>
        <v>53.75</v>
      </c>
      <c r="AD152">
        <f t="shared" si="126"/>
        <v>147.785</v>
      </c>
      <c r="AE152">
        <f t="shared" si="127"/>
        <v>20.547999999999998</v>
      </c>
      <c r="AF152">
        <f t="shared" si="128"/>
        <v>149.072</v>
      </c>
      <c r="AG152">
        <f t="shared" si="129"/>
        <v>0</v>
      </c>
      <c r="AH152">
        <f t="shared" si="130"/>
        <v>12.100000000000001</v>
      </c>
      <c r="AI152">
        <f t="shared" si="131"/>
        <v>0</v>
      </c>
      <c r="AJ152">
        <f t="shared" si="132"/>
        <v>0</v>
      </c>
      <c r="AK152">
        <v>323.62</v>
      </c>
      <c r="AL152">
        <v>53.75</v>
      </c>
      <c r="AM152">
        <v>134.35</v>
      </c>
      <c r="AN152">
        <v>18.68</v>
      </c>
      <c r="AO152">
        <v>135.52000000000001</v>
      </c>
      <c r="AP152">
        <v>0</v>
      </c>
      <c r="AQ152">
        <v>11</v>
      </c>
      <c r="AR152">
        <v>0</v>
      </c>
      <c r="AS152">
        <v>0</v>
      </c>
      <c r="AT152">
        <v>92</v>
      </c>
      <c r="AU152">
        <v>43</v>
      </c>
      <c r="AV152">
        <v>1.0669999999999999</v>
      </c>
      <c r="AW152">
        <v>1.081</v>
      </c>
      <c r="AZ152">
        <v>1</v>
      </c>
      <c r="BA152">
        <v>34.51</v>
      </c>
      <c r="BB152">
        <v>12.52</v>
      </c>
      <c r="BC152">
        <v>17.21</v>
      </c>
      <c r="BD152" t="s">
        <v>3</v>
      </c>
      <c r="BE152" t="s">
        <v>3</v>
      </c>
      <c r="BF152" t="s">
        <v>3</v>
      </c>
      <c r="BG152" t="s">
        <v>3</v>
      </c>
      <c r="BH152">
        <v>0</v>
      </c>
      <c r="BI152">
        <v>2</v>
      </c>
      <c r="BJ152" t="s">
        <v>231</v>
      </c>
      <c r="BM152">
        <v>318</v>
      </c>
      <c r="BN152">
        <v>0</v>
      </c>
      <c r="BO152" t="s">
        <v>229</v>
      </c>
      <c r="BP152">
        <v>1</v>
      </c>
      <c r="BQ152">
        <v>40</v>
      </c>
      <c r="BR152">
        <v>0</v>
      </c>
      <c r="BS152">
        <v>34.51</v>
      </c>
      <c r="BT152">
        <v>1</v>
      </c>
      <c r="BU152">
        <v>1</v>
      </c>
      <c r="BV152">
        <v>1</v>
      </c>
      <c r="BW152">
        <v>1</v>
      </c>
      <c r="BX152">
        <v>1</v>
      </c>
      <c r="BY152" t="s">
        <v>3</v>
      </c>
      <c r="BZ152">
        <v>92</v>
      </c>
      <c r="CA152">
        <v>43</v>
      </c>
      <c r="CB152" t="s">
        <v>3</v>
      </c>
      <c r="CE152">
        <v>30</v>
      </c>
      <c r="CF152">
        <v>0</v>
      </c>
      <c r="CG152">
        <v>0</v>
      </c>
      <c r="CM152">
        <v>0</v>
      </c>
      <c r="CN152" t="s">
        <v>671</v>
      </c>
      <c r="CO152">
        <v>0</v>
      </c>
      <c r="CP152">
        <f t="shared" si="133"/>
        <v>0</v>
      </c>
      <c r="CQ152">
        <f t="shared" si="134"/>
        <v>999.9</v>
      </c>
      <c r="CR152">
        <f t="shared" si="135"/>
        <v>1974.28</v>
      </c>
      <c r="CS152">
        <f t="shared" si="136"/>
        <v>756.46</v>
      </c>
      <c r="CT152">
        <f t="shared" si="137"/>
        <v>5489.16</v>
      </c>
      <c r="CU152">
        <f t="shared" si="138"/>
        <v>0</v>
      </c>
      <c r="CV152">
        <f t="shared" si="139"/>
        <v>12.9107</v>
      </c>
      <c r="CW152">
        <f t="shared" si="140"/>
        <v>0</v>
      </c>
      <c r="CX152">
        <f t="shared" si="141"/>
        <v>0</v>
      </c>
      <c r="CY152">
        <f>S152*(BZ152/100)</f>
        <v>0</v>
      </c>
      <c r="CZ152">
        <f>S152*(CA152/100)</f>
        <v>0</v>
      </c>
      <c r="DC152" t="s">
        <v>3</v>
      </c>
      <c r="DD152" t="s">
        <v>3</v>
      </c>
      <c r="DE152" t="s">
        <v>22</v>
      </c>
      <c r="DF152" t="s">
        <v>22</v>
      </c>
      <c r="DG152" t="s">
        <v>22</v>
      </c>
      <c r="DH152" t="s">
        <v>3</v>
      </c>
      <c r="DI152" t="s">
        <v>22</v>
      </c>
      <c r="DJ152" t="s">
        <v>22</v>
      </c>
      <c r="DK152" t="s">
        <v>3</v>
      </c>
      <c r="DL152" t="s">
        <v>3</v>
      </c>
      <c r="DM152" t="s">
        <v>3</v>
      </c>
      <c r="DN152">
        <v>112</v>
      </c>
      <c r="DO152">
        <v>70</v>
      </c>
      <c r="DP152">
        <v>1.0669999999999999</v>
      </c>
      <c r="DQ152">
        <v>1.081</v>
      </c>
      <c r="DU152">
        <v>1013</v>
      </c>
      <c r="DV152" t="s">
        <v>164</v>
      </c>
      <c r="DW152" t="s">
        <v>164</v>
      </c>
      <c r="DX152">
        <v>1</v>
      </c>
      <c r="DZ152" t="s">
        <v>3</v>
      </c>
      <c r="EA152" t="s">
        <v>3</v>
      </c>
      <c r="EB152" t="s">
        <v>3</v>
      </c>
      <c r="EC152" t="s">
        <v>3</v>
      </c>
      <c r="EE152">
        <v>51696357</v>
      </c>
      <c r="EF152">
        <v>40</v>
      </c>
      <c r="EG152" t="s">
        <v>166</v>
      </c>
      <c r="EH152">
        <v>0</v>
      </c>
      <c r="EI152" t="s">
        <v>3</v>
      </c>
      <c r="EJ152">
        <v>2</v>
      </c>
      <c r="EK152">
        <v>318</v>
      </c>
      <c r="EL152" t="s">
        <v>167</v>
      </c>
      <c r="EM152" t="s">
        <v>168</v>
      </c>
      <c r="EO152" t="s">
        <v>25</v>
      </c>
      <c r="EQ152">
        <v>131072</v>
      </c>
      <c r="ER152">
        <v>323.62</v>
      </c>
      <c r="ES152">
        <v>53.75</v>
      </c>
      <c r="ET152">
        <v>134.35</v>
      </c>
      <c r="EU152">
        <v>18.68</v>
      </c>
      <c r="EV152">
        <v>135.52000000000001</v>
      </c>
      <c r="EW152">
        <v>11</v>
      </c>
      <c r="EX152">
        <v>0</v>
      </c>
      <c r="EY152">
        <v>0</v>
      </c>
      <c r="FQ152">
        <v>0</v>
      </c>
      <c r="FR152">
        <v>0</v>
      </c>
      <c r="FS152">
        <v>2</v>
      </c>
      <c r="FX152">
        <v>112</v>
      </c>
      <c r="FY152">
        <v>70</v>
      </c>
      <c r="GA152" t="s">
        <v>3</v>
      </c>
      <c r="GD152">
        <v>0</v>
      </c>
      <c r="GF152">
        <v>-220744287</v>
      </c>
      <c r="GG152">
        <v>2</v>
      </c>
      <c r="GH152">
        <v>1</v>
      </c>
      <c r="GI152">
        <v>2</v>
      </c>
      <c r="GJ152">
        <v>0</v>
      </c>
      <c r="GK152">
        <f>ROUND(R152*(S12)/100,2)</f>
        <v>0</v>
      </c>
      <c r="GL152">
        <f t="shared" si="142"/>
        <v>0</v>
      </c>
      <c r="GM152">
        <f t="shared" si="143"/>
        <v>0</v>
      </c>
      <c r="GN152">
        <f t="shared" si="144"/>
        <v>0</v>
      </c>
      <c r="GO152">
        <f t="shared" si="145"/>
        <v>0</v>
      </c>
      <c r="GP152">
        <f t="shared" si="146"/>
        <v>0</v>
      </c>
      <c r="GR152">
        <v>0</v>
      </c>
      <c r="GS152">
        <v>3</v>
      </c>
      <c r="GT152">
        <v>0</v>
      </c>
      <c r="GU152" t="s">
        <v>3</v>
      </c>
      <c r="GV152">
        <f t="shared" si="147"/>
        <v>0</v>
      </c>
      <c r="GW152">
        <v>1</v>
      </c>
      <c r="GX152">
        <f t="shared" si="148"/>
        <v>0</v>
      </c>
      <c r="HA152">
        <v>0</v>
      </c>
      <c r="HB152">
        <v>0</v>
      </c>
      <c r="HC152">
        <f t="shared" si="149"/>
        <v>0</v>
      </c>
      <c r="HE152" t="s">
        <v>3</v>
      </c>
      <c r="HF152" t="s">
        <v>3</v>
      </c>
      <c r="HM152" t="s">
        <v>3</v>
      </c>
      <c r="HN152" t="s">
        <v>3</v>
      </c>
      <c r="HO152" t="s">
        <v>3</v>
      </c>
      <c r="HP152" t="s">
        <v>3</v>
      </c>
      <c r="HQ152" t="s">
        <v>3</v>
      </c>
      <c r="HS152">
        <v>0</v>
      </c>
      <c r="IK152">
        <v>0</v>
      </c>
    </row>
    <row r="153" spans="1:255" x14ac:dyDescent="0.2">
      <c r="A153" s="2">
        <v>17</v>
      </c>
      <c r="B153" s="2">
        <v>1</v>
      </c>
      <c r="C153" s="2">
        <f>ROW(SmtRes!A173)</f>
        <v>173</v>
      </c>
      <c r="D153" s="2">
        <f>ROW(EtalonRes!A773)</f>
        <v>773</v>
      </c>
      <c r="E153" s="2" t="s">
        <v>234</v>
      </c>
      <c r="F153" s="2" t="s">
        <v>229</v>
      </c>
      <c r="G153" s="2" t="s">
        <v>235</v>
      </c>
      <c r="H153" s="2" t="s">
        <v>164</v>
      </c>
      <c r="I153" s="2">
        <v>0</v>
      </c>
      <c r="J153" s="2">
        <v>0</v>
      </c>
      <c r="K153" s="2">
        <v>0</v>
      </c>
      <c r="L153" s="2"/>
      <c r="M153" s="2"/>
      <c r="N153" s="2"/>
      <c r="O153" s="2">
        <f t="shared" si="113"/>
        <v>0</v>
      </c>
      <c r="P153" s="2">
        <f t="shared" si="114"/>
        <v>0</v>
      </c>
      <c r="Q153" s="2">
        <f t="shared" si="115"/>
        <v>0</v>
      </c>
      <c r="R153" s="2">
        <f t="shared" si="116"/>
        <v>0</v>
      </c>
      <c r="S153" s="2">
        <f t="shared" si="117"/>
        <v>0</v>
      </c>
      <c r="T153" s="2">
        <f t="shared" si="118"/>
        <v>0</v>
      </c>
      <c r="U153" s="2">
        <f t="shared" si="119"/>
        <v>0</v>
      </c>
      <c r="V153" s="2">
        <f t="shared" si="120"/>
        <v>0</v>
      </c>
      <c r="W153" s="2">
        <f t="shared" si="121"/>
        <v>0</v>
      </c>
      <c r="X153" s="2">
        <f t="shared" si="122"/>
        <v>0</v>
      </c>
      <c r="Y153" s="2">
        <f t="shared" si="123"/>
        <v>0</v>
      </c>
      <c r="Z153" s="2"/>
      <c r="AA153" s="2">
        <v>56622586</v>
      </c>
      <c r="AB153" s="2">
        <f t="shared" si="124"/>
        <v>350.60700000000003</v>
      </c>
      <c r="AC153" s="2">
        <f t="shared" si="125"/>
        <v>53.75</v>
      </c>
      <c r="AD153" s="2">
        <f t="shared" si="126"/>
        <v>147.785</v>
      </c>
      <c r="AE153" s="2">
        <f t="shared" si="127"/>
        <v>20.547999999999998</v>
      </c>
      <c r="AF153" s="2">
        <f t="shared" si="128"/>
        <v>149.072</v>
      </c>
      <c r="AG153" s="2">
        <f t="shared" si="129"/>
        <v>0</v>
      </c>
      <c r="AH153" s="2">
        <f t="shared" si="130"/>
        <v>12.100000000000001</v>
      </c>
      <c r="AI153" s="2">
        <f t="shared" si="131"/>
        <v>0</v>
      </c>
      <c r="AJ153" s="2">
        <f t="shared" si="132"/>
        <v>0</v>
      </c>
      <c r="AK153" s="2">
        <v>323.62</v>
      </c>
      <c r="AL153" s="2">
        <v>53.75</v>
      </c>
      <c r="AM153" s="2">
        <v>134.35</v>
      </c>
      <c r="AN153" s="2">
        <v>18.68</v>
      </c>
      <c r="AO153" s="2">
        <v>135.52000000000001</v>
      </c>
      <c r="AP153" s="2">
        <v>0</v>
      </c>
      <c r="AQ153" s="2">
        <v>11</v>
      </c>
      <c r="AR153" s="2">
        <v>0</v>
      </c>
      <c r="AS153" s="2">
        <v>0</v>
      </c>
      <c r="AT153" s="2">
        <v>112</v>
      </c>
      <c r="AU153" s="2">
        <v>70</v>
      </c>
      <c r="AV153" s="2">
        <v>1.0669999999999999</v>
      </c>
      <c r="AW153" s="2">
        <v>1.081</v>
      </c>
      <c r="AX153" s="2"/>
      <c r="AY153" s="2"/>
      <c r="AZ153" s="2">
        <v>1</v>
      </c>
      <c r="BA153" s="2">
        <v>1</v>
      </c>
      <c r="BB153" s="2">
        <v>1</v>
      </c>
      <c r="BC153" s="2">
        <v>1</v>
      </c>
      <c r="BD153" s="2" t="s">
        <v>3</v>
      </c>
      <c r="BE153" s="2" t="s">
        <v>3</v>
      </c>
      <c r="BF153" s="2" t="s">
        <v>3</v>
      </c>
      <c r="BG153" s="2" t="s">
        <v>3</v>
      </c>
      <c r="BH153" s="2">
        <v>0</v>
      </c>
      <c r="BI153" s="2">
        <v>2</v>
      </c>
      <c r="BJ153" s="2" t="s">
        <v>231</v>
      </c>
      <c r="BK153" s="2"/>
      <c r="BL153" s="2"/>
      <c r="BM153" s="2">
        <v>318</v>
      </c>
      <c r="BN153" s="2">
        <v>0</v>
      </c>
      <c r="BO153" s="2" t="s">
        <v>3</v>
      </c>
      <c r="BP153" s="2">
        <v>0</v>
      </c>
      <c r="BQ153" s="2">
        <v>40</v>
      </c>
      <c r="BR153" s="2">
        <v>0</v>
      </c>
      <c r="BS153" s="2">
        <v>1</v>
      </c>
      <c r="BT153" s="2">
        <v>1</v>
      </c>
      <c r="BU153" s="2">
        <v>1</v>
      </c>
      <c r="BV153" s="2">
        <v>1</v>
      </c>
      <c r="BW153" s="2">
        <v>1</v>
      </c>
      <c r="BX153" s="2">
        <v>1</v>
      </c>
      <c r="BY153" s="2" t="s">
        <v>3</v>
      </c>
      <c r="BZ153" s="2">
        <v>112</v>
      </c>
      <c r="CA153" s="2">
        <v>70</v>
      </c>
      <c r="CB153" s="2" t="s">
        <v>3</v>
      </c>
      <c r="CC153" s="2"/>
      <c r="CD153" s="2"/>
      <c r="CE153" s="2">
        <v>30</v>
      </c>
      <c r="CF153" s="2">
        <v>0</v>
      </c>
      <c r="CG153" s="2">
        <v>0</v>
      </c>
      <c r="CH153" s="2"/>
      <c r="CI153" s="2"/>
      <c r="CJ153" s="2"/>
      <c r="CK153" s="2"/>
      <c r="CL153" s="2"/>
      <c r="CM153" s="2">
        <v>0</v>
      </c>
      <c r="CN153" s="2" t="s">
        <v>671</v>
      </c>
      <c r="CO153" s="2">
        <v>0</v>
      </c>
      <c r="CP153" s="2">
        <f t="shared" si="133"/>
        <v>0</v>
      </c>
      <c r="CQ153" s="2">
        <f t="shared" si="134"/>
        <v>58.1</v>
      </c>
      <c r="CR153" s="2">
        <f t="shared" si="135"/>
        <v>157.69</v>
      </c>
      <c r="CS153" s="2">
        <f t="shared" si="136"/>
        <v>21.92</v>
      </c>
      <c r="CT153" s="2">
        <f t="shared" si="137"/>
        <v>159.06</v>
      </c>
      <c r="CU153" s="2">
        <f t="shared" si="138"/>
        <v>0</v>
      </c>
      <c r="CV153" s="2">
        <f t="shared" si="139"/>
        <v>12.9107</v>
      </c>
      <c r="CW153" s="2">
        <f t="shared" si="140"/>
        <v>0</v>
      </c>
      <c r="CX153" s="2">
        <f t="shared" si="141"/>
        <v>0</v>
      </c>
      <c r="CY153" s="2">
        <f>((S153*BZ153)/100)</f>
        <v>0</v>
      </c>
      <c r="CZ153" s="2">
        <f>((S153*CA153)/100)</f>
        <v>0</v>
      </c>
      <c r="DA153" s="2"/>
      <c r="DB153" s="2"/>
      <c r="DC153" s="2" t="s">
        <v>3</v>
      </c>
      <c r="DD153" s="2" t="s">
        <v>3</v>
      </c>
      <c r="DE153" s="2" t="s">
        <v>22</v>
      </c>
      <c r="DF153" s="2" t="s">
        <v>22</v>
      </c>
      <c r="DG153" s="2" t="s">
        <v>22</v>
      </c>
      <c r="DH153" s="2" t="s">
        <v>3</v>
      </c>
      <c r="DI153" s="2" t="s">
        <v>22</v>
      </c>
      <c r="DJ153" s="2" t="s">
        <v>22</v>
      </c>
      <c r="DK153" s="2" t="s">
        <v>3</v>
      </c>
      <c r="DL153" s="2" t="s">
        <v>3</v>
      </c>
      <c r="DM153" s="2" t="s">
        <v>3</v>
      </c>
      <c r="DN153" s="2">
        <v>0</v>
      </c>
      <c r="DO153" s="2">
        <v>0</v>
      </c>
      <c r="DP153" s="2">
        <v>1</v>
      </c>
      <c r="DQ153" s="2">
        <v>1</v>
      </c>
      <c r="DR153" s="2"/>
      <c r="DS153" s="2"/>
      <c r="DT153" s="2"/>
      <c r="DU153" s="2">
        <v>1013</v>
      </c>
      <c r="DV153" s="2" t="s">
        <v>164</v>
      </c>
      <c r="DW153" s="2" t="s">
        <v>164</v>
      </c>
      <c r="DX153" s="2">
        <v>1</v>
      </c>
      <c r="DY153" s="2"/>
      <c r="DZ153" s="2" t="s">
        <v>3</v>
      </c>
      <c r="EA153" s="2" t="s">
        <v>3</v>
      </c>
      <c r="EB153" s="2" t="s">
        <v>3</v>
      </c>
      <c r="EC153" s="2" t="s">
        <v>3</v>
      </c>
      <c r="ED153" s="2"/>
      <c r="EE153" s="2">
        <v>51696357</v>
      </c>
      <c r="EF153" s="2">
        <v>40</v>
      </c>
      <c r="EG153" s="2" t="s">
        <v>166</v>
      </c>
      <c r="EH153" s="2">
        <v>0</v>
      </c>
      <c r="EI153" s="2" t="s">
        <v>3</v>
      </c>
      <c r="EJ153" s="2">
        <v>2</v>
      </c>
      <c r="EK153" s="2">
        <v>318</v>
      </c>
      <c r="EL153" s="2" t="s">
        <v>167</v>
      </c>
      <c r="EM153" s="2" t="s">
        <v>168</v>
      </c>
      <c r="EN153" s="2"/>
      <c r="EO153" s="2" t="s">
        <v>25</v>
      </c>
      <c r="EP153" s="2"/>
      <c r="EQ153" s="2">
        <v>131072</v>
      </c>
      <c r="ER153" s="2">
        <v>323.62</v>
      </c>
      <c r="ES153" s="2">
        <v>53.75</v>
      </c>
      <c r="ET153" s="2">
        <v>134.35</v>
      </c>
      <c r="EU153" s="2">
        <v>18.68</v>
      </c>
      <c r="EV153" s="2">
        <v>135.52000000000001</v>
      </c>
      <c r="EW153" s="2">
        <v>11</v>
      </c>
      <c r="EX153" s="2">
        <v>0</v>
      </c>
      <c r="EY153" s="2">
        <v>0</v>
      </c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>
        <v>0</v>
      </c>
      <c r="FR153" s="2">
        <v>0</v>
      </c>
      <c r="FS153" s="2">
        <v>0</v>
      </c>
      <c r="FT153" s="2"/>
      <c r="FU153" s="2"/>
      <c r="FV153" s="2"/>
      <c r="FW153" s="2"/>
      <c r="FX153" s="2">
        <v>112</v>
      </c>
      <c r="FY153" s="2">
        <v>70</v>
      </c>
      <c r="FZ153" s="2"/>
      <c r="GA153" s="2" t="s">
        <v>3</v>
      </c>
      <c r="GB153" s="2"/>
      <c r="GC153" s="2"/>
      <c r="GD153" s="2">
        <v>0</v>
      </c>
      <c r="GE153" s="2"/>
      <c r="GF153" s="2">
        <v>1908725052</v>
      </c>
      <c r="GG153" s="2">
        <v>2</v>
      </c>
      <c r="GH153" s="2">
        <v>1</v>
      </c>
      <c r="GI153" s="2">
        <v>-2</v>
      </c>
      <c r="GJ153" s="2">
        <v>0</v>
      </c>
      <c r="GK153" s="2">
        <f>ROUND(R153*(R12)/100,2)</f>
        <v>0</v>
      </c>
      <c r="GL153" s="2">
        <f t="shared" si="142"/>
        <v>0</v>
      </c>
      <c r="GM153" s="2">
        <f t="shared" si="143"/>
        <v>0</v>
      </c>
      <c r="GN153" s="2">
        <f t="shared" si="144"/>
        <v>0</v>
      </c>
      <c r="GO153" s="2">
        <f t="shared" si="145"/>
        <v>0</v>
      </c>
      <c r="GP153" s="2">
        <f t="shared" si="146"/>
        <v>0</v>
      </c>
      <c r="GQ153" s="2"/>
      <c r="GR153" s="2">
        <v>0</v>
      </c>
      <c r="GS153" s="2">
        <v>0</v>
      </c>
      <c r="GT153" s="2">
        <v>0</v>
      </c>
      <c r="GU153" s="2" t="s">
        <v>3</v>
      </c>
      <c r="GV153" s="2">
        <f t="shared" si="147"/>
        <v>0</v>
      </c>
      <c r="GW153" s="2">
        <v>1</v>
      </c>
      <c r="GX153" s="2">
        <f t="shared" si="148"/>
        <v>0</v>
      </c>
      <c r="GY153" s="2"/>
      <c r="GZ153" s="2"/>
      <c r="HA153" s="2">
        <v>0</v>
      </c>
      <c r="HB153" s="2">
        <v>0</v>
      </c>
      <c r="HC153" s="2">
        <f t="shared" si="149"/>
        <v>0</v>
      </c>
      <c r="HD153" s="2"/>
      <c r="HE153" s="2" t="s">
        <v>3</v>
      </c>
      <c r="HF153" s="2" t="s">
        <v>3</v>
      </c>
      <c r="HG153" s="2"/>
      <c r="HH153" s="2"/>
      <c r="HI153" s="2"/>
      <c r="HJ153" s="2"/>
      <c r="HK153" s="2"/>
      <c r="HL153" s="2"/>
      <c r="HM153" s="2" t="s">
        <v>3</v>
      </c>
      <c r="HN153" s="2" t="s">
        <v>3</v>
      </c>
      <c r="HO153" s="2" t="s">
        <v>3</v>
      </c>
      <c r="HP153" s="2" t="s">
        <v>3</v>
      </c>
      <c r="HQ153" s="2" t="s">
        <v>3</v>
      </c>
      <c r="HR153" s="2"/>
      <c r="HS153" s="2">
        <v>0</v>
      </c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>
        <v>0</v>
      </c>
      <c r="IL153" s="2"/>
      <c r="IM153" s="2"/>
      <c r="IN153" s="2"/>
      <c r="IO153" s="2"/>
      <c r="IP153" s="2"/>
      <c r="IQ153" s="2"/>
      <c r="IR153" s="2"/>
      <c r="IS153" s="2"/>
      <c r="IT153" s="2"/>
      <c r="IU153" s="2"/>
    </row>
    <row r="154" spans="1:255" x14ac:dyDescent="0.2">
      <c r="A154">
        <v>17</v>
      </c>
      <c r="B154">
        <v>1</v>
      </c>
      <c r="C154">
        <f>ROW(SmtRes!A174)</f>
        <v>174</v>
      </c>
      <c r="D154">
        <f>ROW(EtalonRes!A786)</f>
        <v>786</v>
      </c>
      <c r="E154" t="s">
        <v>234</v>
      </c>
      <c r="F154" t="s">
        <v>229</v>
      </c>
      <c r="G154" t="s">
        <v>235</v>
      </c>
      <c r="H154" t="s">
        <v>164</v>
      </c>
      <c r="I154">
        <v>0</v>
      </c>
      <c r="J154">
        <v>0</v>
      </c>
      <c r="K154">
        <v>0</v>
      </c>
      <c r="O154">
        <f t="shared" si="113"/>
        <v>0</v>
      </c>
      <c r="P154">
        <f t="shared" si="114"/>
        <v>0</v>
      </c>
      <c r="Q154">
        <f t="shared" si="115"/>
        <v>0</v>
      </c>
      <c r="R154">
        <f t="shared" si="116"/>
        <v>0</v>
      </c>
      <c r="S154">
        <f t="shared" si="117"/>
        <v>0</v>
      </c>
      <c r="T154">
        <f t="shared" si="118"/>
        <v>0</v>
      </c>
      <c r="U154">
        <f t="shared" si="119"/>
        <v>0</v>
      </c>
      <c r="V154">
        <f t="shared" si="120"/>
        <v>0</v>
      </c>
      <c r="W154">
        <f t="shared" si="121"/>
        <v>0</v>
      </c>
      <c r="X154">
        <f t="shared" si="122"/>
        <v>0</v>
      </c>
      <c r="Y154">
        <f t="shared" si="123"/>
        <v>0</v>
      </c>
      <c r="AA154">
        <v>56616093</v>
      </c>
      <c r="AB154">
        <f t="shared" si="124"/>
        <v>350.60700000000003</v>
      </c>
      <c r="AC154">
        <f t="shared" si="125"/>
        <v>53.75</v>
      </c>
      <c r="AD154">
        <f t="shared" si="126"/>
        <v>147.785</v>
      </c>
      <c r="AE154">
        <f t="shared" si="127"/>
        <v>20.547999999999998</v>
      </c>
      <c r="AF154">
        <f t="shared" si="128"/>
        <v>149.072</v>
      </c>
      <c r="AG154">
        <f t="shared" si="129"/>
        <v>0</v>
      </c>
      <c r="AH154">
        <f t="shared" si="130"/>
        <v>12.100000000000001</v>
      </c>
      <c r="AI154">
        <f t="shared" si="131"/>
        <v>0</v>
      </c>
      <c r="AJ154">
        <f t="shared" si="132"/>
        <v>0</v>
      </c>
      <c r="AK154">
        <v>323.62</v>
      </c>
      <c r="AL154">
        <v>53.75</v>
      </c>
      <c r="AM154">
        <v>134.35</v>
      </c>
      <c r="AN154">
        <v>18.68</v>
      </c>
      <c r="AO154">
        <v>135.52000000000001</v>
      </c>
      <c r="AP154">
        <v>0</v>
      </c>
      <c r="AQ154">
        <v>11</v>
      </c>
      <c r="AR154">
        <v>0</v>
      </c>
      <c r="AS154">
        <v>0</v>
      </c>
      <c r="AT154">
        <v>92</v>
      </c>
      <c r="AU154">
        <v>43</v>
      </c>
      <c r="AV154">
        <v>1.0669999999999999</v>
      </c>
      <c r="AW154">
        <v>1.081</v>
      </c>
      <c r="AZ154">
        <v>1</v>
      </c>
      <c r="BA154">
        <v>34.51</v>
      </c>
      <c r="BB154">
        <v>12.52</v>
      </c>
      <c r="BC154">
        <v>17.21</v>
      </c>
      <c r="BD154" t="s">
        <v>3</v>
      </c>
      <c r="BE154" t="s">
        <v>3</v>
      </c>
      <c r="BF154" t="s">
        <v>3</v>
      </c>
      <c r="BG154" t="s">
        <v>3</v>
      </c>
      <c r="BH154">
        <v>0</v>
      </c>
      <c r="BI154">
        <v>2</v>
      </c>
      <c r="BJ154" t="s">
        <v>231</v>
      </c>
      <c r="BM154">
        <v>318</v>
      </c>
      <c r="BN154">
        <v>0</v>
      </c>
      <c r="BO154" t="s">
        <v>229</v>
      </c>
      <c r="BP154">
        <v>1</v>
      </c>
      <c r="BQ154">
        <v>40</v>
      </c>
      <c r="BR154">
        <v>0</v>
      </c>
      <c r="BS154">
        <v>34.51</v>
      </c>
      <c r="BT154">
        <v>1</v>
      </c>
      <c r="BU154">
        <v>1</v>
      </c>
      <c r="BV154">
        <v>1</v>
      </c>
      <c r="BW154">
        <v>1</v>
      </c>
      <c r="BX154">
        <v>1</v>
      </c>
      <c r="BY154" t="s">
        <v>3</v>
      </c>
      <c r="BZ154">
        <v>92</v>
      </c>
      <c r="CA154">
        <v>43</v>
      </c>
      <c r="CB154" t="s">
        <v>3</v>
      </c>
      <c r="CE154">
        <v>30</v>
      </c>
      <c r="CF154">
        <v>0</v>
      </c>
      <c r="CG154">
        <v>0</v>
      </c>
      <c r="CM154">
        <v>0</v>
      </c>
      <c r="CN154" t="s">
        <v>671</v>
      </c>
      <c r="CO154">
        <v>0</v>
      </c>
      <c r="CP154">
        <f t="shared" si="133"/>
        <v>0</v>
      </c>
      <c r="CQ154">
        <f t="shared" si="134"/>
        <v>999.9</v>
      </c>
      <c r="CR154">
        <f t="shared" si="135"/>
        <v>1974.28</v>
      </c>
      <c r="CS154">
        <f t="shared" si="136"/>
        <v>756.46</v>
      </c>
      <c r="CT154">
        <f t="shared" si="137"/>
        <v>5489.16</v>
      </c>
      <c r="CU154">
        <f t="shared" si="138"/>
        <v>0</v>
      </c>
      <c r="CV154">
        <f t="shared" si="139"/>
        <v>12.9107</v>
      </c>
      <c r="CW154">
        <f t="shared" si="140"/>
        <v>0</v>
      </c>
      <c r="CX154">
        <f t="shared" si="141"/>
        <v>0</v>
      </c>
      <c r="CY154">
        <f>S154*(BZ154/100)</f>
        <v>0</v>
      </c>
      <c r="CZ154">
        <f>S154*(CA154/100)</f>
        <v>0</v>
      </c>
      <c r="DC154" t="s">
        <v>3</v>
      </c>
      <c r="DD154" t="s">
        <v>3</v>
      </c>
      <c r="DE154" t="s">
        <v>22</v>
      </c>
      <c r="DF154" t="s">
        <v>22</v>
      </c>
      <c r="DG154" t="s">
        <v>22</v>
      </c>
      <c r="DH154" t="s">
        <v>3</v>
      </c>
      <c r="DI154" t="s">
        <v>22</v>
      </c>
      <c r="DJ154" t="s">
        <v>22</v>
      </c>
      <c r="DK154" t="s">
        <v>3</v>
      </c>
      <c r="DL154" t="s">
        <v>3</v>
      </c>
      <c r="DM154" t="s">
        <v>3</v>
      </c>
      <c r="DN154">
        <v>112</v>
      </c>
      <c r="DO154">
        <v>70</v>
      </c>
      <c r="DP154">
        <v>1.0669999999999999</v>
      </c>
      <c r="DQ154">
        <v>1.081</v>
      </c>
      <c r="DU154">
        <v>1013</v>
      </c>
      <c r="DV154" t="s">
        <v>164</v>
      </c>
      <c r="DW154" t="s">
        <v>164</v>
      </c>
      <c r="DX154">
        <v>1</v>
      </c>
      <c r="DZ154" t="s">
        <v>3</v>
      </c>
      <c r="EA154" t="s">
        <v>3</v>
      </c>
      <c r="EB154" t="s">
        <v>3</v>
      </c>
      <c r="EC154" t="s">
        <v>3</v>
      </c>
      <c r="EE154">
        <v>51696357</v>
      </c>
      <c r="EF154">
        <v>40</v>
      </c>
      <c r="EG154" t="s">
        <v>166</v>
      </c>
      <c r="EH154">
        <v>0</v>
      </c>
      <c r="EI154" t="s">
        <v>3</v>
      </c>
      <c r="EJ154">
        <v>2</v>
      </c>
      <c r="EK154">
        <v>318</v>
      </c>
      <c r="EL154" t="s">
        <v>167</v>
      </c>
      <c r="EM154" t="s">
        <v>168</v>
      </c>
      <c r="EO154" t="s">
        <v>25</v>
      </c>
      <c r="EQ154">
        <v>131072</v>
      </c>
      <c r="ER154">
        <v>323.62</v>
      </c>
      <c r="ES154">
        <v>53.75</v>
      </c>
      <c r="ET154">
        <v>134.35</v>
      </c>
      <c r="EU154">
        <v>18.68</v>
      </c>
      <c r="EV154">
        <v>135.52000000000001</v>
      </c>
      <c r="EW154">
        <v>11</v>
      </c>
      <c r="EX154">
        <v>0</v>
      </c>
      <c r="EY154">
        <v>0</v>
      </c>
      <c r="FQ154">
        <v>0</v>
      </c>
      <c r="FR154">
        <v>0</v>
      </c>
      <c r="FS154">
        <v>0</v>
      </c>
      <c r="FX154">
        <v>112</v>
      </c>
      <c r="FY154">
        <v>70</v>
      </c>
      <c r="GA154" t="s">
        <v>3</v>
      </c>
      <c r="GD154">
        <v>0</v>
      </c>
      <c r="GF154">
        <v>1908725052</v>
      </c>
      <c r="GG154">
        <v>2</v>
      </c>
      <c r="GH154">
        <v>1</v>
      </c>
      <c r="GI154">
        <v>2</v>
      </c>
      <c r="GJ154">
        <v>0</v>
      </c>
      <c r="GK154">
        <f>ROUND(R154*(S12)/100,2)</f>
        <v>0</v>
      </c>
      <c r="GL154">
        <f t="shared" si="142"/>
        <v>0</v>
      </c>
      <c r="GM154">
        <f t="shared" si="143"/>
        <v>0</v>
      </c>
      <c r="GN154">
        <f t="shared" si="144"/>
        <v>0</v>
      </c>
      <c r="GO154">
        <f t="shared" si="145"/>
        <v>0</v>
      </c>
      <c r="GP154">
        <f t="shared" si="146"/>
        <v>0</v>
      </c>
      <c r="GR154">
        <v>0</v>
      </c>
      <c r="GS154">
        <v>3</v>
      </c>
      <c r="GT154">
        <v>0</v>
      </c>
      <c r="GU154" t="s">
        <v>3</v>
      </c>
      <c r="GV154">
        <f t="shared" si="147"/>
        <v>0</v>
      </c>
      <c r="GW154">
        <v>1</v>
      </c>
      <c r="GX154">
        <f t="shared" si="148"/>
        <v>0</v>
      </c>
      <c r="HA154">
        <v>0</v>
      </c>
      <c r="HB154">
        <v>0</v>
      </c>
      <c r="HC154">
        <f t="shared" si="149"/>
        <v>0</v>
      </c>
      <c r="HE154" t="s">
        <v>3</v>
      </c>
      <c r="HF154" t="s">
        <v>3</v>
      </c>
      <c r="HM154" t="s">
        <v>3</v>
      </c>
      <c r="HN154" t="s">
        <v>3</v>
      </c>
      <c r="HO154" t="s">
        <v>3</v>
      </c>
      <c r="HP154" t="s">
        <v>3</v>
      </c>
      <c r="HQ154" t="s">
        <v>3</v>
      </c>
      <c r="HS154">
        <v>0</v>
      </c>
      <c r="IK154">
        <v>0</v>
      </c>
    </row>
    <row r="155" spans="1:255" x14ac:dyDescent="0.2">
      <c r="A155" s="2">
        <v>17</v>
      </c>
      <c r="B155" s="2">
        <v>1</v>
      </c>
      <c r="C155" s="2">
        <f>ROW(SmtRes!A175)</f>
        <v>175</v>
      </c>
      <c r="D155" s="2">
        <f>ROW(EtalonRes!A801)</f>
        <v>801</v>
      </c>
      <c r="E155" s="2" t="s">
        <v>236</v>
      </c>
      <c r="F155" s="2" t="s">
        <v>237</v>
      </c>
      <c r="G155" s="2" t="s">
        <v>238</v>
      </c>
      <c r="H155" s="2" t="s">
        <v>164</v>
      </c>
      <c r="I155" s="2">
        <v>0</v>
      </c>
      <c r="J155" s="2">
        <v>0</v>
      </c>
      <c r="K155" s="2">
        <v>0</v>
      </c>
      <c r="L155" s="2"/>
      <c r="M155" s="2"/>
      <c r="N155" s="2"/>
      <c r="O155" s="2">
        <f t="shared" si="113"/>
        <v>0</v>
      </c>
      <c r="P155" s="2">
        <f t="shared" si="114"/>
        <v>0</v>
      </c>
      <c r="Q155" s="2">
        <f t="shared" si="115"/>
        <v>0</v>
      </c>
      <c r="R155" s="2">
        <f t="shared" si="116"/>
        <v>0</v>
      </c>
      <c r="S155" s="2">
        <f t="shared" si="117"/>
        <v>0</v>
      </c>
      <c r="T155" s="2">
        <f t="shared" si="118"/>
        <v>0</v>
      </c>
      <c r="U155" s="2">
        <f t="shared" si="119"/>
        <v>0</v>
      </c>
      <c r="V155" s="2">
        <f t="shared" si="120"/>
        <v>0</v>
      </c>
      <c r="W155" s="2">
        <f t="shared" si="121"/>
        <v>0</v>
      </c>
      <c r="X155" s="2">
        <f t="shared" si="122"/>
        <v>0</v>
      </c>
      <c r="Y155" s="2">
        <f t="shared" si="123"/>
        <v>0</v>
      </c>
      <c r="Z155" s="2"/>
      <c r="AA155" s="2">
        <v>56622586</v>
      </c>
      <c r="AB155" s="2">
        <f t="shared" si="124"/>
        <v>355.59800000000001</v>
      </c>
      <c r="AC155" s="2">
        <f t="shared" si="125"/>
        <v>53.45</v>
      </c>
      <c r="AD155" s="2">
        <f t="shared" si="126"/>
        <v>50.082999999999998</v>
      </c>
      <c r="AE155" s="2">
        <f t="shared" si="127"/>
        <v>5.4119999999999999</v>
      </c>
      <c r="AF155" s="2">
        <f t="shared" si="128"/>
        <v>252.065</v>
      </c>
      <c r="AG155" s="2">
        <f t="shared" si="129"/>
        <v>0</v>
      </c>
      <c r="AH155" s="2">
        <f t="shared" si="130"/>
        <v>20.460000000000004</v>
      </c>
      <c r="AI155" s="2">
        <f t="shared" si="131"/>
        <v>0</v>
      </c>
      <c r="AJ155" s="2">
        <f t="shared" si="132"/>
        <v>0</v>
      </c>
      <c r="AK155" s="2">
        <v>328.13</v>
      </c>
      <c r="AL155" s="2">
        <v>53.45</v>
      </c>
      <c r="AM155" s="2">
        <v>45.53</v>
      </c>
      <c r="AN155" s="2">
        <v>4.92</v>
      </c>
      <c r="AO155" s="2">
        <v>229.15</v>
      </c>
      <c r="AP155" s="2">
        <v>0</v>
      </c>
      <c r="AQ155" s="2">
        <v>18.600000000000001</v>
      </c>
      <c r="AR155" s="2">
        <v>0</v>
      </c>
      <c r="AS155" s="2">
        <v>0</v>
      </c>
      <c r="AT155" s="2">
        <v>112</v>
      </c>
      <c r="AU155" s="2">
        <v>70</v>
      </c>
      <c r="AV155" s="2">
        <v>1.0669999999999999</v>
      </c>
      <c r="AW155" s="2">
        <v>1.081</v>
      </c>
      <c r="AX155" s="2"/>
      <c r="AY155" s="2"/>
      <c r="AZ155" s="2">
        <v>1</v>
      </c>
      <c r="BA155" s="2">
        <v>1</v>
      </c>
      <c r="BB155" s="2">
        <v>1</v>
      </c>
      <c r="BC155" s="2">
        <v>1</v>
      </c>
      <c r="BD155" s="2" t="s">
        <v>3</v>
      </c>
      <c r="BE155" s="2" t="s">
        <v>3</v>
      </c>
      <c r="BF155" s="2" t="s">
        <v>3</v>
      </c>
      <c r="BG155" s="2" t="s">
        <v>3</v>
      </c>
      <c r="BH155" s="2">
        <v>0</v>
      </c>
      <c r="BI155" s="2">
        <v>2</v>
      </c>
      <c r="BJ155" s="2" t="s">
        <v>239</v>
      </c>
      <c r="BK155" s="2"/>
      <c r="BL155" s="2"/>
      <c r="BM155" s="2">
        <v>318</v>
      </c>
      <c r="BN155" s="2">
        <v>0</v>
      </c>
      <c r="BO155" s="2" t="s">
        <v>3</v>
      </c>
      <c r="BP155" s="2">
        <v>0</v>
      </c>
      <c r="BQ155" s="2">
        <v>40</v>
      </c>
      <c r="BR155" s="2">
        <v>0</v>
      </c>
      <c r="BS155" s="2">
        <v>1</v>
      </c>
      <c r="BT155" s="2">
        <v>1</v>
      </c>
      <c r="BU155" s="2">
        <v>1</v>
      </c>
      <c r="BV155" s="2">
        <v>1</v>
      </c>
      <c r="BW155" s="2">
        <v>1</v>
      </c>
      <c r="BX155" s="2">
        <v>1</v>
      </c>
      <c r="BY155" s="2" t="s">
        <v>3</v>
      </c>
      <c r="BZ155" s="2">
        <v>112</v>
      </c>
      <c r="CA155" s="2">
        <v>70</v>
      </c>
      <c r="CB155" s="2" t="s">
        <v>3</v>
      </c>
      <c r="CC155" s="2"/>
      <c r="CD155" s="2"/>
      <c r="CE155" s="2">
        <v>30</v>
      </c>
      <c r="CF155" s="2">
        <v>0</v>
      </c>
      <c r="CG155" s="2">
        <v>0</v>
      </c>
      <c r="CH155" s="2"/>
      <c r="CI155" s="2"/>
      <c r="CJ155" s="2"/>
      <c r="CK155" s="2"/>
      <c r="CL155" s="2"/>
      <c r="CM155" s="2">
        <v>0</v>
      </c>
      <c r="CN155" s="2" t="s">
        <v>671</v>
      </c>
      <c r="CO155" s="2">
        <v>0</v>
      </c>
      <c r="CP155" s="2">
        <f t="shared" si="133"/>
        <v>0</v>
      </c>
      <c r="CQ155" s="2">
        <f t="shared" si="134"/>
        <v>57.78</v>
      </c>
      <c r="CR155" s="2">
        <f t="shared" si="135"/>
        <v>53.44</v>
      </c>
      <c r="CS155" s="2">
        <f t="shared" si="136"/>
        <v>5.77</v>
      </c>
      <c r="CT155" s="2">
        <f t="shared" si="137"/>
        <v>268.95</v>
      </c>
      <c r="CU155" s="2">
        <f t="shared" si="138"/>
        <v>0</v>
      </c>
      <c r="CV155" s="2">
        <f t="shared" si="139"/>
        <v>21.830820000000003</v>
      </c>
      <c r="CW155" s="2">
        <f t="shared" si="140"/>
        <v>0</v>
      </c>
      <c r="CX155" s="2">
        <f t="shared" si="141"/>
        <v>0</v>
      </c>
      <c r="CY155" s="2">
        <f>((S155*BZ155)/100)</f>
        <v>0</v>
      </c>
      <c r="CZ155" s="2">
        <f>((S155*CA155)/100)</f>
        <v>0</v>
      </c>
      <c r="DA155" s="2"/>
      <c r="DB155" s="2"/>
      <c r="DC155" s="2" t="s">
        <v>3</v>
      </c>
      <c r="DD155" s="2" t="s">
        <v>3</v>
      </c>
      <c r="DE155" s="2" t="s">
        <v>22</v>
      </c>
      <c r="DF155" s="2" t="s">
        <v>22</v>
      </c>
      <c r="DG155" s="2" t="s">
        <v>22</v>
      </c>
      <c r="DH155" s="2" t="s">
        <v>3</v>
      </c>
      <c r="DI155" s="2" t="s">
        <v>22</v>
      </c>
      <c r="DJ155" s="2" t="s">
        <v>22</v>
      </c>
      <c r="DK155" s="2" t="s">
        <v>3</v>
      </c>
      <c r="DL155" s="2" t="s">
        <v>3</v>
      </c>
      <c r="DM155" s="2" t="s">
        <v>3</v>
      </c>
      <c r="DN155" s="2">
        <v>0</v>
      </c>
      <c r="DO155" s="2">
        <v>0</v>
      </c>
      <c r="DP155" s="2">
        <v>1</v>
      </c>
      <c r="DQ155" s="2">
        <v>1</v>
      </c>
      <c r="DR155" s="2"/>
      <c r="DS155" s="2"/>
      <c r="DT155" s="2"/>
      <c r="DU155" s="2">
        <v>1013</v>
      </c>
      <c r="DV155" s="2" t="s">
        <v>164</v>
      </c>
      <c r="DW155" s="2" t="s">
        <v>164</v>
      </c>
      <c r="DX155" s="2">
        <v>1</v>
      </c>
      <c r="DY155" s="2"/>
      <c r="DZ155" s="2" t="s">
        <v>3</v>
      </c>
      <c r="EA155" s="2" t="s">
        <v>3</v>
      </c>
      <c r="EB155" s="2" t="s">
        <v>3</v>
      </c>
      <c r="EC155" s="2" t="s">
        <v>3</v>
      </c>
      <c r="ED155" s="2"/>
      <c r="EE155" s="2">
        <v>51696357</v>
      </c>
      <c r="EF155" s="2">
        <v>40</v>
      </c>
      <c r="EG155" s="2" t="s">
        <v>166</v>
      </c>
      <c r="EH155" s="2">
        <v>0</v>
      </c>
      <c r="EI155" s="2" t="s">
        <v>3</v>
      </c>
      <c r="EJ155" s="2">
        <v>2</v>
      </c>
      <c r="EK155" s="2">
        <v>318</v>
      </c>
      <c r="EL155" s="2" t="s">
        <v>167</v>
      </c>
      <c r="EM155" s="2" t="s">
        <v>168</v>
      </c>
      <c r="EN155" s="2"/>
      <c r="EO155" s="2" t="s">
        <v>25</v>
      </c>
      <c r="EP155" s="2"/>
      <c r="EQ155" s="2">
        <v>131072</v>
      </c>
      <c r="ER155" s="2">
        <v>328.13</v>
      </c>
      <c r="ES155" s="2">
        <v>53.45</v>
      </c>
      <c r="ET155" s="2">
        <v>45.53</v>
      </c>
      <c r="EU155" s="2">
        <v>4.92</v>
      </c>
      <c r="EV155" s="2">
        <v>229.15</v>
      </c>
      <c r="EW155" s="2">
        <v>18.600000000000001</v>
      </c>
      <c r="EX155" s="2">
        <v>0</v>
      </c>
      <c r="EY155" s="2">
        <v>0</v>
      </c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>
        <v>0</v>
      </c>
      <c r="FR155" s="2">
        <v>0</v>
      </c>
      <c r="FS155" s="2">
        <v>0</v>
      </c>
      <c r="FT155" s="2"/>
      <c r="FU155" s="2"/>
      <c r="FV155" s="2"/>
      <c r="FW155" s="2"/>
      <c r="FX155" s="2">
        <v>112</v>
      </c>
      <c r="FY155" s="2">
        <v>70</v>
      </c>
      <c r="FZ155" s="2"/>
      <c r="GA155" s="2" t="s">
        <v>3</v>
      </c>
      <c r="GB155" s="2"/>
      <c r="GC155" s="2"/>
      <c r="GD155" s="2">
        <v>0</v>
      </c>
      <c r="GE155" s="2"/>
      <c r="GF155" s="2">
        <v>1639748225</v>
      </c>
      <c r="GG155" s="2">
        <v>2</v>
      </c>
      <c r="GH155" s="2">
        <v>1</v>
      </c>
      <c r="GI155" s="2">
        <v>-2</v>
      </c>
      <c r="GJ155" s="2">
        <v>0</v>
      </c>
      <c r="GK155" s="2">
        <f>ROUND(R155*(R12)/100,2)</f>
        <v>0</v>
      </c>
      <c r="GL155" s="2">
        <f t="shared" si="142"/>
        <v>0</v>
      </c>
      <c r="GM155" s="2">
        <f t="shared" si="143"/>
        <v>0</v>
      </c>
      <c r="GN155" s="2">
        <f t="shared" si="144"/>
        <v>0</v>
      </c>
      <c r="GO155" s="2">
        <f t="shared" si="145"/>
        <v>0</v>
      </c>
      <c r="GP155" s="2">
        <f t="shared" si="146"/>
        <v>0</v>
      </c>
      <c r="GQ155" s="2"/>
      <c r="GR155" s="2">
        <v>0</v>
      </c>
      <c r="GS155" s="2">
        <v>0</v>
      </c>
      <c r="GT155" s="2">
        <v>0</v>
      </c>
      <c r="GU155" s="2" t="s">
        <v>3</v>
      </c>
      <c r="GV155" s="2">
        <f t="shared" si="147"/>
        <v>0</v>
      </c>
      <c r="GW155" s="2">
        <v>1</v>
      </c>
      <c r="GX155" s="2">
        <f t="shared" si="148"/>
        <v>0</v>
      </c>
      <c r="GY155" s="2"/>
      <c r="GZ155" s="2"/>
      <c r="HA155" s="2">
        <v>0</v>
      </c>
      <c r="HB155" s="2">
        <v>0</v>
      </c>
      <c r="HC155" s="2">
        <f t="shared" si="149"/>
        <v>0</v>
      </c>
      <c r="HD155" s="2"/>
      <c r="HE155" s="2" t="s">
        <v>3</v>
      </c>
      <c r="HF155" s="2" t="s">
        <v>3</v>
      </c>
      <c r="HG155" s="2"/>
      <c r="HH155" s="2"/>
      <c r="HI155" s="2"/>
      <c r="HJ155" s="2"/>
      <c r="HK155" s="2"/>
      <c r="HL155" s="2"/>
      <c r="HM155" s="2" t="s">
        <v>3</v>
      </c>
      <c r="HN155" s="2" t="s">
        <v>3</v>
      </c>
      <c r="HO155" s="2" t="s">
        <v>3</v>
      </c>
      <c r="HP155" s="2" t="s">
        <v>3</v>
      </c>
      <c r="HQ155" s="2" t="s">
        <v>3</v>
      </c>
      <c r="HR155" s="2"/>
      <c r="HS155" s="2">
        <v>0</v>
      </c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>
        <v>0</v>
      </c>
      <c r="IL155" s="2"/>
      <c r="IM155" s="2"/>
      <c r="IN155" s="2"/>
      <c r="IO155" s="2"/>
      <c r="IP155" s="2"/>
      <c r="IQ155" s="2"/>
      <c r="IR155" s="2"/>
      <c r="IS155" s="2"/>
      <c r="IT155" s="2"/>
      <c r="IU155" s="2"/>
    </row>
    <row r="156" spans="1:255" x14ac:dyDescent="0.2">
      <c r="A156">
        <v>17</v>
      </c>
      <c r="B156">
        <v>1</v>
      </c>
      <c r="C156">
        <f>ROW(SmtRes!A176)</f>
        <v>176</v>
      </c>
      <c r="D156">
        <f>ROW(EtalonRes!A816)</f>
        <v>816</v>
      </c>
      <c r="E156" t="s">
        <v>236</v>
      </c>
      <c r="F156" t="s">
        <v>237</v>
      </c>
      <c r="G156" t="s">
        <v>238</v>
      </c>
      <c r="H156" t="s">
        <v>164</v>
      </c>
      <c r="I156">
        <v>0</v>
      </c>
      <c r="J156">
        <v>0</v>
      </c>
      <c r="K156">
        <v>0</v>
      </c>
      <c r="O156">
        <f t="shared" si="113"/>
        <v>0</v>
      </c>
      <c r="P156">
        <f t="shared" si="114"/>
        <v>0</v>
      </c>
      <c r="Q156">
        <f t="shared" si="115"/>
        <v>0</v>
      </c>
      <c r="R156">
        <f t="shared" si="116"/>
        <v>0</v>
      </c>
      <c r="S156">
        <f t="shared" si="117"/>
        <v>0</v>
      </c>
      <c r="T156">
        <f t="shared" si="118"/>
        <v>0</v>
      </c>
      <c r="U156">
        <f t="shared" si="119"/>
        <v>0</v>
      </c>
      <c r="V156">
        <f t="shared" si="120"/>
        <v>0</v>
      </c>
      <c r="W156">
        <f t="shared" si="121"/>
        <v>0</v>
      </c>
      <c r="X156">
        <f t="shared" si="122"/>
        <v>0</v>
      </c>
      <c r="Y156">
        <f t="shared" si="123"/>
        <v>0</v>
      </c>
      <c r="AA156">
        <v>56616093</v>
      </c>
      <c r="AB156">
        <f t="shared" si="124"/>
        <v>355.59800000000001</v>
      </c>
      <c r="AC156">
        <f t="shared" si="125"/>
        <v>53.45</v>
      </c>
      <c r="AD156">
        <f t="shared" si="126"/>
        <v>50.082999999999998</v>
      </c>
      <c r="AE156">
        <f t="shared" si="127"/>
        <v>5.4119999999999999</v>
      </c>
      <c r="AF156">
        <f t="shared" si="128"/>
        <v>252.065</v>
      </c>
      <c r="AG156">
        <f t="shared" si="129"/>
        <v>0</v>
      </c>
      <c r="AH156">
        <f t="shared" si="130"/>
        <v>20.460000000000004</v>
      </c>
      <c r="AI156">
        <f t="shared" si="131"/>
        <v>0</v>
      </c>
      <c r="AJ156">
        <f t="shared" si="132"/>
        <v>0</v>
      </c>
      <c r="AK156">
        <v>328.13</v>
      </c>
      <c r="AL156">
        <v>53.45</v>
      </c>
      <c r="AM156">
        <v>45.53</v>
      </c>
      <c r="AN156">
        <v>4.92</v>
      </c>
      <c r="AO156">
        <v>229.15</v>
      </c>
      <c r="AP156">
        <v>0</v>
      </c>
      <c r="AQ156">
        <v>18.600000000000001</v>
      </c>
      <c r="AR156">
        <v>0</v>
      </c>
      <c r="AS156">
        <v>0</v>
      </c>
      <c r="AT156">
        <v>92</v>
      </c>
      <c r="AU156">
        <v>43</v>
      </c>
      <c r="AV156">
        <v>1.0669999999999999</v>
      </c>
      <c r="AW156">
        <v>1.081</v>
      </c>
      <c r="AZ156">
        <v>1</v>
      </c>
      <c r="BA156">
        <v>34.51</v>
      </c>
      <c r="BB156">
        <v>11.66</v>
      </c>
      <c r="BC156">
        <v>13.11</v>
      </c>
      <c r="BD156" t="s">
        <v>3</v>
      </c>
      <c r="BE156" t="s">
        <v>3</v>
      </c>
      <c r="BF156" t="s">
        <v>3</v>
      </c>
      <c r="BG156" t="s">
        <v>3</v>
      </c>
      <c r="BH156">
        <v>0</v>
      </c>
      <c r="BI156">
        <v>2</v>
      </c>
      <c r="BJ156" t="s">
        <v>239</v>
      </c>
      <c r="BM156">
        <v>318</v>
      </c>
      <c r="BN156">
        <v>0</v>
      </c>
      <c r="BO156" t="s">
        <v>237</v>
      </c>
      <c r="BP156">
        <v>1</v>
      </c>
      <c r="BQ156">
        <v>40</v>
      </c>
      <c r="BR156">
        <v>0</v>
      </c>
      <c r="BS156">
        <v>34.51</v>
      </c>
      <c r="BT156">
        <v>1</v>
      </c>
      <c r="BU156">
        <v>1</v>
      </c>
      <c r="BV156">
        <v>1</v>
      </c>
      <c r="BW156">
        <v>1</v>
      </c>
      <c r="BX156">
        <v>1</v>
      </c>
      <c r="BY156" t="s">
        <v>3</v>
      </c>
      <c r="BZ156">
        <v>92</v>
      </c>
      <c r="CA156">
        <v>43</v>
      </c>
      <c r="CB156" t="s">
        <v>3</v>
      </c>
      <c r="CE156">
        <v>30</v>
      </c>
      <c r="CF156">
        <v>0</v>
      </c>
      <c r="CG156">
        <v>0</v>
      </c>
      <c r="CM156">
        <v>0</v>
      </c>
      <c r="CN156" t="s">
        <v>671</v>
      </c>
      <c r="CO156">
        <v>0</v>
      </c>
      <c r="CP156">
        <f t="shared" si="133"/>
        <v>0</v>
      </c>
      <c r="CQ156">
        <f t="shared" si="134"/>
        <v>757.5</v>
      </c>
      <c r="CR156">
        <f t="shared" si="135"/>
        <v>623.11</v>
      </c>
      <c r="CS156">
        <f t="shared" si="136"/>
        <v>199.12</v>
      </c>
      <c r="CT156">
        <f t="shared" si="137"/>
        <v>9281.4599999999991</v>
      </c>
      <c r="CU156">
        <f t="shared" si="138"/>
        <v>0</v>
      </c>
      <c r="CV156">
        <f t="shared" si="139"/>
        <v>21.830820000000003</v>
      </c>
      <c r="CW156">
        <f t="shared" si="140"/>
        <v>0</v>
      </c>
      <c r="CX156">
        <f t="shared" si="141"/>
        <v>0</v>
      </c>
      <c r="CY156">
        <f>S156*(BZ156/100)</f>
        <v>0</v>
      </c>
      <c r="CZ156">
        <f>S156*(CA156/100)</f>
        <v>0</v>
      </c>
      <c r="DC156" t="s">
        <v>3</v>
      </c>
      <c r="DD156" t="s">
        <v>3</v>
      </c>
      <c r="DE156" t="s">
        <v>22</v>
      </c>
      <c r="DF156" t="s">
        <v>22</v>
      </c>
      <c r="DG156" t="s">
        <v>22</v>
      </c>
      <c r="DH156" t="s">
        <v>3</v>
      </c>
      <c r="DI156" t="s">
        <v>22</v>
      </c>
      <c r="DJ156" t="s">
        <v>22</v>
      </c>
      <c r="DK156" t="s">
        <v>3</v>
      </c>
      <c r="DL156" t="s">
        <v>3</v>
      </c>
      <c r="DM156" t="s">
        <v>3</v>
      </c>
      <c r="DN156">
        <v>112</v>
      </c>
      <c r="DO156">
        <v>70</v>
      </c>
      <c r="DP156">
        <v>1.0669999999999999</v>
      </c>
      <c r="DQ156">
        <v>1.081</v>
      </c>
      <c r="DU156">
        <v>1013</v>
      </c>
      <c r="DV156" t="s">
        <v>164</v>
      </c>
      <c r="DW156" t="s">
        <v>164</v>
      </c>
      <c r="DX156">
        <v>1</v>
      </c>
      <c r="DZ156" t="s">
        <v>3</v>
      </c>
      <c r="EA156" t="s">
        <v>3</v>
      </c>
      <c r="EB156" t="s">
        <v>3</v>
      </c>
      <c r="EC156" t="s">
        <v>3</v>
      </c>
      <c r="EE156">
        <v>51696357</v>
      </c>
      <c r="EF156">
        <v>40</v>
      </c>
      <c r="EG156" t="s">
        <v>166</v>
      </c>
      <c r="EH156">
        <v>0</v>
      </c>
      <c r="EI156" t="s">
        <v>3</v>
      </c>
      <c r="EJ156">
        <v>2</v>
      </c>
      <c r="EK156">
        <v>318</v>
      </c>
      <c r="EL156" t="s">
        <v>167</v>
      </c>
      <c r="EM156" t="s">
        <v>168</v>
      </c>
      <c r="EO156" t="s">
        <v>25</v>
      </c>
      <c r="EQ156">
        <v>131072</v>
      </c>
      <c r="ER156">
        <v>328.13</v>
      </c>
      <c r="ES156">
        <v>53.45</v>
      </c>
      <c r="ET156">
        <v>45.53</v>
      </c>
      <c r="EU156">
        <v>4.92</v>
      </c>
      <c r="EV156">
        <v>229.15</v>
      </c>
      <c r="EW156">
        <v>18.600000000000001</v>
      </c>
      <c r="EX156">
        <v>0</v>
      </c>
      <c r="EY156">
        <v>0</v>
      </c>
      <c r="FQ156">
        <v>0</v>
      </c>
      <c r="FR156">
        <v>0</v>
      </c>
      <c r="FS156">
        <v>0</v>
      </c>
      <c r="FX156">
        <v>112</v>
      </c>
      <c r="FY156">
        <v>70</v>
      </c>
      <c r="GA156" t="s">
        <v>3</v>
      </c>
      <c r="GD156">
        <v>0</v>
      </c>
      <c r="GF156">
        <v>1639748225</v>
      </c>
      <c r="GG156">
        <v>2</v>
      </c>
      <c r="GH156">
        <v>1</v>
      </c>
      <c r="GI156">
        <v>2</v>
      </c>
      <c r="GJ156">
        <v>0</v>
      </c>
      <c r="GK156">
        <f>ROUND(R156*(S12)/100,2)</f>
        <v>0</v>
      </c>
      <c r="GL156">
        <f t="shared" si="142"/>
        <v>0</v>
      </c>
      <c r="GM156">
        <f t="shared" si="143"/>
        <v>0</v>
      </c>
      <c r="GN156">
        <f t="shared" si="144"/>
        <v>0</v>
      </c>
      <c r="GO156">
        <f t="shared" si="145"/>
        <v>0</v>
      </c>
      <c r="GP156">
        <f t="shared" si="146"/>
        <v>0</v>
      </c>
      <c r="GR156">
        <v>0</v>
      </c>
      <c r="GS156">
        <v>3</v>
      </c>
      <c r="GT156">
        <v>0</v>
      </c>
      <c r="GU156" t="s">
        <v>3</v>
      </c>
      <c r="GV156">
        <f t="shared" si="147"/>
        <v>0</v>
      </c>
      <c r="GW156">
        <v>1</v>
      </c>
      <c r="GX156">
        <f t="shared" si="148"/>
        <v>0</v>
      </c>
      <c r="HA156">
        <v>0</v>
      </c>
      <c r="HB156">
        <v>0</v>
      </c>
      <c r="HC156">
        <f t="shared" si="149"/>
        <v>0</v>
      </c>
      <c r="HE156" t="s">
        <v>3</v>
      </c>
      <c r="HF156" t="s">
        <v>3</v>
      </c>
      <c r="HM156" t="s">
        <v>3</v>
      </c>
      <c r="HN156" t="s">
        <v>3</v>
      </c>
      <c r="HO156" t="s">
        <v>3</v>
      </c>
      <c r="HP156" t="s">
        <v>3</v>
      </c>
      <c r="HQ156" t="s">
        <v>3</v>
      </c>
      <c r="HS156">
        <v>0</v>
      </c>
      <c r="IK156">
        <v>0</v>
      </c>
    </row>
    <row r="157" spans="1:255" x14ac:dyDescent="0.2">
      <c r="A157" s="2">
        <v>17</v>
      </c>
      <c r="B157" s="2">
        <v>1</v>
      </c>
      <c r="C157" s="2">
        <f>ROW(SmtRes!A177)</f>
        <v>177</v>
      </c>
      <c r="D157" s="2">
        <f>ROW(EtalonRes!A831)</f>
        <v>831</v>
      </c>
      <c r="E157" s="2" t="s">
        <v>240</v>
      </c>
      <c r="F157" s="2" t="s">
        <v>241</v>
      </c>
      <c r="G157" s="2" t="s">
        <v>242</v>
      </c>
      <c r="H157" s="2" t="s">
        <v>164</v>
      </c>
      <c r="I157" s="2">
        <v>0</v>
      </c>
      <c r="J157" s="2">
        <v>0</v>
      </c>
      <c r="K157" s="2">
        <v>0</v>
      </c>
      <c r="L157" s="2"/>
      <c r="M157" s="2"/>
      <c r="N157" s="2"/>
      <c r="O157" s="2">
        <f t="shared" si="113"/>
        <v>0</v>
      </c>
      <c r="P157" s="2">
        <f t="shared" si="114"/>
        <v>0</v>
      </c>
      <c r="Q157" s="2">
        <f t="shared" si="115"/>
        <v>0</v>
      </c>
      <c r="R157" s="2">
        <f t="shared" si="116"/>
        <v>0</v>
      </c>
      <c r="S157" s="2">
        <f t="shared" si="117"/>
        <v>0</v>
      </c>
      <c r="T157" s="2">
        <f t="shared" si="118"/>
        <v>0</v>
      </c>
      <c r="U157" s="2">
        <f t="shared" si="119"/>
        <v>0</v>
      </c>
      <c r="V157" s="2">
        <f t="shared" si="120"/>
        <v>0</v>
      </c>
      <c r="W157" s="2">
        <f t="shared" si="121"/>
        <v>0</v>
      </c>
      <c r="X157" s="2">
        <f t="shared" si="122"/>
        <v>0</v>
      </c>
      <c r="Y157" s="2">
        <f t="shared" si="123"/>
        <v>0</v>
      </c>
      <c r="Z157" s="2"/>
      <c r="AA157" s="2">
        <v>56622586</v>
      </c>
      <c r="AB157" s="2">
        <f t="shared" si="124"/>
        <v>424.68900000000002</v>
      </c>
      <c r="AC157" s="2">
        <f t="shared" si="125"/>
        <v>53.45</v>
      </c>
      <c r="AD157" s="2">
        <f t="shared" si="126"/>
        <v>67.671999999999997</v>
      </c>
      <c r="AE157" s="2">
        <f t="shared" si="127"/>
        <v>7.6340000000000003</v>
      </c>
      <c r="AF157" s="2">
        <f t="shared" si="128"/>
        <v>303.56700000000001</v>
      </c>
      <c r="AG157" s="2">
        <f t="shared" si="129"/>
        <v>0</v>
      </c>
      <c r="AH157" s="2">
        <f t="shared" si="130"/>
        <v>24.64</v>
      </c>
      <c r="AI157" s="2">
        <f t="shared" si="131"/>
        <v>0</v>
      </c>
      <c r="AJ157" s="2">
        <f t="shared" si="132"/>
        <v>0</v>
      </c>
      <c r="AK157" s="2">
        <v>390.94</v>
      </c>
      <c r="AL157" s="2">
        <v>53.45</v>
      </c>
      <c r="AM157" s="2">
        <v>61.52</v>
      </c>
      <c r="AN157" s="2">
        <v>6.94</v>
      </c>
      <c r="AO157" s="2">
        <v>275.97000000000003</v>
      </c>
      <c r="AP157" s="2">
        <v>0</v>
      </c>
      <c r="AQ157" s="2">
        <v>22.4</v>
      </c>
      <c r="AR157" s="2">
        <v>0</v>
      </c>
      <c r="AS157" s="2">
        <v>0</v>
      </c>
      <c r="AT157" s="2">
        <v>112</v>
      </c>
      <c r="AU157" s="2">
        <v>70</v>
      </c>
      <c r="AV157" s="2">
        <v>1.0669999999999999</v>
      </c>
      <c r="AW157" s="2">
        <v>1.081</v>
      </c>
      <c r="AX157" s="2"/>
      <c r="AY157" s="2"/>
      <c r="AZ157" s="2">
        <v>1</v>
      </c>
      <c r="BA157" s="2">
        <v>1</v>
      </c>
      <c r="BB157" s="2">
        <v>1</v>
      </c>
      <c r="BC157" s="2">
        <v>1</v>
      </c>
      <c r="BD157" s="2" t="s">
        <v>3</v>
      </c>
      <c r="BE157" s="2" t="s">
        <v>3</v>
      </c>
      <c r="BF157" s="2" t="s">
        <v>3</v>
      </c>
      <c r="BG157" s="2" t="s">
        <v>3</v>
      </c>
      <c r="BH157" s="2">
        <v>0</v>
      </c>
      <c r="BI157" s="2">
        <v>2</v>
      </c>
      <c r="BJ157" s="2" t="s">
        <v>243</v>
      </c>
      <c r="BK157" s="2"/>
      <c r="BL157" s="2"/>
      <c r="BM157" s="2">
        <v>318</v>
      </c>
      <c r="BN157" s="2">
        <v>0</v>
      </c>
      <c r="BO157" s="2" t="s">
        <v>3</v>
      </c>
      <c r="BP157" s="2">
        <v>0</v>
      </c>
      <c r="BQ157" s="2">
        <v>40</v>
      </c>
      <c r="BR157" s="2">
        <v>0</v>
      </c>
      <c r="BS157" s="2">
        <v>1</v>
      </c>
      <c r="BT157" s="2">
        <v>1</v>
      </c>
      <c r="BU157" s="2">
        <v>1</v>
      </c>
      <c r="BV157" s="2">
        <v>1</v>
      </c>
      <c r="BW157" s="2">
        <v>1</v>
      </c>
      <c r="BX157" s="2">
        <v>1</v>
      </c>
      <c r="BY157" s="2" t="s">
        <v>3</v>
      </c>
      <c r="BZ157" s="2">
        <v>112</v>
      </c>
      <c r="CA157" s="2">
        <v>70</v>
      </c>
      <c r="CB157" s="2" t="s">
        <v>3</v>
      </c>
      <c r="CC157" s="2"/>
      <c r="CD157" s="2"/>
      <c r="CE157" s="2">
        <v>30</v>
      </c>
      <c r="CF157" s="2">
        <v>0</v>
      </c>
      <c r="CG157" s="2">
        <v>0</v>
      </c>
      <c r="CH157" s="2"/>
      <c r="CI157" s="2"/>
      <c r="CJ157" s="2"/>
      <c r="CK157" s="2"/>
      <c r="CL157" s="2"/>
      <c r="CM157" s="2">
        <v>0</v>
      </c>
      <c r="CN157" s="2" t="s">
        <v>671</v>
      </c>
      <c r="CO157" s="2">
        <v>0</v>
      </c>
      <c r="CP157" s="2">
        <f t="shared" si="133"/>
        <v>0</v>
      </c>
      <c r="CQ157" s="2">
        <f t="shared" si="134"/>
        <v>57.78</v>
      </c>
      <c r="CR157" s="2">
        <f t="shared" si="135"/>
        <v>72.209999999999994</v>
      </c>
      <c r="CS157" s="2">
        <f t="shared" si="136"/>
        <v>8.15</v>
      </c>
      <c r="CT157" s="2">
        <f t="shared" si="137"/>
        <v>323.91000000000003</v>
      </c>
      <c r="CU157" s="2">
        <f t="shared" si="138"/>
        <v>0</v>
      </c>
      <c r="CV157" s="2">
        <f t="shared" si="139"/>
        <v>26.290879999999998</v>
      </c>
      <c r="CW157" s="2">
        <f t="shared" si="140"/>
        <v>0</v>
      </c>
      <c r="CX157" s="2">
        <f t="shared" si="141"/>
        <v>0</v>
      </c>
      <c r="CY157" s="2">
        <f>((S157*BZ157)/100)</f>
        <v>0</v>
      </c>
      <c r="CZ157" s="2">
        <f>((S157*CA157)/100)</f>
        <v>0</v>
      </c>
      <c r="DA157" s="2"/>
      <c r="DB157" s="2"/>
      <c r="DC157" s="2" t="s">
        <v>3</v>
      </c>
      <c r="DD157" s="2" t="s">
        <v>3</v>
      </c>
      <c r="DE157" s="2" t="s">
        <v>22</v>
      </c>
      <c r="DF157" s="2" t="s">
        <v>22</v>
      </c>
      <c r="DG157" s="2" t="s">
        <v>22</v>
      </c>
      <c r="DH157" s="2" t="s">
        <v>3</v>
      </c>
      <c r="DI157" s="2" t="s">
        <v>22</v>
      </c>
      <c r="DJ157" s="2" t="s">
        <v>22</v>
      </c>
      <c r="DK157" s="2" t="s">
        <v>3</v>
      </c>
      <c r="DL157" s="2" t="s">
        <v>3</v>
      </c>
      <c r="DM157" s="2" t="s">
        <v>3</v>
      </c>
      <c r="DN157" s="2">
        <v>0</v>
      </c>
      <c r="DO157" s="2">
        <v>0</v>
      </c>
      <c r="DP157" s="2">
        <v>1</v>
      </c>
      <c r="DQ157" s="2">
        <v>1</v>
      </c>
      <c r="DR157" s="2"/>
      <c r="DS157" s="2"/>
      <c r="DT157" s="2"/>
      <c r="DU157" s="2">
        <v>1013</v>
      </c>
      <c r="DV157" s="2" t="s">
        <v>164</v>
      </c>
      <c r="DW157" s="2" t="s">
        <v>164</v>
      </c>
      <c r="DX157" s="2">
        <v>1</v>
      </c>
      <c r="DY157" s="2"/>
      <c r="DZ157" s="2" t="s">
        <v>3</v>
      </c>
      <c r="EA157" s="2" t="s">
        <v>3</v>
      </c>
      <c r="EB157" s="2" t="s">
        <v>3</v>
      </c>
      <c r="EC157" s="2" t="s">
        <v>3</v>
      </c>
      <c r="ED157" s="2"/>
      <c r="EE157" s="2">
        <v>51696357</v>
      </c>
      <c r="EF157" s="2">
        <v>40</v>
      </c>
      <c r="EG157" s="2" t="s">
        <v>166</v>
      </c>
      <c r="EH157" s="2">
        <v>0</v>
      </c>
      <c r="EI157" s="2" t="s">
        <v>3</v>
      </c>
      <c r="EJ157" s="2">
        <v>2</v>
      </c>
      <c r="EK157" s="2">
        <v>318</v>
      </c>
      <c r="EL157" s="2" t="s">
        <v>167</v>
      </c>
      <c r="EM157" s="2" t="s">
        <v>168</v>
      </c>
      <c r="EN157" s="2"/>
      <c r="EO157" s="2" t="s">
        <v>25</v>
      </c>
      <c r="EP157" s="2"/>
      <c r="EQ157" s="2">
        <v>131072</v>
      </c>
      <c r="ER157" s="2">
        <v>390.94</v>
      </c>
      <c r="ES157" s="2">
        <v>53.45</v>
      </c>
      <c r="ET157" s="2">
        <v>61.52</v>
      </c>
      <c r="EU157" s="2">
        <v>6.94</v>
      </c>
      <c r="EV157" s="2">
        <v>275.97000000000003</v>
      </c>
      <c r="EW157" s="2">
        <v>22.4</v>
      </c>
      <c r="EX157" s="2">
        <v>0</v>
      </c>
      <c r="EY157" s="2">
        <v>0</v>
      </c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>
        <v>0</v>
      </c>
      <c r="FR157" s="2">
        <v>0</v>
      </c>
      <c r="FS157" s="2">
        <v>0</v>
      </c>
      <c r="FT157" s="2"/>
      <c r="FU157" s="2"/>
      <c r="FV157" s="2"/>
      <c r="FW157" s="2"/>
      <c r="FX157" s="2">
        <v>112</v>
      </c>
      <c r="FY157" s="2">
        <v>70</v>
      </c>
      <c r="FZ157" s="2"/>
      <c r="GA157" s="2" t="s">
        <v>3</v>
      </c>
      <c r="GB157" s="2"/>
      <c r="GC157" s="2"/>
      <c r="GD157" s="2">
        <v>0</v>
      </c>
      <c r="GE157" s="2"/>
      <c r="GF157" s="2">
        <v>1162341648</v>
      </c>
      <c r="GG157" s="2">
        <v>2</v>
      </c>
      <c r="GH157" s="2">
        <v>1</v>
      </c>
      <c r="GI157" s="2">
        <v>-2</v>
      </c>
      <c r="GJ157" s="2">
        <v>0</v>
      </c>
      <c r="GK157" s="2">
        <f>ROUND(R157*(R12)/100,2)</f>
        <v>0</v>
      </c>
      <c r="GL157" s="2">
        <f t="shared" si="142"/>
        <v>0</v>
      </c>
      <c r="GM157" s="2">
        <f t="shared" si="143"/>
        <v>0</v>
      </c>
      <c r="GN157" s="2">
        <f t="shared" si="144"/>
        <v>0</v>
      </c>
      <c r="GO157" s="2">
        <f t="shared" si="145"/>
        <v>0</v>
      </c>
      <c r="GP157" s="2">
        <f t="shared" si="146"/>
        <v>0</v>
      </c>
      <c r="GQ157" s="2"/>
      <c r="GR157" s="2">
        <v>0</v>
      </c>
      <c r="GS157" s="2">
        <v>0</v>
      </c>
      <c r="GT157" s="2">
        <v>0</v>
      </c>
      <c r="GU157" s="2" t="s">
        <v>3</v>
      </c>
      <c r="GV157" s="2">
        <f t="shared" si="147"/>
        <v>0</v>
      </c>
      <c r="GW157" s="2">
        <v>1</v>
      </c>
      <c r="GX157" s="2">
        <f t="shared" si="148"/>
        <v>0</v>
      </c>
      <c r="GY157" s="2"/>
      <c r="GZ157" s="2"/>
      <c r="HA157" s="2">
        <v>0</v>
      </c>
      <c r="HB157" s="2">
        <v>0</v>
      </c>
      <c r="HC157" s="2">
        <f t="shared" si="149"/>
        <v>0</v>
      </c>
      <c r="HD157" s="2"/>
      <c r="HE157" s="2" t="s">
        <v>3</v>
      </c>
      <c r="HF157" s="2" t="s">
        <v>3</v>
      </c>
      <c r="HG157" s="2"/>
      <c r="HH157" s="2"/>
      <c r="HI157" s="2"/>
      <c r="HJ157" s="2"/>
      <c r="HK157" s="2"/>
      <c r="HL157" s="2"/>
      <c r="HM157" s="2" t="s">
        <v>3</v>
      </c>
      <c r="HN157" s="2" t="s">
        <v>3</v>
      </c>
      <c r="HO157" s="2" t="s">
        <v>3</v>
      </c>
      <c r="HP157" s="2" t="s">
        <v>3</v>
      </c>
      <c r="HQ157" s="2" t="s">
        <v>3</v>
      </c>
      <c r="HR157" s="2"/>
      <c r="HS157" s="2">
        <v>0</v>
      </c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>
        <v>0</v>
      </c>
      <c r="IL157" s="2"/>
      <c r="IM157" s="2"/>
      <c r="IN157" s="2"/>
      <c r="IO157" s="2"/>
      <c r="IP157" s="2"/>
      <c r="IQ157" s="2"/>
      <c r="IR157" s="2"/>
      <c r="IS157" s="2"/>
      <c r="IT157" s="2"/>
      <c r="IU157" s="2"/>
    </row>
    <row r="158" spans="1:255" x14ac:dyDescent="0.2">
      <c r="A158">
        <v>17</v>
      </c>
      <c r="B158">
        <v>1</v>
      </c>
      <c r="C158">
        <f>ROW(SmtRes!A178)</f>
        <v>178</v>
      </c>
      <c r="D158">
        <f>ROW(EtalonRes!A846)</f>
        <v>846</v>
      </c>
      <c r="E158" t="s">
        <v>240</v>
      </c>
      <c r="F158" t="s">
        <v>241</v>
      </c>
      <c r="G158" t="s">
        <v>242</v>
      </c>
      <c r="H158" t="s">
        <v>164</v>
      </c>
      <c r="I158">
        <v>0</v>
      </c>
      <c r="J158">
        <v>0</v>
      </c>
      <c r="K158">
        <v>0</v>
      </c>
      <c r="O158">
        <f t="shared" si="113"/>
        <v>0</v>
      </c>
      <c r="P158">
        <f t="shared" si="114"/>
        <v>0</v>
      </c>
      <c r="Q158">
        <f t="shared" si="115"/>
        <v>0</v>
      </c>
      <c r="R158">
        <f t="shared" si="116"/>
        <v>0</v>
      </c>
      <c r="S158">
        <f t="shared" si="117"/>
        <v>0</v>
      </c>
      <c r="T158">
        <f t="shared" si="118"/>
        <v>0</v>
      </c>
      <c r="U158">
        <f t="shared" si="119"/>
        <v>0</v>
      </c>
      <c r="V158">
        <f t="shared" si="120"/>
        <v>0</v>
      </c>
      <c r="W158">
        <f t="shared" si="121"/>
        <v>0</v>
      </c>
      <c r="X158">
        <f t="shared" si="122"/>
        <v>0</v>
      </c>
      <c r="Y158">
        <f t="shared" si="123"/>
        <v>0</v>
      </c>
      <c r="AA158">
        <v>56616093</v>
      </c>
      <c r="AB158">
        <f t="shared" si="124"/>
        <v>424.68900000000002</v>
      </c>
      <c r="AC158">
        <f t="shared" si="125"/>
        <v>53.45</v>
      </c>
      <c r="AD158">
        <f t="shared" si="126"/>
        <v>67.671999999999997</v>
      </c>
      <c r="AE158">
        <f t="shared" si="127"/>
        <v>7.6340000000000003</v>
      </c>
      <c r="AF158">
        <f t="shared" si="128"/>
        <v>303.56700000000001</v>
      </c>
      <c r="AG158">
        <f t="shared" si="129"/>
        <v>0</v>
      </c>
      <c r="AH158">
        <f t="shared" si="130"/>
        <v>24.64</v>
      </c>
      <c r="AI158">
        <f t="shared" si="131"/>
        <v>0</v>
      </c>
      <c r="AJ158">
        <f t="shared" si="132"/>
        <v>0</v>
      </c>
      <c r="AK158">
        <v>390.94</v>
      </c>
      <c r="AL158">
        <v>53.45</v>
      </c>
      <c r="AM158">
        <v>61.52</v>
      </c>
      <c r="AN158">
        <v>6.94</v>
      </c>
      <c r="AO158">
        <v>275.97000000000003</v>
      </c>
      <c r="AP158">
        <v>0</v>
      </c>
      <c r="AQ158">
        <v>22.4</v>
      </c>
      <c r="AR158">
        <v>0</v>
      </c>
      <c r="AS158">
        <v>0</v>
      </c>
      <c r="AT158">
        <v>92</v>
      </c>
      <c r="AU158">
        <v>43</v>
      </c>
      <c r="AV158">
        <v>1.0669999999999999</v>
      </c>
      <c r="AW158">
        <v>1.081</v>
      </c>
      <c r="AZ158">
        <v>1</v>
      </c>
      <c r="BA158">
        <v>34.51</v>
      </c>
      <c r="BB158">
        <v>11.79</v>
      </c>
      <c r="BC158">
        <v>13.11</v>
      </c>
      <c r="BD158" t="s">
        <v>3</v>
      </c>
      <c r="BE158" t="s">
        <v>3</v>
      </c>
      <c r="BF158" t="s">
        <v>3</v>
      </c>
      <c r="BG158" t="s">
        <v>3</v>
      </c>
      <c r="BH158">
        <v>0</v>
      </c>
      <c r="BI158">
        <v>2</v>
      </c>
      <c r="BJ158" t="s">
        <v>243</v>
      </c>
      <c r="BM158">
        <v>318</v>
      </c>
      <c r="BN158">
        <v>0</v>
      </c>
      <c r="BO158" t="s">
        <v>241</v>
      </c>
      <c r="BP158">
        <v>1</v>
      </c>
      <c r="BQ158">
        <v>40</v>
      </c>
      <c r="BR158">
        <v>0</v>
      </c>
      <c r="BS158">
        <v>34.51</v>
      </c>
      <c r="BT158">
        <v>1</v>
      </c>
      <c r="BU158">
        <v>1</v>
      </c>
      <c r="BV158">
        <v>1</v>
      </c>
      <c r="BW158">
        <v>1</v>
      </c>
      <c r="BX158">
        <v>1</v>
      </c>
      <c r="BY158" t="s">
        <v>3</v>
      </c>
      <c r="BZ158">
        <v>92</v>
      </c>
      <c r="CA158">
        <v>43</v>
      </c>
      <c r="CB158" t="s">
        <v>3</v>
      </c>
      <c r="CE158">
        <v>30</v>
      </c>
      <c r="CF158">
        <v>0</v>
      </c>
      <c r="CG158">
        <v>0</v>
      </c>
      <c r="CM158">
        <v>0</v>
      </c>
      <c r="CN158" t="s">
        <v>671</v>
      </c>
      <c r="CO158">
        <v>0</v>
      </c>
      <c r="CP158">
        <f t="shared" si="133"/>
        <v>0</v>
      </c>
      <c r="CQ158">
        <f t="shared" si="134"/>
        <v>757.5</v>
      </c>
      <c r="CR158">
        <f t="shared" si="135"/>
        <v>851.36</v>
      </c>
      <c r="CS158">
        <f t="shared" si="136"/>
        <v>281.26</v>
      </c>
      <c r="CT158">
        <f t="shared" si="137"/>
        <v>11178.13</v>
      </c>
      <c r="CU158">
        <f t="shared" si="138"/>
        <v>0</v>
      </c>
      <c r="CV158">
        <f t="shared" si="139"/>
        <v>26.290879999999998</v>
      </c>
      <c r="CW158">
        <f t="shared" si="140"/>
        <v>0</v>
      </c>
      <c r="CX158">
        <f t="shared" si="141"/>
        <v>0</v>
      </c>
      <c r="CY158">
        <f>S158*(BZ158/100)</f>
        <v>0</v>
      </c>
      <c r="CZ158">
        <f>S158*(CA158/100)</f>
        <v>0</v>
      </c>
      <c r="DC158" t="s">
        <v>3</v>
      </c>
      <c r="DD158" t="s">
        <v>3</v>
      </c>
      <c r="DE158" t="s">
        <v>22</v>
      </c>
      <c r="DF158" t="s">
        <v>22</v>
      </c>
      <c r="DG158" t="s">
        <v>22</v>
      </c>
      <c r="DH158" t="s">
        <v>3</v>
      </c>
      <c r="DI158" t="s">
        <v>22</v>
      </c>
      <c r="DJ158" t="s">
        <v>22</v>
      </c>
      <c r="DK158" t="s">
        <v>3</v>
      </c>
      <c r="DL158" t="s">
        <v>3</v>
      </c>
      <c r="DM158" t="s">
        <v>3</v>
      </c>
      <c r="DN158">
        <v>112</v>
      </c>
      <c r="DO158">
        <v>70</v>
      </c>
      <c r="DP158">
        <v>1.0669999999999999</v>
      </c>
      <c r="DQ158">
        <v>1.081</v>
      </c>
      <c r="DU158">
        <v>1013</v>
      </c>
      <c r="DV158" t="s">
        <v>164</v>
      </c>
      <c r="DW158" t="s">
        <v>164</v>
      </c>
      <c r="DX158">
        <v>1</v>
      </c>
      <c r="DZ158" t="s">
        <v>3</v>
      </c>
      <c r="EA158" t="s">
        <v>3</v>
      </c>
      <c r="EB158" t="s">
        <v>3</v>
      </c>
      <c r="EC158" t="s">
        <v>3</v>
      </c>
      <c r="EE158">
        <v>51696357</v>
      </c>
      <c r="EF158">
        <v>40</v>
      </c>
      <c r="EG158" t="s">
        <v>166</v>
      </c>
      <c r="EH158">
        <v>0</v>
      </c>
      <c r="EI158" t="s">
        <v>3</v>
      </c>
      <c r="EJ158">
        <v>2</v>
      </c>
      <c r="EK158">
        <v>318</v>
      </c>
      <c r="EL158" t="s">
        <v>167</v>
      </c>
      <c r="EM158" t="s">
        <v>168</v>
      </c>
      <c r="EO158" t="s">
        <v>25</v>
      </c>
      <c r="EQ158">
        <v>131072</v>
      </c>
      <c r="ER158">
        <v>390.94</v>
      </c>
      <c r="ES158">
        <v>53.45</v>
      </c>
      <c r="ET158">
        <v>61.52</v>
      </c>
      <c r="EU158">
        <v>6.94</v>
      </c>
      <c r="EV158">
        <v>275.97000000000003</v>
      </c>
      <c r="EW158">
        <v>22.4</v>
      </c>
      <c r="EX158">
        <v>0</v>
      </c>
      <c r="EY158">
        <v>0</v>
      </c>
      <c r="FQ158">
        <v>0</v>
      </c>
      <c r="FR158">
        <v>0</v>
      </c>
      <c r="FS158">
        <v>0</v>
      </c>
      <c r="FX158">
        <v>112</v>
      </c>
      <c r="FY158">
        <v>70</v>
      </c>
      <c r="GA158" t="s">
        <v>3</v>
      </c>
      <c r="GD158">
        <v>0</v>
      </c>
      <c r="GF158">
        <v>1162341648</v>
      </c>
      <c r="GG158">
        <v>2</v>
      </c>
      <c r="GH158">
        <v>1</v>
      </c>
      <c r="GI158">
        <v>2</v>
      </c>
      <c r="GJ158">
        <v>0</v>
      </c>
      <c r="GK158">
        <f>ROUND(R158*(S12)/100,2)</f>
        <v>0</v>
      </c>
      <c r="GL158">
        <f t="shared" si="142"/>
        <v>0</v>
      </c>
      <c r="GM158">
        <f t="shared" si="143"/>
        <v>0</v>
      </c>
      <c r="GN158">
        <f t="shared" si="144"/>
        <v>0</v>
      </c>
      <c r="GO158">
        <f t="shared" si="145"/>
        <v>0</v>
      </c>
      <c r="GP158">
        <f t="shared" si="146"/>
        <v>0</v>
      </c>
      <c r="GR158">
        <v>0</v>
      </c>
      <c r="GS158">
        <v>3</v>
      </c>
      <c r="GT158">
        <v>0</v>
      </c>
      <c r="GU158" t="s">
        <v>3</v>
      </c>
      <c r="GV158">
        <f t="shared" si="147"/>
        <v>0</v>
      </c>
      <c r="GW158">
        <v>1</v>
      </c>
      <c r="GX158">
        <f t="shared" si="148"/>
        <v>0</v>
      </c>
      <c r="HA158">
        <v>0</v>
      </c>
      <c r="HB158">
        <v>0</v>
      </c>
      <c r="HC158">
        <f t="shared" si="149"/>
        <v>0</v>
      </c>
      <c r="HE158" t="s">
        <v>3</v>
      </c>
      <c r="HF158" t="s">
        <v>3</v>
      </c>
      <c r="HM158" t="s">
        <v>3</v>
      </c>
      <c r="HN158" t="s">
        <v>3</v>
      </c>
      <c r="HO158" t="s">
        <v>3</v>
      </c>
      <c r="HP158" t="s">
        <v>3</v>
      </c>
      <c r="HQ158" t="s">
        <v>3</v>
      </c>
      <c r="HS158">
        <v>0</v>
      </c>
      <c r="IK158">
        <v>0</v>
      </c>
    </row>
    <row r="159" spans="1:255" x14ac:dyDescent="0.2">
      <c r="A159" s="2">
        <v>17</v>
      </c>
      <c r="B159" s="2">
        <v>1</v>
      </c>
      <c r="C159" s="2">
        <f>ROW(SmtRes!A179)</f>
        <v>179</v>
      </c>
      <c r="D159" s="2">
        <f>ROW(EtalonRes!A861)</f>
        <v>861</v>
      </c>
      <c r="E159" s="2" t="s">
        <v>244</v>
      </c>
      <c r="F159" s="2" t="s">
        <v>245</v>
      </c>
      <c r="G159" s="2" t="s">
        <v>246</v>
      </c>
      <c r="H159" s="2" t="s">
        <v>164</v>
      </c>
      <c r="I159" s="2">
        <v>0</v>
      </c>
      <c r="J159" s="2">
        <v>0</v>
      </c>
      <c r="K159" s="2">
        <v>0</v>
      </c>
      <c r="L159" s="2"/>
      <c r="M159" s="2"/>
      <c r="N159" s="2"/>
      <c r="O159" s="2">
        <f t="shared" si="113"/>
        <v>0</v>
      </c>
      <c r="P159" s="2">
        <f t="shared" si="114"/>
        <v>0</v>
      </c>
      <c r="Q159" s="2">
        <f t="shared" si="115"/>
        <v>0</v>
      </c>
      <c r="R159" s="2">
        <f t="shared" si="116"/>
        <v>0</v>
      </c>
      <c r="S159" s="2">
        <f t="shared" si="117"/>
        <v>0</v>
      </c>
      <c r="T159" s="2">
        <f t="shared" si="118"/>
        <v>0</v>
      </c>
      <c r="U159" s="2">
        <f t="shared" si="119"/>
        <v>0</v>
      </c>
      <c r="V159" s="2">
        <f t="shared" si="120"/>
        <v>0</v>
      </c>
      <c r="W159" s="2">
        <f t="shared" si="121"/>
        <v>0</v>
      </c>
      <c r="X159" s="2">
        <f t="shared" si="122"/>
        <v>0</v>
      </c>
      <c r="Y159" s="2">
        <f t="shared" si="123"/>
        <v>0</v>
      </c>
      <c r="Z159" s="2"/>
      <c r="AA159" s="2">
        <v>56622586</v>
      </c>
      <c r="AB159" s="2">
        <f t="shared" si="124"/>
        <v>624.42899999999997</v>
      </c>
      <c r="AC159" s="2">
        <f t="shared" si="125"/>
        <v>48.81</v>
      </c>
      <c r="AD159" s="2">
        <f t="shared" si="126"/>
        <v>141.95500000000001</v>
      </c>
      <c r="AE159" s="2">
        <f t="shared" si="127"/>
        <v>15.686</v>
      </c>
      <c r="AF159" s="2">
        <f t="shared" si="128"/>
        <v>433.66399999999999</v>
      </c>
      <c r="AG159" s="2">
        <f t="shared" si="129"/>
        <v>0</v>
      </c>
      <c r="AH159" s="2">
        <f t="shared" si="130"/>
        <v>35.200000000000003</v>
      </c>
      <c r="AI159" s="2">
        <f t="shared" si="131"/>
        <v>0</v>
      </c>
      <c r="AJ159" s="2">
        <f t="shared" si="132"/>
        <v>0</v>
      </c>
      <c r="AK159" s="2">
        <v>572.1</v>
      </c>
      <c r="AL159" s="2">
        <v>48.81</v>
      </c>
      <c r="AM159" s="2">
        <v>129.05000000000001</v>
      </c>
      <c r="AN159" s="2">
        <v>14.26</v>
      </c>
      <c r="AO159" s="2">
        <v>394.24</v>
      </c>
      <c r="AP159" s="2">
        <v>0</v>
      </c>
      <c r="AQ159" s="2">
        <v>32</v>
      </c>
      <c r="AR159" s="2">
        <v>0</v>
      </c>
      <c r="AS159" s="2">
        <v>0</v>
      </c>
      <c r="AT159" s="2">
        <v>112</v>
      </c>
      <c r="AU159" s="2">
        <v>70</v>
      </c>
      <c r="AV159" s="2">
        <v>1.0669999999999999</v>
      </c>
      <c r="AW159" s="2">
        <v>1.081</v>
      </c>
      <c r="AX159" s="2"/>
      <c r="AY159" s="2"/>
      <c r="AZ159" s="2">
        <v>1</v>
      </c>
      <c r="BA159" s="2">
        <v>1</v>
      </c>
      <c r="BB159" s="2">
        <v>1</v>
      </c>
      <c r="BC159" s="2">
        <v>1</v>
      </c>
      <c r="BD159" s="2" t="s">
        <v>3</v>
      </c>
      <c r="BE159" s="2" t="s">
        <v>3</v>
      </c>
      <c r="BF159" s="2" t="s">
        <v>3</v>
      </c>
      <c r="BG159" s="2" t="s">
        <v>3</v>
      </c>
      <c r="BH159" s="2">
        <v>0</v>
      </c>
      <c r="BI159" s="2">
        <v>2</v>
      </c>
      <c r="BJ159" s="2" t="s">
        <v>247</v>
      </c>
      <c r="BK159" s="2"/>
      <c r="BL159" s="2"/>
      <c r="BM159" s="2">
        <v>318</v>
      </c>
      <c r="BN159" s="2">
        <v>0</v>
      </c>
      <c r="BO159" s="2" t="s">
        <v>3</v>
      </c>
      <c r="BP159" s="2">
        <v>0</v>
      </c>
      <c r="BQ159" s="2">
        <v>40</v>
      </c>
      <c r="BR159" s="2">
        <v>0</v>
      </c>
      <c r="BS159" s="2">
        <v>1</v>
      </c>
      <c r="BT159" s="2">
        <v>1</v>
      </c>
      <c r="BU159" s="2">
        <v>1</v>
      </c>
      <c r="BV159" s="2">
        <v>1</v>
      </c>
      <c r="BW159" s="2">
        <v>1</v>
      </c>
      <c r="BX159" s="2">
        <v>1</v>
      </c>
      <c r="BY159" s="2" t="s">
        <v>3</v>
      </c>
      <c r="BZ159" s="2">
        <v>112</v>
      </c>
      <c r="CA159" s="2">
        <v>70</v>
      </c>
      <c r="CB159" s="2" t="s">
        <v>3</v>
      </c>
      <c r="CC159" s="2"/>
      <c r="CD159" s="2"/>
      <c r="CE159" s="2">
        <v>30</v>
      </c>
      <c r="CF159" s="2">
        <v>0</v>
      </c>
      <c r="CG159" s="2">
        <v>0</v>
      </c>
      <c r="CH159" s="2"/>
      <c r="CI159" s="2"/>
      <c r="CJ159" s="2"/>
      <c r="CK159" s="2"/>
      <c r="CL159" s="2"/>
      <c r="CM159" s="2">
        <v>0</v>
      </c>
      <c r="CN159" s="2" t="s">
        <v>671</v>
      </c>
      <c r="CO159" s="2">
        <v>0</v>
      </c>
      <c r="CP159" s="2">
        <f t="shared" si="133"/>
        <v>0</v>
      </c>
      <c r="CQ159" s="2">
        <f t="shared" si="134"/>
        <v>52.76</v>
      </c>
      <c r="CR159" s="2">
        <f t="shared" si="135"/>
        <v>151.47</v>
      </c>
      <c r="CS159" s="2">
        <f t="shared" si="136"/>
        <v>16.739999999999998</v>
      </c>
      <c r="CT159" s="2">
        <f t="shared" si="137"/>
        <v>462.72</v>
      </c>
      <c r="CU159" s="2">
        <f t="shared" si="138"/>
        <v>0</v>
      </c>
      <c r="CV159" s="2">
        <f t="shared" si="139"/>
        <v>37.558399999999999</v>
      </c>
      <c r="CW159" s="2">
        <f t="shared" si="140"/>
        <v>0</v>
      </c>
      <c r="CX159" s="2">
        <f t="shared" si="141"/>
        <v>0</v>
      </c>
      <c r="CY159" s="2">
        <f>((S159*BZ159)/100)</f>
        <v>0</v>
      </c>
      <c r="CZ159" s="2">
        <f>((S159*CA159)/100)</f>
        <v>0</v>
      </c>
      <c r="DA159" s="2"/>
      <c r="DB159" s="2"/>
      <c r="DC159" s="2" t="s">
        <v>3</v>
      </c>
      <c r="DD159" s="2" t="s">
        <v>3</v>
      </c>
      <c r="DE159" s="2" t="s">
        <v>22</v>
      </c>
      <c r="DF159" s="2" t="s">
        <v>22</v>
      </c>
      <c r="DG159" s="2" t="s">
        <v>22</v>
      </c>
      <c r="DH159" s="2" t="s">
        <v>3</v>
      </c>
      <c r="DI159" s="2" t="s">
        <v>22</v>
      </c>
      <c r="DJ159" s="2" t="s">
        <v>22</v>
      </c>
      <c r="DK159" s="2" t="s">
        <v>3</v>
      </c>
      <c r="DL159" s="2" t="s">
        <v>3</v>
      </c>
      <c r="DM159" s="2" t="s">
        <v>3</v>
      </c>
      <c r="DN159" s="2">
        <v>0</v>
      </c>
      <c r="DO159" s="2">
        <v>0</v>
      </c>
      <c r="DP159" s="2">
        <v>1</v>
      </c>
      <c r="DQ159" s="2">
        <v>1</v>
      </c>
      <c r="DR159" s="2"/>
      <c r="DS159" s="2"/>
      <c r="DT159" s="2"/>
      <c r="DU159" s="2">
        <v>1013</v>
      </c>
      <c r="DV159" s="2" t="s">
        <v>164</v>
      </c>
      <c r="DW159" s="2" t="s">
        <v>164</v>
      </c>
      <c r="DX159" s="2">
        <v>1</v>
      </c>
      <c r="DY159" s="2"/>
      <c r="DZ159" s="2" t="s">
        <v>3</v>
      </c>
      <c r="EA159" s="2" t="s">
        <v>3</v>
      </c>
      <c r="EB159" s="2" t="s">
        <v>3</v>
      </c>
      <c r="EC159" s="2" t="s">
        <v>3</v>
      </c>
      <c r="ED159" s="2"/>
      <c r="EE159" s="2">
        <v>51696357</v>
      </c>
      <c r="EF159" s="2">
        <v>40</v>
      </c>
      <c r="EG159" s="2" t="s">
        <v>166</v>
      </c>
      <c r="EH159" s="2">
        <v>0</v>
      </c>
      <c r="EI159" s="2" t="s">
        <v>3</v>
      </c>
      <c r="EJ159" s="2">
        <v>2</v>
      </c>
      <c r="EK159" s="2">
        <v>318</v>
      </c>
      <c r="EL159" s="2" t="s">
        <v>167</v>
      </c>
      <c r="EM159" s="2" t="s">
        <v>168</v>
      </c>
      <c r="EN159" s="2"/>
      <c r="EO159" s="2" t="s">
        <v>25</v>
      </c>
      <c r="EP159" s="2"/>
      <c r="EQ159" s="2">
        <v>131072</v>
      </c>
      <c r="ER159" s="2">
        <v>572.1</v>
      </c>
      <c r="ES159" s="2">
        <v>48.81</v>
      </c>
      <c r="ET159" s="2">
        <v>129.05000000000001</v>
      </c>
      <c r="EU159" s="2">
        <v>14.26</v>
      </c>
      <c r="EV159" s="2">
        <v>394.24</v>
      </c>
      <c r="EW159" s="2">
        <v>32</v>
      </c>
      <c r="EX159" s="2">
        <v>0</v>
      </c>
      <c r="EY159" s="2">
        <v>0</v>
      </c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>
        <v>0</v>
      </c>
      <c r="FR159" s="2">
        <v>0</v>
      </c>
      <c r="FS159" s="2">
        <v>0</v>
      </c>
      <c r="FT159" s="2"/>
      <c r="FU159" s="2"/>
      <c r="FV159" s="2"/>
      <c r="FW159" s="2"/>
      <c r="FX159" s="2">
        <v>112</v>
      </c>
      <c r="FY159" s="2">
        <v>70</v>
      </c>
      <c r="FZ159" s="2"/>
      <c r="GA159" s="2" t="s">
        <v>3</v>
      </c>
      <c r="GB159" s="2"/>
      <c r="GC159" s="2"/>
      <c r="GD159" s="2">
        <v>0</v>
      </c>
      <c r="GE159" s="2"/>
      <c r="GF159" s="2">
        <v>1186400238</v>
      </c>
      <c r="GG159" s="2">
        <v>2</v>
      </c>
      <c r="GH159" s="2">
        <v>1</v>
      </c>
      <c r="GI159" s="2">
        <v>-2</v>
      </c>
      <c r="GJ159" s="2">
        <v>0</v>
      </c>
      <c r="GK159" s="2">
        <f>ROUND(R159*(R12)/100,2)</f>
        <v>0</v>
      </c>
      <c r="GL159" s="2">
        <f t="shared" si="142"/>
        <v>0</v>
      </c>
      <c r="GM159" s="2">
        <f t="shared" si="143"/>
        <v>0</v>
      </c>
      <c r="GN159" s="2">
        <f t="shared" si="144"/>
        <v>0</v>
      </c>
      <c r="GO159" s="2">
        <f t="shared" si="145"/>
        <v>0</v>
      </c>
      <c r="GP159" s="2">
        <f t="shared" si="146"/>
        <v>0</v>
      </c>
      <c r="GQ159" s="2"/>
      <c r="GR159" s="2">
        <v>0</v>
      </c>
      <c r="GS159" s="2">
        <v>0</v>
      </c>
      <c r="GT159" s="2">
        <v>0</v>
      </c>
      <c r="GU159" s="2" t="s">
        <v>3</v>
      </c>
      <c r="GV159" s="2">
        <f t="shared" si="147"/>
        <v>0</v>
      </c>
      <c r="GW159" s="2">
        <v>1</v>
      </c>
      <c r="GX159" s="2">
        <f t="shared" si="148"/>
        <v>0</v>
      </c>
      <c r="GY159" s="2"/>
      <c r="GZ159" s="2"/>
      <c r="HA159" s="2">
        <v>0</v>
      </c>
      <c r="HB159" s="2">
        <v>0</v>
      </c>
      <c r="HC159" s="2">
        <f t="shared" si="149"/>
        <v>0</v>
      </c>
      <c r="HD159" s="2"/>
      <c r="HE159" s="2" t="s">
        <v>3</v>
      </c>
      <c r="HF159" s="2" t="s">
        <v>3</v>
      </c>
      <c r="HG159" s="2"/>
      <c r="HH159" s="2"/>
      <c r="HI159" s="2"/>
      <c r="HJ159" s="2"/>
      <c r="HK159" s="2"/>
      <c r="HL159" s="2"/>
      <c r="HM159" s="2" t="s">
        <v>3</v>
      </c>
      <c r="HN159" s="2" t="s">
        <v>3</v>
      </c>
      <c r="HO159" s="2" t="s">
        <v>3</v>
      </c>
      <c r="HP159" s="2" t="s">
        <v>3</v>
      </c>
      <c r="HQ159" s="2" t="s">
        <v>3</v>
      </c>
      <c r="HR159" s="2"/>
      <c r="HS159" s="2">
        <v>0</v>
      </c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>
        <v>0</v>
      </c>
      <c r="IL159" s="2"/>
      <c r="IM159" s="2"/>
      <c r="IN159" s="2"/>
      <c r="IO159" s="2"/>
      <c r="IP159" s="2"/>
      <c r="IQ159" s="2"/>
      <c r="IR159" s="2"/>
      <c r="IS159" s="2"/>
      <c r="IT159" s="2"/>
      <c r="IU159" s="2"/>
    </row>
    <row r="160" spans="1:255" x14ac:dyDescent="0.2">
      <c r="A160">
        <v>17</v>
      </c>
      <c r="B160">
        <v>1</v>
      </c>
      <c r="C160">
        <f>ROW(SmtRes!A180)</f>
        <v>180</v>
      </c>
      <c r="D160">
        <f>ROW(EtalonRes!A876)</f>
        <v>876</v>
      </c>
      <c r="E160" t="s">
        <v>244</v>
      </c>
      <c r="F160" t="s">
        <v>245</v>
      </c>
      <c r="G160" t="s">
        <v>246</v>
      </c>
      <c r="H160" t="s">
        <v>164</v>
      </c>
      <c r="I160">
        <v>0</v>
      </c>
      <c r="J160">
        <v>0</v>
      </c>
      <c r="K160">
        <v>0</v>
      </c>
      <c r="O160">
        <f t="shared" si="113"/>
        <v>0</v>
      </c>
      <c r="P160">
        <f t="shared" si="114"/>
        <v>0</v>
      </c>
      <c r="Q160">
        <f t="shared" si="115"/>
        <v>0</v>
      </c>
      <c r="R160">
        <f t="shared" si="116"/>
        <v>0</v>
      </c>
      <c r="S160">
        <f t="shared" si="117"/>
        <v>0</v>
      </c>
      <c r="T160">
        <f t="shared" si="118"/>
        <v>0</v>
      </c>
      <c r="U160">
        <f t="shared" si="119"/>
        <v>0</v>
      </c>
      <c r="V160">
        <f t="shared" si="120"/>
        <v>0</v>
      </c>
      <c r="W160">
        <f t="shared" si="121"/>
        <v>0</v>
      </c>
      <c r="X160">
        <f t="shared" si="122"/>
        <v>0</v>
      </c>
      <c r="Y160">
        <f t="shared" si="123"/>
        <v>0</v>
      </c>
      <c r="AA160">
        <v>56616093</v>
      </c>
      <c r="AB160">
        <f t="shared" si="124"/>
        <v>624.42899999999997</v>
      </c>
      <c r="AC160">
        <f t="shared" si="125"/>
        <v>48.81</v>
      </c>
      <c r="AD160">
        <f t="shared" si="126"/>
        <v>141.95500000000001</v>
      </c>
      <c r="AE160">
        <f t="shared" si="127"/>
        <v>15.686</v>
      </c>
      <c r="AF160">
        <f t="shared" si="128"/>
        <v>433.66399999999999</v>
      </c>
      <c r="AG160">
        <f t="shared" si="129"/>
        <v>0</v>
      </c>
      <c r="AH160">
        <f t="shared" si="130"/>
        <v>35.200000000000003</v>
      </c>
      <c r="AI160">
        <f t="shared" si="131"/>
        <v>0</v>
      </c>
      <c r="AJ160">
        <f t="shared" si="132"/>
        <v>0</v>
      </c>
      <c r="AK160">
        <v>572.1</v>
      </c>
      <c r="AL160">
        <v>48.81</v>
      </c>
      <c r="AM160">
        <v>129.05000000000001</v>
      </c>
      <c r="AN160">
        <v>14.26</v>
      </c>
      <c r="AO160">
        <v>394.24</v>
      </c>
      <c r="AP160">
        <v>0</v>
      </c>
      <c r="AQ160">
        <v>32</v>
      </c>
      <c r="AR160">
        <v>0</v>
      </c>
      <c r="AS160">
        <v>0</v>
      </c>
      <c r="AT160">
        <v>92</v>
      </c>
      <c r="AU160">
        <v>43</v>
      </c>
      <c r="AV160">
        <v>1.0669999999999999</v>
      </c>
      <c r="AW160">
        <v>1.081</v>
      </c>
      <c r="AZ160">
        <v>1</v>
      </c>
      <c r="BA160">
        <v>34.51</v>
      </c>
      <c r="BB160">
        <v>11.76</v>
      </c>
      <c r="BC160">
        <v>13.63</v>
      </c>
      <c r="BD160" t="s">
        <v>3</v>
      </c>
      <c r="BE160" t="s">
        <v>3</v>
      </c>
      <c r="BF160" t="s">
        <v>3</v>
      </c>
      <c r="BG160" t="s">
        <v>3</v>
      </c>
      <c r="BH160">
        <v>0</v>
      </c>
      <c r="BI160">
        <v>2</v>
      </c>
      <c r="BJ160" t="s">
        <v>247</v>
      </c>
      <c r="BM160">
        <v>318</v>
      </c>
      <c r="BN160">
        <v>0</v>
      </c>
      <c r="BO160" t="s">
        <v>245</v>
      </c>
      <c r="BP160">
        <v>1</v>
      </c>
      <c r="BQ160">
        <v>40</v>
      </c>
      <c r="BR160">
        <v>0</v>
      </c>
      <c r="BS160">
        <v>34.51</v>
      </c>
      <c r="BT160">
        <v>1</v>
      </c>
      <c r="BU160">
        <v>1</v>
      </c>
      <c r="BV160">
        <v>1</v>
      </c>
      <c r="BW160">
        <v>1</v>
      </c>
      <c r="BX160">
        <v>1</v>
      </c>
      <c r="BY160" t="s">
        <v>3</v>
      </c>
      <c r="BZ160">
        <v>92</v>
      </c>
      <c r="CA160">
        <v>43</v>
      </c>
      <c r="CB160" t="s">
        <v>3</v>
      </c>
      <c r="CE160">
        <v>30</v>
      </c>
      <c r="CF160">
        <v>0</v>
      </c>
      <c r="CG160">
        <v>0</v>
      </c>
      <c r="CM160">
        <v>0</v>
      </c>
      <c r="CN160" t="s">
        <v>671</v>
      </c>
      <c r="CO160">
        <v>0</v>
      </c>
      <c r="CP160">
        <f t="shared" si="133"/>
        <v>0</v>
      </c>
      <c r="CQ160">
        <f t="shared" si="134"/>
        <v>719.12</v>
      </c>
      <c r="CR160">
        <f t="shared" si="135"/>
        <v>1781.29</v>
      </c>
      <c r="CS160">
        <f t="shared" si="136"/>
        <v>577.70000000000005</v>
      </c>
      <c r="CT160">
        <f t="shared" si="137"/>
        <v>15968.47</v>
      </c>
      <c r="CU160">
        <f t="shared" si="138"/>
        <v>0</v>
      </c>
      <c r="CV160">
        <f t="shared" si="139"/>
        <v>37.558399999999999</v>
      </c>
      <c r="CW160">
        <f t="shared" si="140"/>
        <v>0</v>
      </c>
      <c r="CX160">
        <f t="shared" si="141"/>
        <v>0</v>
      </c>
      <c r="CY160">
        <f>S160*(BZ160/100)</f>
        <v>0</v>
      </c>
      <c r="CZ160">
        <f>S160*(CA160/100)</f>
        <v>0</v>
      </c>
      <c r="DC160" t="s">
        <v>3</v>
      </c>
      <c r="DD160" t="s">
        <v>3</v>
      </c>
      <c r="DE160" t="s">
        <v>22</v>
      </c>
      <c r="DF160" t="s">
        <v>22</v>
      </c>
      <c r="DG160" t="s">
        <v>22</v>
      </c>
      <c r="DH160" t="s">
        <v>3</v>
      </c>
      <c r="DI160" t="s">
        <v>22</v>
      </c>
      <c r="DJ160" t="s">
        <v>22</v>
      </c>
      <c r="DK160" t="s">
        <v>3</v>
      </c>
      <c r="DL160" t="s">
        <v>3</v>
      </c>
      <c r="DM160" t="s">
        <v>3</v>
      </c>
      <c r="DN160">
        <v>112</v>
      </c>
      <c r="DO160">
        <v>70</v>
      </c>
      <c r="DP160">
        <v>1.0669999999999999</v>
      </c>
      <c r="DQ160">
        <v>1.081</v>
      </c>
      <c r="DU160">
        <v>1013</v>
      </c>
      <c r="DV160" t="s">
        <v>164</v>
      </c>
      <c r="DW160" t="s">
        <v>164</v>
      </c>
      <c r="DX160">
        <v>1</v>
      </c>
      <c r="DZ160" t="s">
        <v>3</v>
      </c>
      <c r="EA160" t="s">
        <v>3</v>
      </c>
      <c r="EB160" t="s">
        <v>3</v>
      </c>
      <c r="EC160" t="s">
        <v>3</v>
      </c>
      <c r="EE160">
        <v>51696357</v>
      </c>
      <c r="EF160">
        <v>40</v>
      </c>
      <c r="EG160" t="s">
        <v>166</v>
      </c>
      <c r="EH160">
        <v>0</v>
      </c>
      <c r="EI160" t="s">
        <v>3</v>
      </c>
      <c r="EJ160">
        <v>2</v>
      </c>
      <c r="EK160">
        <v>318</v>
      </c>
      <c r="EL160" t="s">
        <v>167</v>
      </c>
      <c r="EM160" t="s">
        <v>168</v>
      </c>
      <c r="EO160" t="s">
        <v>25</v>
      </c>
      <c r="EQ160">
        <v>131072</v>
      </c>
      <c r="ER160">
        <v>572.1</v>
      </c>
      <c r="ES160">
        <v>48.81</v>
      </c>
      <c r="ET160">
        <v>129.05000000000001</v>
      </c>
      <c r="EU160">
        <v>14.26</v>
      </c>
      <c r="EV160">
        <v>394.24</v>
      </c>
      <c r="EW160">
        <v>32</v>
      </c>
      <c r="EX160">
        <v>0</v>
      </c>
      <c r="EY160">
        <v>0</v>
      </c>
      <c r="FQ160">
        <v>0</v>
      </c>
      <c r="FR160">
        <v>0</v>
      </c>
      <c r="FS160">
        <v>0</v>
      </c>
      <c r="FX160">
        <v>112</v>
      </c>
      <c r="FY160">
        <v>70</v>
      </c>
      <c r="GA160" t="s">
        <v>3</v>
      </c>
      <c r="GD160">
        <v>0</v>
      </c>
      <c r="GF160">
        <v>1186400238</v>
      </c>
      <c r="GG160">
        <v>2</v>
      </c>
      <c r="GH160">
        <v>1</v>
      </c>
      <c r="GI160">
        <v>2</v>
      </c>
      <c r="GJ160">
        <v>0</v>
      </c>
      <c r="GK160">
        <f>ROUND(R160*(S12)/100,2)</f>
        <v>0</v>
      </c>
      <c r="GL160">
        <f t="shared" si="142"/>
        <v>0</v>
      </c>
      <c r="GM160">
        <f t="shared" si="143"/>
        <v>0</v>
      </c>
      <c r="GN160">
        <f t="shared" si="144"/>
        <v>0</v>
      </c>
      <c r="GO160">
        <f t="shared" si="145"/>
        <v>0</v>
      </c>
      <c r="GP160">
        <f t="shared" si="146"/>
        <v>0</v>
      </c>
      <c r="GR160">
        <v>0</v>
      </c>
      <c r="GS160">
        <v>3</v>
      </c>
      <c r="GT160">
        <v>0</v>
      </c>
      <c r="GU160" t="s">
        <v>3</v>
      </c>
      <c r="GV160">
        <f t="shared" si="147"/>
        <v>0</v>
      </c>
      <c r="GW160">
        <v>1</v>
      </c>
      <c r="GX160">
        <f t="shared" si="148"/>
        <v>0</v>
      </c>
      <c r="HA160">
        <v>0</v>
      </c>
      <c r="HB160">
        <v>0</v>
      </c>
      <c r="HC160">
        <f t="shared" si="149"/>
        <v>0</v>
      </c>
      <c r="HE160" t="s">
        <v>3</v>
      </c>
      <c r="HF160" t="s">
        <v>3</v>
      </c>
      <c r="HM160" t="s">
        <v>3</v>
      </c>
      <c r="HN160" t="s">
        <v>3</v>
      </c>
      <c r="HO160" t="s">
        <v>3</v>
      </c>
      <c r="HP160" t="s">
        <v>3</v>
      </c>
      <c r="HQ160" t="s">
        <v>3</v>
      </c>
      <c r="HS160">
        <v>0</v>
      </c>
      <c r="IK160">
        <v>0</v>
      </c>
    </row>
    <row r="161" spans="1:255" x14ac:dyDescent="0.2">
      <c r="A161" s="2">
        <v>17</v>
      </c>
      <c r="B161" s="2">
        <v>1</v>
      </c>
      <c r="C161" s="2">
        <f>ROW(SmtRes!A181)</f>
        <v>181</v>
      </c>
      <c r="D161" s="2">
        <f>ROW(EtalonRes!A891)</f>
        <v>891</v>
      </c>
      <c r="E161" s="2" t="s">
        <v>248</v>
      </c>
      <c r="F161" s="2" t="s">
        <v>245</v>
      </c>
      <c r="G161" s="2" t="s">
        <v>249</v>
      </c>
      <c r="H161" s="2" t="s">
        <v>164</v>
      </c>
      <c r="I161" s="2">
        <v>0</v>
      </c>
      <c r="J161" s="2">
        <v>0</v>
      </c>
      <c r="K161" s="2">
        <v>0</v>
      </c>
      <c r="L161" s="2"/>
      <c r="M161" s="2"/>
      <c r="N161" s="2"/>
      <c r="O161" s="2">
        <f t="shared" ref="O161:O172" si="150">ROUND(CP161,2)</f>
        <v>0</v>
      </c>
      <c r="P161" s="2">
        <f t="shared" ref="P161:P172" si="151">ROUND((ROUND((AC161*AW161*I161),2)*BC161),2)</f>
        <v>0</v>
      </c>
      <c r="Q161" s="2">
        <f t="shared" ref="Q161:Q172" si="152">(ROUND((ROUND((((ET161*1.1))*AV161*I161),2)*BB161),2)+ROUND((ROUND(((AE161-((EU161*1.1)))*AV161*I161),2)*BS161),2))</f>
        <v>0</v>
      </c>
      <c r="R161" s="2">
        <f t="shared" ref="R161:R172" si="153">ROUND((ROUND((AE161*AV161*I161),2)*BS161),2)</f>
        <v>0</v>
      </c>
      <c r="S161" s="2">
        <f t="shared" ref="S161:S172" si="154">ROUND((ROUND((AF161*AV161*I161),2)*BA161),2)</f>
        <v>0</v>
      </c>
      <c r="T161" s="2">
        <f t="shared" ref="T161:T172" si="155">ROUND(CU161*I161,2)</f>
        <v>0</v>
      </c>
      <c r="U161" s="2">
        <f t="shared" ref="U161:U172" si="156">CV161*I161</f>
        <v>0</v>
      </c>
      <c r="V161" s="2">
        <f t="shared" ref="V161:V172" si="157">CW161*I161</f>
        <v>0</v>
      </c>
      <c r="W161" s="2">
        <f t="shared" ref="W161:W172" si="158">ROUND(CX161*I161,2)</f>
        <v>0</v>
      </c>
      <c r="X161" s="2">
        <f t="shared" ref="X161:X172" si="159">ROUND(CY161,2)</f>
        <v>0</v>
      </c>
      <c r="Y161" s="2">
        <f t="shared" ref="Y161:Y172" si="160">ROUND(CZ161,2)</f>
        <v>0</v>
      </c>
      <c r="Z161" s="2"/>
      <c r="AA161" s="2">
        <v>56622586</v>
      </c>
      <c r="AB161" s="2">
        <f t="shared" ref="AB161:AB172" si="161">ROUND((AC161+AD161+AF161),6)</f>
        <v>624.42899999999997</v>
      </c>
      <c r="AC161" s="2">
        <f t="shared" ref="AC161:AC172" si="162">ROUND((ES161),6)</f>
        <v>48.81</v>
      </c>
      <c r="AD161" s="2">
        <f t="shared" ref="AD161:AD172" si="163">ROUND(((((ET161*1.1))-((EU161*1.1)))+AE161),6)</f>
        <v>141.95500000000001</v>
      </c>
      <c r="AE161" s="2">
        <f t="shared" ref="AE161:AE172" si="164">ROUND(((EU161*1.1)),6)</f>
        <v>15.686</v>
      </c>
      <c r="AF161" s="2">
        <f t="shared" ref="AF161:AF172" si="165">ROUND(((EV161*1.1)),6)</f>
        <v>433.66399999999999</v>
      </c>
      <c r="AG161" s="2">
        <f t="shared" ref="AG161:AG172" si="166">ROUND((AP161),6)</f>
        <v>0</v>
      </c>
      <c r="AH161" s="2">
        <f t="shared" ref="AH161:AH172" si="167">((EW161*1.1))</f>
        <v>35.200000000000003</v>
      </c>
      <c r="AI161" s="2">
        <f t="shared" ref="AI161:AI172" si="168">((EX161*1.1))</f>
        <v>0</v>
      </c>
      <c r="AJ161" s="2">
        <f t="shared" ref="AJ161:AJ172" si="169">(AS161)</f>
        <v>0</v>
      </c>
      <c r="AK161" s="2">
        <v>572.1</v>
      </c>
      <c r="AL161" s="2">
        <v>48.81</v>
      </c>
      <c r="AM161" s="2">
        <v>129.05000000000001</v>
      </c>
      <c r="AN161" s="2">
        <v>14.26</v>
      </c>
      <c r="AO161" s="2">
        <v>394.24</v>
      </c>
      <c r="AP161" s="2">
        <v>0</v>
      </c>
      <c r="AQ161" s="2">
        <v>32</v>
      </c>
      <c r="AR161" s="2">
        <v>0</v>
      </c>
      <c r="AS161" s="2">
        <v>0</v>
      </c>
      <c r="AT161" s="2">
        <v>112</v>
      </c>
      <c r="AU161" s="2">
        <v>70</v>
      </c>
      <c r="AV161" s="2">
        <v>1.0669999999999999</v>
      </c>
      <c r="AW161" s="2">
        <v>1.081</v>
      </c>
      <c r="AX161" s="2"/>
      <c r="AY161" s="2"/>
      <c r="AZ161" s="2">
        <v>1</v>
      </c>
      <c r="BA161" s="2">
        <v>1</v>
      </c>
      <c r="BB161" s="2">
        <v>1</v>
      </c>
      <c r="BC161" s="2">
        <v>1</v>
      </c>
      <c r="BD161" s="2" t="s">
        <v>3</v>
      </c>
      <c r="BE161" s="2" t="s">
        <v>3</v>
      </c>
      <c r="BF161" s="2" t="s">
        <v>3</v>
      </c>
      <c r="BG161" s="2" t="s">
        <v>3</v>
      </c>
      <c r="BH161" s="2">
        <v>0</v>
      </c>
      <c r="BI161" s="2">
        <v>2</v>
      </c>
      <c r="BJ161" s="2" t="s">
        <v>247</v>
      </c>
      <c r="BK161" s="2"/>
      <c r="BL161" s="2"/>
      <c r="BM161" s="2">
        <v>318</v>
      </c>
      <c r="BN161" s="2">
        <v>0</v>
      </c>
      <c r="BO161" s="2" t="s">
        <v>3</v>
      </c>
      <c r="BP161" s="2">
        <v>0</v>
      </c>
      <c r="BQ161" s="2">
        <v>40</v>
      </c>
      <c r="BR161" s="2">
        <v>0</v>
      </c>
      <c r="BS161" s="2">
        <v>1</v>
      </c>
      <c r="BT161" s="2">
        <v>1</v>
      </c>
      <c r="BU161" s="2">
        <v>1</v>
      </c>
      <c r="BV161" s="2">
        <v>1</v>
      </c>
      <c r="BW161" s="2">
        <v>1</v>
      </c>
      <c r="BX161" s="2">
        <v>1</v>
      </c>
      <c r="BY161" s="2" t="s">
        <v>3</v>
      </c>
      <c r="BZ161" s="2">
        <v>112</v>
      </c>
      <c r="CA161" s="2">
        <v>70</v>
      </c>
      <c r="CB161" s="2" t="s">
        <v>3</v>
      </c>
      <c r="CC161" s="2"/>
      <c r="CD161" s="2"/>
      <c r="CE161" s="2">
        <v>30</v>
      </c>
      <c r="CF161" s="2">
        <v>0</v>
      </c>
      <c r="CG161" s="2">
        <v>0</v>
      </c>
      <c r="CH161" s="2"/>
      <c r="CI161" s="2"/>
      <c r="CJ161" s="2"/>
      <c r="CK161" s="2"/>
      <c r="CL161" s="2"/>
      <c r="CM161" s="2">
        <v>0</v>
      </c>
      <c r="CN161" s="2" t="s">
        <v>671</v>
      </c>
      <c r="CO161" s="2">
        <v>0</v>
      </c>
      <c r="CP161" s="2">
        <f t="shared" ref="CP161:CP172" si="170">(P161+Q161+S161)</f>
        <v>0</v>
      </c>
      <c r="CQ161" s="2">
        <f t="shared" ref="CQ161:CQ172" si="171">ROUND((ROUND((AC161*AW161*1),2)*BC161),2)</f>
        <v>52.76</v>
      </c>
      <c r="CR161" s="2">
        <f t="shared" ref="CR161:CR172" si="172">(ROUND((ROUND((((ET161*1.1))*AV161*1),2)*BB161),2)+ROUND((ROUND(((AE161-((EU161*1.1)))*AV161*1),2)*BS161),2))</f>
        <v>151.47</v>
      </c>
      <c r="CS161" s="2">
        <f t="shared" ref="CS161:CS172" si="173">ROUND((ROUND((AE161*AV161*1),2)*BS161),2)</f>
        <v>16.739999999999998</v>
      </c>
      <c r="CT161" s="2">
        <f t="shared" ref="CT161:CT172" si="174">ROUND((ROUND((AF161*AV161*1),2)*BA161),2)</f>
        <v>462.72</v>
      </c>
      <c r="CU161" s="2">
        <f t="shared" ref="CU161:CU172" si="175">AG161</f>
        <v>0</v>
      </c>
      <c r="CV161" s="2">
        <f t="shared" ref="CV161:CV172" si="176">(AH161*AV161)</f>
        <v>37.558399999999999</v>
      </c>
      <c r="CW161" s="2">
        <f t="shared" ref="CW161:CW172" si="177">AI161</f>
        <v>0</v>
      </c>
      <c r="CX161" s="2">
        <f t="shared" ref="CX161:CX172" si="178">AJ161</f>
        <v>0</v>
      </c>
      <c r="CY161" s="2">
        <f>((S161*BZ161)/100)</f>
        <v>0</v>
      </c>
      <c r="CZ161" s="2">
        <f>((S161*CA161)/100)</f>
        <v>0</v>
      </c>
      <c r="DA161" s="2"/>
      <c r="DB161" s="2"/>
      <c r="DC161" s="2" t="s">
        <v>3</v>
      </c>
      <c r="DD161" s="2" t="s">
        <v>3</v>
      </c>
      <c r="DE161" s="2" t="s">
        <v>22</v>
      </c>
      <c r="DF161" s="2" t="s">
        <v>22</v>
      </c>
      <c r="DG161" s="2" t="s">
        <v>22</v>
      </c>
      <c r="DH161" s="2" t="s">
        <v>3</v>
      </c>
      <c r="DI161" s="2" t="s">
        <v>22</v>
      </c>
      <c r="DJ161" s="2" t="s">
        <v>22</v>
      </c>
      <c r="DK161" s="2" t="s">
        <v>3</v>
      </c>
      <c r="DL161" s="2" t="s">
        <v>3</v>
      </c>
      <c r="DM161" s="2" t="s">
        <v>3</v>
      </c>
      <c r="DN161" s="2">
        <v>0</v>
      </c>
      <c r="DO161" s="2">
        <v>0</v>
      </c>
      <c r="DP161" s="2">
        <v>1</v>
      </c>
      <c r="DQ161" s="2">
        <v>1</v>
      </c>
      <c r="DR161" s="2"/>
      <c r="DS161" s="2"/>
      <c r="DT161" s="2"/>
      <c r="DU161" s="2">
        <v>1013</v>
      </c>
      <c r="DV161" s="2" t="s">
        <v>164</v>
      </c>
      <c r="DW161" s="2" t="s">
        <v>164</v>
      </c>
      <c r="DX161" s="2">
        <v>1</v>
      </c>
      <c r="DY161" s="2"/>
      <c r="DZ161" s="2" t="s">
        <v>3</v>
      </c>
      <c r="EA161" s="2" t="s">
        <v>3</v>
      </c>
      <c r="EB161" s="2" t="s">
        <v>3</v>
      </c>
      <c r="EC161" s="2" t="s">
        <v>3</v>
      </c>
      <c r="ED161" s="2"/>
      <c r="EE161" s="2">
        <v>51696357</v>
      </c>
      <c r="EF161" s="2">
        <v>40</v>
      </c>
      <c r="EG161" s="2" t="s">
        <v>166</v>
      </c>
      <c r="EH161" s="2">
        <v>0</v>
      </c>
      <c r="EI161" s="2" t="s">
        <v>3</v>
      </c>
      <c r="EJ161" s="2">
        <v>2</v>
      </c>
      <c r="EK161" s="2">
        <v>318</v>
      </c>
      <c r="EL161" s="2" t="s">
        <v>167</v>
      </c>
      <c r="EM161" s="2" t="s">
        <v>168</v>
      </c>
      <c r="EN161" s="2"/>
      <c r="EO161" s="2" t="s">
        <v>25</v>
      </c>
      <c r="EP161" s="2"/>
      <c r="EQ161" s="2">
        <v>131072</v>
      </c>
      <c r="ER161" s="2">
        <v>572.1</v>
      </c>
      <c r="ES161" s="2">
        <v>48.81</v>
      </c>
      <c r="ET161" s="2">
        <v>129.05000000000001</v>
      </c>
      <c r="EU161" s="2">
        <v>14.26</v>
      </c>
      <c r="EV161" s="2">
        <v>394.24</v>
      </c>
      <c r="EW161" s="2">
        <v>32</v>
      </c>
      <c r="EX161" s="2">
        <v>0</v>
      </c>
      <c r="EY161" s="2">
        <v>0</v>
      </c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>
        <v>0</v>
      </c>
      <c r="FR161" s="2">
        <v>0</v>
      </c>
      <c r="FS161" s="2">
        <v>0</v>
      </c>
      <c r="FT161" s="2"/>
      <c r="FU161" s="2"/>
      <c r="FV161" s="2"/>
      <c r="FW161" s="2"/>
      <c r="FX161" s="2">
        <v>112</v>
      </c>
      <c r="FY161" s="2">
        <v>70</v>
      </c>
      <c r="FZ161" s="2"/>
      <c r="GA161" s="2" t="s">
        <v>3</v>
      </c>
      <c r="GB161" s="2"/>
      <c r="GC161" s="2"/>
      <c r="GD161" s="2">
        <v>0</v>
      </c>
      <c r="GE161" s="2"/>
      <c r="GF161" s="2">
        <v>1329138572</v>
      </c>
      <c r="GG161" s="2">
        <v>2</v>
      </c>
      <c r="GH161" s="2">
        <v>1</v>
      </c>
      <c r="GI161" s="2">
        <v>-2</v>
      </c>
      <c r="GJ161" s="2">
        <v>0</v>
      </c>
      <c r="GK161" s="2">
        <f>ROUND(R161*(R12)/100,2)</f>
        <v>0</v>
      </c>
      <c r="GL161" s="2">
        <f t="shared" ref="GL161:GL172" si="179">ROUND(IF(AND(BH161=3,BI161=3,FS161&lt;&gt;0),P161,0),2)</f>
        <v>0</v>
      </c>
      <c r="GM161" s="2">
        <f t="shared" ref="GM161:GM172" si="180">ROUND(O161+X161+Y161+GK161,2)+GX161</f>
        <v>0</v>
      </c>
      <c r="GN161" s="2">
        <f t="shared" ref="GN161:GN172" si="181">IF(OR(BI161=0,BI161=1),GM161-GX161,0)</f>
        <v>0</v>
      </c>
      <c r="GO161" s="2">
        <f t="shared" ref="GO161:GO172" si="182">IF(BI161=2,GM161-GX161,0)</f>
        <v>0</v>
      </c>
      <c r="GP161" s="2">
        <f t="shared" ref="GP161:GP172" si="183">IF(BI161=4,GM161-GX161,0)</f>
        <v>0</v>
      </c>
      <c r="GQ161" s="2"/>
      <c r="GR161" s="2">
        <v>0</v>
      </c>
      <c r="GS161" s="2">
        <v>0</v>
      </c>
      <c r="GT161" s="2">
        <v>0</v>
      </c>
      <c r="GU161" s="2" t="s">
        <v>3</v>
      </c>
      <c r="GV161" s="2">
        <f t="shared" ref="GV161:GV172" si="184">ROUND((GT161),6)</f>
        <v>0</v>
      </c>
      <c r="GW161" s="2">
        <v>1</v>
      </c>
      <c r="GX161" s="2">
        <f t="shared" ref="GX161:GX172" si="185">ROUND(HC161*I161,2)</f>
        <v>0</v>
      </c>
      <c r="GY161" s="2"/>
      <c r="GZ161" s="2"/>
      <c r="HA161" s="2">
        <v>0</v>
      </c>
      <c r="HB161" s="2">
        <v>0</v>
      </c>
      <c r="HC161" s="2">
        <f t="shared" ref="HC161:HC172" si="186">GV161*GW161</f>
        <v>0</v>
      </c>
      <c r="HD161" s="2"/>
      <c r="HE161" s="2" t="s">
        <v>3</v>
      </c>
      <c r="HF161" s="2" t="s">
        <v>3</v>
      </c>
      <c r="HG161" s="2"/>
      <c r="HH161" s="2"/>
      <c r="HI161" s="2"/>
      <c r="HJ161" s="2"/>
      <c r="HK161" s="2"/>
      <c r="HL161" s="2"/>
      <c r="HM161" s="2" t="s">
        <v>3</v>
      </c>
      <c r="HN161" s="2" t="s">
        <v>3</v>
      </c>
      <c r="HO161" s="2" t="s">
        <v>3</v>
      </c>
      <c r="HP161" s="2" t="s">
        <v>3</v>
      </c>
      <c r="HQ161" s="2" t="s">
        <v>3</v>
      </c>
      <c r="HR161" s="2"/>
      <c r="HS161" s="2">
        <v>0</v>
      </c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>
        <v>0</v>
      </c>
      <c r="IL161" s="2"/>
      <c r="IM161" s="2"/>
      <c r="IN161" s="2"/>
      <c r="IO161" s="2"/>
      <c r="IP161" s="2"/>
      <c r="IQ161" s="2"/>
      <c r="IR161" s="2"/>
      <c r="IS161" s="2"/>
      <c r="IT161" s="2"/>
      <c r="IU161" s="2"/>
    </row>
    <row r="162" spans="1:255" x14ac:dyDescent="0.2">
      <c r="A162">
        <v>17</v>
      </c>
      <c r="B162">
        <v>1</v>
      </c>
      <c r="C162">
        <f>ROW(SmtRes!A182)</f>
        <v>182</v>
      </c>
      <c r="D162">
        <f>ROW(EtalonRes!A906)</f>
        <v>906</v>
      </c>
      <c r="E162" t="s">
        <v>248</v>
      </c>
      <c r="F162" t="s">
        <v>245</v>
      </c>
      <c r="G162" t="s">
        <v>249</v>
      </c>
      <c r="H162" t="s">
        <v>164</v>
      </c>
      <c r="I162">
        <v>0</v>
      </c>
      <c r="J162">
        <v>0</v>
      </c>
      <c r="K162">
        <v>0</v>
      </c>
      <c r="O162">
        <f t="shared" si="150"/>
        <v>0</v>
      </c>
      <c r="P162">
        <f t="shared" si="151"/>
        <v>0</v>
      </c>
      <c r="Q162">
        <f t="shared" si="152"/>
        <v>0</v>
      </c>
      <c r="R162">
        <f t="shared" si="153"/>
        <v>0</v>
      </c>
      <c r="S162">
        <f t="shared" si="154"/>
        <v>0</v>
      </c>
      <c r="T162">
        <f t="shared" si="155"/>
        <v>0</v>
      </c>
      <c r="U162">
        <f t="shared" si="156"/>
        <v>0</v>
      </c>
      <c r="V162">
        <f t="shared" si="157"/>
        <v>0</v>
      </c>
      <c r="W162">
        <f t="shared" si="158"/>
        <v>0</v>
      </c>
      <c r="X162">
        <f t="shared" si="159"/>
        <v>0</v>
      </c>
      <c r="Y162">
        <f t="shared" si="160"/>
        <v>0</v>
      </c>
      <c r="AA162">
        <v>56616093</v>
      </c>
      <c r="AB162">
        <f t="shared" si="161"/>
        <v>624.42899999999997</v>
      </c>
      <c r="AC162">
        <f t="shared" si="162"/>
        <v>48.81</v>
      </c>
      <c r="AD162">
        <f t="shared" si="163"/>
        <v>141.95500000000001</v>
      </c>
      <c r="AE162">
        <f t="shared" si="164"/>
        <v>15.686</v>
      </c>
      <c r="AF162">
        <f t="shared" si="165"/>
        <v>433.66399999999999</v>
      </c>
      <c r="AG162">
        <f t="shared" si="166"/>
        <v>0</v>
      </c>
      <c r="AH162">
        <f t="shared" si="167"/>
        <v>35.200000000000003</v>
      </c>
      <c r="AI162">
        <f t="shared" si="168"/>
        <v>0</v>
      </c>
      <c r="AJ162">
        <f t="shared" si="169"/>
        <v>0</v>
      </c>
      <c r="AK162">
        <v>572.1</v>
      </c>
      <c r="AL162">
        <v>48.81</v>
      </c>
      <c r="AM162">
        <v>129.05000000000001</v>
      </c>
      <c r="AN162">
        <v>14.26</v>
      </c>
      <c r="AO162">
        <v>394.24</v>
      </c>
      <c r="AP162">
        <v>0</v>
      </c>
      <c r="AQ162">
        <v>32</v>
      </c>
      <c r="AR162">
        <v>0</v>
      </c>
      <c r="AS162">
        <v>0</v>
      </c>
      <c r="AT162">
        <v>92</v>
      </c>
      <c r="AU162">
        <v>43</v>
      </c>
      <c r="AV162">
        <v>1.0669999999999999</v>
      </c>
      <c r="AW162">
        <v>1.081</v>
      </c>
      <c r="AZ162">
        <v>1</v>
      </c>
      <c r="BA162">
        <v>34.51</v>
      </c>
      <c r="BB162">
        <v>11.76</v>
      </c>
      <c r="BC162">
        <v>13.63</v>
      </c>
      <c r="BD162" t="s">
        <v>3</v>
      </c>
      <c r="BE162" t="s">
        <v>3</v>
      </c>
      <c r="BF162" t="s">
        <v>3</v>
      </c>
      <c r="BG162" t="s">
        <v>3</v>
      </c>
      <c r="BH162">
        <v>0</v>
      </c>
      <c r="BI162">
        <v>2</v>
      </c>
      <c r="BJ162" t="s">
        <v>247</v>
      </c>
      <c r="BM162">
        <v>318</v>
      </c>
      <c r="BN162">
        <v>0</v>
      </c>
      <c r="BO162" t="s">
        <v>245</v>
      </c>
      <c r="BP162">
        <v>1</v>
      </c>
      <c r="BQ162">
        <v>40</v>
      </c>
      <c r="BR162">
        <v>0</v>
      </c>
      <c r="BS162">
        <v>34.51</v>
      </c>
      <c r="BT162">
        <v>1</v>
      </c>
      <c r="BU162">
        <v>1</v>
      </c>
      <c r="BV162">
        <v>1</v>
      </c>
      <c r="BW162">
        <v>1</v>
      </c>
      <c r="BX162">
        <v>1</v>
      </c>
      <c r="BY162" t="s">
        <v>3</v>
      </c>
      <c r="BZ162">
        <v>92</v>
      </c>
      <c r="CA162">
        <v>43</v>
      </c>
      <c r="CB162" t="s">
        <v>3</v>
      </c>
      <c r="CE162">
        <v>30</v>
      </c>
      <c r="CF162">
        <v>0</v>
      </c>
      <c r="CG162">
        <v>0</v>
      </c>
      <c r="CM162">
        <v>0</v>
      </c>
      <c r="CN162" t="s">
        <v>671</v>
      </c>
      <c r="CO162">
        <v>0</v>
      </c>
      <c r="CP162">
        <f t="shared" si="170"/>
        <v>0</v>
      </c>
      <c r="CQ162">
        <f t="shared" si="171"/>
        <v>719.12</v>
      </c>
      <c r="CR162">
        <f t="shared" si="172"/>
        <v>1781.29</v>
      </c>
      <c r="CS162">
        <f t="shared" si="173"/>
        <v>577.70000000000005</v>
      </c>
      <c r="CT162">
        <f t="shared" si="174"/>
        <v>15968.47</v>
      </c>
      <c r="CU162">
        <f t="shared" si="175"/>
        <v>0</v>
      </c>
      <c r="CV162">
        <f t="shared" si="176"/>
        <v>37.558399999999999</v>
      </c>
      <c r="CW162">
        <f t="shared" si="177"/>
        <v>0</v>
      </c>
      <c r="CX162">
        <f t="shared" si="178"/>
        <v>0</v>
      </c>
      <c r="CY162">
        <f>S162*(BZ162/100)</f>
        <v>0</v>
      </c>
      <c r="CZ162">
        <f>S162*(CA162/100)</f>
        <v>0</v>
      </c>
      <c r="DC162" t="s">
        <v>3</v>
      </c>
      <c r="DD162" t="s">
        <v>3</v>
      </c>
      <c r="DE162" t="s">
        <v>22</v>
      </c>
      <c r="DF162" t="s">
        <v>22</v>
      </c>
      <c r="DG162" t="s">
        <v>22</v>
      </c>
      <c r="DH162" t="s">
        <v>3</v>
      </c>
      <c r="DI162" t="s">
        <v>22</v>
      </c>
      <c r="DJ162" t="s">
        <v>22</v>
      </c>
      <c r="DK162" t="s">
        <v>3</v>
      </c>
      <c r="DL162" t="s">
        <v>3</v>
      </c>
      <c r="DM162" t="s">
        <v>3</v>
      </c>
      <c r="DN162">
        <v>112</v>
      </c>
      <c r="DO162">
        <v>70</v>
      </c>
      <c r="DP162">
        <v>1.0669999999999999</v>
      </c>
      <c r="DQ162">
        <v>1.081</v>
      </c>
      <c r="DU162">
        <v>1013</v>
      </c>
      <c r="DV162" t="s">
        <v>164</v>
      </c>
      <c r="DW162" t="s">
        <v>164</v>
      </c>
      <c r="DX162">
        <v>1</v>
      </c>
      <c r="DZ162" t="s">
        <v>3</v>
      </c>
      <c r="EA162" t="s">
        <v>3</v>
      </c>
      <c r="EB162" t="s">
        <v>3</v>
      </c>
      <c r="EC162" t="s">
        <v>3</v>
      </c>
      <c r="EE162">
        <v>51696357</v>
      </c>
      <c r="EF162">
        <v>40</v>
      </c>
      <c r="EG162" t="s">
        <v>166</v>
      </c>
      <c r="EH162">
        <v>0</v>
      </c>
      <c r="EI162" t="s">
        <v>3</v>
      </c>
      <c r="EJ162">
        <v>2</v>
      </c>
      <c r="EK162">
        <v>318</v>
      </c>
      <c r="EL162" t="s">
        <v>167</v>
      </c>
      <c r="EM162" t="s">
        <v>168</v>
      </c>
      <c r="EO162" t="s">
        <v>25</v>
      </c>
      <c r="EQ162">
        <v>131072</v>
      </c>
      <c r="ER162">
        <v>572.1</v>
      </c>
      <c r="ES162">
        <v>48.81</v>
      </c>
      <c r="ET162">
        <v>129.05000000000001</v>
      </c>
      <c r="EU162">
        <v>14.26</v>
      </c>
      <c r="EV162">
        <v>394.24</v>
      </c>
      <c r="EW162">
        <v>32</v>
      </c>
      <c r="EX162">
        <v>0</v>
      </c>
      <c r="EY162">
        <v>0</v>
      </c>
      <c r="FQ162">
        <v>0</v>
      </c>
      <c r="FR162">
        <v>0</v>
      </c>
      <c r="FS162">
        <v>0</v>
      </c>
      <c r="FX162">
        <v>112</v>
      </c>
      <c r="FY162">
        <v>70</v>
      </c>
      <c r="GA162" t="s">
        <v>3</v>
      </c>
      <c r="GD162">
        <v>0</v>
      </c>
      <c r="GF162">
        <v>1329138572</v>
      </c>
      <c r="GG162">
        <v>2</v>
      </c>
      <c r="GH162">
        <v>1</v>
      </c>
      <c r="GI162">
        <v>2</v>
      </c>
      <c r="GJ162">
        <v>0</v>
      </c>
      <c r="GK162">
        <f>ROUND(R162*(S12)/100,2)</f>
        <v>0</v>
      </c>
      <c r="GL162">
        <f t="shared" si="179"/>
        <v>0</v>
      </c>
      <c r="GM162">
        <f t="shared" si="180"/>
        <v>0</v>
      </c>
      <c r="GN162">
        <f t="shared" si="181"/>
        <v>0</v>
      </c>
      <c r="GO162">
        <f t="shared" si="182"/>
        <v>0</v>
      </c>
      <c r="GP162">
        <f t="shared" si="183"/>
        <v>0</v>
      </c>
      <c r="GR162">
        <v>0</v>
      </c>
      <c r="GS162">
        <v>3</v>
      </c>
      <c r="GT162">
        <v>0</v>
      </c>
      <c r="GU162" t="s">
        <v>3</v>
      </c>
      <c r="GV162">
        <f t="shared" si="184"/>
        <v>0</v>
      </c>
      <c r="GW162">
        <v>1</v>
      </c>
      <c r="GX162">
        <f t="shared" si="185"/>
        <v>0</v>
      </c>
      <c r="HA162">
        <v>0</v>
      </c>
      <c r="HB162">
        <v>0</v>
      </c>
      <c r="HC162">
        <f t="shared" si="186"/>
        <v>0</v>
      </c>
      <c r="HE162" t="s">
        <v>3</v>
      </c>
      <c r="HF162" t="s">
        <v>3</v>
      </c>
      <c r="HM162" t="s">
        <v>3</v>
      </c>
      <c r="HN162" t="s">
        <v>3</v>
      </c>
      <c r="HO162" t="s">
        <v>3</v>
      </c>
      <c r="HP162" t="s">
        <v>3</v>
      </c>
      <c r="HQ162" t="s">
        <v>3</v>
      </c>
      <c r="HS162">
        <v>0</v>
      </c>
      <c r="IK162">
        <v>0</v>
      </c>
    </row>
    <row r="163" spans="1:255" x14ac:dyDescent="0.2">
      <c r="A163" s="2">
        <v>17</v>
      </c>
      <c r="B163" s="2">
        <v>1</v>
      </c>
      <c r="C163" s="2"/>
      <c r="D163" s="2">
        <f>ROW(EtalonRes!A915)</f>
        <v>915</v>
      </c>
      <c r="E163" s="2" t="s">
        <v>250</v>
      </c>
      <c r="F163" s="2" t="s">
        <v>251</v>
      </c>
      <c r="G163" s="2" t="s">
        <v>252</v>
      </c>
      <c r="H163" s="2" t="s">
        <v>253</v>
      </c>
      <c r="I163" s="2">
        <f>ROUND(72/100,9)</f>
        <v>0.72</v>
      </c>
      <c r="J163" s="2">
        <v>0</v>
      </c>
      <c r="K163" s="2">
        <f>ROUND(72/100,9)</f>
        <v>0.72</v>
      </c>
      <c r="L163" s="2"/>
      <c r="M163" s="2"/>
      <c r="N163" s="2"/>
      <c r="O163" s="2">
        <f t="shared" si="150"/>
        <v>2758.74</v>
      </c>
      <c r="P163" s="2">
        <f t="shared" si="151"/>
        <v>385.58</v>
      </c>
      <c r="Q163" s="2">
        <f t="shared" si="152"/>
        <v>593.45000000000005</v>
      </c>
      <c r="R163" s="2">
        <f t="shared" si="153"/>
        <v>51.21</v>
      </c>
      <c r="S163" s="2">
        <f t="shared" si="154"/>
        <v>1779.71</v>
      </c>
      <c r="T163" s="2">
        <f t="shared" si="155"/>
        <v>0</v>
      </c>
      <c r="U163" s="2">
        <f t="shared" si="156"/>
        <v>129.25943712</v>
      </c>
      <c r="V163" s="2">
        <f t="shared" si="157"/>
        <v>0</v>
      </c>
      <c r="W163" s="2">
        <f t="shared" si="158"/>
        <v>0</v>
      </c>
      <c r="X163" s="2">
        <f t="shared" si="159"/>
        <v>1993.28</v>
      </c>
      <c r="Y163" s="2">
        <f t="shared" si="160"/>
        <v>1245.8</v>
      </c>
      <c r="Z163" s="2"/>
      <c r="AA163" s="2">
        <v>56622586</v>
      </c>
      <c r="AB163" s="2">
        <f t="shared" si="161"/>
        <v>3683.62</v>
      </c>
      <c r="AC163" s="2">
        <f t="shared" si="162"/>
        <v>535.53</v>
      </c>
      <c r="AD163" s="2">
        <f t="shared" si="163"/>
        <v>787.23699999999997</v>
      </c>
      <c r="AE163" s="2">
        <f t="shared" si="164"/>
        <v>67.936000000000007</v>
      </c>
      <c r="AF163" s="2">
        <f t="shared" si="165"/>
        <v>2360.8530000000001</v>
      </c>
      <c r="AG163" s="2">
        <f t="shared" si="166"/>
        <v>0</v>
      </c>
      <c r="AH163" s="2">
        <f t="shared" si="167"/>
        <v>171.46800000000002</v>
      </c>
      <c r="AI163" s="2">
        <f t="shared" si="168"/>
        <v>0</v>
      </c>
      <c r="AJ163" s="2">
        <f t="shared" si="169"/>
        <v>0</v>
      </c>
      <c r="AK163" s="2">
        <v>3397.43</v>
      </c>
      <c r="AL163" s="2">
        <v>535.53</v>
      </c>
      <c r="AM163" s="2">
        <v>715.67</v>
      </c>
      <c r="AN163" s="2">
        <v>61.76</v>
      </c>
      <c r="AO163" s="2">
        <v>2146.23</v>
      </c>
      <c r="AP163" s="2">
        <v>0</v>
      </c>
      <c r="AQ163" s="2">
        <v>155.88</v>
      </c>
      <c r="AR163" s="2">
        <v>0</v>
      </c>
      <c r="AS163" s="2">
        <v>0</v>
      </c>
      <c r="AT163" s="2">
        <v>112</v>
      </c>
      <c r="AU163" s="2">
        <v>70</v>
      </c>
      <c r="AV163" s="2">
        <v>1.0469999999999999</v>
      </c>
      <c r="AW163" s="2">
        <v>1</v>
      </c>
      <c r="AX163" s="2"/>
      <c r="AY163" s="2"/>
      <c r="AZ163" s="2">
        <v>1</v>
      </c>
      <c r="BA163" s="2">
        <v>1</v>
      </c>
      <c r="BB163" s="2">
        <v>1</v>
      </c>
      <c r="BC163" s="2">
        <v>1</v>
      </c>
      <c r="BD163" s="2" t="s">
        <v>3</v>
      </c>
      <c r="BE163" s="2" t="s">
        <v>3</v>
      </c>
      <c r="BF163" s="2" t="s">
        <v>3</v>
      </c>
      <c r="BG163" s="2" t="s">
        <v>3</v>
      </c>
      <c r="BH163" s="2">
        <v>0</v>
      </c>
      <c r="BI163" s="2">
        <v>2</v>
      </c>
      <c r="BJ163" s="2" t="s">
        <v>254</v>
      </c>
      <c r="BK163" s="2"/>
      <c r="BL163" s="2"/>
      <c r="BM163" s="2">
        <v>1726</v>
      </c>
      <c r="BN163" s="2">
        <v>0</v>
      </c>
      <c r="BO163" s="2" t="s">
        <v>3</v>
      </c>
      <c r="BP163" s="2">
        <v>0</v>
      </c>
      <c r="BQ163" s="2">
        <v>40</v>
      </c>
      <c r="BR163" s="2">
        <v>0</v>
      </c>
      <c r="BS163" s="2">
        <v>1</v>
      </c>
      <c r="BT163" s="2">
        <v>1</v>
      </c>
      <c r="BU163" s="2">
        <v>1</v>
      </c>
      <c r="BV163" s="2">
        <v>1</v>
      </c>
      <c r="BW163" s="2">
        <v>1</v>
      </c>
      <c r="BX163" s="2">
        <v>1</v>
      </c>
      <c r="BY163" s="2" t="s">
        <v>3</v>
      </c>
      <c r="BZ163" s="2">
        <v>112</v>
      </c>
      <c r="CA163" s="2">
        <v>70</v>
      </c>
      <c r="CB163" s="2" t="s">
        <v>3</v>
      </c>
      <c r="CC163" s="2"/>
      <c r="CD163" s="2"/>
      <c r="CE163" s="2">
        <v>30</v>
      </c>
      <c r="CF163" s="2">
        <v>0</v>
      </c>
      <c r="CG163" s="2">
        <v>0</v>
      </c>
      <c r="CH163" s="2"/>
      <c r="CI163" s="2"/>
      <c r="CJ163" s="2"/>
      <c r="CK163" s="2"/>
      <c r="CL163" s="2"/>
      <c r="CM163" s="2">
        <v>0</v>
      </c>
      <c r="CN163" s="2" t="s">
        <v>671</v>
      </c>
      <c r="CO163" s="2">
        <v>0</v>
      </c>
      <c r="CP163" s="2">
        <f t="shared" si="170"/>
        <v>2758.74</v>
      </c>
      <c r="CQ163" s="2">
        <f t="shared" si="171"/>
        <v>535.53</v>
      </c>
      <c r="CR163" s="2">
        <f t="shared" si="172"/>
        <v>824.24</v>
      </c>
      <c r="CS163" s="2">
        <f t="shared" si="173"/>
        <v>71.13</v>
      </c>
      <c r="CT163" s="2">
        <f t="shared" si="174"/>
        <v>2471.81</v>
      </c>
      <c r="CU163" s="2">
        <f t="shared" si="175"/>
        <v>0</v>
      </c>
      <c r="CV163" s="2">
        <f t="shared" si="176"/>
        <v>179.526996</v>
      </c>
      <c r="CW163" s="2">
        <f t="shared" si="177"/>
        <v>0</v>
      </c>
      <c r="CX163" s="2">
        <f t="shared" si="178"/>
        <v>0</v>
      </c>
      <c r="CY163" s="2">
        <f>((S163*BZ163)/100)</f>
        <v>1993.2752000000003</v>
      </c>
      <c r="CZ163" s="2">
        <f>((S163*CA163)/100)</f>
        <v>1245.797</v>
      </c>
      <c r="DA163" s="2"/>
      <c r="DB163" s="2"/>
      <c r="DC163" s="2" t="s">
        <v>3</v>
      </c>
      <c r="DD163" s="2" t="s">
        <v>3</v>
      </c>
      <c r="DE163" s="2" t="s">
        <v>22</v>
      </c>
      <c r="DF163" s="2" t="s">
        <v>22</v>
      </c>
      <c r="DG163" s="2" t="s">
        <v>22</v>
      </c>
      <c r="DH163" s="2" t="s">
        <v>3</v>
      </c>
      <c r="DI163" s="2" t="s">
        <v>22</v>
      </c>
      <c r="DJ163" s="2" t="s">
        <v>22</v>
      </c>
      <c r="DK163" s="2" t="s">
        <v>3</v>
      </c>
      <c r="DL163" s="2" t="s">
        <v>3</v>
      </c>
      <c r="DM163" s="2" t="s">
        <v>3</v>
      </c>
      <c r="DN163" s="2">
        <v>0</v>
      </c>
      <c r="DO163" s="2">
        <v>0</v>
      </c>
      <c r="DP163" s="2">
        <v>1</v>
      </c>
      <c r="DQ163" s="2">
        <v>1</v>
      </c>
      <c r="DR163" s="2"/>
      <c r="DS163" s="2"/>
      <c r="DT163" s="2"/>
      <c r="DU163" s="2">
        <v>1013</v>
      </c>
      <c r="DV163" s="2" t="s">
        <v>253</v>
      </c>
      <c r="DW163" s="2" t="s">
        <v>253</v>
      </c>
      <c r="DX163" s="2">
        <v>1</v>
      </c>
      <c r="DY163" s="2"/>
      <c r="DZ163" s="2" t="s">
        <v>3</v>
      </c>
      <c r="EA163" s="2" t="s">
        <v>3</v>
      </c>
      <c r="EB163" s="2" t="s">
        <v>3</v>
      </c>
      <c r="EC163" s="2" t="s">
        <v>3</v>
      </c>
      <c r="ED163" s="2"/>
      <c r="EE163" s="2">
        <v>51697765</v>
      </c>
      <c r="EF163" s="2">
        <v>40</v>
      </c>
      <c r="EG163" s="2" t="s">
        <v>166</v>
      </c>
      <c r="EH163" s="2">
        <v>0</v>
      </c>
      <c r="EI163" s="2" t="s">
        <v>3</v>
      </c>
      <c r="EJ163" s="2">
        <v>2</v>
      </c>
      <c r="EK163" s="2">
        <v>1726</v>
      </c>
      <c r="EL163" s="2" t="s">
        <v>255</v>
      </c>
      <c r="EM163" s="2" t="s">
        <v>256</v>
      </c>
      <c r="EN163" s="2"/>
      <c r="EO163" s="2" t="s">
        <v>25</v>
      </c>
      <c r="EP163" s="2"/>
      <c r="EQ163" s="2">
        <v>131072</v>
      </c>
      <c r="ER163" s="2">
        <v>3397.43</v>
      </c>
      <c r="ES163" s="2">
        <v>535.53</v>
      </c>
      <c r="ET163" s="2">
        <v>715.67</v>
      </c>
      <c r="EU163" s="2">
        <v>61.76</v>
      </c>
      <c r="EV163" s="2">
        <v>2146.23</v>
      </c>
      <c r="EW163" s="2">
        <v>155.88</v>
      </c>
      <c r="EX163" s="2">
        <v>0</v>
      </c>
      <c r="EY163" s="2">
        <v>0</v>
      </c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>
        <v>0</v>
      </c>
      <c r="FR163" s="2">
        <v>0</v>
      </c>
      <c r="FS163" s="2">
        <v>0</v>
      </c>
      <c r="FT163" s="2"/>
      <c r="FU163" s="2"/>
      <c r="FV163" s="2"/>
      <c r="FW163" s="2"/>
      <c r="FX163" s="2">
        <v>112</v>
      </c>
      <c r="FY163" s="2">
        <v>70</v>
      </c>
      <c r="FZ163" s="2"/>
      <c r="GA163" s="2" t="s">
        <v>3</v>
      </c>
      <c r="GB163" s="2"/>
      <c r="GC163" s="2"/>
      <c r="GD163" s="2">
        <v>0</v>
      </c>
      <c r="GE163" s="2"/>
      <c r="GF163" s="2">
        <v>957162054</v>
      </c>
      <c r="GG163" s="2">
        <v>2</v>
      </c>
      <c r="GH163" s="2">
        <v>1</v>
      </c>
      <c r="GI163" s="2">
        <v>-2</v>
      </c>
      <c r="GJ163" s="2">
        <v>0</v>
      </c>
      <c r="GK163" s="2">
        <f>ROUND(R163*(R12)/100,2)</f>
        <v>89.62</v>
      </c>
      <c r="GL163" s="2">
        <f t="shared" si="179"/>
        <v>0</v>
      </c>
      <c r="GM163" s="2">
        <f t="shared" si="180"/>
        <v>6087.44</v>
      </c>
      <c r="GN163" s="2">
        <f t="shared" si="181"/>
        <v>0</v>
      </c>
      <c r="GO163" s="2">
        <f t="shared" si="182"/>
        <v>6087.44</v>
      </c>
      <c r="GP163" s="2">
        <f t="shared" si="183"/>
        <v>0</v>
      </c>
      <c r="GQ163" s="2"/>
      <c r="GR163" s="2">
        <v>0</v>
      </c>
      <c r="GS163" s="2">
        <v>0</v>
      </c>
      <c r="GT163" s="2">
        <v>0</v>
      </c>
      <c r="GU163" s="2" t="s">
        <v>3</v>
      </c>
      <c r="GV163" s="2">
        <f t="shared" si="184"/>
        <v>0</v>
      </c>
      <c r="GW163" s="2">
        <v>1</v>
      </c>
      <c r="GX163" s="2">
        <f t="shared" si="185"/>
        <v>0</v>
      </c>
      <c r="GY163" s="2"/>
      <c r="GZ163" s="2"/>
      <c r="HA163" s="2">
        <v>0</v>
      </c>
      <c r="HB163" s="2">
        <v>0</v>
      </c>
      <c r="HC163" s="2">
        <f t="shared" si="186"/>
        <v>0</v>
      </c>
      <c r="HD163" s="2"/>
      <c r="HE163" s="2" t="s">
        <v>3</v>
      </c>
      <c r="HF163" s="2" t="s">
        <v>3</v>
      </c>
      <c r="HG163" s="2"/>
      <c r="HH163" s="2"/>
      <c r="HI163" s="2"/>
      <c r="HJ163" s="2"/>
      <c r="HK163" s="2"/>
      <c r="HL163" s="2"/>
      <c r="HM163" s="2" t="s">
        <v>3</v>
      </c>
      <c r="HN163" s="2" t="s">
        <v>3</v>
      </c>
      <c r="HO163" s="2" t="s">
        <v>3</v>
      </c>
      <c r="HP163" s="2" t="s">
        <v>3</v>
      </c>
      <c r="HQ163" s="2" t="s">
        <v>3</v>
      </c>
      <c r="HR163" s="2"/>
      <c r="HS163" s="2">
        <v>0</v>
      </c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>
        <v>0</v>
      </c>
      <c r="IL163" s="2"/>
      <c r="IM163" s="2"/>
      <c r="IN163" s="2"/>
      <c r="IO163" s="2"/>
      <c r="IP163" s="2"/>
      <c r="IQ163" s="2"/>
      <c r="IR163" s="2"/>
      <c r="IS163" s="2"/>
      <c r="IT163" s="2"/>
      <c r="IU163" s="2"/>
    </row>
    <row r="164" spans="1:255" x14ac:dyDescent="0.2">
      <c r="A164">
        <v>17</v>
      </c>
      <c r="B164">
        <v>1</v>
      </c>
      <c r="D164">
        <f>ROW(EtalonRes!A924)</f>
        <v>924</v>
      </c>
      <c r="E164" t="s">
        <v>250</v>
      </c>
      <c r="F164" t="s">
        <v>251</v>
      </c>
      <c r="G164" t="s">
        <v>252</v>
      </c>
      <c r="H164" t="s">
        <v>253</v>
      </c>
      <c r="I164">
        <f>ROUND(72/100,9)</f>
        <v>0.72</v>
      </c>
      <c r="J164">
        <v>0</v>
      </c>
      <c r="K164">
        <f>ROUND(72/100,9)</f>
        <v>0.72</v>
      </c>
      <c r="O164">
        <f t="shared" si="150"/>
        <v>68446.89</v>
      </c>
      <c r="P164">
        <f t="shared" si="151"/>
        <v>2857.15</v>
      </c>
      <c r="Q164">
        <f t="shared" si="152"/>
        <v>4171.95</v>
      </c>
      <c r="R164">
        <f t="shared" si="153"/>
        <v>1767.26</v>
      </c>
      <c r="S164">
        <f t="shared" si="154"/>
        <v>61417.79</v>
      </c>
      <c r="T164">
        <f t="shared" si="155"/>
        <v>0</v>
      </c>
      <c r="U164">
        <f t="shared" si="156"/>
        <v>129.25943712</v>
      </c>
      <c r="V164">
        <f t="shared" si="157"/>
        <v>0</v>
      </c>
      <c r="W164">
        <f t="shared" si="158"/>
        <v>0</v>
      </c>
      <c r="X164">
        <f t="shared" si="159"/>
        <v>56504.37</v>
      </c>
      <c r="Y164">
        <f t="shared" si="160"/>
        <v>26409.65</v>
      </c>
      <c r="AA164">
        <v>56616093</v>
      </c>
      <c r="AB164">
        <f t="shared" si="161"/>
        <v>3683.62</v>
      </c>
      <c r="AC164">
        <f t="shared" si="162"/>
        <v>535.53</v>
      </c>
      <c r="AD164">
        <f t="shared" si="163"/>
        <v>787.23699999999997</v>
      </c>
      <c r="AE164">
        <f t="shared" si="164"/>
        <v>67.936000000000007</v>
      </c>
      <c r="AF164">
        <f t="shared" si="165"/>
        <v>2360.8530000000001</v>
      </c>
      <c r="AG164">
        <f t="shared" si="166"/>
        <v>0</v>
      </c>
      <c r="AH164">
        <f t="shared" si="167"/>
        <v>171.46800000000002</v>
      </c>
      <c r="AI164">
        <f t="shared" si="168"/>
        <v>0</v>
      </c>
      <c r="AJ164">
        <f t="shared" si="169"/>
        <v>0</v>
      </c>
      <c r="AK164">
        <v>3397.43</v>
      </c>
      <c r="AL164">
        <v>535.53</v>
      </c>
      <c r="AM164">
        <v>715.67</v>
      </c>
      <c r="AN164">
        <v>61.76</v>
      </c>
      <c r="AO164">
        <v>2146.23</v>
      </c>
      <c r="AP164">
        <v>0</v>
      </c>
      <c r="AQ164">
        <v>155.88</v>
      </c>
      <c r="AR164">
        <v>0</v>
      </c>
      <c r="AS164">
        <v>0</v>
      </c>
      <c r="AT164">
        <v>92</v>
      </c>
      <c r="AU164">
        <v>43</v>
      </c>
      <c r="AV164">
        <v>1.0469999999999999</v>
      </c>
      <c r="AW164">
        <v>1</v>
      </c>
      <c r="AZ164">
        <v>1</v>
      </c>
      <c r="BA164">
        <v>34.51</v>
      </c>
      <c r="BB164">
        <v>7.03</v>
      </c>
      <c r="BC164">
        <v>7.41</v>
      </c>
      <c r="BD164" t="s">
        <v>3</v>
      </c>
      <c r="BE164" t="s">
        <v>3</v>
      </c>
      <c r="BF164" t="s">
        <v>3</v>
      </c>
      <c r="BG164" t="s">
        <v>3</v>
      </c>
      <c r="BH164">
        <v>0</v>
      </c>
      <c r="BI164">
        <v>2</v>
      </c>
      <c r="BJ164" t="s">
        <v>254</v>
      </c>
      <c r="BM164">
        <v>1726</v>
      </c>
      <c r="BN164">
        <v>0</v>
      </c>
      <c r="BO164" t="s">
        <v>251</v>
      </c>
      <c r="BP164">
        <v>1</v>
      </c>
      <c r="BQ164">
        <v>40</v>
      </c>
      <c r="BR164">
        <v>0</v>
      </c>
      <c r="BS164">
        <v>34.51</v>
      </c>
      <c r="BT164">
        <v>1</v>
      </c>
      <c r="BU164">
        <v>1</v>
      </c>
      <c r="BV164">
        <v>1</v>
      </c>
      <c r="BW164">
        <v>1</v>
      </c>
      <c r="BX164">
        <v>1</v>
      </c>
      <c r="BY164" t="s">
        <v>3</v>
      </c>
      <c r="BZ164">
        <v>92</v>
      </c>
      <c r="CA164">
        <v>43</v>
      </c>
      <c r="CB164" t="s">
        <v>3</v>
      </c>
      <c r="CE164">
        <v>30</v>
      </c>
      <c r="CF164">
        <v>0</v>
      </c>
      <c r="CG164">
        <v>0</v>
      </c>
      <c r="CM164">
        <v>0</v>
      </c>
      <c r="CN164" t="s">
        <v>671</v>
      </c>
      <c r="CO164">
        <v>0</v>
      </c>
      <c r="CP164">
        <f t="shared" si="170"/>
        <v>68446.89</v>
      </c>
      <c r="CQ164">
        <f t="shared" si="171"/>
        <v>3968.28</v>
      </c>
      <c r="CR164">
        <f t="shared" si="172"/>
        <v>5794.41</v>
      </c>
      <c r="CS164">
        <f t="shared" si="173"/>
        <v>2454.6999999999998</v>
      </c>
      <c r="CT164">
        <f t="shared" si="174"/>
        <v>85302.16</v>
      </c>
      <c r="CU164">
        <f t="shared" si="175"/>
        <v>0</v>
      </c>
      <c r="CV164">
        <f t="shared" si="176"/>
        <v>179.526996</v>
      </c>
      <c r="CW164">
        <f t="shared" si="177"/>
        <v>0</v>
      </c>
      <c r="CX164">
        <f t="shared" si="178"/>
        <v>0</v>
      </c>
      <c r="CY164">
        <f>S164*(BZ164/100)</f>
        <v>56504.366800000003</v>
      </c>
      <c r="CZ164">
        <f>S164*(CA164/100)</f>
        <v>26409.649700000002</v>
      </c>
      <c r="DC164" t="s">
        <v>3</v>
      </c>
      <c r="DD164" t="s">
        <v>3</v>
      </c>
      <c r="DE164" t="s">
        <v>22</v>
      </c>
      <c r="DF164" t="s">
        <v>22</v>
      </c>
      <c r="DG164" t="s">
        <v>22</v>
      </c>
      <c r="DH164" t="s">
        <v>3</v>
      </c>
      <c r="DI164" t="s">
        <v>22</v>
      </c>
      <c r="DJ164" t="s">
        <v>22</v>
      </c>
      <c r="DK164" t="s">
        <v>3</v>
      </c>
      <c r="DL164" t="s">
        <v>3</v>
      </c>
      <c r="DM164" t="s">
        <v>3</v>
      </c>
      <c r="DN164">
        <v>112</v>
      </c>
      <c r="DO164">
        <v>70</v>
      </c>
      <c r="DP164">
        <v>1.0469999999999999</v>
      </c>
      <c r="DQ164">
        <v>1</v>
      </c>
      <c r="DU164">
        <v>1013</v>
      </c>
      <c r="DV164" t="s">
        <v>253</v>
      </c>
      <c r="DW164" t="s">
        <v>253</v>
      </c>
      <c r="DX164">
        <v>1</v>
      </c>
      <c r="DZ164" t="s">
        <v>3</v>
      </c>
      <c r="EA164" t="s">
        <v>3</v>
      </c>
      <c r="EB164" t="s">
        <v>3</v>
      </c>
      <c r="EC164" t="s">
        <v>3</v>
      </c>
      <c r="EE164">
        <v>51697765</v>
      </c>
      <c r="EF164">
        <v>40</v>
      </c>
      <c r="EG164" t="s">
        <v>166</v>
      </c>
      <c r="EH164">
        <v>0</v>
      </c>
      <c r="EI164" t="s">
        <v>3</v>
      </c>
      <c r="EJ164">
        <v>2</v>
      </c>
      <c r="EK164">
        <v>1726</v>
      </c>
      <c r="EL164" t="s">
        <v>255</v>
      </c>
      <c r="EM164" t="s">
        <v>256</v>
      </c>
      <c r="EO164" t="s">
        <v>25</v>
      </c>
      <c r="EQ164">
        <v>131072</v>
      </c>
      <c r="ER164">
        <v>3397.43</v>
      </c>
      <c r="ES164">
        <v>535.53</v>
      </c>
      <c r="ET164">
        <v>715.67</v>
      </c>
      <c r="EU164">
        <v>61.76</v>
      </c>
      <c r="EV164">
        <v>2146.23</v>
      </c>
      <c r="EW164">
        <v>155.88</v>
      </c>
      <c r="EX164">
        <v>0</v>
      </c>
      <c r="EY164">
        <v>0</v>
      </c>
      <c r="FQ164">
        <v>0</v>
      </c>
      <c r="FR164">
        <v>0</v>
      </c>
      <c r="FS164">
        <v>0</v>
      </c>
      <c r="FX164">
        <v>112</v>
      </c>
      <c r="FY164">
        <v>70</v>
      </c>
      <c r="GA164" t="s">
        <v>3</v>
      </c>
      <c r="GD164">
        <v>0</v>
      </c>
      <c r="GF164">
        <v>957162054</v>
      </c>
      <c r="GG164">
        <v>2</v>
      </c>
      <c r="GH164">
        <v>1</v>
      </c>
      <c r="GI164">
        <v>2</v>
      </c>
      <c r="GJ164">
        <v>0</v>
      </c>
      <c r="GK164">
        <f>ROUND(R164*(S12)/100,2)</f>
        <v>2827.62</v>
      </c>
      <c r="GL164">
        <f t="shared" si="179"/>
        <v>0</v>
      </c>
      <c r="GM164">
        <f t="shared" si="180"/>
        <v>154188.53</v>
      </c>
      <c r="GN164">
        <f t="shared" si="181"/>
        <v>0</v>
      </c>
      <c r="GO164">
        <f t="shared" si="182"/>
        <v>154188.53</v>
      </c>
      <c r="GP164">
        <f t="shared" si="183"/>
        <v>0</v>
      </c>
      <c r="GR164">
        <v>0</v>
      </c>
      <c r="GS164">
        <v>3</v>
      </c>
      <c r="GT164">
        <v>0</v>
      </c>
      <c r="GU164" t="s">
        <v>3</v>
      </c>
      <c r="GV164">
        <f t="shared" si="184"/>
        <v>0</v>
      </c>
      <c r="GW164">
        <v>1</v>
      </c>
      <c r="GX164">
        <f t="shared" si="185"/>
        <v>0</v>
      </c>
      <c r="HA164">
        <v>0</v>
      </c>
      <c r="HB164">
        <v>0</v>
      </c>
      <c r="HC164">
        <f t="shared" si="186"/>
        <v>0</v>
      </c>
      <c r="HE164" t="s">
        <v>3</v>
      </c>
      <c r="HF164" t="s">
        <v>3</v>
      </c>
      <c r="HM164" t="s">
        <v>3</v>
      </c>
      <c r="HN164" t="s">
        <v>3</v>
      </c>
      <c r="HO164" t="s">
        <v>3</v>
      </c>
      <c r="HP164" t="s">
        <v>3</v>
      </c>
      <c r="HQ164" t="s">
        <v>3</v>
      </c>
      <c r="HS164">
        <v>0</v>
      </c>
      <c r="IK164">
        <v>0</v>
      </c>
    </row>
    <row r="165" spans="1:255" x14ac:dyDescent="0.2">
      <c r="A165" s="2">
        <v>17</v>
      </c>
      <c r="B165" s="2">
        <v>1</v>
      </c>
      <c r="C165" s="2"/>
      <c r="D165" s="2">
        <f>ROW(EtalonRes!A933)</f>
        <v>933</v>
      </c>
      <c r="E165" s="2" t="s">
        <v>257</v>
      </c>
      <c r="F165" s="2" t="s">
        <v>251</v>
      </c>
      <c r="G165" s="2" t="s">
        <v>252</v>
      </c>
      <c r="H165" s="2" t="s">
        <v>253</v>
      </c>
      <c r="I165" s="2">
        <v>0</v>
      </c>
      <c r="J165" s="2">
        <v>0</v>
      </c>
      <c r="K165" s="2">
        <v>0</v>
      </c>
      <c r="L165" s="2"/>
      <c r="M165" s="2"/>
      <c r="N165" s="2"/>
      <c r="O165" s="2">
        <f t="shared" si="150"/>
        <v>0</v>
      </c>
      <c r="P165" s="2">
        <f t="shared" si="151"/>
        <v>0</v>
      </c>
      <c r="Q165" s="2">
        <f t="shared" si="152"/>
        <v>0</v>
      </c>
      <c r="R165" s="2">
        <f t="shared" si="153"/>
        <v>0</v>
      </c>
      <c r="S165" s="2">
        <f t="shared" si="154"/>
        <v>0</v>
      </c>
      <c r="T165" s="2">
        <f t="shared" si="155"/>
        <v>0</v>
      </c>
      <c r="U165" s="2">
        <f t="shared" si="156"/>
        <v>0</v>
      </c>
      <c r="V165" s="2">
        <f t="shared" si="157"/>
        <v>0</v>
      </c>
      <c r="W165" s="2">
        <f t="shared" si="158"/>
        <v>0</v>
      </c>
      <c r="X165" s="2">
        <f t="shared" si="159"/>
        <v>0</v>
      </c>
      <c r="Y165" s="2">
        <f t="shared" si="160"/>
        <v>0</v>
      </c>
      <c r="Z165" s="2"/>
      <c r="AA165" s="2">
        <v>56622586</v>
      </c>
      <c r="AB165" s="2">
        <f t="shared" si="161"/>
        <v>3683.62</v>
      </c>
      <c r="AC165" s="2">
        <f t="shared" si="162"/>
        <v>535.53</v>
      </c>
      <c r="AD165" s="2">
        <f t="shared" si="163"/>
        <v>787.23699999999997</v>
      </c>
      <c r="AE165" s="2">
        <f t="shared" si="164"/>
        <v>67.936000000000007</v>
      </c>
      <c r="AF165" s="2">
        <f t="shared" si="165"/>
        <v>2360.8530000000001</v>
      </c>
      <c r="AG165" s="2">
        <f t="shared" si="166"/>
        <v>0</v>
      </c>
      <c r="AH165" s="2">
        <f t="shared" si="167"/>
        <v>171.46800000000002</v>
      </c>
      <c r="AI165" s="2">
        <f t="shared" si="168"/>
        <v>0</v>
      </c>
      <c r="AJ165" s="2">
        <f t="shared" si="169"/>
        <v>0</v>
      </c>
      <c r="AK165" s="2">
        <v>3397.43</v>
      </c>
      <c r="AL165" s="2">
        <v>535.53</v>
      </c>
      <c r="AM165" s="2">
        <v>715.67</v>
      </c>
      <c r="AN165" s="2">
        <v>61.76</v>
      </c>
      <c r="AO165" s="2">
        <v>2146.23</v>
      </c>
      <c r="AP165" s="2">
        <v>0</v>
      </c>
      <c r="AQ165" s="2">
        <v>155.88</v>
      </c>
      <c r="AR165" s="2">
        <v>0</v>
      </c>
      <c r="AS165" s="2">
        <v>0</v>
      </c>
      <c r="AT165" s="2">
        <v>112</v>
      </c>
      <c r="AU165" s="2">
        <v>70</v>
      </c>
      <c r="AV165" s="2">
        <v>1.0469999999999999</v>
      </c>
      <c r="AW165" s="2">
        <v>1</v>
      </c>
      <c r="AX165" s="2"/>
      <c r="AY165" s="2"/>
      <c r="AZ165" s="2">
        <v>1</v>
      </c>
      <c r="BA165" s="2">
        <v>1</v>
      </c>
      <c r="BB165" s="2">
        <v>1</v>
      </c>
      <c r="BC165" s="2">
        <v>1</v>
      </c>
      <c r="BD165" s="2" t="s">
        <v>3</v>
      </c>
      <c r="BE165" s="2" t="s">
        <v>3</v>
      </c>
      <c r="BF165" s="2" t="s">
        <v>3</v>
      </c>
      <c r="BG165" s="2" t="s">
        <v>3</v>
      </c>
      <c r="BH165" s="2">
        <v>0</v>
      </c>
      <c r="BI165" s="2">
        <v>2</v>
      </c>
      <c r="BJ165" s="2" t="s">
        <v>254</v>
      </c>
      <c r="BK165" s="2"/>
      <c r="BL165" s="2"/>
      <c r="BM165" s="2">
        <v>1726</v>
      </c>
      <c r="BN165" s="2">
        <v>0</v>
      </c>
      <c r="BO165" s="2" t="s">
        <v>3</v>
      </c>
      <c r="BP165" s="2">
        <v>0</v>
      </c>
      <c r="BQ165" s="2">
        <v>40</v>
      </c>
      <c r="BR165" s="2">
        <v>0</v>
      </c>
      <c r="BS165" s="2">
        <v>1</v>
      </c>
      <c r="BT165" s="2">
        <v>1</v>
      </c>
      <c r="BU165" s="2">
        <v>1</v>
      </c>
      <c r="BV165" s="2">
        <v>1</v>
      </c>
      <c r="BW165" s="2">
        <v>1</v>
      </c>
      <c r="BX165" s="2">
        <v>1</v>
      </c>
      <c r="BY165" s="2" t="s">
        <v>3</v>
      </c>
      <c r="BZ165" s="2">
        <v>112</v>
      </c>
      <c r="CA165" s="2">
        <v>70</v>
      </c>
      <c r="CB165" s="2" t="s">
        <v>3</v>
      </c>
      <c r="CC165" s="2"/>
      <c r="CD165" s="2"/>
      <c r="CE165" s="2">
        <v>30</v>
      </c>
      <c r="CF165" s="2">
        <v>0</v>
      </c>
      <c r="CG165" s="2">
        <v>0</v>
      </c>
      <c r="CH165" s="2"/>
      <c r="CI165" s="2"/>
      <c r="CJ165" s="2"/>
      <c r="CK165" s="2"/>
      <c r="CL165" s="2"/>
      <c r="CM165" s="2">
        <v>0</v>
      </c>
      <c r="CN165" s="2" t="s">
        <v>671</v>
      </c>
      <c r="CO165" s="2">
        <v>0</v>
      </c>
      <c r="CP165" s="2">
        <f t="shared" si="170"/>
        <v>0</v>
      </c>
      <c r="CQ165" s="2">
        <f t="shared" si="171"/>
        <v>535.53</v>
      </c>
      <c r="CR165" s="2">
        <f t="shared" si="172"/>
        <v>824.24</v>
      </c>
      <c r="CS165" s="2">
        <f t="shared" si="173"/>
        <v>71.13</v>
      </c>
      <c r="CT165" s="2">
        <f t="shared" si="174"/>
        <v>2471.81</v>
      </c>
      <c r="CU165" s="2">
        <f t="shared" si="175"/>
        <v>0</v>
      </c>
      <c r="CV165" s="2">
        <f t="shared" si="176"/>
        <v>179.526996</v>
      </c>
      <c r="CW165" s="2">
        <f t="shared" si="177"/>
        <v>0</v>
      </c>
      <c r="CX165" s="2">
        <f t="shared" si="178"/>
        <v>0</v>
      </c>
      <c r="CY165" s="2">
        <f>((S165*BZ165)/100)</f>
        <v>0</v>
      </c>
      <c r="CZ165" s="2">
        <f>((S165*CA165)/100)</f>
        <v>0</v>
      </c>
      <c r="DA165" s="2"/>
      <c r="DB165" s="2"/>
      <c r="DC165" s="2" t="s">
        <v>3</v>
      </c>
      <c r="DD165" s="2" t="s">
        <v>3</v>
      </c>
      <c r="DE165" s="2" t="s">
        <v>22</v>
      </c>
      <c r="DF165" s="2" t="s">
        <v>22</v>
      </c>
      <c r="DG165" s="2" t="s">
        <v>22</v>
      </c>
      <c r="DH165" s="2" t="s">
        <v>3</v>
      </c>
      <c r="DI165" s="2" t="s">
        <v>22</v>
      </c>
      <c r="DJ165" s="2" t="s">
        <v>22</v>
      </c>
      <c r="DK165" s="2" t="s">
        <v>3</v>
      </c>
      <c r="DL165" s="2" t="s">
        <v>3</v>
      </c>
      <c r="DM165" s="2" t="s">
        <v>3</v>
      </c>
      <c r="DN165" s="2">
        <v>0</v>
      </c>
      <c r="DO165" s="2">
        <v>0</v>
      </c>
      <c r="DP165" s="2">
        <v>1</v>
      </c>
      <c r="DQ165" s="2">
        <v>1</v>
      </c>
      <c r="DR165" s="2"/>
      <c r="DS165" s="2"/>
      <c r="DT165" s="2"/>
      <c r="DU165" s="2">
        <v>1013</v>
      </c>
      <c r="DV165" s="2" t="s">
        <v>253</v>
      </c>
      <c r="DW165" s="2" t="s">
        <v>253</v>
      </c>
      <c r="DX165" s="2">
        <v>1</v>
      </c>
      <c r="DY165" s="2"/>
      <c r="DZ165" s="2" t="s">
        <v>3</v>
      </c>
      <c r="EA165" s="2" t="s">
        <v>3</v>
      </c>
      <c r="EB165" s="2" t="s">
        <v>3</v>
      </c>
      <c r="EC165" s="2" t="s">
        <v>3</v>
      </c>
      <c r="ED165" s="2"/>
      <c r="EE165" s="2">
        <v>51697765</v>
      </c>
      <c r="EF165" s="2">
        <v>40</v>
      </c>
      <c r="EG165" s="2" t="s">
        <v>166</v>
      </c>
      <c r="EH165" s="2">
        <v>0</v>
      </c>
      <c r="EI165" s="2" t="s">
        <v>3</v>
      </c>
      <c r="EJ165" s="2">
        <v>2</v>
      </c>
      <c r="EK165" s="2">
        <v>1726</v>
      </c>
      <c r="EL165" s="2" t="s">
        <v>255</v>
      </c>
      <c r="EM165" s="2" t="s">
        <v>256</v>
      </c>
      <c r="EN165" s="2"/>
      <c r="EO165" s="2" t="s">
        <v>25</v>
      </c>
      <c r="EP165" s="2"/>
      <c r="EQ165" s="2">
        <v>131072</v>
      </c>
      <c r="ER165" s="2">
        <v>3397.43</v>
      </c>
      <c r="ES165" s="2">
        <v>535.53</v>
      </c>
      <c r="ET165" s="2">
        <v>715.67</v>
      </c>
      <c r="EU165" s="2">
        <v>61.76</v>
      </c>
      <c r="EV165" s="2">
        <v>2146.23</v>
      </c>
      <c r="EW165" s="2">
        <v>155.88</v>
      </c>
      <c r="EX165" s="2">
        <v>0</v>
      </c>
      <c r="EY165" s="2">
        <v>0</v>
      </c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>
        <v>0</v>
      </c>
      <c r="FR165" s="2">
        <v>0</v>
      </c>
      <c r="FS165" s="2">
        <v>0</v>
      </c>
      <c r="FT165" s="2"/>
      <c r="FU165" s="2"/>
      <c r="FV165" s="2"/>
      <c r="FW165" s="2"/>
      <c r="FX165" s="2">
        <v>112</v>
      </c>
      <c r="FY165" s="2">
        <v>70</v>
      </c>
      <c r="FZ165" s="2"/>
      <c r="GA165" s="2" t="s">
        <v>3</v>
      </c>
      <c r="GB165" s="2"/>
      <c r="GC165" s="2"/>
      <c r="GD165" s="2">
        <v>0</v>
      </c>
      <c r="GE165" s="2"/>
      <c r="GF165" s="2">
        <v>957162054</v>
      </c>
      <c r="GG165" s="2">
        <v>2</v>
      </c>
      <c r="GH165" s="2">
        <v>1</v>
      </c>
      <c r="GI165" s="2">
        <v>-2</v>
      </c>
      <c r="GJ165" s="2">
        <v>0</v>
      </c>
      <c r="GK165" s="2">
        <f>ROUND(R165*(R12)/100,2)</f>
        <v>0</v>
      </c>
      <c r="GL165" s="2">
        <f t="shared" si="179"/>
        <v>0</v>
      </c>
      <c r="GM165" s="2">
        <f t="shared" si="180"/>
        <v>0</v>
      </c>
      <c r="GN165" s="2">
        <f t="shared" si="181"/>
        <v>0</v>
      </c>
      <c r="GO165" s="2">
        <f t="shared" si="182"/>
        <v>0</v>
      </c>
      <c r="GP165" s="2">
        <f t="shared" si="183"/>
        <v>0</v>
      </c>
      <c r="GQ165" s="2"/>
      <c r="GR165" s="2">
        <v>0</v>
      </c>
      <c r="GS165" s="2">
        <v>0</v>
      </c>
      <c r="GT165" s="2">
        <v>0</v>
      </c>
      <c r="GU165" s="2" t="s">
        <v>3</v>
      </c>
      <c r="GV165" s="2">
        <f t="shared" si="184"/>
        <v>0</v>
      </c>
      <c r="GW165" s="2">
        <v>1</v>
      </c>
      <c r="GX165" s="2">
        <f t="shared" si="185"/>
        <v>0</v>
      </c>
      <c r="GY165" s="2"/>
      <c r="GZ165" s="2"/>
      <c r="HA165" s="2">
        <v>0</v>
      </c>
      <c r="HB165" s="2">
        <v>0</v>
      </c>
      <c r="HC165" s="2">
        <f t="shared" si="186"/>
        <v>0</v>
      </c>
      <c r="HD165" s="2"/>
      <c r="HE165" s="2" t="s">
        <v>3</v>
      </c>
      <c r="HF165" s="2" t="s">
        <v>3</v>
      </c>
      <c r="HG165" s="2"/>
      <c r="HH165" s="2"/>
      <c r="HI165" s="2"/>
      <c r="HJ165" s="2"/>
      <c r="HK165" s="2"/>
      <c r="HL165" s="2"/>
      <c r="HM165" s="2" t="s">
        <v>3</v>
      </c>
      <c r="HN165" s="2" t="s">
        <v>3</v>
      </c>
      <c r="HO165" s="2" t="s">
        <v>3</v>
      </c>
      <c r="HP165" s="2" t="s">
        <v>3</v>
      </c>
      <c r="HQ165" s="2" t="s">
        <v>3</v>
      </c>
      <c r="HR165" s="2"/>
      <c r="HS165" s="2">
        <v>0</v>
      </c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>
        <v>0</v>
      </c>
      <c r="IL165" s="2"/>
      <c r="IM165" s="2"/>
      <c r="IN165" s="2"/>
      <c r="IO165" s="2"/>
      <c r="IP165" s="2"/>
      <c r="IQ165" s="2"/>
      <c r="IR165" s="2"/>
      <c r="IS165" s="2"/>
      <c r="IT165" s="2"/>
      <c r="IU165" s="2"/>
    </row>
    <row r="166" spans="1:255" x14ac:dyDescent="0.2">
      <c r="A166">
        <v>17</v>
      </c>
      <c r="B166">
        <v>1</v>
      </c>
      <c r="D166">
        <f>ROW(EtalonRes!A942)</f>
        <v>942</v>
      </c>
      <c r="E166" t="s">
        <v>257</v>
      </c>
      <c r="F166" t="s">
        <v>251</v>
      </c>
      <c r="G166" t="s">
        <v>252</v>
      </c>
      <c r="H166" t="s">
        <v>253</v>
      </c>
      <c r="I166">
        <v>0</v>
      </c>
      <c r="J166">
        <v>0</v>
      </c>
      <c r="K166">
        <v>0</v>
      </c>
      <c r="O166">
        <f t="shared" si="150"/>
        <v>0</v>
      </c>
      <c r="P166">
        <f t="shared" si="151"/>
        <v>0</v>
      </c>
      <c r="Q166">
        <f t="shared" si="152"/>
        <v>0</v>
      </c>
      <c r="R166">
        <f t="shared" si="153"/>
        <v>0</v>
      </c>
      <c r="S166">
        <f t="shared" si="154"/>
        <v>0</v>
      </c>
      <c r="T166">
        <f t="shared" si="155"/>
        <v>0</v>
      </c>
      <c r="U166">
        <f t="shared" si="156"/>
        <v>0</v>
      </c>
      <c r="V166">
        <f t="shared" si="157"/>
        <v>0</v>
      </c>
      <c r="W166">
        <f t="shared" si="158"/>
        <v>0</v>
      </c>
      <c r="X166">
        <f t="shared" si="159"/>
        <v>0</v>
      </c>
      <c r="Y166">
        <f t="shared" si="160"/>
        <v>0</v>
      </c>
      <c r="AA166">
        <v>56616093</v>
      </c>
      <c r="AB166">
        <f t="shared" si="161"/>
        <v>3683.62</v>
      </c>
      <c r="AC166">
        <f t="shared" si="162"/>
        <v>535.53</v>
      </c>
      <c r="AD166">
        <f t="shared" si="163"/>
        <v>787.23699999999997</v>
      </c>
      <c r="AE166">
        <f t="shared" si="164"/>
        <v>67.936000000000007</v>
      </c>
      <c r="AF166">
        <f t="shared" si="165"/>
        <v>2360.8530000000001</v>
      </c>
      <c r="AG166">
        <f t="shared" si="166"/>
        <v>0</v>
      </c>
      <c r="AH166">
        <f t="shared" si="167"/>
        <v>171.46800000000002</v>
      </c>
      <c r="AI166">
        <f t="shared" si="168"/>
        <v>0</v>
      </c>
      <c r="AJ166">
        <f t="shared" si="169"/>
        <v>0</v>
      </c>
      <c r="AK166">
        <v>3397.43</v>
      </c>
      <c r="AL166">
        <v>535.53</v>
      </c>
      <c r="AM166">
        <v>715.67</v>
      </c>
      <c r="AN166">
        <v>61.76</v>
      </c>
      <c r="AO166">
        <v>2146.23</v>
      </c>
      <c r="AP166">
        <v>0</v>
      </c>
      <c r="AQ166">
        <v>155.88</v>
      </c>
      <c r="AR166">
        <v>0</v>
      </c>
      <c r="AS166">
        <v>0</v>
      </c>
      <c r="AT166">
        <v>92</v>
      </c>
      <c r="AU166">
        <v>43</v>
      </c>
      <c r="AV166">
        <v>1.0469999999999999</v>
      </c>
      <c r="AW166">
        <v>1</v>
      </c>
      <c r="AZ166">
        <v>1</v>
      </c>
      <c r="BA166">
        <v>34.51</v>
      </c>
      <c r="BB166">
        <v>7.03</v>
      </c>
      <c r="BC166">
        <v>7.41</v>
      </c>
      <c r="BD166" t="s">
        <v>3</v>
      </c>
      <c r="BE166" t="s">
        <v>3</v>
      </c>
      <c r="BF166" t="s">
        <v>3</v>
      </c>
      <c r="BG166" t="s">
        <v>3</v>
      </c>
      <c r="BH166">
        <v>0</v>
      </c>
      <c r="BI166">
        <v>2</v>
      </c>
      <c r="BJ166" t="s">
        <v>254</v>
      </c>
      <c r="BM166">
        <v>1726</v>
      </c>
      <c r="BN166">
        <v>0</v>
      </c>
      <c r="BO166" t="s">
        <v>251</v>
      </c>
      <c r="BP166">
        <v>1</v>
      </c>
      <c r="BQ166">
        <v>40</v>
      </c>
      <c r="BR166">
        <v>0</v>
      </c>
      <c r="BS166">
        <v>34.51</v>
      </c>
      <c r="BT166">
        <v>1</v>
      </c>
      <c r="BU166">
        <v>1</v>
      </c>
      <c r="BV166">
        <v>1</v>
      </c>
      <c r="BW166">
        <v>1</v>
      </c>
      <c r="BX166">
        <v>1</v>
      </c>
      <c r="BY166" t="s">
        <v>3</v>
      </c>
      <c r="BZ166">
        <v>92</v>
      </c>
      <c r="CA166">
        <v>43</v>
      </c>
      <c r="CB166" t="s">
        <v>3</v>
      </c>
      <c r="CE166">
        <v>30</v>
      </c>
      <c r="CF166">
        <v>0</v>
      </c>
      <c r="CG166">
        <v>0</v>
      </c>
      <c r="CM166">
        <v>0</v>
      </c>
      <c r="CN166" t="s">
        <v>671</v>
      </c>
      <c r="CO166">
        <v>0</v>
      </c>
      <c r="CP166">
        <f t="shared" si="170"/>
        <v>0</v>
      </c>
      <c r="CQ166">
        <f t="shared" si="171"/>
        <v>3968.28</v>
      </c>
      <c r="CR166">
        <f t="shared" si="172"/>
        <v>5794.41</v>
      </c>
      <c r="CS166">
        <f t="shared" si="173"/>
        <v>2454.6999999999998</v>
      </c>
      <c r="CT166">
        <f t="shared" si="174"/>
        <v>85302.16</v>
      </c>
      <c r="CU166">
        <f t="shared" si="175"/>
        <v>0</v>
      </c>
      <c r="CV166">
        <f t="shared" si="176"/>
        <v>179.526996</v>
      </c>
      <c r="CW166">
        <f t="shared" si="177"/>
        <v>0</v>
      </c>
      <c r="CX166">
        <f t="shared" si="178"/>
        <v>0</v>
      </c>
      <c r="CY166">
        <f>S166*(BZ166/100)</f>
        <v>0</v>
      </c>
      <c r="CZ166">
        <f>S166*(CA166/100)</f>
        <v>0</v>
      </c>
      <c r="DC166" t="s">
        <v>3</v>
      </c>
      <c r="DD166" t="s">
        <v>3</v>
      </c>
      <c r="DE166" t="s">
        <v>22</v>
      </c>
      <c r="DF166" t="s">
        <v>22</v>
      </c>
      <c r="DG166" t="s">
        <v>22</v>
      </c>
      <c r="DH166" t="s">
        <v>3</v>
      </c>
      <c r="DI166" t="s">
        <v>22</v>
      </c>
      <c r="DJ166" t="s">
        <v>22</v>
      </c>
      <c r="DK166" t="s">
        <v>3</v>
      </c>
      <c r="DL166" t="s">
        <v>3</v>
      </c>
      <c r="DM166" t="s">
        <v>3</v>
      </c>
      <c r="DN166">
        <v>112</v>
      </c>
      <c r="DO166">
        <v>70</v>
      </c>
      <c r="DP166">
        <v>1.0469999999999999</v>
      </c>
      <c r="DQ166">
        <v>1</v>
      </c>
      <c r="DU166">
        <v>1013</v>
      </c>
      <c r="DV166" t="s">
        <v>253</v>
      </c>
      <c r="DW166" t="s">
        <v>253</v>
      </c>
      <c r="DX166">
        <v>1</v>
      </c>
      <c r="DZ166" t="s">
        <v>3</v>
      </c>
      <c r="EA166" t="s">
        <v>3</v>
      </c>
      <c r="EB166" t="s">
        <v>3</v>
      </c>
      <c r="EC166" t="s">
        <v>3</v>
      </c>
      <c r="EE166">
        <v>51697765</v>
      </c>
      <c r="EF166">
        <v>40</v>
      </c>
      <c r="EG166" t="s">
        <v>166</v>
      </c>
      <c r="EH166">
        <v>0</v>
      </c>
      <c r="EI166" t="s">
        <v>3</v>
      </c>
      <c r="EJ166">
        <v>2</v>
      </c>
      <c r="EK166">
        <v>1726</v>
      </c>
      <c r="EL166" t="s">
        <v>255</v>
      </c>
      <c r="EM166" t="s">
        <v>256</v>
      </c>
      <c r="EO166" t="s">
        <v>25</v>
      </c>
      <c r="EQ166">
        <v>131072</v>
      </c>
      <c r="ER166">
        <v>3397.43</v>
      </c>
      <c r="ES166">
        <v>535.53</v>
      </c>
      <c r="ET166">
        <v>715.67</v>
      </c>
      <c r="EU166">
        <v>61.76</v>
      </c>
      <c r="EV166">
        <v>2146.23</v>
      </c>
      <c r="EW166">
        <v>155.88</v>
      </c>
      <c r="EX166">
        <v>0</v>
      </c>
      <c r="EY166">
        <v>0</v>
      </c>
      <c r="FQ166">
        <v>0</v>
      </c>
      <c r="FR166">
        <v>0</v>
      </c>
      <c r="FS166">
        <v>0</v>
      </c>
      <c r="FX166">
        <v>112</v>
      </c>
      <c r="FY166">
        <v>70</v>
      </c>
      <c r="GA166" t="s">
        <v>3</v>
      </c>
      <c r="GD166">
        <v>0</v>
      </c>
      <c r="GF166">
        <v>957162054</v>
      </c>
      <c r="GG166">
        <v>2</v>
      </c>
      <c r="GH166">
        <v>1</v>
      </c>
      <c r="GI166">
        <v>2</v>
      </c>
      <c r="GJ166">
        <v>0</v>
      </c>
      <c r="GK166">
        <f>ROUND(R166*(S12)/100,2)</f>
        <v>0</v>
      </c>
      <c r="GL166">
        <f t="shared" si="179"/>
        <v>0</v>
      </c>
      <c r="GM166">
        <f t="shared" si="180"/>
        <v>0</v>
      </c>
      <c r="GN166">
        <f t="shared" si="181"/>
        <v>0</v>
      </c>
      <c r="GO166">
        <f t="shared" si="182"/>
        <v>0</v>
      </c>
      <c r="GP166">
        <f t="shared" si="183"/>
        <v>0</v>
      </c>
      <c r="GR166">
        <v>0</v>
      </c>
      <c r="GS166">
        <v>3</v>
      </c>
      <c r="GT166">
        <v>0</v>
      </c>
      <c r="GU166" t="s">
        <v>3</v>
      </c>
      <c r="GV166">
        <f t="shared" si="184"/>
        <v>0</v>
      </c>
      <c r="GW166">
        <v>1</v>
      </c>
      <c r="GX166">
        <f t="shared" si="185"/>
        <v>0</v>
      </c>
      <c r="HA166">
        <v>0</v>
      </c>
      <c r="HB166">
        <v>0</v>
      </c>
      <c r="HC166">
        <f t="shared" si="186"/>
        <v>0</v>
      </c>
      <c r="HE166" t="s">
        <v>3</v>
      </c>
      <c r="HF166" t="s">
        <v>3</v>
      </c>
      <c r="HM166" t="s">
        <v>3</v>
      </c>
      <c r="HN166" t="s">
        <v>3</v>
      </c>
      <c r="HO166" t="s">
        <v>3</v>
      </c>
      <c r="HP166" t="s">
        <v>3</v>
      </c>
      <c r="HQ166" t="s">
        <v>3</v>
      </c>
      <c r="HS166">
        <v>0</v>
      </c>
      <c r="IK166">
        <v>0</v>
      </c>
    </row>
    <row r="167" spans="1:255" x14ac:dyDescent="0.2">
      <c r="A167" s="2">
        <v>17</v>
      </c>
      <c r="B167" s="2">
        <v>1</v>
      </c>
      <c r="C167" s="2"/>
      <c r="D167" s="2">
        <f>ROW(EtalonRes!A947)</f>
        <v>947</v>
      </c>
      <c r="E167" s="2" t="s">
        <v>258</v>
      </c>
      <c r="F167" s="2" t="s">
        <v>259</v>
      </c>
      <c r="G167" s="2" t="s">
        <v>260</v>
      </c>
      <c r="H167" s="2" t="s">
        <v>261</v>
      </c>
      <c r="I167" s="2">
        <v>0</v>
      </c>
      <c r="J167" s="2">
        <v>0</v>
      </c>
      <c r="K167" s="2">
        <v>0</v>
      </c>
      <c r="L167" s="2"/>
      <c r="M167" s="2"/>
      <c r="N167" s="2"/>
      <c r="O167" s="2">
        <f t="shared" si="150"/>
        <v>0</v>
      </c>
      <c r="P167" s="2">
        <f t="shared" si="151"/>
        <v>0</v>
      </c>
      <c r="Q167" s="2">
        <f t="shared" si="152"/>
        <v>0</v>
      </c>
      <c r="R167" s="2">
        <f t="shared" si="153"/>
        <v>0</v>
      </c>
      <c r="S167" s="2">
        <f t="shared" si="154"/>
        <v>0</v>
      </c>
      <c r="T167" s="2">
        <f t="shared" si="155"/>
        <v>0</v>
      </c>
      <c r="U167" s="2">
        <f t="shared" si="156"/>
        <v>0</v>
      </c>
      <c r="V167" s="2">
        <f t="shared" si="157"/>
        <v>0</v>
      </c>
      <c r="W167" s="2">
        <f t="shared" si="158"/>
        <v>0</v>
      </c>
      <c r="X167" s="2">
        <f t="shared" si="159"/>
        <v>0</v>
      </c>
      <c r="Y167" s="2">
        <f t="shared" si="160"/>
        <v>0</v>
      </c>
      <c r="Z167" s="2"/>
      <c r="AA167" s="2">
        <v>56622586</v>
      </c>
      <c r="AB167" s="2">
        <f t="shared" si="161"/>
        <v>55.651000000000003</v>
      </c>
      <c r="AC167" s="2">
        <f t="shared" si="162"/>
        <v>10.32</v>
      </c>
      <c r="AD167" s="2">
        <f t="shared" si="163"/>
        <v>0.97899999999999998</v>
      </c>
      <c r="AE167" s="2">
        <f t="shared" si="164"/>
        <v>0.14299999999999999</v>
      </c>
      <c r="AF167" s="2">
        <f t="shared" si="165"/>
        <v>44.351999999999997</v>
      </c>
      <c r="AG167" s="2">
        <f t="shared" si="166"/>
        <v>0</v>
      </c>
      <c r="AH167" s="2">
        <f t="shared" si="167"/>
        <v>3.0579999999999998</v>
      </c>
      <c r="AI167" s="2">
        <f t="shared" si="168"/>
        <v>0</v>
      </c>
      <c r="AJ167" s="2">
        <f t="shared" si="169"/>
        <v>0</v>
      </c>
      <c r="AK167" s="2">
        <v>51.53</v>
      </c>
      <c r="AL167" s="2">
        <v>10.32</v>
      </c>
      <c r="AM167" s="2">
        <v>0.89</v>
      </c>
      <c r="AN167" s="2">
        <v>0.13</v>
      </c>
      <c r="AO167" s="2">
        <v>40.32</v>
      </c>
      <c r="AP167" s="2">
        <v>0</v>
      </c>
      <c r="AQ167" s="2">
        <v>2.78</v>
      </c>
      <c r="AR167" s="2">
        <v>0</v>
      </c>
      <c r="AS167" s="2">
        <v>0</v>
      </c>
      <c r="AT167" s="2">
        <v>112</v>
      </c>
      <c r="AU167" s="2">
        <v>70</v>
      </c>
      <c r="AV167" s="2">
        <v>1.0469999999999999</v>
      </c>
      <c r="AW167" s="2">
        <v>1</v>
      </c>
      <c r="AX167" s="2"/>
      <c r="AY167" s="2"/>
      <c r="AZ167" s="2">
        <v>1</v>
      </c>
      <c r="BA167" s="2">
        <v>1</v>
      </c>
      <c r="BB167" s="2">
        <v>1</v>
      </c>
      <c r="BC167" s="2">
        <v>1</v>
      </c>
      <c r="BD167" s="2" t="s">
        <v>3</v>
      </c>
      <c r="BE167" s="2" t="s">
        <v>3</v>
      </c>
      <c r="BF167" s="2" t="s">
        <v>3</v>
      </c>
      <c r="BG167" s="2" t="s">
        <v>3</v>
      </c>
      <c r="BH167" s="2">
        <v>0</v>
      </c>
      <c r="BI167" s="2">
        <v>2</v>
      </c>
      <c r="BJ167" s="2" t="s">
        <v>262</v>
      </c>
      <c r="BK167" s="2"/>
      <c r="BL167" s="2"/>
      <c r="BM167" s="2">
        <v>2273</v>
      </c>
      <c r="BN167" s="2">
        <v>0</v>
      </c>
      <c r="BO167" s="2" t="s">
        <v>3</v>
      </c>
      <c r="BP167" s="2">
        <v>0</v>
      </c>
      <c r="BQ167" s="2">
        <v>40</v>
      </c>
      <c r="BR167" s="2">
        <v>0</v>
      </c>
      <c r="BS167" s="2">
        <v>1</v>
      </c>
      <c r="BT167" s="2">
        <v>1</v>
      </c>
      <c r="BU167" s="2">
        <v>1</v>
      </c>
      <c r="BV167" s="2">
        <v>1</v>
      </c>
      <c r="BW167" s="2">
        <v>1</v>
      </c>
      <c r="BX167" s="2">
        <v>1</v>
      </c>
      <c r="BY167" s="2" t="s">
        <v>3</v>
      </c>
      <c r="BZ167" s="2">
        <v>112</v>
      </c>
      <c r="CA167" s="2">
        <v>70</v>
      </c>
      <c r="CB167" s="2" t="s">
        <v>3</v>
      </c>
      <c r="CC167" s="2"/>
      <c r="CD167" s="2"/>
      <c r="CE167" s="2">
        <v>30</v>
      </c>
      <c r="CF167" s="2">
        <v>0</v>
      </c>
      <c r="CG167" s="2">
        <v>0</v>
      </c>
      <c r="CH167" s="2"/>
      <c r="CI167" s="2"/>
      <c r="CJ167" s="2"/>
      <c r="CK167" s="2"/>
      <c r="CL167" s="2"/>
      <c r="CM167" s="2">
        <v>0</v>
      </c>
      <c r="CN167" s="2" t="s">
        <v>671</v>
      </c>
      <c r="CO167" s="2">
        <v>0</v>
      </c>
      <c r="CP167" s="2">
        <f t="shared" si="170"/>
        <v>0</v>
      </c>
      <c r="CQ167" s="2">
        <f t="shared" si="171"/>
        <v>10.32</v>
      </c>
      <c r="CR167" s="2">
        <f t="shared" si="172"/>
        <v>1.03</v>
      </c>
      <c r="CS167" s="2">
        <f t="shared" si="173"/>
        <v>0.15</v>
      </c>
      <c r="CT167" s="2">
        <f t="shared" si="174"/>
        <v>46.44</v>
      </c>
      <c r="CU167" s="2">
        <f t="shared" si="175"/>
        <v>0</v>
      </c>
      <c r="CV167" s="2">
        <f t="shared" si="176"/>
        <v>3.2017259999999994</v>
      </c>
      <c r="CW167" s="2">
        <f t="shared" si="177"/>
        <v>0</v>
      </c>
      <c r="CX167" s="2">
        <f t="shared" si="178"/>
        <v>0</v>
      </c>
      <c r="CY167" s="2">
        <f>((S167*BZ167)/100)</f>
        <v>0</v>
      </c>
      <c r="CZ167" s="2">
        <f>((S167*CA167)/100)</f>
        <v>0</v>
      </c>
      <c r="DA167" s="2"/>
      <c r="DB167" s="2"/>
      <c r="DC167" s="2" t="s">
        <v>3</v>
      </c>
      <c r="DD167" s="2" t="s">
        <v>3</v>
      </c>
      <c r="DE167" s="2" t="s">
        <v>22</v>
      </c>
      <c r="DF167" s="2" t="s">
        <v>22</v>
      </c>
      <c r="DG167" s="2" t="s">
        <v>22</v>
      </c>
      <c r="DH167" s="2" t="s">
        <v>3</v>
      </c>
      <c r="DI167" s="2" t="s">
        <v>22</v>
      </c>
      <c r="DJ167" s="2" t="s">
        <v>22</v>
      </c>
      <c r="DK167" s="2" t="s">
        <v>3</v>
      </c>
      <c r="DL167" s="2" t="s">
        <v>3</v>
      </c>
      <c r="DM167" s="2" t="s">
        <v>3</v>
      </c>
      <c r="DN167" s="2">
        <v>0</v>
      </c>
      <c r="DO167" s="2">
        <v>0</v>
      </c>
      <c r="DP167" s="2">
        <v>1</v>
      </c>
      <c r="DQ167" s="2">
        <v>1</v>
      </c>
      <c r="DR167" s="2"/>
      <c r="DS167" s="2"/>
      <c r="DT167" s="2"/>
      <c r="DU167" s="2">
        <v>1013</v>
      </c>
      <c r="DV167" s="2" t="s">
        <v>261</v>
      </c>
      <c r="DW167" s="2" t="s">
        <v>261</v>
      </c>
      <c r="DX167" s="2">
        <v>1</v>
      </c>
      <c r="DY167" s="2"/>
      <c r="DZ167" s="2" t="s">
        <v>3</v>
      </c>
      <c r="EA167" s="2" t="s">
        <v>3</v>
      </c>
      <c r="EB167" s="2" t="s">
        <v>3</v>
      </c>
      <c r="EC167" s="2" t="s">
        <v>3</v>
      </c>
      <c r="ED167" s="2"/>
      <c r="EE167" s="2">
        <v>51698355</v>
      </c>
      <c r="EF167" s="2">
        <v>40</v>
      </c>
      <c r="EG167" s="2" t="s">
        <v>166</v>
      </c>
      <c r="EH167" s="2">
        <v>0</v>
      </c>
      <c r="EI167" s="2" t="s">
        <v>3</v>
      </c>
      <c r="EJ167" s="2">
        <v>2</v>
      </c>
      <c r="EK167" s="2">
        <v>2273</v>
      </c>
      <c r="EL167" s="2" t="s">
        <v>263</v>
      </c>
      <c r="EM167" s="2" t="s">
        <v>264</v>
      </c>
      <c r="EN167" s="2"/>
      <c r="EO167" s="2" t="s">
        <v>25</v>
      </c>
      <c r="EP167" s="2"/>
      <c r="EQ167" s="2">
        <v>131072</v>
      </c>
      <c r="ER167" s="2">
        <v>51.53</v>
      </c>
      <c r="ES167" s="2">
        <v>10.32</v>
      </c>
      <c r="ET167" s="2">
        <v>0.89</v>
      </c>
      <c r="EU167" s="2">
        <v>0.13</v>
      </c>
      <c r="EV167" s="2">
        <v>40.32</v>
      </c>
      <c r="EW167" s="2">
        <v>2.78</v>
      </c>
      <c r="EX167" s="2">
        <v>0</v>
      </c>
      <c r="EY167" s="2">
        <v>0</v>
      </c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>
        <v>0</v>
      </c>
      <c r="FR167" s="2">
        <v>0</v>
      </c>
      <c r="FS167" s="2">
        <v>0</v>
      </c>
      <c r="FT167" s="2"/>
      <c r="FU167" s="2"/>
      <c r="FV167" s="2"/>
      <c r="FW167" s="2"/>
      <c r="FX167" s="2">
        <v>112</v>
      </c>
      <c r="FY167" s="2">
        <v>70</v>
      </c>
      <c r="FZ167" s="2"/>
      <c r="GA167" s="2" t="s">
        <v>3</v>
      </c>
      <c r="GB167" s="2"/>
      <c r="GC167" s="2"/>
      <c r="GD167" s="2">
        <v>0</v>
      </c>
      <c r="GE167" s="2"/>
      <c r="GF167" s="2">
        <v>-437550961</v>
      </c>
      <c r="GG167" s="2">
        <v>2</v>
      </c>
      <c r="GH167" s="2">
        <v>1</v>
      </c>
      <c r="GI167" s="2">
        <v>-2</v>
      </c>
      <c r="GJ167" s="2">
        <v>0</v>
      </c>
      <c r="GK167" s="2">
        <f>ROUND(R167*(R12)/100,2)</f>
        <v>0</v>
      </c>
      <c r="GL167" s="2">
        <f t="shared" si="179"/>
        <v>0</v>
      </c>
      <c r="GM167" s="2">
        <f t="shared" si="180"/>
        <v>0</v>
      </c>
      <c r="GN167" s="2">
        <f t="shared" si="181"/>
        <v>0</v>
      </c>
      <c r="GO167" s="2">
        <f t="shared" si="182"/>
        <v>0</v>
      </c>
      <c r="GP167" s="2">
        <f t="shared" si="183"/>
        <v>0</v>
      </c>
      <c r="GQ167" s="2"/>
      <c r="GR167" s="2">
        <v>0</v>
      </c>
      <c r="GS167" s="2">
        <v>0</v>
      </c>
      <c r="GT167" s="2">
        <v>0</v>
      </c>
      <c r="GU167" s="2" t="s">
        <v>3</v>
      </c>
      <c r="GV167" s="2">
        <f t="shared" si="184"/>
        <v>0</v>
      </c>
      <c r="GW167" s="2">
        <v>1</v>
      </c>
      <c r="GX167" s="2">
        <f t="shared" si="185"/>
        <v>0</v>
      </c>
      <c r="GY167" s="2"/>
      <c r="GZ167" s="2"/>
      <c r="HA167" s="2">
        <v>0</v>
      </c>
      <c r="HB167" s="2">
        <v>0</v>
      </c>
      <c r="HC167" s="2">
        <f t="shared" si="186"/>
        <v>0</v>
      </c>
      <c r="HD167" s="2"/>
      <c r="HE167" s="2" t="s">
        <v>3</v>
      </c>
      <c r="HF167" s="2" t="s">
        <v>3</v>
      </c>
      <c r="HG167" s="2"/>
      <c r="HH167" s="2"/>
      <c r="HI167" s="2"/>
      <c r="HJ167" s="2"/>
      <c r="HK167" s="2"/>
      <c r="HL167" s="2"/>
      <c r="HM167" s="2" t="s">
        <v>3</v>
      </c>
      <c r="HN167" s="2" t="s">
        <v>3</v>
      </c>
      <c r="HO167" s="2" t="s">
        <v>3</v>
      </c>
      <c r="HP167" s="2" t="s">
        <v>3</v>
      </c>
      <c r="HQ167" s="2" t="s">
        <v>3</v>
      </c>
      <c r="HR167" s="2"/>
      <c r="HS167" s="2">
        <v>0</v>
      </c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>
        <v>0</v>
      </c>
      <c r="IL167" s="2"/>
      <c r="IM167" s="2"/>
      <c r="IN167" s="2"/>
      <c r="IO167" s="2"/>
      <c r="IP167" s="2"/>
      <c r="IQ167" s="2"/>
      <c r="IR167" s="2"/>
      <c r="IS167" s="2"/>
      <c r="IT167" s="2"/>
      <c r="IU167" s="2"/>
    </row>
    <row r="168" spans="1:255" x14ac:dyDescent="0.2">
      <c r="A168">
        <v>17</v>
      </c>
      <c r="B168">
        <v>1</v>
      </c>
      <c r="D168">
        <f>ROW(EtalonRes!A952)</f>
        <v>952</v>
      </c>
      <c r="E168" t="s">
        <v>258</v>
      </c>
      <c r="F168" t="s">
        <v>259</v>
      </c>
      <c r="G168" t="s">
        <v>260</v>
      </c>
      <c r="H168" t="s">
        <v>261</v>
      </c>
      <c r="I168">
        <v>0</v>
      </c>
      <c r="J168">
        <v>0</v>
      </c>
      <c r="K168">
        <v>0</v>
      </c>
      <c r="O168">
        <f t="shared" si="150"/>
        <v>0</v>
      </c>
      <c r="P168">
        <f t="shared" si="151"/>
        <v>0</v>
      </c>
      <c r="Q168">
        <f t="shared" si="152"/>
        <v>0</v>
      </c>
      <c r="R168">
        <f t="shared" si="153"/>
        <v>0</v>
      </c>
      <c r="S168">
        <f t="shared" si="154"/>
        <v>0</v>
      </c>
      <c r="T168">
        <f t="shared" si="155"/>
        <v>0</v>
      </c>
      <c r="U168">
        <f t="shared" si="156"/>
        <v>0</v>
      </c>
      <c r="V168">
        <f t="shared" si="157"/>
        <v>0</v>
      </c>
      <c r="W168">
        <f t="shared" si="158"/>
        <v>0</v>
      </c>
      <c r="X168">
        <f t="shared" si="159"/>
        <v>0</v>
      </c>
      <c r="Y168">
        <f t="shared" si="160"/>
        <v>0</v>
      </c>
      <c r="AA168">
        <v>56616093</v>
      </c>
      <c r="AB168">
        <f t="shared" si="161"/>
        <v>55.651000000000003</v>
      </c>
      <c r="AC168">
        <f t="shared" si="162"/>
        <v>10.32</v>
      </c>
      <c r="AD168">
        <f t="shared" si="163"/>
        <v>0.97899999999999998</v>
      </c>
      <c r="AE168">
        <f t="shared" si="164"/>
        <v>0.14299999999999999</v>
      </c>
      <c r="AF168">
        <f t="shared" si="165"/>
        <v>44.351999999999997</v>
      </c>
      <c r="AG168">
        <f t="shared" si="166"/>
        <v>0</v>
      </c>
      <c r="AH168">
        <f t="shared" si="167"/>
        <v>3.0579999999999998</v>
      </c>
      <c r="AI168">
        <f t="shared" si="168"/>
        <v>0</v>
      </c>
      <c r="AJ168">
        <f t="shared" si="169"/>
        <v>0</v>
      </c>
      <c r="AK168">
        <v>51.53</v>
      </c>
      <c r="AL168">
        <v>10.32</v>
      </c>
      <c r="AM168">
        <v>0.89</v>
      </c>
      <c r="AN168">
        <v>0.13</v>
      </c>
      <c r="AO168">
        <v>40.32</v>
      </c>
      <c r="AP168">
        <v>0</v>
      </c>
      <c r="AQ168">
        <v>2.78</v>
      </c>
      <c r="AR168">
        <v>0</v>
      </c>
      <c r="AS168">
        <v>0</v>
      </c>
      <c r="AT168">
        <v>92</v>
      </c>
      <c r="AU168">
        <v>43</v>
      </c>
      <c r="AV168">
        <v>1.0469999999999999</v>
      </c>
      <c r="AW168">
        <v>1</v>
      </c>
      <c r="AZ168">
        <v>1</v>
      </c>
      <c r="BA168">
        <v>34.51</v>
      </c>
      <c r="BB168">
        <v>12.61</v>
      </c>
      <c r="BC168">
        <v>10.16</v>
      </c>
      <c r="BD168" t="s">
        <v>3</v>
      </c>
      <c r="BE168" t="s">
        <v>3</v>
      </c>
      <c r="BF168" t="s">
        <v>3</v>
      </c>
      <c r="BG168" t="s">
        <v>3</v>
      </c>
      <c r="BH168">
        <v>0</v>
      </c>
      <c r="BI168">
        <v>2</v>
      </c>
      <c r="BJ168" t="s">
        <v>262</v>
      </c>
      <c r="BM168">
        <v>2273</v>
      </c>
      <c r="BN168">
        <v>0</v>
      </c>
      <c r="BO168" t="s">
        <v>259</v>
      </c>
      <c r="BP168">
        <v>1</v>
      </c>
      <c r="BQ168">
        <v>40</v>
      </c>
      <c r="BR168">
        <v>0</v>
      </c>
      <c r="BS168">
        <v>34.51</v>
      </c>
      <c r="BT168">
        <v>1</v>
      </c>
      <c r="BU168">
        <v>1</v>
      </c>
      <c r="BV168">
        <v>1</v>
      </c>
      <c r="BW168">
        <v>1</v>
      </c>
      <c r="BX168">
        <v>1</v>
      </c>
      <c r="BY168" t="s">
        <v>3</v>
      </c>
      <c r="BZ168">
        <v>92</v>
      </c>
      <c r="CA168">
        <v>43</v>
      </c>
      <c r="CB168" t="s">
        <v>3</v>
      </c>
      <c r="CE168">
        <v>30</v>
      </c>
      <c r="CF168">
        <v>0</v>
      </c>
      <c r="CG168">
        <v>0</v>
      </c>
      <c r="CM168">
        <v>0</v>
      </c>
      <c r="CN168" t="s">
        <v>671</v>
      </c>
      <c r="CO168">
        <v>0</v>
      </c>
      <c r="CP168">
        <f t="shared" si="170"/>
        <v>0</v>
      </c>
      <c r="CQ168">
        <f t="shared" si="171"/>
        <v>104.85</v>
      </c>
      <c r="CR168">
        <f t="shared" si="172"/>
        <v>12.99</v>
      </c>
      <c r="CS168">
        <f t="shared" si="173"/>
        <v>5.18</v>
      </c>
      <c r="CT168">
        <f t="shared" si="174"/>
        <v>1602.64</v>
      </c>
      <c r="CU168">
        <f t="shared" si="175"/>
        <v>0</v>
      </c>
      <c r="CV168">
        <f t="shared" si="176"/>
        <v>3.2017259999999994</v>
      </c>
      <c r="CW168">
        <f t="shared" si="177"/>
        <v>0</v>
      </c>
      <c r="CX168">
        <f t="shared" si="178"/>
        <v>0</v>
      </c>
      <c r="CY168">
        <f>S168*(BZ168/100)</f>
        <v>0</v>
      </c>
      <c r="CZ168">
        <f>S168*(CA168/100)</f>
        <v>0</v>
      </c>
      <c r="DC168" t="s">
        <v>3</v>
      </c>
      <c r="DD168" t="s">
        <v>3</v>
      </c>
      <c r="DE168" t="s">
        <v>22</v>
      </c>
      <c r="DF168" t="s">
        <v>22</v>
      </c>
      <c r="DG168" t="s">
        <v>22</v>
      </c>
      <c r="DH168" t="s">
        <v>3</v>
      </c>
      <c r="DI168" t="s">
        <v>22</v>
      </c>
      <c r="DJ168" t="s">
        <v>22</v>
      </c>
      <c r="DK168" t="s">
        <v>3</v>
      </c>
      <c r="DL168" t="s">
        <v>3</v>
      </c>
      <c r="DM168" t="s">
        <v>3</v>
      </c>
      <c r="DN168">
        <v>112</v>
      </c>
      <c r="DO168">
        <v>70</v>
      </c>
      <c r="DP168">
        <v>1.0469999999999999</v>
      </c>
      <c r="DQ168">
        <v>1</v>
      </c>
      <c r="DU168">
        <v>1013</v>
      </c>
      <c r="DV168" t="s">
        <v>261</v>
      </c>
      <c r="DW168" t="s">
        <v>261</v>
      </c>
      <c r="DX168">
        <v>1</v>
      </c>
      <c r="DZ168" t="s">
        <v>3</v>
      </c>
      <c r="EA168" t="s">
        <v>3</v>
      </c>
      <c r="EB168" t="s">
        <v>3</v>
      </c>
      <c r="EC168" t="s">
        <v>3</v>
      </c>
      <c r="EE168">
        <v>51698355</v>
      </c>
      <c r="EF168">
        <v>40</v>
      </c>
      <c r="EG168" t="s">
        <v>166</v>
      </c>
      <c r="EH168">
        <v>0</v>
      </c>
      <c r="EI168" t="s">
        <v>3</v>
      </c>
      <c r="EJ168">
        <v>2</v>
      </c>
      <c r="EK168">
        <v>2273</v>
      </c>
      <c r="EL168" t="s">
        <v>263</v>
      </c>
      <c r="EM168" t="s">
        <v>264</v>
      </c>
      <c r="EO168" t="s">
        <v>25</v>
      </c>
      <c r="EQ168">
        <v>131072</v>
      </c>
      <c r="ER168">
        <v>51.53</v>
      </c>
      <c r="ES168">
        <v>10.32</v>
      </c>
      <c r="ET168">
        <v>0.89</v>
      </c>
      <c r="EU168">
        <v>0.13</v>
      </c>
      <c r="EV168">
        <v>40.32</v>
      </c>
      <c r="EW168">
        <v>2.78</v>
      </c>
      <c r="EX168">
        <v>0</v>
      </c>
      <c r="EY168">
        <v>0</v>
      </c>
      <c r="FQ168">
        <v>0</v>
      </c>
      <c r="FR168">
        <v>0</v>
      </c>
      <c r="FS168">
        <v>0</v>
      </c>
      <c r="FX168">
        <v>112</v>
      </c>
      <c r="FY168">
        <v>70</v>
      </c>
      <c r="GA168" t="s">
        <v>3</v>
      </c>
      <c r="GD168">
        <v>0</v>
      </c>
      <c r="GF168">
        <v>-437550961</v>
      </c>
      <c r="GG168">
        <v>2</v>
      </c>
      <c r="GH168">
        <v>1</v>
      </c>
      <c r="GI168">
        <v>2</v>
      </c>
      <c r="GJ168">
        <v>0</v>
      </c>
      <c r="GK168">
        <f>ROUND(R168*(S12)/100,2)</f>
        <v>0</v>
      </c>
      <c r="GL168">
        <f t="shared" si="179"/>
        <v>0</v>
      </c>
      <c r="GM168">
        <f t="shared" si="180"/>
        <v>0</v>
      </c>
      <c r="GN168">
        <f t="shared" si="181"/>
        <v>0</v>
      </c>
      <c r="GO168">
        <f t="shared" si="182"/>
        <v>0</v>
      </c>
      <c r="GP168">
        <f t="shared" si="183"/>
        <v>0</v>
      </c>
      <c r="GR168">
        <v>0</v>
      </c>
      <c r="GS168">
        <v>3</v>
      </c>
      <c r="GT168">
        <v>0</v>
      </c>
      <c r="GU168" t="s">
        <v>3</v>
      </c>
      <c r="GV168">
        <f t="shared" si="184"/>
        <v>0</v>
      </c>
      <c r="GW168">
        <v>1</v>
      </c>
      <c r="GX168">
        <f t="shared" si="185"/>
        <v>0</v>
      </c>
      <c r="HA168">
        <v>0</v>
      </c>
      <c r="HB168">
        <v>0</v>
      </c>
      <c r="HC168">
        <f t="shared" si="186"/>
        <v>0</v>
      </c>
      <c r="HE168" t="s">
        <v>3</v>
      </c>
      <c r="HF168" t="s">
        <v>3</v>
      </c>
      <c r="HM168" t="s">
        <v>3</v>
      </c>
      <c r="HN168" t="s">
        <v>3</v>
      </c>
      <c r="HO168" t="s">
        <v>3</v>
      </c>
      <c r="HP168" t="s">
        <v>3</v>
      </c>
      <c r="HQ168" t="s">
        <v>3</v>
      </c>
      <c r="HS168">
        <v>0</v>
      </c>
      <c r="IK168">
        <v>0</v>
      </c>
    </row>
    <row r="169" spans="1:255" x14ac:dyDescent="0.2">
      <c r="A169" s="2">
        <v>17</v>
      </c>
      <c r="B169" s="2">
        <v>1</v>
      </c>
      <c r="C169" s="2"/>
      <c r="D169" s="2">
        <f>ROW(EtalonRes!A957)</f>
        <v>957</v>
      </c>
      <c r="E169" s="2" t="s">
        <v>265</v>
      </c>
      <c r="F169" s="2" t="s">
        <v>266</v>
      </c>
      <c r="G169" s="2" t="s">
        <v>267</v>
      </c>
      <c r="H169" s="2" t="s">
        <v>261</v>
      </c>
      <c r="I169" s="2">
        <v>0</v>
      </c>
      <c r="J169" s="2">
        <v>0</v>
      </c>
      <c r="K169" s="2">
        <v>0</v>
      </c>
      <c r="L169" s="2"/>
      <c r="M169" s="2"/>
      <c r="N169" s="2"/>
      <c r="O169" s="2">
        <f t="shared" si="150"/>
        <v>0</v>
      </c>
      <c r="P169" s="2">
        <f t="shared" si="151"/>
        <v>0</v>
      </c>
      <c r="Q169" s="2">
        <f t="shared" si="152"/>
        <v>0</v>
      </c>
      <c r="R169" s="2">
        <f t="shared" si="153"/>
        <v>0</v>
      </c>
      <c r="S169" s="2">
        <f t="shared" si="154"/>
        <v>0</v>
      </c>
      <c r="T169" s="2">
        <f t="shared" si="155"/>
        <v>0</v>
      </c>
      <c r="U169" s="2">
        <f t="shared" si="156"/>
        <v>0</v>
      </c>
      <c r="V169" s="2">
        <f t="shared" si="157"/>
        <v>0</v>
      </c>
      <c r="W169" s="2">
        <f t="shared" si="158"/>
        <v>0</v>
      </c>
      <c r="X169" s="2">
        <f t="shared" si="159"/>
        <v>0</v>
      </c>
      <c r="Y169" s="2">
        <f t="shared" si="160"/>
        <v>0</v>
      </c>
      <c r="Z169" s="2"/>
      <c r="AA169" s="2">
        <v>56622586</v>
      </c>
      <c r="AB169" s="2">
        <f t="shared" si="161"/>
        <v>62.618000000000002</v>
      </c>
      <c r="AC169" s="2">
        <f t="shared" si="162"/>
        <v>10.72</v>
      </c>
      <c r="AD169" s="2">
        <f t="shared" si="163"/>
        <v>0.99</v>
      </c>
      <c r="AE169" s="2">
        <f t="shared" si="164"/>
        <v>0.14299999999999999</v>
      </c>
      <c r="AF169" s="2">
        <f t="shared" si="165"/>
        <v>50.908000000000001</v>
      </c>
      <c r="AG169" s="2">
        <f t="shared" si="166"/>
        <v>0</v>
      </c>
      <c r="AH169" s="2">
        <f t="shared" si="167"/>
        <v>3.5090000000000003</v>
      </c>
      <c r="AI169" s="2">
        <f t="shared" si="168"/>
        <v>0</v>
      </c>
      <c r="AJ169" s="2">
        <f t="shared" si="169"/>
        <v>0</v>
      </c>
      <c r="AK169" s="2">
        <v>57.9</v>
      </c>
      <c r="AL169" s="2">
        <v>10.72</v>
      </c>
      <c r="AM169" s="2">
        <v>0.9</v>
      </c>
      <c r="AN169" s="2">
        <v>0.13</v>
      </c>
      <c r="AO169" s="2">
        <v>46.28</v>
      </c>
      <c r="AP169" s="2">
        <v>0</v>
      </c>
      <c r="AQ169" s="2">
        <v>3.19</v>
      </c>
      <c r="AR169" s="2">
        <v>0</v>
      </c>
      <c r="AS169" s="2">
        <v>0</v>
      </c>
      <c r="AT169" s="2">
        <v>112</v>
      </c>
      <c r="AU169" s="2">
        <v>70</v>
      </c>
      <c r="AV169" s="2">
        <v>1.0469999999999999</v>
      </c>
      <c r="AW169" s="2">
        <v>1</v>
      </c>
      <c r="AX169" s="2"/>
      <c r="AY169" s="2"/>
      <c r="AZ169" s="2">
        <v>1</v>
      </c>
      <c r="BA169" s="2">
        <v>1</v>
      </c>
      <c r="BB169" s="2">
        <v>1</v>
      </c>
      <c r="BC169" s="2">
        <v>1</v>
      </c>
      <c r="BD169" s="2" t="s">
        <v>3</v>
      </c>
      <c r="BE169" s="2" t="s">
        <v>3</v>
      </c>
      <c r="BF169" s="2" t="s">
        <v>3</v>
      </c>
      <c r="BG169" s="2" t="s">
        <v>3</v>
      </c>
      <c r="BH169" s="2">
        <v>0</v>
      </c>
      <c r="BI169" s="2">
        <v>2</v>
      </c>
      <c r="BJ169" s="2" t="s">
        <v>268</v>
      </c>
      <c r="BK169" s="2"/>
      <c r="BL169" s="2"/>
      <c r="BM169" s="2">
        <v>2273</v>
      </c>
      <c r="BN169" s="2">
        <v>0</v>
      </c>
      <c r="BO169" s="2" t="s">
        <v>3</v>
      </c>
      <c r="BP169" s="2">
        <v>0</v>
      </c>
      <c r="BQ169" s="2">
        <v>40</v>
      </c>
      <c r="BR169" s="2">
        <v>0</v>
      </c>
      <c r="BS169" s="2">
        <v>1</v>
      </c>
      <c r="BT169" s="2">
        <v>1</v>
      </c>
      <c r="BU169" s="2">
        <v>1</v>
      </c>
      <c r="BV169" s="2">
        <v>1</v>
      </c>
      <c r="BW169" s="2">
        <v>1</v>
      </c>
      <c r="BX169" s="2">
        <v>1</v>
      </c>
      <c r="BY169" s="2" t="s">
        <v>3</v>
      </c>
      <c r="BZ169" s="2">
        <v>112</v>
      </c>
      <c r="CA169" s="2">
        <v>70</v>
      </c>
      <c r="CB169" s="2" t="s">
        <v>3</v>
      </c>
      <c r="CC169" s="2"/>
      <c r="CD169" s="2"/>
      <c r="CE169" s="2">
        <v>30</v>
      </c>
      <c r="CF169" s="2">
        <v>0</v>
      </c>
      <c r="CG169" s="2">
        <v>0</v>
      </c>
      <c r="CH169" s="2"/>
      <c r="CI169" s="2"/>
      <c r="CJ169" s="2"/>
      <c r="CK169" s="2"/>
      <c r="CL169" s="2"/>
      <c r="CM169" s="2">
        <v>0</v>
      </c>
      <c r="CN169" s="2" t="s">
        <v>671</v>
      </c>
      <c r="CO169" s="2">
        <v>0</v>
      </c>
      <c r="CP169" s="2">
        <f t="shared" si="170"/>
        <v>0</v>
      </c>
      <c r="CQ169" s="2">
        <f t="shared" si="171"/>
        <v>10.72</v>
      </c>
      <c r="CR169" s="2">
        <f t="shared" si="172"/>
        <v>1.04</v>
      </c>
      <c r="CS169" s="2">
        <f t="shared" si="173"/>
        <v>0.15</v>
      </c>
      <c r="CT169" s="2">
        <f t="shared" si="174"/>
        <v>53.3</v>
      </c>
      <c r="CU169" s="2">
        <f t="shared" si="175"/>
        <v>0</v>
      </c>
      <c r="CV169" s="2">
        <f t="shared" si="176"/>
        <v>3.6739230000000003</v>
      </c>
      <c r="CW169" s="2">
        <f t="shared" si="177"/>
        <v>0</v>
      </c>
      <c r="CX169" s="2">
        <f t="shared" si="178"/>
        <v>0</v>
      </c>
      <c r="CY169" s="2">
        <f>((S169*BZ169)/100)</f>
        <v>0</v>
      </c>
      <c r="CZ169" s="2">
        <f>((S169*CA169)/100)</f>
        <v>0</v>
      </c>
      <c r="DA169" s="2"/>
      <c r="DB169" s="2"/>
      <c r="DC169" s="2" t="s">
        <v>3</v>
      </c>
      <c r="DD169" s="2" t="s">
        <v>3</v>
      </c>
      <c r="DE169" s="2" t="s">
        <v>22</v>
      </c>
      <c r="DF169" s="2" t="s">
        <v>22</v>
      </c>
      <c r="DG169" s="2" t="s">
        <v>22</v>
      </c>
      <c r="DH169" s="2" t="s">
        <v>3</v>
      </c>
      <c r="DI169" s="2" t="s">
        <v>22</v>
      </c>
      <c r="DJ169" s="2" t="s">
        <v>22</v>
      </c>
      <c r="DK169" s="2" t="s">
        <v>3</v>
      </c>
      <c r="DL169" s="2" t="s">
        <v>3</v>
      </c>
      <c r="DM169" s="2" t="s">
        <v>3</v>
      </c>
      <c r="DN169" s="2">
        <v>0</v>
      </c>
      <c r="DO169" s="2">
        <v>0</v>
      </c>
      <c r="DP169" s="2">
        <v>1</v>
      </c>
      <c r="DQ169" s="2">
        <v>1</v>
      </c>
      <c r="DR169" s="2"/>
      <c r="DS169" s="2"/>
      <c r="DT169" s="2"/>
      <c r="DU169" s="2">
        <v>1013</v>
      </c>
      <c r="DV169" s="2" t="s">
        <v>261</v>
      </c>
      <c r="DW169" s="2" t="s">
        <v>261</v>
      </c>
      <c r="DX169" s="2">
        <v>1</v>
      </c>
      <c r="DY169" s="2"/>
      <c r="DZ169" s="2" t="s">
        <v>3</v>
      </c>
      <c r="EA169" s="2" t="s">
        <v>3</v>
      </c>
      <c r="EB169" s="2" t="s">
        <v>3</v>
      </c>
      <c r="EC169" s="2" t="s">
        <v>3</v>
      </c>
      <c r="ED169" s="2"/>
      <c r="EE169" s="2">
        <v>51698355</v>
      </c>
      <c r="EF169" s="2">
        <v>40</v>
      </c>
      <c r="EG169" s="2" t="s">
        <v>166</v>
      </c>
      <c r="EH169" s="2">
        <v>0</v>
      </c>
      <c r="EI169" s="2" t="s">
        <v>3</v>
      </c>
      <c r="EJ169" s="2">
        <v>2</v>
      </c>
      <c r="EK169" s="2">
        <v>2273</v>
      </c>
      <c r="EL169" s="2" t="s">
        <v>263</v>
      </c>
      <c r="EM169" s="2" t="s">
        <v>264</v>
      </c>
      <c r="EN169" s="2"/>
      <c r="EO169" s="2" t="s">
        <v>25</v>
      </c>
      <c r="EP169" s="2"/>
      <c r="EQ169" s="2">
        <v>131072</v>
      </c>
      <c r="ER169" s="2">
        <v>57.9</v>
      </c>
      <c r="ES169" s="2">
        <v>10.72</v>
      </c>
      <c r="ET169" s="2">
        <v>0.9</v>
      </c>
      <c r="EU169" s="2">
        <v>0.13</v>
      </c>
      <c r="EV169" s="2">
        <v>46.28</v>
      </c>
      <c r="EW169" s="2">
        <v>3.19</v>
      </c>
      <c r="EX169" s="2">
        <v>0</v>
      </c>
      <c r="EY169" s="2">
        <v>0</v>
      </c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>
        <v>0</v>
      </c>
      <c r="FR169" s="2">
        <v>0</v>
      </c>
      <c r="FS169" s="2">
        <v>0</v>
      </c>
      <c r="FT169" s="2"/>
      <c r="FU169" s="2"/>
      <c r="FV169" s="2"/>
      <c r="FW169" s="2"/>
      <c r="FX169" s="2">
        <v>112</v>
      </c>
      <c r="FY169" s="2">
        <v>70</v>
      </c>
      <c r="FZ169" s="2"/>
      <c r="GA169" s="2" t="s">
        <v>3</v>
      </c>
      <c r="GB169" s="2"/>
      <c r="GC169" s="2"/>
      <c r="GD169" s="2">
        <v>0</v>
      </c>
      <c r="GE169" s="2"/>
      <c r="GF169" s="2">
        <v>-395620714</v>
      </c>
      <c r="GG169" s="2">
        <v>2</v>
      </c>
      <c r="GH169" s="2">
        <v>1</v>
      </c>
      <c r="GI169" s="2">
        <v>-2</v>
      </c>
      <c r="GJ169" s="2">
        <v>0</v>
      </c>
      <c r="GK169" s="2">
        <f>ROUND(R169*(R12)/100,2)</f>
        <v>0</v>
      </c>
      <c r="GL169" s="2">
        <f t="shared" si="179"/>
        <v>0</v>
      </c>
      <c r="GM169" s="2">
        <f t="shared" si="180"/>
        <v>0</v>
      </c>
      <c r="GN169" s="2">
        <f t="shared" si="181"/>
        <v>0</v>
      </c>
      <c r="GO169" s="2">
        <f t="shared" si="182"/>
        <v>0</v>
      </c>
      <c r="GP169" s="2">
        <f t="shared" si="183"/>
        <v>0</v>
      </c>
      <c r="GQ169" s="2"/>
      <c r="GR169" s="2">
        <v>0</v>
      </c>
      <c r="GS169" s="2">
        <v>0</v>
      </c>
      <c r="GT169" s="2">
        <v>0</v>
      </c>
      <c r="GU169" s="2" t="s">
        <v>3</v>
      </c>
      <c r="GV169" s="2">
        <f t="shared" si="184"/>
        <v>0</v>
      </c>
      <c r="GW169" s="2">
        <v>1</v>
      </c>
      <c r="GX169" s="2">
        <f t="shared" si="185"/>
        <v>0</v>
      </c>
      <c r="GY169" s="2"/>
      <c r="GZ169" s="2"/>
      <c r="HA169" s="2">
        <v>0</v>
      </c>
      <c r="HB169" s="2">
        <v>0</v>
      </c>
      <c r="HC169" s="2">
        <f t="shared" si="186"/>
        <v>0</v>
      </c>
      <c r="HD169" s="2"/>
      <c r="HE169" s="2" t="s">
        <v>3</v>
      </c>
      <c r="HF169" s="2" t="s">
        <v>3</v>
      </c>
      <c r="HG169" s="2"/>
      <c r="HH169" s="2"/>
      <c r="HI169" s="2"/>
      <c r="HJ169" s="2"/>
      <c r="HK169" s="2"/>
      <c r="HL169" s="2"/>
      <c r="HM169" s="2" t="s">
        <v>3</v>
      </c>
      <c r="HN169" s="2" t="s">
        <v>3</v>
      </c>
      <c r="HO169" s="2" t="s">
        <v>3</v>
      </c>
      <c r="HP169" s="2" t="s">
        <v>3</v>
      </c>
      <c r="HQ169" s="2" t="s">
        <v>3</v>
      </c>
      <c r="HR169" s="2"/>
      <c r="HS169" s="2">
        <v>0</v>
      </c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>
        <v>0</v>
      </c>
      <c r="IL169" s="2"/>
      <c r="IM169" s="2"/>
      <c r="IN169" s="2"/>
      <c r="IO169" s="2"/>
      <c r="IP169" s="2"/>
      <c r="IQ169" s="2"/>
      <c r="IR169" s="2"/>
      <c r="IS169" s="2"/>
      <c r="IT169" s="2"/>
      <c r="IU169" s="2"/>
    </row>
    <row r="170" spans="1:255" x14ac:dyDescent="0.2">
      <c r="A170">
        <v>17</v>
      </c>
      <c r="B170">
        <v>1</v>
      </c>
      <c r="D170">
        <f>ROW(EtalonRes!A962)</f>
        <v>962</v>
      </c>
      <c r="E170" t="s">
        <v>265</v>
      </c>
      <c r="F170" t="s">
        <v>266</v>
      </c>
      <c r="G170" t="s">
        <v>267</v>
      </c>
      <c r="H170" t="s">
        <v>261</v>
      </c>
      <c r="I170">
        <v>0</v>
      </c>
      <c r="J170">
        <v>0</v>
      </c>
      <c r="K170">
        <v>0</v>
      </c>
      <c r="O170">
        <f t="shared" si="150"/>
        <v>0</v>
      </c>
      <c r="P170">
        <f t="shared" si="151"/>
        <v>0</v>
      </c>
      <c r="Q170">
        <f t="shared" si="152"/>
        <v>0</v>
      </c>
      <c r="R170">
        <f t="shared" si="153"/>
        <v>0</v>
      </c>
      <c r="S170">
        <f t="shared" si="154"/>
        <v>0</v>
      </c>
      <c r="T170">
        <f t="shared" si="155"/>
        <v>0</v>
      </c>
      <c r="U170">
        <f t="shared" si="156"/>
        <v>0</v>
      </c>
      <c r="V170">
        <f t="shared" si="157"/>
        <v>0</v>
      </c>
      <c r="W170">
        <f t="shared" si="158"/>
        <v>0</v>
      </c>
      <c r="X170">
        <f t="shared" si="159"/>
        <v>0</v>
      </c>
      <c r="Y170">
        <f t="shared" si="160"/>
        <v>0</v>
      </c>
      <c r="AA170">
        <v>56616093</v>
      </c>
      <c r="AB170">
        <f t="shared" si="161"/>
        <v>62.618000000000002</v>
      </c>
      <c r="AC170">
        <f t="shared" si="162"/>
        <v>10.72</v>
      </c>
      <c r="AD170">
        <f t="shared" si="163"/>
        <v>0.99</v>
      </c>
      <c r="AE170">
        <f t="shared" si="164"/>
        <v>0.14299999999999999</v>
      </c>
      <c r="AF170">
        <f t="shared" si="165"/>
        <v>50.908000000000001</v>
      </c>
      <c r="AG170">
        <f t="shared" si="166"/>
        <v>0</v>
      </c>
      <c r="AH170">
        <f t="shared" si="167"/>
        <v>3.5090000000000003</v>
      </c>
      <c r="AI170">
        <f t="shared" si="168"/>
        <v>0</v>
      </c>
      <c r="AJ170">
        <f t="shared" si="169"/>
        <v>0</v>
      </c>
      <c r="AK170">
        <v>57.9</v>
      </c>
      <c r="AL170">
        <v>10.72</v>
      </c>
      <c r="AM170">
        <v>0.9</v>
      </c>
      <c r="AN170">
        <v>0.13</v>
      </c>
      <c r="AO170">
        <v>46.28</v>
      </c>
      <c r="AP170">
        <v>0</v>
      </c>
      <c r="AQ170">
        <v>3.19</v>
      </c>
      <c r="AR170">
        <v>0</v>
      </c>
      <c r="AS170">
        <v>0</v>
      </c>
      <c r="AT170">
        <v>92</v>
      </c>
      <c r="AU170">
        <v>43</v>
      </c>
      <c r="AV170">
        <v>1.0469999999999999</v>
      </c>
      <c r="AW170">
        <v>1</v>
      </c>
      <c r="AZ170">
        <v>1</v>
      </c>
      <c r="BA170">
        <v>34.51</v>
      </c>
      <c r="BB170">
        <v>12.49</v>
      </c>
      <c r="BC170">
        <v>10.15</v>
      </c>
      <c r="BD170" t="s">
        <v>3</v>
      </c>
      <c r="BE170" t="s">
        <v>3</v>
      </c>
      <c r="BF170" t="s">
        <v>3</v>
      </c>
      <c r="BG170" t="s">
        <v>3</v>
      </c>
      <c r="BH170">
        <v>0</v>
      </c>
      <c r="BI170">
        <v>2</v>
      </c>
      <c r="BJ170" t="s">
        <v>268</v>
      </c>
      <c r="BM170">
        <v>2273</v>
      </c>
      <c r="BN170">
        <v>0</v>
      </c>
      <c r="BO170" t="s">
        <v>266</v>
      </c>
      <c r="BP170">
        <v>1</v>
      </c>
      <c r="BQ170">
        <v>40</v>
      </c>
      <c r="BR170">
        <v>0</v>
      </c>
      <c r="BS170">
        <v>34.51</v>
      </c>
      <c r="BT170">
        <v>1</v>
      </c>
      <c r="BU170">
        <v>1</v>
      </c>
      <c r="BV170">
        <v>1</v>
      </c>
      <c r="BW170">
        <v>1</v>
      </c>
      <c r="BX170">
        <v>1</v>
      </c>
      <c r="BY170" t="s">
        <v>3</v>
      </c>
      <c r="BZ170">
        <v>92</v>
      </c>
      <c r="CA170">
        <v>43</v>
      </c>
      <c r="CB170" t="s">
        <v>3</v>
      </c>
      <c r="CE170">
        <v>30</v>
      </c>
      <c r="CF170">
        <v>0</v>
      </c>
      <c r="CG170">
        <v>0</v>
      </c>
      <c r="CM170">
        <v>0</v>
      </c>
      <c r="CN170" t="s">
        <v>671</v>
      </c>
      <c r="CO170">
        <v>0</v>
      </c>
      <c r="CP170">
        <f t="shared" si="170"/>
        <v>0</v>
      </c>
      <c r="CQ170">
        <f t="shared" si="171"/>
        <v>108.81</v>
      </c>
      <c r="CR170">
        <f t="shared" si="172"/>
        <v>12.99</v>
      </c>
      <c r="CS170">
        <f t="shared" si="173"/>
        <v>5.18</v>
      </c>
      <c r="CT170">
        <f t="shared" si="174"/>
        <v>1839.38</v>
      </c>
      <c r="CU170">
        <f t="shared" si="175"/>
        <v>0</v>
      </c>
      <c r="CV170">
        <f t="shared" si="176"/>
        <v>3.6739230000000003</v>
      </c>
      <c r="CW170">
        <f t="shared" si="177"/>
        <v>0</v>
      </c>
      <c r="CX170">
        <f t="shared" si="178"/>
        <v>0</v>
      </c>
      <c r="CY170">
        <f>S170*(BZ170/100)</f>
        <v>0</v>
      </c>
      <c r="CZ170">
        <f>S170*(CA170/100)</f>
        <v>0</v>
      </c>
      <c r="DC170" t="s">
        <v>3</v>
      </c>
      <c r="DD170" t="s">
        <v>3</v>
      </c>
      <c r="DE170" t="s">
        <v>22</v>
      </c>
      <c r="DF170" t="s">
        <v>22</v>
      </c>
      <c r="DG170" t="s">
        <v>22</v>
      </c>
      <c r="DH170" t="s">
        <v>3</v>
      </c>
      <c r="DI170" t="s">
        <v>22</v>
      </c>
      <c r="DJ170" t="s">
        <v>22</v>
      </c>
      <c r="DK170" t="s">
        <v>3</v>
      </c>
      <c r="DL170" t="s">
        <v>3</v>
      </c>
      <c r="DM170" t="s">
        <v>3</v>
      </c>
      <c r="DN170">
        <v>112</v>
      </c>
      <c r="DO170">
        <v>70</v>
      </c>
      <c r="DP170">
        <v>1.0469999999999999</v>
      </c>
      <c r="DQ170">
        <v>1</v>
      </c>
      <c r="DU170">
        <v>1013</v>
      </c>
      <c r="DV170" t="s">
        <v>261</v>
      </c>
      <c r="DW170" t="s">
        <v>261</v>
      </c>
      <c r="DX170">
        <v>1</v>
      </c>
      <c r="DZ170" t="s">
        <v>3</v>
      </c>
      <c r="EA170" t="s">
        <v>3</v>
      </c>
      <c r="EB170" t="s">
        <v>3</v>
      </c>
      <c r="EC170" t="s">
        <v>3</v>
      </c>
      <c r="EE170">
        <v>51698355</v>
      </c>
      <c r="EF170">
        <v>40</v>
      </c>
      <c r="EG170" t="s">
        <v>166</v>
      </c>
      <c r="EH170">
        <v>0</v>
      </c>
      <c r="EI170" t="s">
        <v>3</v>
      </c>
      <c r="EJ170">
        <v>2</v>
      </c>
      <c r="EK170">
        <v>2273</v>
      </c>
      <c r="EL170" t="s">
        <v>263</v>
      </c>
      <c r="EM170" t="s">
        <v>264</v>
      </c>
      <c r="EO170" t="s">
        <v>25</v>
      </c>
      <c r="EQ170">
        <v>131072</v>
      </c>
      <c r="ER170">
        <v>57.9</v>
      </c>
      <c r="ES170">
        <v>10.72</v>
      </c>
      <c r="ET170">
        <v>0.9</v>
      </c>
      <c r="EU170">
        <v>0.13</v>
      </c>
      <c r="EV170">
        <v>46.28</v>
      </c>
      <c r="EW170">
        <v>3.19</v>
      </c>
      <c r="EX170">
        <v>0</v>
      </c>
      <c r="EY170">
        <v>0</v>
      </c>
      <c r="FQ170">
        <v>0</v>
      </c>
      <c r="FR170">
        <v>0</v>
      </c>
      <c r="FS170">
        <v>0</v>
      </c>
      <c r="FX170">
        <v>112</v>
      </c>
      <c r="FY170">
        <v>70</v>
      </c>
      <c r="GA170" t="s">
        <v>3</v>
      </c>
      <c r="GD170">
        <v>0</v>
      </c>
      <c r="GF170">
        <v>-395620714</v>
      </c>
      <c r="GG170">
        <v>2</v>
      </c>
      <c r="GH170">
        <v>1</v>
      </c>
      <c r="GI170">
        <v>2</v>
      </c>
      <c r="GJ170">
        <v>0</v>
      </c>
      <c r="GK170">
        <f>ROUND(R170*(S12)/100,2)</f>
        <v>0</v>
      </c>
      <c r="GL170">
        <f t="shared" si="179"/>
        <v>0</v>
      </c>
      <c r="GM170">
        <f t="shared" si="180"/>
        <v>0</v>
      </c>
      <c r="GN170">
        <f t="shared" si="181"/>
        <v>0</v>
      </c>
      <c r="GO170">
        <f t="shared" si="182"/>
        <v>0</v>
      </c>
      <c r="GP170">
        <f t="shared" si="183"/>
        <v>0</v>
      </c>
      <c r="GR170">
        <v>0</v>
      </c>
      <c r="GS170">
        <v>3</v>
      </c>
      <c r="GT170">
        <v>0</v>
      </c>
      <c r="GU170" t="s">
        <v>3</v>
      </c>
      <c r="GV170">
        <f t="shared" si="184"/>
        <v>0</v>
      </c>
      <c r="GW170">
        <v>1</v>
      </c>
      <c r="GX170">
        <f t="shared" si="185"/>
        <v>0</v>
      </c>
      <c r="HA170">
        <v>0</v>
      </c>
      <c r="HB170">
        <v>0</v>
      </c>
      <c r="HC170">
        <f t="shared" si="186"/>
        <v>0</v>
      </c>
      <c r="HE170" t="s">
        <v>3</v>
      </c>
      <c r="HF170" t="s">
        <v>3</v>
      </c>
      <c r="HM170" t="s">
        <v>3</v>
      </c>
      <c r="HN170" t="s">
        <v>3</v>
      </c>
      <c r="HO170" t="s">
        <v>3</v>
      </c>
      <c r="HP170" t="s">
        <v>3</v>
      </c>
      <c r="HQ170" t="s">
        <v>3</v>
      </c>
      <c r="HS170">
        <v>0</v>
      </c>
      <c r="IK170">
        <v>0</v>
      </c>
    </row>
    <row r="171" spans="1:255" x14ac:dyDescent="0.2">
      <c r="A171" s="2">
        <v>17</v>
      </c>
      <c r="B171" s="2">
        <v>1</v>
      </c>
      <c r="C171" s="2">
        <f>ROW(SmtRes!A186)</f>
        <v>186</v>
      </c>
      <c r="D171" s="2">
        <f>ROW(EtalonRes!A967)</f>
        <v>967</v>
      </c>
      <c r="E171" s="2" t="s">
        <v>269</v>
      </c>
      <c r="F171" s="2" t="s">
        <v>270</v>
      </c>
      <c r="G171" s="2" t="s">
        <v>271</v>
      </c>
      <c r="H171" s="2" t="s">
        <v>261</v>
      </c>
      <c r="I171" s="2">
        <v>0</v>
      </c>
      <c r="J171" s="2">
        <v>0</v>
      </c>
      <c r="K171" s="2">
        <v>0</v>
      </c>
      <c r="L171" s="2"/>
      <c r="M171" s="2"/>
      <c r="N171" s="2"/>
      <c r="O171" s="2">
        <f t="shared" si="150"/>
        <v>0</v>
      </c>
      <c r="P171" s="2">
        <f t="shared" si="151"/>
        <v>0</v>
      </c>
      <c r="Q171" s="2">
        <f t="shared" si="152"/>
        <v>0</v>
      </c>
      <c r="R171" s="2">
        <f t="shared" si="153"/>
        <v>0</v>
      </c>
      <c r="S171" s="2">
        <f t="shared" si="154"/>
        <v>0</v>
      </c>
      <c r="T171" s="2">
        <f t="shared" si="155"/>
        <v>0</v>
      </c>
      <c r="U171" s="2">
        <f t="shared" si="156"/>
        <v>0</v>
      </c>
      <c r="V171" s="2">
        <f t="shared" si="157"/>
        <v>0</v>
      </c>
      <c r="W171" s="2">
        <f t="shared" si="158"/>
        <v>0</v>
      </c>
      <c r="X171" s="2">
        <f t="shared" si="159"/>
        <v>0</v>
      </c>
      <c r="Y171" s="2">
        <f t="shared" si="160"/>
        <v>0</v>
      </c>
      <c r="Z171" s="2"/>
      <c r="AA171" s="2">
        <v>56622586</v>
      </c>
      <c r="AB171" s="2">
        <f t="shared" si="161"/>
        <v>111.76300000000001</v>
      </c>
      <c r="AC171" s="2">
        <f t="shared" si="162"/>
        <v>14.16</v>
      </c>
      <c r="AD171" s="2">
        <f t="shared" si="163"/>
        <v>1.012</v>
      </c>
      <c r="AE171" s="2">
        <f t="shared" si="164"/>
        <v>0.14299999999999999</v>
      </c>
      <c r="AF171" s="2">
        <f t="shared" si="165"/>
        <v>96.590999999999994</v>
      </c>
      <c r="AG171" s="2">
        <f t="shared" si="166"/>
        <v>0</v>
      </c>
      <c r="AH171" s="2">
        <f t="shared" si="167"/>
        <v>7.3810000000000002</v>
      </c>
      <c r="AI171" s="2">
        <f t="shared" si="168"/>
        <v>0</v>
      </c>
      <c r="AJ171" s="2">
        <f t="shared" si="169"/>
        <v>0</v>
      </c>
      <c r="AK171" s="2">
        <v>102.89</v>
      </c>
      <c r="AL171" s="2">
        <v>14.16</v>
      </c>
      <c r="AM171" s="2">
        <v>0.92</v>
      </c>
      <c r="AN171" s="2">
        <v>0.13</v>
      </c>
      <c r="AO171" s="2">
        <v>87.81</v>
      </c>
      <c r="AP171" s="2">
        <v>0</v>
      </c>
      <c r="AQ171" s="2">
        <v>6.71</v>
      </c>
      <c r="AR171" s="2">
        <v>0</v>
      </c>
      <c r="AS171" s="2">
        <v>0</v>
      </c>
      <c r="AT171" s="2">
        <v>112</v>
      </c>
      <c r="AU171" s="2">
        <v>70</v>
      </c>
      <c r="AV171" s="2">
        <v>1.0669999999999999</v>
      </c>
      <c r="AW171" s="2">
        <v>1.0469999999999999</v>
      </c>
      <c r="AX171" s="2"/>
      <c r="AY171" s="2"/>
      <c r="AZ171" s="2">
        <v>1</v>
      </c>
      <c r="BA171" s="2">
        <v>1</v>
      </c>
      <c r="BB171" s="2">
        <v>1</v>
      </c>
      <c r="BC171" s="2">
        <v>1</v>
      </c>
      <c r="BD171" s="2" t="s">
        <v>3</v>
      </c>
      <c r="BE171" s="2" t="s">
        <v>3</v>
      </c>
      <c r="BF171" s="2" t="s">
        <v>3</v>
      </c>
      <c r="BG171" s="2" t="s">
        <v>3</v>
      </c>
      <c r="BH171" s="2">
        <v>0</v>
      </c>
      <c r="BI171" s="2">
        <v>2</v>
      </c>
      <c r="BJ171" s="2" t="s">
        <v>272</v>
      </c>
      <c r="BK171" s="2"/>
      <c r="BL171" s="2"/>
      <c r="BM171" s="2">
        <v>1621</v>
      </c>
      <c r="BN171" s="2">
        <v>0</v>
      </c>
      <c r="BO171" s="2" t="s">
        <v>3</v>
      </c>
      <c r="BP171" s="2">
        <v>0</v>
      </c>
      <c r="BQ171" s="2">
        <v>40</v>
      </c>
      <c r="BR171" s="2">
        <v>0</v>
      </c>
      <c r="BS171" s="2">
        <v>1</v>
      </c>
      <c r="BT171" s="2">
        <v>1</v>
      </c>
      <c r="BU171" s="2">
        <v>1</v>
      </c>
      <c r="BV171" s="2">
        <v>1</v>
      </c>
      <c r="BW171" s="2">
        <v>1</v>
      </c>
      <c r="BX171" s="2">
        <v>1</v>
      </c>
      <c r="BY171" s="2" t="s">
        <v>3</v>
      </c>
      <c r="BZ171" s="2">
        <v>112</v>
      </c>
      <c r="CA171" s="2">
        <v>70</v>
      </c>
      <c r="CB171" s="2" t="s">
        <v>3</v>
      </c>
      <c r="CC171" s="2"/>
      <c r="CD171" s="2"/>
      <c r="CE171" s="2">
        <v>30</v>
      </c>
      <c r="CF171" s="2">
        <v>0</v>
      </c>
      <c r="CG171" s="2">
        <v>0</v>
      </c>
      <c r="CH171" s="2"/>
      <c r="CI171" s="2"/>
      <c r="CJ171" s="2"/>
      <c r="CK171" s="2"/>
      <c r="CL171" s="2"/>
      <c r="CM171" s="2">
        <v>0</v>
      </c>
      <c r="CN171" s="2" t="s">
        <v>671</v>
      </c>
      <c r="CO171" s="2">
        <v>0</v>
      </c>
      <c r="CP171" s="2">
        <f t="shared" si="170"/>
        <v>0</v>
      </c>
      <c r="CQ171" s="2">
        <f t="shared" si="171"/>
        <v>14.83</v>
      </c>
      <c r="CR171" s="2">
        <f t="shared" si="172"/>
        <v>1.08</v>
      </c>
      <c r="CS171" s="2">
        <f t="shared" si="173"/>
        <v>0.15</v>
      </c>
      <c r="CT171" s="2">
        <f t="shared" si="174"/>
        <v>103.06</v>
      </c>
      <c r="CU171" s="2">
        <f t="shared" si="175"/>
        <v>0</v>
      </c>
      <c r="CV171" s="2">
        <f t="shared" si="176"/>
        <v>7.8755269999999999</v>
      </c>
      <c r="CW171" s="2">
        <f t="shared" si="177"/>
        <v>0</v>
      </c>
      <c r="CX171" s="2">
        <f t="shared" si="178"/>
        <v>0</v>
      </c>
      <c r="CY171" s="2">
        <f>((S171*BZ171)/100)</f>
        <v>0</v>
      </c>
      <c r="CZ171" s="2">
        <f>((S171*CA171)/100)</f>
        <v>0</v>
      </c>
      <c r="DA171" s="2"/>
      <c r="DB171" s="2"/>
      <c r="DC171" s="2" t="s">
        <v>3</v>
      </c>
      <c r="DD171" s="2" t="s">
        <v>3</v>
      </c>
      <c r="DE171" s="2" t="s">
        <v>22</v>
      </c>
      <c r="DF171" s="2" t="s">
        <v>22</v>
      </c>
      <c r="DG171" s="2" t="s">
        <v>22</v>
      </c>
      <c r="DH171" s="2" t="s">
        <v>3</v>
      </c>
      <c r="DI171" s="2" t="s">
        <v>22</v>
      </c>
      <c r="DJ171" s="2" t="s">
        <v>22</v>
      </c>
      <c r="DK171" s="2" t="s">
        <v>3</v>
      </c>
      <c r="DL171" s="2" t="s">
        <v>3</v>
      </c>
      <c r="DM171" s="2" t="s">
        <v>3</v>
      </c>
      <c r="DN171" s="2">
        <v>0</v>
      </c>
      <c r="DO171" s="2">
        <v>0</v>
      </c>
      <c r="DP171" s="2">
        <v>1</v>
      </c>
      <c r="DQ171" s="2">
        <v>1</v>
      </c>
      <c r="DR171" s="2"/>
      <c r="DS171" s="2"/>
      <c r="DT171" s="2"/>
      <c r="DU171" s="2">
        <v>1013</v>
      </c>
      <c r="DV171" s="2" t="s">
        <v>261</v>
      </c>
      <c r="DW171" s="2" t="s">
        <v>261</v>
      </c>
      <c r="DX171" s="2">
        <v>1</v>
      </c>
      <c r="DY171" s="2"/>
      <c r="DZ171" s="2" t="s">
        <v>3</v>
      </c>
      <c r="EA171" s="2" t="s">
        <v>3</v>
      </c>
      <c r="EB171" s="2" t="s">
        <v>3</v>
      </c>
      <c r="EC171" s="2" t="s">
        <v>3</v>
      </c>
      <c r="ED171" s="2"/>
      <c r="EE171" s="2">
        <v>51697660</v>
      </c>
      <c r="EF171" s="2">
        <v>40</v>
      </c>
      <c r="EG171" s="2" t="s">
        <v>166</v>
      </c>
      <c r="EH171" s="2">
        <v>0</v>
      </c>
      <c r="EI171" s="2" t="s">
        <v>3</v>
      </c>
      <c r="EJ171" s="2">
        <v>2</v>
      </c>
      <c r="EK171" s="2">
        <v>1621</v>
      </c>
      <c r="EL171" s="2" t="s">
        <v>273</v>
      </c>
      <c r="EM171" s="2" t="s">
        <v>274</v>
      </c>
      <c r="EN171" s="2"/>
      <c r="EO171" s="2" t="s">
        <v>25</v>
      </c>
      <c r="EP171" s="2"/>
      <c r="EQ171" s="2">
        <v>131072</v>
      </c>
      <c r="ER171" s="2">
        <v>102.89</v>
      </c>
      <c r="ES171" s="2">
        <v>14.16</v>
      </c>
      <c r="ET171" s="2">
        <v>0.92</v>
      </c>
      <c r="EU171" s="2">
        <v>0.13</v>
      </c>
      <c r="EV171" s="2">
        <v>87.81</v>
      </c>
      <c r="EW171" s="2">
        <v>6.71</v>
      </c>
      <c r="EX171" s="2">
        <v>0</v>
      </c>
      <c r="EY171" s="2">
        <v>0</v>
      </c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>
        <v>0</v>
      </c>
      <c r="FR171" s="2">
        <v>0</v>
      </c>
      <c r="FS171" s="2">
        <v>0</v>
      </c>
      <c r="FT171" s="2"/>
      <c r="FU171" s="2"/>
      <c r="FV171" s="2"/>
      <c r="FW171" s="2"/>
      <c r="FX171" s="2">
        <v>112</v>
      </c>
      <c r="FY171" s="2">
        <v>70</v>
      </c>
      <c r="FZ171" s="2"/>
      <c r="GA171" s="2" t="s">
        <v>3</v>
      </c>
      <c r="GB171" s="2"/>
      <c r="GC171" s="2"/>
      <c r="GD171" s="2">
        <v>0</v>
      </c>
      <c r="GE171" s="2"/>
      <c r="GF171" s="2">
        <v>2091928934</v>
      </c>
      <c r="GG171" s="2">
        <v>2</v>
      </c>
      <c r="GH171" s="2">
        <v>1</v>
      </c>
      <c r="GI171" s="2">
        <v>-2</v>
      </c>
      <c r="GJ171" s="2">
        <v>0</v>
      </c>
      <c r="GK171" s="2">
        <f>ROUND(R171*(R12)/100,2)</f>
        <v>0</v>
      </c>
      <c r="GL171" s="2">
        <f t="shared" si="179"/>
        <v>0</v>
      </c>
      <c r="GM171" s="2">
        <f t="shared" si="180"/>
        <v>0</v>
      </c>
      <c r="GN171" s="2">
        <f t="shared" si="181"/>
        <v>0</v>
      </c>
      <c r="GO171" s="2">
        <f t="shared" si="182"/>
        <v>0</v>
      </c>
      <c r="GP171" s="2">
        <f t="shared" si="183"/>
        <v>0</v>
      </c>
      <c r="GQ171" s="2"/>
      <c r="GR171" s="2">
        <v>0</v>
      </c>
      <c r="GS171" s="2">
        <v>0</v>
      </c>
      <c r="GT171" s="2">
        <v>0</v>
      </c>
      <c r="GU171" s="2" t="s">
        <v>3</v>
      </c>
      <c r="GV171" s="2">
        <f t="shared" si="184"/>
        <v>0</v>
      </c>
      <c r="GW171" s="2">
        <v>1</v>
      </c>
      <c r="GX171" s="2">
        <f t="shared" si="185"/>
        <v>0</v>
      </c>
      <c r="GY171" s="2"/>
      <c r="GZ171" s="2"/>
      <c r="HA171" s="2">
        <v>0</v>
      </c>
      <c r="HB171" s="2">
        <v>0</v>
      </c>
      <c r="HC171" s="2">
        <f t="shared" si="186"/>
        <v>0</v>
      </c>
      <c r="HD171" s="2"/>
      <c r="HE171" s="2" t="s">
        <v>3</v>
      </c>
      <c r="HF171" s="2" t="s">
        <v>3</v>
      </c>
      <c r="HG171" s="2"/>
      <c r="HH171" s="2"/>
      <c r="HI171" s="2"/>
      <c r="HJ171" s="2"/>
      <c r="HK171" s="2"/>
      <c r="HL171" s="2"/>
      <c r="HM171" s="2" t="s">
        <v>3</v>
      </c>
      <c r="HN171" s="2" t="s">
        <v>3</v>
      </c>
      <c r="HO171" s="2" t="s">
        <v>3</v>
      </c>
      <c r="HP171" s="2" t="s">
        <v>3</v>
      </c>
      <c r="HQ171" s="2" t="s">
        <v>3</v>
      </c>
      <c r="HR171" s="2"/>
      <c r="HS171" s="2">
        <v>0</v>
      </c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>
        <v>0</v>
      </c>
      <c r="IL171" s="2"/>
      <c r="IM171" s="2"/>
      <c r="IN171" s="2"/>
      <c r="IO171" s="2"/>
      <c r="IP171" s="2"/>
      <c r="IQ171" s="2"/>
      <c r="IR171" s="2"/>
      <c r="IS171" s="2"/>
      <c r="IT171" s="2"/>
      <c r="IU171" s="2"/>
    </row>
    <row r="172" spans="1:255" x14ac:dyDescent="0.2">
      <c r="A172">
        <v>17</v>
      </c>
      <c r="B172">
        <v>1</v>
      </c>
      <c r="C172">
        <f>ROW(SmtRes!A190)</f>
        <v>190</v>
      </c>
      <c r="D172">
        <f>ROW(EtalonRes!A972)</f>
        <v>972</v>
      </c>
      <c r="E172" t="s">
        <v>269</v>
      </c>
      <c r="F172" t="s">
        <v>270</v>
      </c>
      <c r="G172" t="s">
        <v>271</v>
      </c>
      <c r="H172" t="s">
        <v>261</v>
      </c>
      <c r="I172">
        <v>0</v>
      </c>
      <c r="J172">
        <v>0</v>
      </c>
      <c r="K172">
        <v>0</v>
      </c>
      <c r="O172">
        <f t="shared" si="150"/>
        <v>0</v>
      </c>
      <c r="P172">
        <f t="shared" si="151"/>
        <v>0</v>
      </c>
      <c r="Q172">
        <f t="shared" si="152"/>
        <v>0</v>
      </c>
      <c r="R172">
        <f t="shared" si="153"/>
        <v>0</v>
      </c>
      <c r="S172">
        <f t="shared" si="154"/>
        <v>0</v>
      </c>
      <c r="T172">
        <f t="shared" si="155"/>
        <v>0</v>
      </c>
      <c r="U172">
        <f t="shared" si="156"/>
        <v>0</v>
      </c>
      <c r="V172">
        <f t="shared" si="157"/>
        <v>0</v>
      </c>
      <c r="W172">
        <f t="shared" si="158"/>
        <v>0</v>
      </c>
      <c r="X172">
        <f t="shared" si="159"/>
        <v>0</v>
      </c>
      <c r="Y172">
        <f t="shared" si="160"/>
        <v>0</v>
      </c>
      <c r="AA172">
        <v>56616093</v>
      </c>
      <c r="AB172">
        <f t="shared" si="161"/>
        <v>111.76300000000001</v>
      </c>
      <c r="AC172">
        <f t="shared" si="162"/>
        <v>14.16</v>
      </c>
      <c r="AD172">
        <f t="shared" si="163"/>
        <v>1.012</v>
      </c>
      <c r="AE172">
        <f t="shared" si="164"/>
        <v>0.14299999999999999</v>
      </c>
      <c r="AF172">
        <f t="shared" si="165"/>
        <v>96.590999999999994</v>
      </c>
      <c r="AG172">
        <f t="shared" si="166"/>
        <v>0</v>
      </c>
      <c r="AH172">
        <f t="shared" si="167"/>
        <v>7.3810000000000002</v>
      </c>
      <c r="AI172">
        <f t="shared" si="168"/>
        <v>0</v>
      </c>
      <c r="AJ172">
        <f t="shared" si="169"/>
        <v>0</v>
      </c>
      <c r="AK172">
        <v>102.89</v>
      </c>
      <c r="AL172">
        <v>14.16</v>
      </c>
      <c r="AM172">
        <v>0.92</v>
      </c>
      <c r="AN172">
        <v>0.13</v>
      </c>
      <c r="AO172">
        <v>87.81</v>
      </c>
      <c r="AP172">
        <v>0</v>
      </c>
      <c r="AQ172">
        <v>6.71</v>
      </c>
      <c r="AR172">
        <v>0</v>
      </c>
      <c r="AS172">
        <v>0</v>
      </c>
      <c r="AT172">
        <v>92</v>
      </c>
      <c r="AU172">
        <v>43</v>
      </c>
      <c r="AV172">
        <v>1.0469999999999999</v>
      </c>
      <c r="AW172">
        <v>1</v>
      </c>
      <c r="AZ172">
        <v>1</v>
      </c>
      <c r="BA172">
        <v>34.51</v>
      </c>
      <c r="BB172">
        <v>12.4</v>
      </c>
      <c r="BC172">
        <v>10.15</v>
      </c>
      <c r="BD172" t="s">
        <v>3</v>
      </c>
      <c r="BE172" t="s">
        <v>3</v>
      </c>
      <c r="BF172" t="s">
        <v>3</v>
      </c>
      <c r="BG172" t="s">
        <v>3</v>
      </c>
      <c r="BH172">
        <v>0</v>
      </c>
      <c r="BI172">
        <v>2</v>
      </c>
      <c r="BJ172" t="s">
        <v>272</v>
      </c>
      <c r="BM172">
        <v>1621</v>
      </c>
      <c r="BN172">
        <v>0</v>
      </c>
      <c r="BO172" t="s">
        <v>270</v>
      </c>
      <c r="BP172">
        <v>1</v>
      </c>
      <c r="BQ172">
        <v>40</v>
      </c>
      <c r="BR172">
        <v>0</v>
      </c>
      <c r="BS172">
        <v>34.51</v>
      </c>
      <c r="BT172">
        <v>1</v>
      </c>
      <c r="BU172">
        <v>1</v>
      </c>
      <c r="BV172">
        <v>1</v>
      </c>
      <c r="BW172">
        <v>1</v>
      </c>
      <c r="BX172">
        <v>1</v>
      </c>
      <c r="BY172" t="s">
        <v>3</v>
      </c>
      <c r="BZ172">
        <v>92</v>
      </c>
      <c r="CA172">
        <v>43</v>
      </c>
      <c r="CB172" t="s">
        <v>3</v>
      </c>
      <c r="CE172">
        <v>30</v>
      </c>
      <c r="CF172">
        <v>0</v>
      </c>
      <c r="CG172">
        <v>0</v>
      </c>
      <c r="CM172">
        <v>0</v>
      </c>
      <c r="CN172" t="s">
        <v>671</v>
      </c>
      <c r="CO172">
        <v>0</v>
      </c>
      <c r="CP172">
        <f t="shared" si="170"/>
        <v>0</v>
      </c>
      <c r="CQ172">
        <f t="shared" si="171"/>
        <v>143.72</v>
      </c>
      <c r="CR172">
        <f t="shared" si="172"/>
        <v>13.14</v>
      </c>
      <c r="CS172">
        <f t="shared" si="173"/>
        <v>5.18</v>
      </c>
      <c r="CT172">
        <f t="shared" si="174"/>
        <v>3490</v>
      </c>
      <c r="CU172">
        <f t="shared" si="175"/>
        <v>0</v>
      </c>
      <c r="CV172">
        <f t="shared" si="176"/>
        <v>7.7279070000000001</v>
      </c>
      <c r="CW172">
        <f t="shared" si="177"/>
        <v>0</v>
      </c>
      <c r="CX172">
        <f t="shared" si="178"/>
        <v>0</v>
      </c>
      <c r="CY172">
        <f>S172*(BZ172/100)</f>
        <v>0</v>
      </c>
      <c r="CZ172">
        <f>S172*(CA172/100)</f>
        <v>0</v>
      </c>
      <c r="DC172" t="s">
        <v>3</v>
      </c>
      <c r="DD172" t="s">
        <v>3</v>
      </c>
      <c r="DE172" t="s">
        <v>22</v>
      </c>
      <c r="DF172" t="s">
        <v>22</v>
      </c>
      <c r="DG172" t="s">
        <v>22</v>
      </c>
      <c r="DH172" t="s">
        <v>3</v>
      </c>
      <c r="DI172" t="s">
        <v>22</v>
      </c>
      <c r="DJ172" t="s">
        <v>22</v>
      </c>
      <c r="DK172" t="s">
        <v>3</v>
      </c>
      <c r="DL172" t="s">
        <v>3</v>
      </c>
      <c r="DM172" t="s">
        <v>3</v>
      </c>
      <c r="DN172">
        <v>112</v>
      </c>
      <c r="DO172">
        <v>70</v>
      </c>
      <c r="DP172">
        <v>1.0669999999999999</v>
      </c>
      <c r="DQ172">
        <v>1.0469999999999999</v>
      </c>
      <c r="DU172">
        <v>1013</v>
      </c>
      <c r="DV172" t="s">
        <v>261</v>
      </c>
      <c r="DW172" t="s">
        <v>261</v>
      </c>
      <c r="DX172">
        <v>1</v>
      </c>
      <c r="DZ172" t="s">
        <v>3</v>
      </c>
      <c r="EA172" t="s">
        <v>3</v>
      </c>
      <c r="EB172" t="s">
        <v>3</v>
      </c>
      <c r="EC172" t="s">
        <v>3</v>
      </c>
      <c r="EE172">
        <v>51697660</v>
      </c>
      <c r="EF172">
        <v>40</v>
      </c>
      <c r="EG172" t="s">
        <v>166</v>
      </c>
      <c r="EH172">
        <v>0</v>
      </c>
      <c r="EI172" t="s">
        <v>3</v>
      </c>
      <c r="EJ172">
        <v>2</v>
      </c>
      <c r="EK172">
        <v>1621</v>
      </c>
      <c r="EL172" t="s">
        <v>273</v>
      </c>
      <c r="EM172" t="s">
        <v>274</v>
      </c>
      <c r="EO172" t="s">
        <v>25</v>
      </c>
      <c r="EQ172">
        <v>131072</v>
      </c>
      <c r="ER172">
        <v>102.89</v>
      </c>
      <c r="ES172">
        <v>14.16</v>
      </c>
      <c r="ET172">
        <v>0.92</v>
      </c>
      <c r="EU172">
        <v>0.13</v>
      </c>
      <c r="EV172">
        <v>87.81</v>
      </c>
      <c r="EW172">
        <v>6.71</v>
      </c>
      <c r="EX172">
        <v>0</v>
      </c>
      <c r="EY172">
        <v>0</v>
      </c>
      <c r="FQ172">
        <v>0</v>
      </c>
      <c r="FR172">
        <v>0</v>
      </c>
      <c r="FS172">
        <v>0</v>
      </c>
      <c r="FX172">
        <v>112</v>
      </c>
      <c r="FY172">
        <v>70</v>
      </c>
      <c r="GA172" t="s">
        <v>3</v>
      </c>
      <c r="GD172">
        <v>0</v>
      </c>
      <c r="GF172">
        <v>2091928934</v>
      </c>
      <c r="GG172">
        <v>2</v>
      </c>
      <c r="GH172">
        <v>1</v>
      </c>
      <c r="GI172">
        <v>2</v>
      </c>
      <c r="GJ172">
        <v>0</v>
      </c>
      <c r="GK172">
        <f>ROUND(R172*(S12)/100,2)</f>
        <v>0</v>
      </c>
      <c r="GL172">
        <f t="shared" si="179"/>
        <v>0</v>
      </c>
      <c r="GM172">
        <f t="shared" si="180"/>
        <v>0</v>
      </c>
      <c r="GN172">
        <f t="shared" si="181"/>
        <v>0</v>
      </c>
      <c r="GO172">
        <f t="shared" si="182"/>
        <v>0</v>
      </c>
      <c r="GP172">
        <f t="shared" si="183"/>
        <v>0</v>
      </c>
      <c r="GR172">
        <v>0</v>
      </c>
      <c r="GS172">
        <v>3</v>
      </c>
      <c r="GT172">
        <v>0</v>
      </c>
      <c r="GU172" t="s">
        <v>3</v>
      </c>
      <c r="GV172">
        <f t="shared" si="184"/>
        <v>0</v>
      </c>
      <c r="GW172">
        <v>1</v>
      </c>
      <c r="GX172">
        <f t="shared" si="185"/>
        <v>0</v>
      </c>
      <c r="HA172">
        <v>0</v>
      </c>
      <c r="HB172">
        <v>0</v>
      </c>
      <c r="HC172">
        <f t="shared" si="186"/>
        <v>0</v>
      </c>
      <c r="HE172" t="s">
        <v>3</v>
      </c>
      <c r="HF172" t="s">
        <v>3</v>
      </c>
      <c r="HM172" t="s">
        <v>3</v>
      </c>
      <c r="HN172" t="s">
        <v>3</v>
      </c>
      <c r="HO172" t="s">
        <v>3</v>
      </c>
      <c r="HP172" t="s">
        <v>3</v>
      </c>
      <c r="HQ172" t="s">
        <v>3</v>
      </c>
      <c r="HS172">
        <v>0</v>
      </c>
      <c r="IK172">
        <v>0</v>
      </c>
    </row>
    <row r="174" spans="1:255" x14ac:dyDescent="0.2">
      <c r="A174" s="3">
        <v>51</v>
      </c>
      <c r="B174" s="3">
        <f>B93</f>
        <v>1</v>
      </c>
      <c r="C174" s="3">
        <f>A93</f>
        <v>4</v>
      </c>
      <c r="D174" s="3">
        <f>ROW(A93)</f>
        <v>93</v>
      </c>
      <c r="E174" s="3"/>
      <c r="F174" s="3" t="str">
        <f>IF(F93&lt;&gt;"",F93,"")</f>
        <v>Новый раздел</v>
      </c>
      <c r="G174" s="3" t="str">
        <f>IF(G93&lt;&gt;"",G93,"")</f>
        <v>Электромонтажные работы</v>
      </c>
      <c r="H174" s="3">
        <v>0</v>
      </c>
      <c r="I174" s="3"/>
      <c r="J174" s="3"/>
      <c r="K174" s="3"/>
      <c r="L174" s="3"/>
      <c r="M174" s="3"/>
      <c r="N174" s="3"/>
      <c r="O174" s="3">
        <f t="shared" ref="O174:T174" si="187">ROUND(AB174,2)</f>
        <v>4380.32</v>
      </c>
      <c r="P174" s="3">
        <f t="shared" si="187"/>
        <v>554.35</v>
      </c>
      <c r="Q174" s="3">
        <f t="shared" si="187"/>
        <v>1054.54</v>
      </c>
      <c r="R174" s="3">
        <f t="shared" si="187"/>
        <v>110.25</v>
      </c>
      <c r="S174" s="3">
        <f t="shared" si="187"/>
        <v>2771.43</v>
      </c>
      <c r="T174" s="3">
        <f t="shared" si="187"/>
        <v>0</v>
      </c>
      <c r="U174" s="3">
        <f>AH174</f>
        <v>209.755351168</v>
      </c>
      <c r="V174" s="3">
        <f>AI174</f>
        <v>0</v>
      </c>
      <c r="W174" s="3">
        <f>ROUND(AJ174,2)</f>
        <v>0</v>
      </c>
      <c r="X174" s="3">
        <f>ROUND(AK174,2)</f>
        <v>3104.01</v>
      </c>
      <c r="Y174" s="3">
        <f>ROUND(AL174,2)</f>
        <v>1940.01</v>
      </c>
      <c r="Z174" s="3"/>
      <c r="AA174" s="3"/>
      <c r="AB174" s="3">
        <f>ROUND(SUMIF(AA97:AA172,"=56622586",O97:O172),2)</f>
        <v>4380.32</v>
      </c>
      <c r="AC174" s="3">
        <f>ROUND(SUMIF(AA97:AA172,"=56622586",P97:P172),2)</f>
        <v>554.35</v>
      </c>
      <c r="AD174" s="3">
        <f>ROUND(SUMIF(AA97:AA172,"=56622586",Q97:Q172),2)</f>
        <v>1054.54</v>
      </c>
      <c r="AE174" s="3">
        <f>ROUND(SUMIF(AA97:AA172,"=56622586",R97:R172),2)</f>
        <v>110.25</v>
      </c>
      <c r="AF174" s="3">
        <f>ROUND(SUMIF(AA97:AA172,"=56622586",S97:S172),2)</f>
        <v>2771.43</v>
      </c>
      <c r="AG174" s="3">
        <f>ROUND(SUMIF(AA97:AA172,"=56622586",T97:T172),2)</f>
        <v>0</v>
      </c>
      <c r="AH174" s="3">
        <f>SUMIF(AA97:AA172,"=56622586",U97:U172)</f>
        <v>209.755351168</v>
      </c>
      <c r="AI174" s="3">
        <f>SUMIF(AA97:AA172,"=56622586",V97:V172)</f>
        <v>0</v>
      </c>
      <c r="AJ174" s="3">
        <f>ROUND(SUMIF(AA97:AA172,"=56622586",W97:W172),2)</f>
        <v>0</v>
      </c>
      <c r="AK174" s="3">
        <f>ROUND(SUMIF(AA97:AA172,"=56622586",X97:X172),2)</f>
        <v>3104.01</v>
      </c>
      <c r="AL174" s="3">
        <f>ROUND(SUMIF(AA97:AA172,"=56622586",Y97:Y172),2)</f>
        <v>1940.01</v>
      </c>
      <c r="AM174" s="3"/>
      <c r="AN174" s="3"/>
      <c r="AO174" s="3">
        <f t="shared" ref="AO174:BD174" si="188">ROUND(BX174,2)</f>
        <v>0</v>
      </c>
      <c r="AP174" s="3">
        <f t="shared" si="188"/>
        <v>0</v>
      </c>
      <c r="AQ174" s="3">
        <f t="shared" si="188"/>
        <v>0</v>
      </c>
      <c r="AR174" s="3">
        <f t="shared" si="188"/>
        <v>9617.2800000000007</v>
      </c>
      <c r="AS174" s="3">
        <f t="shared" si="188"/>
        <v>0</v>
      </c>
      <c r="AT174" s="3">
        <f t="shared" si="188"/>
        <v>9617.2800000000007</v>
      </c>
      <c r="AU174" s="3">
        <f t="shared" si="188"/>
        <v>0</v>
      </c>
      <c r="AV174" s="3">
        <f t="shared" si="188"/>
        <v>554.35</v>
      </c>
      <c r="AW174" s="3">
        <f t="shared" si="188"/>
        <v>554.35</v>
      </c>
      <c r="AX174" s="3">
        <f t="shared" si="188"/>
        <v>0</v>
      </c>
      <c r="AY174" s="3">
        <f t="shared" si="188"/>
        <v>554.35</v>
      </c>
      <c r="AZ174" s="3">
        <f t="shared" si="188"/>
        <v>0</v>
      </c>
      <c r="BA174" s="3">
        <f t="shared" si="188"/>
        <v>0</v>
      </c>
      <c r="BB174" s="3">
        <f t="shared" si="188"/>
        <v>0</v>
      </c>
      <c r="BC174" s="3">
        <f t="shared" si="188"/>
        <v>0</v>
      </c>
      <c r="BD174" s="3">
        <f t="shared" si="188"/>
        <v>0</v>
      </c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>
        <f>ROUND(SUMIF(AA97:AA172,"=56622586",FQ97:FQ172),2)</f>
        <v>0</v>
      </c>
      <c r="BY174" s="3">
        <f>ROUND(SUMIF(AA97:AA172,"=56622586",FR97:FR172),2)</f>
        <v>0</v>
      </c>
      <c r="BZ174" s="3">
        <f>ROUND(SUMIF(AA97:AA172,"=56622586",GL97:GL172),2)</f>
        <v>0</v>
      </c>
      <c r="CA174" s="3">
        <f>ROUND(SUMIF(AA97:AA172,"=56622586",GM97:GM172),2)</f>
        <v>9617.2800000000007</v>
      </c>
      <c r="CB174" s="3">
        <f>ROUND(SUMIF(AA97:AA172,"=56622586",GN97:GN172),2)</f>
        <v>0</v>
      </c>
      <c r="CC174" s="3">
        <f>ROUND(SUMIF(AA97:AA172,"=56622586",GO97:GO172),2)</f>
        <v>9617.2800000000007</v>
      </c>
      <c r="CD174" s="3">
        <f>ROUND(SUMIF(AA97:AA172,"=56622586",GP97:GP172),2)</f>
        <v>0</v>
      </c>
      <c r="CE174" s="3">
        <f>AC174-BX174</f>
        <v>554.35</v>
      </c>
      <c r="CF174" s="3">
        <f>AC174-BY174</f>
        <v>554.35</v>
      </c>
      <c r="CG174" s="3">
        <f>BX174-BZ174</f>
        <v>0</v>
      </c>
      <c r="CH174" s="3">
        <f>AC174-BX174-BY174+BZ174</f>
        <v>554.35</v>
      </c>
      <c r="CI174" s="3">
        <f>BY174-BZ174</f>
        <v>0</v>
      </c>
      <c r="CJ174" s="3">
        <f>ROUND(SUMIF(AA97:AA172,"=56622586",GX97:GX172),2)</f>
        <v>0</v>
      </c>
      <c r="CK174" s="3">
        <f>ROUND(SUMIF(AA97:AA172,"=56622586",GY97:GY172),2)</f>
        <v>0</v>
      </c>
      <c r="CL174" s="3">
        <f>ROUND(SUMIF(AA97:AA172,"=56622586",GZ97:GZ172),2)</f>
        <v>0</v>
      </c>
      <c r="CM174" s="3">
        <f>ROUND(SUMIF(AA97:AA172,"=56622586",HD97:HD172),2)</f>
        <v>0</v>
      </c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4">
        <f t="shared" ref="DG174:DL174" si="189">ROUND(DT174,2)</f>
        <v>111239.71</v>
      </c>
      <c r="DH174" s="4">
        <f t="shared" si="189"/>
        <v>5790.38</v>
      </c>
      <c r="DI174" s="4">
        <f t="shared" si="189"/>
        <v>9807.2800000000007</v>
      </c>
      <c r="DJ174" s="4">
        <f t="shared" si="189"/>
        <v>3804.73</v>
      </c>
      <c r="DK174" s="4">
        <f t="shared" si="189"/>
        <v>95642.05</v>
      </c>
      <c r="DL174" s="4">
        <f t="shared" si="189"/>
        <v>0</v>
      </c>
      <c r="DM174" s="4">
        <f>DZ174</f>
        <v>209.755351168</v>
      </c>
      <c r="DN174" s="4">
        <f>EA174</f>
        <v>0</v>
      </c>
      <c r="DO174" s="4">
        <f>ROUND(EB174,2)</f>
        <v>0</v>
      </c>
      <c r="DP174" s="4">
        <f>ROUND(EC174,2)</f>
        <v>87990.69</v>
      </c>
      <c r="DQ174" s="4">
        <f>ROUND(ED174,2)</f>
        <v>41126.089999999997</v>
      </c>
      <c r="DR174" s="4"/>
      <c r="DS174" s="4"/>
      <c r="DT174" s="4">
        <f>ROUND(SUMIF(AA97:AA172,"=56616093",O97:O172),2)</f>
        <v>111239.71</v>
      </c>
      <c r="DU174" s="4">
        <f>ROUND(SUMIF(AA97:AA172,"=56616093",P97:P172),2)</f>
        <v>5790.38</v>
      </c>
      <c r="DV174" s="4">
        <f>ROUND(SUMIF(AA97:AA172,"=56616093",Q97:Q172),2)</f>
        <v>9807.2800000000007</v>
      </c>
      <c r="DW174" s="4">
        <f>ROUND(SUMIF(AA97:AA172,"=56616093",R97:R172),2)</f>
        <v>3804.73</v>
      </c>
      <c r="DX174" s="4">
        <f>ROUND(SUMIF(AA97:AA172,"=56616093",S97:S172),2)</f>
        <v>95642.05</v>
      </c>
      <c r="DY174" s="4">
        <f>ROUND(SUMIF(AA97:AA172,"=56616093",T97:T172),2)</f>
        <v>0</v>
      </c>
      <c r="DZ174" s="4">
        <f>SUMIF(AA97:AA172,"=56616093",U97:U172)</f>
        <v>209.755351168</v>
      </c>
      <c r="EA174" s="4">
        <f>SUMIF(AA97:AA172,"=56616093",V97:V172)</f>
        <v>0</v>
      </c>
      <c r="EB174" s="4">
        <f>ROUND(SUMIF(AA97:AA172,"=56616093",W97:W172),2)</f>
        <v>0</v>
      </c>
      <c r="EC174" s="4">
        <f>ROUND(SUMIF(AA97:AA172,"=56616093",X97:X172),2)</f>
        <v>87990.69</v>
      </c>
      <c r="ED174" s="4">
        <f>ROUND(SUMIF(AA97:AA172,"=56616093",Y97:Y172),2)</f>
        <v>41126.089999999997</v>
      </c>
      <c r="EE174" s="4"/>
      <c r="EF174" s="4"/>
      <c r="EG174" s="4">
        <f t="shared" ref="EG174:EV174" si="190">ROUND(FP174,2)</f>
        <v>0</v>
      </c>
      <c r="EH174" s="4">
        <f t="shared" si="190"/>
        <v>0</v>
      </c>
      <c r="EI174" s="4">
        <f t="shared" si="190"/>
        <v>0</v>
      </c>
      <c r="EJ174" s="4">
        <f t="shared" si="190"/>
        <v>246444.06</v>
      </c>
      <c r="EK174" s="4">
        <f t="shared" si="190"/>
        <v>0</v>
      </c>
      <c r="EL174" s="4">
        <f t="shared" si="190"/>
        <v>246444.06</v>
      </c>
      <c r="EM174" s="4">
        <f t="shared" si="190"/>
        <v>0</v>
      </c>
      <c r="EN174" s="4">
        <f t="shared" si="190"/>
        <v>5790.38</v>
      </c>
      <c r="EO174" s="4">
        <f t="shared" si="190"/>
        <v>5790.38</v>
      </c>
      <c r="EP174" s="4">
        <f t="shared" si="190"/>
        <v>0</v>
      </c>
      <c r="EQ174" s="4">
        <f t="shared" si="190"/>
        <v>5790.38</v>
      </c>
      <c r="ER174" s="4">
        <f t="shared" si="190"/>
        <v>0</v>
      </c>
      <c r="ES174" s="4">
        <f t="shared" si="190"/>
        <v>0</v>
      </c>
      <c r="ET174" s="4">
        <f t="shared" si="190"/>
        <v>0</v>
      </c>
      <c r="EU174" s="4">
        <f t="shared" si="190"/>
        <v>0</v>
      </c>
      <c r="EV174" s="4">
        <f t="shared" si="190"/>
        <v>0</v>
      </c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>
        <f>ROUND(SUMIF(AA97:AA172,"=56616093",FQ97:FQ172),2)</f>
        <v>0</v>
      </c>
      <c r="FQ174" s="4">
        <f>ROUND(SUMIF(AA97:AA172,"=56616093",FR97:FR172),2)</f>
        <v>0</v>
      </c>
      <c r="FR174" s="4">
        <f>ROUND(SUMIF(AA97:AA172,"=56616093",GL97:GL172),2)</f>
        <v>0</v>
      </c>
      <c r="FS174" s="4">
        <f>ROUND(SUMIF(AA97:AA172,"=56616093",GM97:GM172),2)</f>
        <v>246444.06</v>
      </c>
      <c r="FT174" s="4">
        <f>ROUND(SUMIF(AA97:AA172,"=56616093",GN97:GN172),2)</f>
        <v>0</v>
      </c>
      <c r="FU174" s="4">
        <f>ROUND(SUMIF(AA97:AA172,"=56616093",GO97:GO172),2)</f>
        <v>246444.06</v>
      </c>
      <c r="FV174" s="4">
        <f>ROUND(SUMIF(AA97:AA172,"=56616093",GP97:GP172),2)</f>
        <v>0</v>
      </c>
      <c r="FW174" s="4">
        <f>DU174-FP174</f>
        <v>5790.38</v>
      </c>
      <c r="FX174" s="4">
        <f>DU174-FQ174</f>
        <v>5790.38</v>
      </c>
      <c r="FY174" s="4">
        <f>FP174-FR174</f>
        <v>0</v>
      </c>
      <c r="FZ174" s="4">
        <f>DU174-FP174-FQ174+FR174</f>
        <v>5790.38</v>
      </c>
      <c r="GA174" s="4">
        <f>FQ174-FR174</f>
        <v>0</v>
      </c>
      <c r="GB174" s="4">
        <f>ROUND(SUMIF(AA97:AA172,"=56616093",GX97:GX172),2)</f>
        <v>0</v>
      </c>
      <c r="GC174" s="4">
        <f>ROUND(SUMIF(AA97:AA172,"=56616093",GY97:GY172),2)</f>
        <v>0</v>
      </c>
      <c r="GD174" s="4">
        <f>ROUND(SUMIF(AA97:AA172,"=56616093",GZ97:GZ172),2)</f>
        <v>0</v>
      </c>
      <c r="GE174" s="4">
        <f>ROUND(SUMIF(AA97:AA172,"=56616093",HD97:HD172),2)</f>
        <v>0</v>
      </c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>
        <v>0</v>
      </c>
    </row>
    <row r="176" spans="1:255" x14ac:dyDescent="0.2">
      <c r="A176" s="5">
        <v>50</v>
      </c>
      <c r="B176" s="5">
        <v>0</v>
      </c>
      <c r="C176" s="5">
        <v>0</v>
      </c>
      <c r="D176" s="5">
        <v>1</v>
      </c>
      <c r="E176" s="5">
        <v>201</v>
      </c>
      <c r="F176" s="5">
        <f>ROUND(Source!O174,O176)</f>
        <v>4380.32</v>
      </c>
      <c r="G176" s="5" t="s">
        <v>106</v>
      </c>
      <c r="H176" s="5" t="s">
        <v>107</v>
      </c>
      <c r="I176" s="5"/>
      <c r="J176" s="5"/>
      <c r="K176" s="5">
        <v>201</v>
      </c>
      <c r="L176" s="5">
        <v>1</v>
      </c>
      <c r="M176" s="5">
        <v>3</v>
      </c>
      <c r="N176" s="5" t="s">
        <v>3</v>
      </c>
      <c r="O176" s="5">
        <v>2</v>
      </c>
      <c r="P176" s="5">
        <f>ROUND(Source!DG174,O176)</f>
        <v>111239.71</v>
      </c>
      <c r="Q176" s="5"/>
      <c r="R176" s="5"/>
      <c r="S176" s="5"/>
      <c r="T176" s="5"/>
      <c r="U176" s="5"/>
      <c r="V176" s="5"/>
      <c r="W176" s="5">
        <v>4380.32</v>
      </c>
      <c r="X176" s="5">
        <v>1</v>
      </c>
      <c r="Y176" s="5">
        <v>4380.32</v>
      </c>
      <c r="Z176" s="5">
        <v>111239.71</v>
      </c>
      <c r="AA176" s="5">
        <v>1</v>
      </c>
      <c r="AB176" s="5">
        <v>111239.71</v>
      </c>
    </row>
    <row r="177" spans="1:28" x14ac:dyDescent="0.2">
      <c r="A177" s="5">
        <v>50</v>
      </c>
      <c r="B177" s="5">
        <v>0</v>
      </c>
      <c r="C177" s="5">
        <v>0</v>
      </c>
      <c r="D177" s="5">
        <v>1</v>
      </c>
      <c r="E177" s="5">
        <v>202</v>
      </c>
      <c r="F177" s="5">
        <f>ROUND(Source!P174,O177)</f>
        <v>554.35</v>
      </c>
      <c r="G177" s="5" t="s">
        <v>108</v>
      </c>
      <c r="H177" s="5" t="s">
        <v>109</v>
      </c>
      <c r="I177" s="5"/>
      <c r="J177" s="5"/>
      <c r="K177" s="5">
        <v>202</v>
      </c>
      <c r="L177" s="5">
        <v>2</v>
      </c>
      <c r="M177" s="5">
        <v>3</v>
      </c>
      <c r="N177" s="5" t="s">
        <v>3</v>
      </c>
      <c r="O177" s="5">
        <v>2</v>
      </c>
      <c r="P177" s="5">
        <f>ROUND(Source!DH174,O177)</f>
        <v>5790.38</v>
      </c>
      <c r="Q177" s="5"/>
      <c r="R177" s="5"/>
      <c r="S177" s="5"/>
      <c r="T177" s="5"/>
      <c r="U177" s="5"/>
      <c r="V177" s="5"/>
      <c r="W177" s="5">
        <v>554.35</v>
      </c>
      <c r="X177" s="5">
        <v>1</v>
      </c>
      <c r="Y177" s="5">
        <v>554.35</v>
      </c>
      <c r="Z177" s="5">
        <v>5790.38</v>
      </c>
      <c r="AA177" s="5">
        <v>1</v>
      </c>
      <c r="AB177" s="5">
        <v>5790.38</v>
      </c>
    </row>
    <row r="178" spans="1:28" x14ac:dyDescent="0.2">
      <c r="A178" s="5">
        <v>50</v>
      </c>
      <c r="B178" s="5">
        <v>0</v>
      </c>
      <c r="C178" s="5">
        <v>0</v>
      </c>
      <c r="D178" s="5">
        <v>1</v>
      </c>
      <c r="E178" s="5">
        <v>222</v>
      </c>
      <c r="F178" s="5">
        <f>ROUND(Source!AO174,O178)</f>
        <v>0</v>
      </c>
      <c r="G178" s="5" t="s">
        <v>110</v>
      </c>
      <c r="H178" s="5" t="s">
        <v>111</v>
      </c>
      <c r="I178" s="5"/>
      <c r="J178" s="5"/>
      <c r="K178" s="5">
        <v>222</v>
      </c>
      <c r="L178" s="5">
        <v>3</v>
      </c>
      <c r="M178" s="5">
        <v>3</v>
      </c>
      <c r="N178" s="5" t="s">
        <v>3</v>
      </c>
      <c r="O178" s="5">
        <v>2</v>
      </c>
      <c r="P178" s="5">
        <f>ROUND(Source!EG174,O178)</f>
        <v>0</v>
      </c>
      <c r="Q178" s="5"/>
      <c r="R178" s="5"/>
      <c r="S178" s="5"/>
      <c r="T178" s="5"/>
      <c r="U178" s="5"/>
      <c r="V178" s="5"/>
      <c r="W178" s="5">
        <v>0</v>
      </c>
      <c r="X178" s="5">
        <v>1</v>
      </c>
      <c r="Y178" s="5">
        <v>0</v>
      </c>
      <c r="Z178" s="5">
        <v>0</v>
      </c>
      <c r="AA178" s="5">
        <v>1</v>
      </c>
      <c r="AB178" s="5">
        <v>0</v>
      </c>
    </row>
    <row r="179" spans="1:28" x14ac:dyDescent="0.2">
      <c r="A179" s="5">
        <v>50</v>
      </c>
      <c r="B179" s="5">
        <v>0</v>
      </c>
      <c r="C179" s="5">
        <v>0</v>
      </c>
      <c r="D179" s="5">
        <v>1</v>
      </c>
      <c r="E179" s="5">
        <v>225</v>
      </c>
      <c r="F179" s="5">
        <f>ROUND(Source!AV174,O179)</f>
        <v>554.35</v>
      </c>
      <c r="G179" s="5" t="s">
        <v>112</v>
      </c>
      <c r="H179" s="5" t="s">
        <v>113</v>
      </c>
      <c r="I179" s="5"/>
      <c r="J179" s="5"/>
      <c r="K179" s="5">
        <v>225</v>
      </c>
      <c r="L179" s="5">
        <v>4</v>
      </c>
      <c r="M179" s="5">
        <v>3</v>
      </c>
      <c r="N179" s="5" t="s">
        <v>3</v>
      </c>
      <c r="O179" s="5">
        <v>2</v>
      </c>
      <c r="P179" s="5">
        <f>ROUND(Source!EN174,O179)</f>
        <v>5790.38</v>
      </c>
      <c r="Q179" s="5"/>
      <c r="R179" s="5"/>
      <c r="S179" s="5"/>
      <c r="T179" s="5"/>
      <c r="U179" s="5"/>
      <c r="V179" s="5"/>
      <c r="W179" s="5">
        <v>554.35</v>
      </c>
      <c r="X179" s="5">
        <v>1</v>
      </c>
      <c r="Y179" s="5">
        <v>554.35</v>
      </c>
      <c r="Z179" s="5">
        <v>5790.38</v>
      </c>
      <c r="AA179" s="5">
        <v>1</v>
      </c>
      <c r="AB179" s="5">
        <v>5790.38</v>
      </c>
    </row>
    <row r="180" spans="1:28" x14ac:dyDescent="0.2">
      <c r="A180" s="5">
        <v>50</v>
      </c>
      <c r="B180" s="5">
        <v>0</v>
      </c>
      <c r="C180" s="5">
        <v>0</v>
      </c>
      <c r="D180" s="5">
        <v>1</v>
      </c>
      <c r="E180" s="5">
        <v>226</v>
      </c>
      <c r="F180" s="5">
        <f>ROUND(Source!AW174,O180)</f>
        <v>554.35</v>
      </c>
      <c r="G180" s="5" t="s">
        <v>114</v>
      </c>
      <c r="H180" s="5" t="s">
        <v>115</v>
      </c>
      <c r="I180" s="5"/>
      <c r="J180" s="5"/>
      <c r="K180" s="5">
        <v>226</v>
      </c>
      <c r="L180" s="5">
        <v>5</v>
      </c>
      <c r="M180" s="5">
        <v>3</v>
      </c>
      <c r="N180" s="5" t="s">
        <v>3</v>
      </c>
      <c r="O180" s="5">
        <v>2</v>
      </c>
      <c r="P180" s="5">
        <f>ROUND(Source!EO174,O180)</f>
        <v>5790.38</v>
      </c>
      <c r="Q180" s="5"/>
      <c r="R180" s="5"/>
      <c r="S180" s="5"/>
      <c r="T180" s="5"/>
      <c r="U180" s="5"/>
      <c r="V180" s="5"/>
      <c r="W180" s="5">
        <v>554.35</v>
      </c>
      <c r="X180" s="5">
        <v>1</v>
      </c>
      <c r="Y180" s="5">
        <v>554.35</v>
      </c>
      <c r="Z180" s="5">
        <v>5790.38</v>
      </c>
      <c r="AA180" s="5">
        <v>1</v>
      </c>
      <c r="AB180" s="5">
        <v>5790.38</v>
      </c>
    </row>
    <row r="181" spans="1:28" x14ac:dyDescent="0.2">
      <c r="A181" s="5">
        <v>50</v>
      </c>
      <c r="B181" s="5">
        <v>0</v>
      </c>
      <c r="C181" s="5">
        <v>0</v>
      </c>
      <c r="D181" s="5">
        <v>1</v>
      </c>
      <c r="E181" s="5">
        <v>227</v>
      </c>
      <c r="F181" s="5">
        <f>ROUND(Source!AX174,O181)</f>
        <v>0</v>
      </c>
      <c r="G181" s="5" t="s">
        <v>116</v>
      </c>
      <c r="H181" s="5" t="s">
        <v>117</v>
      </c>
      <c r="I181" s="5"/>
      <c r="J181" s="5"/>
      <c r="K181" s="5">
        <v>227</v>
      </c>
      <c r="L181" s="5">
        <v>6</v>
      </c>
      <c r="M181" s="5">
        <v>3</v>
      </c>
      <c r="N181" s="5" t="s">
        <v>3</v>
      </c>
      <c r="O181" s="5">
        <v>2</v>
      </c>
      <c r="P181" s="5">
        <f>ROUND(Source!EP174,O181)</f>
        <v>0</v>
      </c>
      <c r="Q181" s="5"/>
      <c r="R181" s="5"/>
      <c r="S181" s="5"/>
      <c r="T181" s="5"/>
      <c r="U181" s="5"/>
      <c r="V181" s="5"/>
      <c r="W181" s="5">
        <v>0</v>
      </c>
      <c r="X181" s="5">
        <v>1</v>
      </c>
      <c r="Y181" s="5">
        <v>0</v>
      </c>
      <c r="Z181" s="5">
        <v>0</v>
      </c>
      <c r="AA181" s="5">
        <v>1</v>
      </c>
      <c r="AB181" s="5">
        <v>0</v>
      </c>
    </row>
    <row r="182" spans="1:28" x14ac:dyDescent="0.2">
      <c r="A182" s="5">
        <v>50</v>
      </c>
      <c r="B182" s="5">
        <v>0</v>
      </c>
      <c r="C182" s="5">
        <v>0</v>
      </c>
      <c r="D182" s="5">
        <v>1</v>
      </c>
      <c r="E182" s="5">
        <v>228</v>
      </c>
      <c r="F182" s="5">
        <f>ROUND(Source!AY174,O182)</f>
        <v>554.35</v>
      </c>
      <c r="G182" s="5" t="s">
        <v>118</v>
      </c>
      <c r="H182" s="5" t="s">
        <v>119</v>
      </c>
      <c r="I182" s="5"/>
      <c r="J182" s="5"/>
      <c r="K182" s="5">
        <v>228</v>
      </c>
      <c r="L182" s="5">
        <v>7</v>
      </c>
      <c r="M182" s="5">
        <v>3</v>
      </c>
      <c r="N182" s="5" t="s">
        <v>3</v>
      </c>
      <c r="O182" s="5">
        <v>2</v>
      </c>
      <c r="P182" s="5">
        <f>ROUND(Source!EQ174,O182)</f>
        <v>5790.38</v>
      </c>
      <c r="Q182" s="5"/>
      <c r="R182" s="5"/>
      <c r="S182" s="5"/>
      <c r="T182" s="5"/>
      <c r="U182" s="5"/>
      <c r="V182" s="5"/>
      <c r="W182" s="5">
        <v>554.35</v>
      </c>
      <c r="X182" s="5">
        <v>1</v>
      </c>
      <c r="Y182" s="5">
        <v>554.35</v>
      </c>
      <c r="Z182" s="5">
        <v>5790.38</v>
      </c>
      <c r="AA182" s="5">
        <v>1</v>
      </c>
      <c r="AB182" s="5">
        <v>5790.38</v>
      </c>
    </row>
    <row r="183" spans="1:28" x14ac:dyDescent="0.2">
      <c r="A183" s="5">
        <v>50</v>
      </c>
      <c r="B183" s="5">
        <v>0</v>
      </c>
      <c r="C183" s="5">
        <v>0</v>
      </c>
      <c r="D183" s="5">
        <v>1</v>
      </c>
      <c r="E183" s="5">
        <v>216</v>
      </c>
      <c r="F183" s="5">
        <f>ROUND(Source!AP174,O183)</f>
        <v>0</v>
      </c>
      <c r="G183" s="5" t="s">
        <v>120</v>
      </c>
      <c r="H183" s="5" t="s">
        <v>121</v>
      </c>
      <c r="I183" s="5"/>
      <c r="J183" s="5"/>
      <c r="K183" s="5">
        <v>216</v>
      </c>
      <c r="L183" s="5">
        <v>8</v>
      </c>
      <c r="M183" s="5">
        <v>3</v>
      </c>
      <c r="N183" s="5" t="s">
        <v>3</v>
      </c>
      <c r="O183" s="5">
        <v>2</v>
      </c>
      <c r="P183" s="5">
        <f>ROUND(Source!EH174,O183)</f>
        <v>0</v>
      </c>
      <c r="Q183" s="5"/>
      <c r="R183" s="5"/>
      <c r="S183" s="5"/>
      <c r="T183" s="5"/>
      <c r="U183" s="5"/>
      <c r="V183" s="5"/>
      <c r="W183" s="5">
        <v>0</v>
      </c>
      <c r="X183" s="5">
        <v>1</v>
      </c>
      <c r="Y183" s="5">
        <v>0</v>
      </c>
      <c r="Z183" s="5">
        <v>0</v>
      </c>
      <c r="AA183" s="5">
        <v>1</v>
      </c>
      <c r="AB183" s="5">
        <v>0</v>
      </c>
    </row>
    <row r="184" spans="1:28" x14ac:dyDescent="0.2">
      <c r="A184" s="5">
        <v>50</v>
      </c>
      <c r="B184" s="5">
        <v>0</v>
      </c>
      <c r="C184" s="5">
        <v>0</v>
      </c>
      <c r="D184" s="5">
        <v>1</v>
      </c>
      <c r="E184" s="5">
        <v>223</v>
      </c>
      <c r="F184" s="5">
        <f>ROUND(Source!AQ174,O184)</f>
        <v>0</v>
      </c>
      <c r="G184" s="5" t="s">
        <v>122</v>
      </c>
      <c r="H184" s="5" t="s">
        <v>123</v>
      </c>
      <c r="I184" s="5"/>
      <c r="J184" s="5"/>
      <c r="K184" s="5">
        <v>223</v>
      </c>
      <c r="L184" s="5">
        <v>9</v>
      </c>
      <c r="M184" s="5">
        <v>3</v>
      </c>
      <c r="N184" s="5" t="s">
        <v>3</v>
      </c>
      <c r="O184" s="5">
        <v>2</v>
      </c>
      <c r="P184" s="5">
        <f>ROUND(Source!EI174,O184)</f>
        <v>0</v>
      </c>
      <c r="Q184" s="5"/>
      <c r="R184" s="5"/>
      <c r="S184" s="5"/>
      <c r="T184" s="5"/>
      <c r="U184" s="5"/>
      <c r="V184" s="5"/>
      <c r="W184" s="5">
        <v>0</v>
      </c>
      <c r="X184" s="5">
        <v>1</v>
      </c>
      <c r="Y184" s="5">
        <v>0</v>
      </c>
      <c r="Z184" s="5">
        <v>0</v>
      </c>
      <c r="AA184" s="5">
        <v>1</v>
      </c>
      <c r="AB184" s="5">
        <v>0</v>
      </c>
    </row>
    <row r="185" spans="1:28" x14ac:dyDescent="0.2">
      <c r="A185" s="5">
        <v>50</v>
      </c>
      <c r="B185" s="5">
        <v>0</v>
      </c>
      <c r="C185" s="5">
        <v>0</v>
      </c>
      <c r="D185" s="5">
        <v>1</v>
      </c>
      <c r="E185" s="5">
        <v>229</v>
      </c>
      <c r="F185" s="5">
        <f>ROUND(Source!AZ174,O185)</f>
        <v>0</v>
      </c>
      <c r="G185" s="5" t="s">
        <v>124</v>
      </c>
      <c r="H185" s="5" t="s">
        <v>125</v>
      </c>
      <c r="I185" s="5"/>
      <c r="J185" s="5"/>
      <c r="K185" s="5">
        <v>229</v>
      </c>
      <c r="L185" s="5">
        <v>10</v>
      </c>
      <c r="M185" s="5">
        <v>3</v>
      </c>
      <c r="N185" s="5" t="s">
        <v>3</v>
      </c>
      <c r="O185" s="5">
        <v>2</v>
      </c>
      <c r="P185" s="5">
        <f>ROUND(Source!ER174,O185)</f>
        <v>0</v>
      </c>
      <c r="Q185" s="5"/>
      <c r="R185" s="5"/>
      <c r="S185" s="5"/>
      <c r="T185" s="5"/>
      <c r="U185" s="5"/>
      <c r="V185" s="5"/>
      <c r="W185" s="5">
        <v>0</v>
      </c>
      <c r="X185" s="5">
        <v>1</v>
      </c>
      <c r="Y185" s="5">
        <v>0</v>
      </c>
      <c r="Z185" s="5">
        <v>0</v>
      </c>
      <c r="AA185" s="5">
        <v>1</v>
      </c>
      <c r="AB185" s="5">
        <v>0</v>
      </c>
    </row>
    <row r="186" spans="1:28" x14ac:dyDescent="0.2">
      <c r="A186" s="5">
        <v>50</v>
      </c>
      <c r="B186" s="5">
        <v>0</v>
      </c>
      <c r="C186" s="5">
        <v>0</v>
      </c>
      <c r="D186" s="5">
        <v>1</v>
      </c>
      <c r="E186" s="5">
        <v>203</v>
      </c>
      <c r="F186" s="5">
        <f>ROUND(Source!Q174,O186)</f>
        <v>1054.54</v>
      </c>
      <c r="G186" s="5" t="s">
        <v>126</v>
      </c>
      <c r="H186" s="5" t="s">
        <v>127</v>
      </c>
      <c r="I186" s="5"/>
      <c r="J186" s="5"/>
      <c r="K186" s="5">
        <v>203</v>
      </c>
      <c r="L186" s="5">
        <v>11</v>
      </c>
      <c r="M186" s="5">
        <v>3</v>
      </c>
      <c r="N186" s="5" t="s">
        <v>3</v>
      </c>
      <c r="O186" s="5">
        <v>2</v>
      </c>
      <c r="P186" s="5">
        <f>ROUND(Source!DI174,O186)</f>
        <v>9807.2800000000007</v>
      </c>
      <c r="Q186" s="5"/>
      <c r="R186" s="5"/>
      <c r="S186" s="5"/>
      <c r="T186" s="5"/>
      <c r="U186" s="5"/>
      <c r="V186" s="5"/>
      <c r="W186" s="5">
        <v>1054.54</v>
      </c>
      <c r="X186" s="5">
        <v>1</v>
      </c>
      <c r="Y186" s="5">
        <v>1054.54</v>
      </c>
      <c r="Z186" s="5">
        <v>9807.2800000000007</v>
      </c>
      <c r="AA186" s="5">
        <v>1</v>
      </c>
      <c r="AB186" s="5">
        <v>9807.2800000000007</v>
      </c>
    </row>
    <row r="187" spans="1:28" x14ac:dyDescent="0.2">
      <c r="A187" s="5">
        <v>50</v>
      </c>
      <c r="B187" s="5">
        <v>0</v>
      </c>
      <c r="C187" s="5">
        <v>0</v>
      </c>
      <c r="D187" s="5">
        <v>1</v>
      </c>
      <c r="E187" s="5">
        <v>231</v>
      </c>
      <c r="F187" s="5">
        <f>ROUND(Source!BB174,O187)</f>
        <v>0</v>
      </c>
      <c r="G187" s="5" t="s">
        <v>128</v>
      </c>
      <c r="H187" s="5" t="s">
        <v>129</v>
      </c>
      <c r="I187" s="5"/>
      <c r="J187" s="5"/>
      <c r="K187" s="5">
        <v>231</v>
      </c>
      <c r="L187" s="5">
        <v>12</v>
      </c>
      <c r="M187" s="5">
        <v>3</v>
      </c>
      <c r="N187" s="5" t="s">
        <v>3</v>
      </c>
      <c r="O187" s="5">
        <v>2</v>
      </c>
      <c r="P187" s="5">
        <f>ROUND(Source!ET174,O187)</f>
        <v>0</v>
      </c>
      <c r="Q187" s="5"/>
      <c r="R187" s="5"/>
      <c r="S187" s="5"/>
      <c r="T187" s="5"/>
      <c r="U187" s="5"/>
      <c r="V187" s="5"/>
      <c r="W187" s="5">
        <v>0</v>
      </c>
      <c r="X187" s="5">
        <v>1</v>
      </c>
      <c r="Y187" s="5">
        <v>0</v>
      </c>
      <c r="Z187" s="5">
        <v>0</v>
      </c>
      <c r="AA187" s="5">
        <v>1</v>
      </c>
      <c r="AB187" s="5">
        <v>0</v>
      </c>
    </row>
    <row r="188" spans="1:28" x14ac:dyDescent="0.2">
      <c r="A188" s="5">
        <v>50</v>
      </c>
      <c r="B188" s="5">
        <v>0</v>
      </c>
      <c r="C188" s="5">
        <v>0</v>
      </c>
      <c r="D188" s="5">
        <v>1</v>
      </c>
      <c r="E188" s="5">
        <v>204</v>
      </c>
      <c r="F188" s="5">
        <f>ROUND(Source!R174,O188)</f>
        <v>110.25</v>
      </c>
      <c r="G188" s="5" t="s">
        <v>130</v>
      </c>
      <c r="H188" s="5" t="s">
        <v>131</v>
      </c>
      <c r="I188" s="5"/>
      <c r="J188" s="5"/>
      <c r="K188" s="5">
        <v>204</v>
      </c>
      <c r="L188" s="5">
        <v>13</v>
      </c>
      <c r="M188" s="5">
        <v>3</v>
      </c>
      <c r="N188" s="5" t="s">
        <v>3</v>
      </c>
      <c r="O188" s="5">
        <v>2</v>
      </c>
      <c r="P188" s="5">
        <f>ROUND(Source!DJ174,O188)</f>
        <v>3804.73</v>
      </c>
      <c r="Q188" s="5"/>
      <c r="R188" s="5"/>
      <c r="S188" s="5"/>
      <c r="T188" s="5"/>
      <c r="U188" s="5"/>
      <c r="V188" s="5"/>
      <c r="W188" s="5">
        <v>110.25</v>
      </c>
      <c r="X188" s="5">
        <v>1</v>
      </c>
      <c r="Y188" s="5">
        <v>110.25</v>
      </c>
      <c r="Z188" s="5">
        <v>3804.73</v>
      </c>
      <c r="AA188" s="5">
        <v>1</v>
      </c>
      <c r="AB188" s="5">
        <v>3804.73</v>
      </c>
    </row>
    <row r="189" spans="1:28" x14ac:dyDescent="0.2">
      <c r="A189" s="5">
        <v>50</v>
      </c>
      <c r="B189" s="5">
        <v>0</v>
      </c>
      <c r="C189" s="5">
        <v>0</v>
      </c>
      <c r="D189" s="5">
        <v>1</v>
      </c>
      <c r="E189" s="5">
        <v>205</v>
      </c>
      <c r="F189" s="5">
        <f>ROUND(Source!S174,O189)</f>
        <v>2771.43</v>
      </c>
      <c r="G189" s="5" t="s">
        <v>132</v>
      </c>
      <c r="H189" s="5" t="s">
        <v>133</v>
      </c>
      <c r="I189" s="5"/>
      <c r="J189" s="5"/>
      <c r="K189" s="5">
        <v>205</v>
      </c>
      <c r="L189" s="5">
        <v>14</v>
      </c>
      <c r="M189" s="5">
        <v>3</v>
      </c>
      <c r="N189" s="5" t="s">
        <v>3</v>
      </c>
      <c r="O189" s="5">
        <v>2</v>
      </c>
      <c r="P189" s="5">
        <f>ROUND(Source!DK174,O189)</f>
        <v>95642.05</v>
      </c>
      <c r="Q189" s="5"/>
      <c r="R189" s="5"/>
      <c r="S189" s="5"/>
      <c r="T189" s="5"/>
      <c r="U189" s="5"/>
      <c r="V189" s="5"/>
      <c r="W189" s="5">
        <v>2771.43</v>
      </c>
      <c r="X189" s="5">
        <v>1</v>
      </c>
      <c r="Y189" s="5">
        <v>2771.43</v>
      </c>
      <c r="Z189" s="5">
        <v>95642.05</v>
      </c>
      <c r="AA189" s="5">
        <v>1</v>
      </c>
      <c r="AB189" s="5">
        <v>95642.05</v>
      </c>
    </row>
    <row r="190" spans="1:28" x14ac:dyDescent="0.2">
      <c r="A190" s="5">
        <v>50</v>
      </c>
      <c r="B190" s="5">
        <v>0</v>
      </c>
      <c r="C190" s="5">
        <v>0</v>
      </c>
      <c r="D190" s="5">
        <v>1</v>
      </c>
      <c r="E190" s="5">
        <v>232</v>
      </c>
      <c r="F190" s="5">
        <f>ROUND(Source!BC174,O190)</f>
        <v>0</v>
      </c>
      <c r="G190" s="5" t="s">
        <v>134</v>
      </c>
      <c r="H190" s="5" t="s">
        <v>135</v>
      </c>
      <c r="I190" s="5"/>
      <c r="J190" s="5"/>
      <c r="K190" s="5">
        <v>232</v>
      </c>
      <c r="L190" s="5">
        <v>15</v>
      </c>
      <c r="M190" s="5">
        <v>3</v>
      </c>
      <c r="N190" s="5" t="s">
        <v>3</v>
      </c>
      <c r="O190" s="5">
        <v>2</v>
      </c>
      <c r="P190" s="5">
        <f>ROUND(Source!EU174,O190)</f>
        <v>0</v>
      </c>
      <c r="Q190" s="5"/>
      <c r="R190" s="5"/>
      <c r="S190" s="5"/>
      <c r="T190" s="5"/>
      <c r="U190" s="5"/>
      <c r="V190" s="5"/>
      <c r="W190" s="5">
        <v>0</v>
      </c>
      <c r="X190" s="5">
        <v>1</v>
      </c>
      <c r="Y190" s="5">
        <v>0</v>
      </c>
      <c r="Z190" s="5">
        <v>0</v>
      </c>
      <c r="AA190" s="5">
        <v>1</v>
      </c>
      <c r="AB190" s="5">
        <v>0</v>
      </c>
    </row>
    <row r="191" spans="1:28" x14ac:dyDescent="0.2">
      <c r="A191" s="5">
        <v>50</v>
      </c>
      <c r="B191" s="5">
        <v>0</v>
      </c>
      <c r="C191" s="5">
        <v>0</v>
      </c>
      <c r="D191" s="5">
        <v>1</v>
      </c>
      <c r="E191" s="5">
        <v>214</v>
      </c>
      <c r="F191" s="5">
        <f>ROUND(Source!AS174,O191)</f>
        <v>0</v>
      </c>
      <c r="G191" s="5" t="s">
        <v>136</v>
      </c>
      <c r="H191" s="5" t="s">
        <v>137</v>
      </c>
      <c r="I191" s="5"/>
      <c r="J191" s="5"/>
      <c r="K191" s="5">
        <v>214</v>
      </c>
      <c r="L191" s="5">
        <v>16</v>
      </c>
      <c r="M191" s="5">
        <v>3</v>
      </c>
      <c r="N191" s="5" t="s">
        <v>3</v>
      </c>
      <c r="O191" s="5">
        <v>2</v>
      </c>
      <c r="P191" s="5">
        <f>ROUND(Source!EK174,O191)</f>
        <v>0</v>
      </c>
      <c r="Q191" s="5"/>
      <c r="R191" s="5"/>
      <c r="S191" s="5"/>
      <c r="T191" s="5"/>
      <c r="U191" s="5"/>
      <c r="V191" s="5"/>
      <c r="W191" s="5">
        <v>0</v>
      </c>
      <c r="X191" s="5">
        <v>1</v>
      </c>
      <c r="Y191" s="5">
        <v>0</v>
      </c>
      <c r="Z191" s="5">
        <v>0</v>
      </c>
      <c r="AA191" s="5">
        <v>1</v>
      </c>
      <c r="AB191" s="5">
        <v>0</v>
      </c>
    </row>
    <row r="192" spans="1:28" x14ac:dyDescent="0.2">
      <c r="A192" s="5">
        <v>50</v>
      </c>
      <c r="B192" s="5">
        <v>0</v>
      </c>
      <c r="C192" s="5">
        <v>0</v>
      </c>
      <c r="D192" s="5">
        <v>1</v>
      </c>
      <c r="E192" s="5">
        <v>215</v>
      </c>
      <c r="F192" s="5">
        <f>ROUND(Source!AT174,O192)</f>
        <v>9617.2800000000007</v>
      </c>
      <c r="G192" s="5" t="s">
        <v>138</v>
      </c>
      <c r="H192" s="5" t="s">
        <v>139</v>
      </c>
      <c r="I192" s="5"/>
      <c r="J192" s="5"/>
      <c r="K192" s="5">
        <v>215</v>
      </c>
      <c r="L192" s="5">
        <v>17</v>
      </c>
      <c r="M192" s="5">
        <v>3</v>
      </c>
      <c r="N192" s="5" t="s">
        <v>3</v>
      </c>
      <c r="O192" s="5">
        <v>2</v>
      </c>
      <c r="P192" s="5">
        <f>ROUND(Source!EL174,O192)</f>
        <v>246444.06</v>
      </c>
      <c r="Q192" s="5"/>
      <c r="R192" s="5"/>
      <c r="S192" s="5"/>
      <c r="T192" s="5"/>
      <c r="U192" s="5"/>
      <c r="V192" s="5"/>
      <c r="W192" s="5">
        <v>9617.2800000000007</v>
      </c>
      <c r="X192" s="5">
        <v>1</v>
      </c>
      <c r="Y192" s="5">
        <v>9617.2800000000007</v>
      </c>
      <c r="Z192" s="5">
        <v>246444.06</v>
      </c>
      <c r="AA192" s="5">
        <v>1</v>
      </c>
      <c r="AB192" s="5">
        <v>246444.06</v>
      </c>
    </row>
    <row r="193" spans="1:255" x14ac:dyDescent="0.2">
      <c r="A193" s="5">
        <v>50</v>
      </c>
      <c r="B193" s="5">
        <v>0</v>
      </c>
      <c r="C193" s="5">
        <v>0</v>
      </c>
      <c r="D193" s="5">
        <v>1</v>
      </c>
      <c r="E193" s="5">
        <v>217</v>
      </c>
      <c r="F193" s="5">
        <f>ROUND(Source!AU174,O193)</f>
        <v>0</v>
      </c>
      <c r="G193" s="5" t="s">
        <v>140</v>
      </c>
      <c r="H193" s="5" t="s">
        <v>141</v>
      </c>
      <c r="I193" s="5"/>
      <c r="J193" s="5"/>
      <c r="K193" s="5">
        <v>217</v>
      </c>
      <c r="L193" s="5">
        <v>18</v>
      </c>
      <c r="M193" s="5">
        <v>3</v>
      </c>
      <c r="N193" s="5" t="s">
        <v>3</v>
      </c>
      <c r="O193" s="5">
        <v>2</v>
      </c>
      <c r="P193" s="5">
        <f>ROUND(Source!EM174,O193)</f>
        <v>0</v>
      </c>
      <c r="Q193" s="5"/>
      <c r="R193" s="5"/>
      <c r="S193" s="5"/>
      <c r="T193" s="5"/>
      <c r="U193" s="5"/>
      <c r="V193" s="5"/>
      <c r="W193" s="5">
        <v>0</v>
      </c>
      <c r="X193" s="5">
        <v>1</v>
      </c>
      <c r="Y193" s="5">
        <v>0</v>
      </c>
      <c r="Z193" s="5">
        <v>0</v>
      </c>
      <c r="AA193" s="5">
        <v>1</v>
      </c>
      <c r="AB193" s="5">
        <v>0</v>
      </c>
    </row>
    <row r="194" spans="1:255" x14ac:dyDescent="0.2">
      <c r="A194" s="5">
        <v>50</v>
      </c>
      <c r="B194" s="5">
        <v>0</v>
      </c>
      <c r="C194" s="5">
        <v>0</v>
      </c>
      <c r="D194" s="5">
        <v>1</v>
      </c>
      <c r="E194" s="5">
        <v>230</v>
      </c>
      <c r="F194" s="5">
        <f>ROUND(Source!BA174,O194)</f>
        <v>0</v>
      </c>
      <c r="G194" s="5" t="s">
        <v>142</v>
      </c>
      <c r="H194" s="5" t="s">
        <v>143</v>
      </c>
      <c r="I194" s="5"/>
      <c r="J194" s="5"/>
      <c r="K194" s="5">
        <v>230</v>
      </c>
      <c r="L194" s="5">
        <v>19</v>
      </c>
      <c r="M194" s="5">
        <v>3</v>
      </c>
      <c r="N194" s="5" t="s">
        <v>3</v>
      </c>
      <c r="O194" s="5">
        <v>2</v>
      </c>
      <c r="P194" s="5">
        <f>ROUND(Source!ES174,O194)</f>
        <v>0</v>
      </c>
      <c r="Q194" s="5"/>
      <c r="R194" s="5"/>
      <c r="S194" s="5"/>
      <c r="T194" s="5"/>
      <c r="U194" s="5"/>
      <c r="V194" s="5"/>
      <c r="W194" s="5">
        <v>0</v>
      </c>
      <c r="X194" s="5">
        <v>1</v>
      </c>
      <c r="Y194" s="5">
        <v>0</v>
      </c>
      <c r="Z194" s="5">
        <v>0</v>
      </c>
      <c r="AA194" s="5">
        <v>1</v>
      </c>
      <c r="AB194" s="5">
        <v>0</v>
      </c>
    </row>
    <row r="195" spans="1:255" x14ac:dyDescent="0.2">
      <c r="A195" s="5">
        <v>50</v>
      </c>
      <c r="B195" s="5">
        <v>0</v>
      </c>
      <c r="C195" s="5">
        <v>0</v>
      </c>
      <c r="D195" s="5">
        <v>1</v>
      </c>
      <c r="E195" s="5">
        <v>206</v>
      </c>
      <c r="F195" s="5">
        <f>ROUND(Source!T174,O195)</f>
        <v>0</v>
      </c>
      <c r="G195" s="5" t="s">
        <v>144</v>
      </c>
      <c r="H195" s="5" t="s">
        <v>145</v>
      </c>
      <c r="I195" s="5"/>
      <c r="J195" s="5"/>
      <c r="K195" s="5">
        <v>206</v>
      </c>
      <c r="L195" s="5">
        <v>20</v>
      </c>
      <c r="M195" s="5">
        <v>3</v>
      </c>
      <c r="N195" s="5" t="s">
        <v>3</v>
      </c>
      <c r="O195" s="5">
        <v>2</v>
      </c>
      <c r="P195" s="5">
        <f>ROUND(Source!DL174,O195)</f>
        <v>0</v>
      </c>
      <c r="Q195" s="5"/>
      <c r="R195" s="5"/>
      <c r="S195" s="5"/>
      <c r="T195" s="5"/>
      <c r="U195" s="5"/>
      <c r="V195" s="5"/>
      <c r="W195" s="5">
        <v>0</v>
      </c>
      <c r="X195" s="5">
        <v>1</v>
      </c>
      <c r="Y195" s="5">
        <v>0</v>
      </c>
      <c r="Z195" s="5">
        <v>0</v>
      </c>
      <c r="AA195" s="5">
        <v>1</v>
      </c>
      <c r="AB195" s="5">
        <v>0</v>
      </c>
    </row>
    <row r="196" spans="1:255" x14ac:dyDescent="0.2">
      <c r="A196" s="5">
        <v>50</v>
      </c>
      <c r="B196" s="5">
        <v>0</v>
      </c>
      <c r="C196" s="5">
        <v>0</v>
      </c>
      <c r="D196" s="5">
        <v>1</v>
      </c>
      <c r="E196" s="5">
        <v>207</v>
      </c>
      <c r="F196" s="5">
        <f>Source!U174</f>
        <v>209.755351168</v>
      </c>
      <c r="G196" s="5" t="s">
        <v>146</v>
      </c>
      <c r="H196" s="5" t="s">
        <v>147</v>
      </c>
      <c r="I196" s="5"/>
      <c r="J196" s="5"/>
      <c r="K196" s="5">
        <v>207</v>
      </c>
      <c r="L196" s="5">
        <v>21</v>
      </c>
      <c r="M196" s="5">
        <v>3</v>
      </c>
      <c r="N196" s="5" t="s">
        <v>3</v>
      </c>
      <c r="O196" s="5">
        <v>-1</v>
      </c>
      <c r="P196" s="5">
        <f>Source!DM174</f>
        <v>209.755351168</v>
      </c>
      <c r="Q196" s="5"/>
      <c r="R196" s="5"/>
      <c r="S196" s="5"/>
      <c r="T196" s="5"/>
      <c r="U196" s="5"/>
      <c r="V196" s="5"/>
      <c r="W196" s="5">
        <v>209.755351168</v>
      </c>
      <c r="X196" s="5">
        <v>1</v>
      </c>
      <c r="Y196" s="5">
        <v>209.755351168</v>
      </c>
      <c r="Z196" s="5">
        <v>209.755351168</v>
      </c>
      <c r="AA196" s="5">
        <v>1</v>
      </c>
      <c r="AB196" s="5">
        <v>209.755351168</v>
      </c>
    </row>
    <row r="197" spans="1:255" x14ac:dyDescent="0.2">
      <c r="A197" s="5">
        <v>50</v>
      </c>
      <c r="B197" s="5">
        <v>0</v>
      </c>
      <c r="C197" s="5">
        <v>0</v>
      </c>
      <c r="D197" s="5">
        <v>1</v>
      </c>
      <c r="E197" s="5">
        <v>208</v>
      </c>
      <c r="F197" s="5">
        <f>Source!V174</f>
        <v>0</v>
      </c>
      <c r="G197" s="5" t="s">
        <v>148</v>
      </c>
      <c r="H197" s="5" t="s">
        <v>149</v>
      </c>
      <c r="I197" s="5"/>
      <c r="J197" s="5"/>
      <c r="K197" s="5">
        <v>208</v>
      </c>
      <c r="L197" s="5">
        <v>22</v>
      </c>
      <c r="M197" s="5">
        <v>3</v>
      </c>
      <c r="N197" s="5" t="s">
        <v>3</v>
      </c>
      <c r="O197" s="5">
        <v>-1</v>
      </c>
      <c r="P197" s="5">
        <f>Source!DN174</f>
        <v>0</v>
      </c>
      <c r="Q197" s="5"/>
      <c r="R197" s="5"/>
      <c r="S197" s="5"/>
      <c r="T197" s="5"/>
      <c r="U197" s="5"/>
      <c r="V197" s="5"/>
      <c r="W197" s="5">
        <v>0</v>
      </c>
      <c r="X197" s="5">
        <v>1</v>
      </c>
      <c r="Y197" s="5">
        <v>0</v>
      </c>
      <c r="Z197" s="5">
        <v>0</v>
      </c>
      <c r="AA197" s="5">
        <v>1</v>
      </c>
      <c r="AB197" s="5">
        <v>0</v>
      </c>
    </row>
    <row r="198" spans="1:255" x14ac:dyDescent="0.2">
      <c r="A198" s="5">
        <v>50</v>
      </c>
      <c r="B198" s="5">
        <v>0</v>
      </c>
      <c r="C198" s="5">
        <v>0</v>
      </c>
      <c r="D198" s="5">
        <v>1</v>
      </c>
      <c r="E198" s="5">
        <v>209</v>
      </c>
      <c r="F198" s="5">
        <f>ROUND(Source!W174,O198)</f>
        <v>0</v>
      </c>
      <c r="G198" s="5" t="s">
        <v>150</v>
      </c>
      <c r="H198" s="5" t="s">
        <v>151</v>
      </c>
      <c r="I198" s="5"/>
      <c r="J198" s="5"/>
      <c r="K198" s="5">
        <v>209</v>
      </c>
      <c r="L198" s="5">
        <v>23</v>
      </c>
      <c r="M198" s="5">
        <v>3</v>
      </c>
      <c r="N198" s="5" t="s">
        <v>3</v>
      </c>
      <c r="O198" s="5">
        <v>2</v>
      </c>
      <c r="P198" s="5">
        <f>ROUND(Source!DO174,O198)</f>
        <v>0</v>
      </c>
      <c r="Q198" s="5"/>
      <c r="R198" s="5"/>
      <c r="S198" s="5"/>
      <c r="T198" s="5"/>
      <c r="U198" s="5"/>
      <c r="V198" s="5"/>
      <c r="W198" s="5">
        <v>0</v>
      </c>
      <c r="X198" s="5">
        <v>1</v>
      </c>
      <c r="Y198" s="5">
        <v>0</v>
      </c>
      <c r="Z198" s="5">
        <v>0</v>
      </c>
      <c r="AA198" s="5">
        <v>1</v>
      </c>
      <c r="AB198" s="5">
        <v>0</v>
      </c>
    </row>
    <row r="199" spans="1:255" x14ac:dyDescent="0.2">
      <c r="A199" s="5">
        <v>50</v>
      </c>
      <c r="B199" s="5">
        <v>0</v>
      </c>
      <c r="C199" s="5">
        <v>0</v>
      </c>
      <c r="D199" s="5">
        <v>1</v>
      </c>
      <c r="E199" s="5">
        <v>233</v>
      </c>
      <c r="F199" s="5">
        <f>ROUND(Source!BD174,O199)</f>
        <v>0</v>
      </c>
      <c r="G199" s="5" t="s">
        <v>152</v>
      </c>
      <c r="H199" s="5" t="s">
        <v>153</v>
      </c>
      <c r="I199" s="5"/>
      <c r="J199" s="5"/>
      <c r="K199" s="5">
        <v>233</v>
      </c>
      <c r="L199" s="5">
        <v>24</v>
      </c>
      <c r="M199" s="5">
        <v>3</v>
      </c>
      <c r="N199" s="5" t="s">
        <v>3</v>
      </c>
      <c r="O199" s="5">
        <v>2</v>
      </c>
      <c r="P199" s="5">
        <f>ROUND(Source!EV174,O199)</f>
        <v>0</v>
      </c>
      <c r="Q199" s="5"/>
      <c r="R199" s="5"/>
      <c r="S199" s="5"/>
      <c r="T199" s="5"/>
      <c r="U199" s="5"/>
      <c r="V199" s="5"/>
      <c r="W199" s="5">
        <v>0</v>
      </c>
      <c r="X199" s="5">
        <v>1</v>
      </c>
      <c r="Y199" s="5">
        <v>0</v>
      </c>
      <c r="Z199" s="5">
        <v>0</v>
      </c>
      <c r="AA199" s="5">
        <v>1</v>
      </c>
      <c r="AB199" s="5">
        <v>0</v>
      </c>
    </row>
    <row r="200" spans="1:255" x14ac:dyDescent="0.2">
      <c r="A200" s="5">
        <v>50</v>
      </c>
      <c r="B200" s="5">
        <v>0</v>
      </c>
      <c r="C200" s="5">
        <v>0</v>
      </c>
      <c r="D200" s="5">
        <v>1</v>
      </c>
      <c r="E200" s="5">
        <v>210</v>
      </c>
      <c r="F200" s="5">
        <f>ROUND(Source!X174,O200)</f>
        <v>3104.01</v>
      </c>
      <c r="G200" s="5" t="s">
        <v>154</v>
      </c>
      <c r="H200" s="5" t="s">
        <v>155</v>
      </c>
      <c r="I200" s="5"/>
      <c r="J200" s="5"/>
      <c r="K200" s="5">
        <v>210</v>
      </c>
      <c r="L200" s="5">
        <v>25</v>
      </c>
      <c r="M200" s="5">
        <v>3</v>
      </c>
      <c r="N200" s="5" t="s">
        <v>3</v>
      </c>
      <c r="O200" s="5">
        <v>2</v>
      </c>
      <c r="P200" s="5">
        <f>ROUND(Source!DP174,O200)</f>
        <v>87990.69</v>
      </c>
      <c r="Q200" s="5"/>
      <c r="R200" s="5"/>
      <c r="S200" s="5"/>
      <c r="T200" s="5"/>
      <c r="U200" s="5"/>
      <c r="V200" s="5"/>
      <c r="W200" s="5">
        <v>3104.01</v>
      </c>
      <c r="X200" s="5">
        <v>1</v>
      </c>
      <c r="Y200" s="5">
        <v>3104.01</v>
      </c>
      <c r="Z200" s="5">
        <v>87990.69</v>
      </c>
      <c r="AA200" s="5">
        <v>1</v>
      </c>
      <c r="AB200" s="5">
        <v>87990.69</v>
      </c>
    </row>
    <row r="201" spans="1:255" x14ac:dyDescent="0.2">
      <c r="A201" s="5">
        <v>50</v>
      </c>
      <c r="B201" s="5">
        <v>0</v>
      </c>
      <c r="C201" s="5">
        <v>0</v>
      </c>
      <c r="D201" s="5">
        <v>1</v>
      </c>
      <c r="E201" s="5">
        <v>211</v>
      </c>
      <c r="F201" s="5">
        <f>ROUND(Source!Y174,O201)</f>
        <v>1940.01</v>
      </c>
      <c r="G201" s="5" t="s">
        <v>156</v>
      </c>
      <c r="H201" s="5" t="s">
        <v>157</v>
      </c>
      <c r="I201" s="5"/>
      <c r="J201" s="5"/>
      <c r="K201" s="5">
        <v>211</v>
      </c>
      <c r="L201" s="5">
        <v>26</v>
      </c>
      <c r="M201" s="5">
        <v>3</v>
      </c>
      <c r="N201" s="5" t="s">
        <v>3</v>
      </c>
      <c r="O201" s="5">
        <v>2</v>
      </c>
      <c r="P201" s="5">
        <f>ROUND(Source!DQ174,O201)</f>
        <v>41126.089999999997</v>
      </c>
      <c r="Q201" s="5"/>
      <c r="R201" s="5"/>
      <c r="S201" s="5"/>
      <c r="T201" s="5"/>
      <c r="U201" s="5"/>
      <c r="V201" s="5"/>
      <c r="W201" s="5">
        <v>1940.01</v>
      </c>
      <c r="X201" s="5">
        <v>1</v>
      </c>
      <c r="Y201" s="5">
        <v>1940.01</v>
      </c>
      <c r="Z201" s="5">
        <v>41126.089999999997</v>
      </c>
      <c r="AA201" s="5">
        <v>1</v>
      </c>
      <c r="AB201" s="5">
        <v>41126.089999999997</v>
      </c>
    </row>
    <row r="202" spans="1:255" x14ac:dyDescent="0.2">
      <c r="A202" s="5">
        <v>50</v>
      </c>
      <c r="B202" s="5">
        <v>0</v>
      </c>
      <c r="C202" s="5">
        <v>0</v>
      </c>
      <c r="D202" s="5">
        <v>1</v>
      </c>
      <c r="E202" s="5">
        <v>224</v>
      </c>
      <c r="F202" s="5">
        <f>ROUND(Source!AR174,O202)</f>
        <v>9617.2800000000007</v>
      </c>
      <c r="G202" s="5" t="s">
        <v>158</v>
      </c>
      <c r="H202" s="5" t="s">
        <v>159</v>
      </c>
      <c r="I202" s="5"/>
      <c r="J202" s="5"/>
      <c r="K202" s="5">
        <v>224</v>
      </c>
      <c r="L202" s="5">
        <v>27</v>
      </c>
      <c r="M202" s="5">
        <v>3</v>
      </c>
      <c r="N202" s="5" t="s">
        <v>3</v>
      </c>
      <c r="O202" s="5">
        <v>2</v>
      </c>
      <c r="P202" s="5">
        <f>ROUND(Source!EJ174,O202)</f>
        <v>246444.06</v>
      </c>
      <c r="Q202" s="5"/>
      <c r="R202" s="5"/>
      <c r="S202" s="5"/>
      <c r="T202" s="5"/>
      <c r="U202" s="5"/>
      <c r="V202" s="5"/>
      <c r="W202" s="5">
        <v>9617.2800000000007</v>
      </c>
      <c r="X202" s="5">
        <v>1</v>
      </c>
      <c r="Y202" s="5">
        <v>9617.2800000000007</v>
      </c>
      <c r="Z202" s="5">
        <v>246444.06</v>
      </c>
      <c r="AA202" s="5">
        <v>1</v>
      </c>
      <c r="AB202" s="5">
        <v>246444.06</v>
      </c>
    </row>
    <row r="204" spans="1:255" x14ac:dyDescent="0.2">
      <c r="A204" s="1">
        <v>4</v>
      </c>
      <c r="B204" s="1">
        <v>1</v>
      </c>
      <c r="C204" s="1"/>
      <c r="D204" s="1">
        <f>ROW(A229)</f>
        <v>229</v>
      </c>
      <c r="E204" s="1"/>
      <c r="F204" s="1" t="s">
        <v>15</v>
      </c>
      <c r="G204" s="1" t="s">
        <v>275</v>
      </c>
      <c r="H204" s="1" t="s">
        <v>3</v>
      </c>
      <c r="I204" s="1">
        <v>0</v>
      </c>
      <c r="J204" s="1"/>
      <c r="K204" s="1">
        <v>0</v>
      </c>
      <c r="L204" s="1"/>
      <c r="M204" s="1" t="s">
        <v>3</v>
      </c>
      <c r="N204" s="1"/>
      <c r="O204" s="1"/>
      <c r="P204" s="1"/>
      <c r="Q204" s="1"/>
      <c r="R204" s="1"/>
      <c r="S204" s="1">
        <v>0</v>
      </c>
      <c r="T204" s="1">
        <v>0</v>
      </c>
      <c r="U204" s="1" t="s">
        <v>3</v>
      </c>
      <c r="V204" s="1">
        <v>0</v>
      </c>
      <c r="W204" s="1"/>
      <c r="X204" s="1"/>
      <c r="Y204" s="1"/>
      <c r="Z204" s="1"/>
      <c r="AA204" s="1"/>
      <c r="AB204" s="1" t="s">
        <v>3</v>
      </c>
      <c r="AC204" s="1" t="s">
        <v>3</v>
      </c>
      <c r="AD204" s="1" t="s">
        <v>3</v>
      </c>
      <c r="AE204" s="1" t="s">
        <v>3</v>
      </c>
      <c r="AF204" s="1" t="s">
        <v>3</v>
      </c>
      <c r="AG204" s="1" t="s">
        <v>3</v>
      </c>
      <c r="AH204" s="1"/>
      <c r="AI204" s="1"/>
      <c r="AJ204" s="1"/>
      <c r="AK204" s="1"/>
      <c r="AL204" s="1"/>
      <c r="AM204" s="1"/>
      <c r="AN204" s="1"/>
      <c r="AO204" s="1"/>
      <c r="AP204" s="1" t="s">
        <v>3</v>
      </c>
      <c r="AQ204" s="1" t="s">
        <v>3</v>
      </c>
      <c r="AR204" s="1" t="s">
        <v>3</v>
      </c>
      <c r="AS204" s="1"/>
      <c r="AT204" s="1"/>
      <c r="AU204" s="1"/>
      <c r="AV204" s="1"/>
      <c r="AW204" s="1"/>
      <c r="AX204" s="1"/>
      <c r="AY204" s="1"/>
      <c r="AZ204" s="1" t="s">
        <v>3</v>
      </c>
      <c r="BA204" s="1"/>
      <c r="BB204" s="1" t="s">
        <v>3</v>
      </c>
      <c r="BC204" s="1" t="s">
        <v>3</v>
      </c>
      <c r="BD204" s="1" t="s">
        <v>3</v>
      </c>
      <c r="BE204" s="1" t="s">
        <v>3</v>
      </c>
      <c r="BF204" s="1" t="s">
        <v>3</v>
      </c>
      <c r="BG204" s="1" t="s">
        <v>3</v>
      </c>
      <c r="BH204" s="1" t="s">
        <v>3</v>
      </c>
      <c r="BI204" s="1" t="s">
        <v>3</v>
      </c>
      <c r="BJ204" s="1" t="s">
        <v>3</v>
      </c>
      <c r="BK204" s="1" t="s">
        <v>3</v>
      </c>
      <c r="BL204" s="1" t="s">
        <v>3</v>
      </c>
      <c r="BM204" s="1" t="s">
        <v>3</v>
      </c>
      <c r="BN204" s="1" t="s">
        <v>3</v>
      </c>
      <c r="BO204" s="1" t="s">
        <v>3</v>
      </c>
      <c r="BP204" s="1" t="s">
        <v>3</v>
      </c>
      <c r="BQ204" s="1"/>
      <c r="BR204" s="1"/>
      <c r="BS204" s="1"/>
      <c r="BT204" s="1"/>
      <c r="BU204" s="1"/>
      <c r="BV204" s="1"/>
      <c r="BW204" s="1"/>
      <c r="BX204" s="1">
        <v>0</v>
      </c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>
        <v>0</v>
      </c>
    </row>
    <row r="206" spans="1:255" x14ac:dyDescent="0.2">
      <c r="A206" s="3">
        <v>52</v>
      </c>
      <c r="B206" s="3">
        <f t="shared" ref="B206:G206" si="191">B229</f>
        <v>1</v>
      </c>
      <c r="C206" s="3">
        <f t="shared" si="191"/>
        <v>4</v>
      </c>
      <c r="D206" s="3">
        <f t="shared" si="191"/>
        <v>204</v>
      </c>
      <c r="E206" s="3">
        <f t="shared" si="191"/>
        <v>0</v>
      </c>
      <c r="F206" s="3" t="str">
        <f t="shared" si="191"/>
        <v>Новый раздел</v>
      </c>
      <c r="G206" s="3" t="str">
        <f t="shared" si="191"/>
        <v>Материалы, не учтенные ценником</v>
      </c>
      <c r="H206" s="3"/>
      <c r="I206" s="3"/>
      <c r="J206" s="3"/>
      <c r="K206" s="3"/>
      <c r="L206" s="3"/>
      <c r="M206" s="3"/>
      <c r="N206" s="3"/>
      <c r="O206" s="3">
        <f t="shared" ref="O206:AT206" si="192">O229</f>
        <v>46811.199999999997</v>
      </c>
      <c r="P206" s="3">
        <f t="shared" si="192"/>
        <v>46811.199999999997</v>
      </c>
      <c r="Q206" s="3">
        <f t="shared" si="192"/>
        <v>0</v>
      </c>
      <c r="R206" s="3">
        <f t="shared" si="192"/>
        <v>0</v>
      </c>
      <c r="S206" s="3">
        <f t="shared" si="192"/>
        <v>0</v>
      </c>
      <c r="T206" s="3">
        <f t="shared" si="192"/>
        <v>0</v>
      </c>
      <c r="U206" s="3">
        <f t="shared" si="192"/>
        <v>0</v>
      </c>
      <c r="V206" s="3">
        <f t="shared" si="192"/>
        <v>0</v>
      </c>
      <c r="W206" s="3">
        <f t="shared" si="192"/>
        <v>0</v>
      </c>
      <c r="X206" s="3">
        <f t="shared" si="192"/>
        <v>0</v>
      </c>
      <c r="Y206" s="3">
        <f t="shared" si="192"/>
        <v>0</v>
      </c>
      <c r="Z206" s="3">
        <f t="shared" si="192"/>
        <v>0</v>
      </c>
      <c r="AA206" s="3">
        <f t="shared" si="192"/>
        <v>0</v>
      </c>
      <c r="AB206" s="3">
        <f t="shared" si="192"/>
        <v>46811.199999999997</v>
      </c>
      <c r="AC206" s="3">
        <f t="shared" si="192"/>
        <v>46811.199999999997</v>
      </c>
      <c r="AD206" s="3">
        <f t="shared" si="192"/>
        <v>0</v>
      </c>
      <c r="AE206" s="3">
        <f t="shared" si="192"/>
        <v>0</v>
      </c>
      <c r="AF206" s="3">
        <f t="shared" si="192"/>
        <v>0</v>
      </c>
      <c r="AG206" s="3">
        <f t="shared" si="192"/>
        <v>0</v>
      </c>
      <c r="AH206" s="3">
        <f t="shared" si="192"/>
        <v>0</v>
      </c>
      <c r="AI206" s="3">
        <f t="shared" si="192"/>
        <v>0</v>
      </c>
      <c r="AJ206" s="3">
        <f t="shared" si="192"/>
        <v>0</v>
      </c>
      <c r="AK206" s="3">
        <f t="shared" si="192"/>
        <v>0</v>
      </c>
      <c r="AL206" s="3">
        <f t="shared" si="192"/>
        <v>0</v>
      </c>
      <c r="AM206" s="3">
        <f t="shared" si="192"/>
        <v>0</v>
      </c>
      <c r="AN206" s="3">
        <f t="shared" si="192"/>
        <v>0</v>
      </c>
      <c r="AO206" s="3">
        <f t="shared" si="192"/>
        <v>0</v>
      </c>
      <c r="AP206" s="3">
        <f t="shared" si="192"/>
        <v>0</v>
      </c>
      <c r="AQ206" s="3">
        <f t="shared" si="192"/>
        <v>0</v>
      </c>
      <c r="AR206" s="3">
        <f t="shared" si="192"/>
        <v>46811.199999999997</v>
      </c>
      <c r="AS206" s="3">
        <f t="shared" si="192"/>
        <v>35749.839999999997</v>
      </c>
      <c r="AT206" s="3">
        <f t="shared" si="192"/>
        <v>11061.36</v>
      </c>
      <c r="AU206" s="3">
        <f t="shared" ref="AU206:BZ206" si="193">AU229</f>
        <v>0</v>
      </c>
      <c r="AV206" s="3">
        <f t="shared" si="193"/>
        <v>46811.199999999997</v>
      </c>
      <c r="AW206" s="3">
        <f t="shared" si="193"/>
        <v>46811.199999999997</v>
      </c>
      <c r="AX206" s="3">
        <f t="shared" si="193"/>
        <v>0</v>
      </c>
      <c r="AY206" s="3">
        <f t="shared" si="193"/>
        <v>46811.199999999997</v>
      </c>
      <c r="AZ206" s="3">
        <f t="shared" si="193"/>
        <v>0</v>
      </c>
      <c r="BA206" s="3">
        <f t="shared" si="193"/>
        <v>0</v>
      </c>
      <c r="BB206" s="3">
        <f t="shared" si="193"/>
        <v>0</v>
      </c>
      <c r="BC206" s="3">
        <f t="shared" si="193"/>
        <v>0</v>
      </c>
      <c r="BD206" s="3">
        <f t="shared" si="193"/>
        <v>0</v>
      </c>
      <c r="BE206" s="3">
        <f t="shared" si="193"/>
        <v>0</v>
      </c>
      <c r="BF206" s="3">
        <f t="shared" si="193"/>
        <v>0</v>
      </c>
      <c r="BG206" s="3">
        <f t="shared" si="193"/>
        <v>0</v>
      </c>
      <c r="BH206" s="3">
        <f t="shared" si="193"/>
        <v>0</v>
      </c>
      <c r="BI206" s="3">
        <f t="shared" si="193"/>
        <v>0</v>
      </c>
      <c r="BJ206" s="3">
        <f t="shared" si="193"/>
        <v>0</v>
      </c>
      <c r="BK206" s="3">
        <f t="shared" si="193"/>
        <v>0</v>
      </c>
      <c r="BL206" s="3">
        <f t="shared" si="193"/>
        <v>0</v>
      </c>
      <c r="BM206" s="3">
        <f t="shared" si="193"/>
        <v>0</v>
      </c>
      <c r="BN206" s="3">
        <f t="shared" si="193"/>
        <v>0</v>
      </c>
      <c r="BO206" s="3">
        <f t="shared" si="193"/>
        <v>0</v>
      </c>
      <c r="BP206" s="3">
        <f t="shared" si="193"/>
        <v>0</v>
      </c>
      <c r="BQ206" s="3">
        <f t="shared" si="193"/>
        <v>0</v>
      </c>
      <c r="BR206" s="3">
        <f t="shared" si="193"/>
        <v>0</v>
      </c>
      <c r="BS206" s="3">
        <f t="shared" si="193"/>
        <v>0</v>
      </c>
      <c r="BT206" s="3">
        <f t="shared" si="193"/>
        <v>0</v>
      </c>
      <c r="BU206" s="3">
        <f t="shared" si="193"/>
        <v>0</v>
      </c>
      <c r="BV206" s="3">
        <f t="shared" si="193"/>
        <v>0</v>
      </c>
      <c r="BW206" s="3">
        <f t="shared" si="193"/>
        <v>0</v>
      </c>
      <c r="BX206" s="3">
        <f t="shared" si="193"/>
        <v>0</v>
      </c>
      <c r="BY206" s="3">
        <f t="shared" si="193"/>
        <v>0</v>
      </c>
      <c r="BZ206" s="3">
        <f t="shared" si="193"/>
        <v>0</v>
      </c>
      <c r="CA206" s="3">
        <f t="shared" ref="CA206:DF206" si="194">CA229</f>
        <v>46811.199999999997</v>
      </c>
      <c r="CB206" s="3">
        <f t="shared" si="194"/>
        <v>35749.839999999997</v>
      </c>
      <c r="CC206" s="3">
        <f t="shared" si="194"/>
        <v>11061.36</v>
      </c>
      <c r="CD206" s="3">
        <f t="shared" si="194"/>
        <v>0</v>
      </c>
      <c r="CE206" s="3">
        <f t="shared" si="194"/>
        <v>46811.199999999997</v>
      </c>
      <c r="CF206" s="3">
        <f t="shared" si="194"/>
        <v>46811.199999999997</v>
      </c>
      <c r="CG206" s="3">
        <f t="shared" si="194"/>
        <v>0</v>
      </c>
      <c r="CH206" s="3">
        <f t="shared" si="194"/>
        <v>46811.199999999997</v>
      </c>
      <c r="CI206" s="3">
        <f t="shared" si="194"/>
        <v>0</v>
      </c>
      <c r="CJ206" s="3">
        <f t="shared" si="194"/>
        <v>0</v>
      </c>
      <c r="CK206" s="3">
        <f t="shared" si="194"/>
        <v>0</v>
      </c>
      <c r="CL206" s="3">
        <f t="shared" si="194"/>
        <v>0</v>
      </c>
      <c r="CM206" s="3">
        <f t="shared" si="194"/>
        <v>0</v>
      </c>
      <c r="CN206" s="3">
        <f t="shared" si="194"/>
        <v>0</v>
      </c>
      <c r="CO206" s="3">
        <f t="shared" si="194"/>
        <v>0</v>
      </c>
      <c r="CP206" s="3">
        <f t="shared" si="194"/>
        <v>0</v>
      </c>
      <c r="CQ206" s="3">
        <f t="shared" si="194"/>
        <v>0</v>
      </c>
      <c r="CR206" s="3">
        <f t="shared" si="194"/>
        <v>0</v>
      </c>
      <c r="CS206" s="3">
        <f t="shared" si="194"/>
        <v>0</v>
      </c>
      <c r="CT206" s="3">
        <f t="shared" si="194"/>
        <v>0</v>
      </c>
      <c r="CU206" s="3">
        <f t="shared" si="194"/>
        <v>0</v>
      </c>
      <c r="CV206" s="3">
        <f t="shared" si="194"/>
        <v>0</v>
      </c>
      <c r="CW206" s="3">
        <f t="shared" si="194"/>
        <v>0</v>
      </c>
      <c r="CX206" s="3">
        <f t="shared" si="194"/>
        <v>0</v>
      </c>
      <c r="CY206" s="3">
        <f t="shared" si="194"/>
        <v>0</v>
      </c>
      <c r="CZ206" s="3">
        <f t="shared" si="194"/>
        <v>0</v>
      </c>
      <c r="DA206" s="3">
        <f t="shared" si="194"/>
        <v>0</v>
      </c>
      <c r="DB206" s="3">
        <f t="shared" si="194"/>
        <v>0</v>
      </c>
      <c r="DC206" s="3">
        <f t="shared" si="194"/>
        <v>0</v>
      </c>
      <c r="DD206" s="3">
        <f t="shared" si="194"/>
        <v>0</v>
      </c>
      <c r="DE206" s="3">
        <f t="shared" si="194"/>
        <v>0</v>
      </c>
      <c r="DF206" s="3">
        <f t="shared" si="194"/>
        <v>0</v>
      </c>
      <c r="DG206" s="4">
        <f t="shared" ref="DG206:EL206" si="195">DG229</f>
        <v>371542.91</v>
      </c>
      <c r="DH206" s="4">
        <f t="shared" si="195"/>
        <v>371542.91</v>
      </c>
      <c r="DI206" s="4">
        <f t="shared" si="195"/>
        <v>0</v>
      </c>
      <c r="DJ206" s="4">
        <f t="shared" si="195"/>
        <v>0</v>
      </c>
      <c r="DK206" s="4">
        <f t="shared" si="195"/>
        <v>0</v>
      </c>
      <c r="DL206" s="4">
        <f t="shared" si="195"/>
        <v>0</v>
      </c>
      <c r="DM206" s="4">
        <f t="shared" si="195"/>
        <v>0</v>
      </c>
      <c r="DN206" s="4">
        <f t="shared" si="195"/>
        <v>0</v>
      </c>
      <c r="DO206" s="4">
        <f t="shared" si="195"/>
        <v>0</v>
      </c>
      <c r="DP206" s="4">
        <f t="shared" si="195"/>
        <v>0</v>
      </c>
      <c r="DQ206" s="4">
        <f t="shared" si="195"/>
        <v>0</v>
      </c>
      <c r="DR206" s="4">
        <f t="shared" si="195"/>
        <v>0</v>
      </c>
      <c r="DS206" s="4">
        <f t="shared" si="195"/>
        <v>0</v>
      </c>
      <c r="DT206" s="4">
        <f t="shared" si="195"/>
        <v>371542.91</v>
      </c>
      <c r="DU206" s="4">
        <f t="shared" si="195"/>
        <v>371542.91</v>
      </c>
      <c r="DV206" s="4">
        <f t="shared" si="195"/>
        <v>0</v>
      </c>
      <c r="DW206" s="4">
        <f t="shared" si="195"/>
        <v>0</v>
      </c>
      <c r="DX206" s="4">
        <f t="shared" si="195"/>
        <v>0</v>
      </c>
      <c r="DY206" s="4">
        <f t="shared" si="195"/>
        <v>0</v>
      </c>
      <c r="DZ206" s="4">
        <f t="shared" si="195"/>
        <v>0</v>
      </c>
      <c r="EA206" s="4">
        <f t="shared" si="195"/>
        <v>0</v>
      </c>
      <c r="EB206" s="4">
        <f t="shared" si="195"/>
        <v>0</v>
      </c>
      <c r="EC206" s="4">
        <f t="shared" si="195"/>
        <v>0</v>
      </c>
      <c r="ED206" s="4">
        <f t="shared" si="195"/>
        <v>0</v>
      </c>
      <c r="EE206" s="4">
        <f t="shared" si="195"/>
        <v>0</v>
      </c>
      <c r="EF206" s="4">
        <f t="shared" si="195"/>
        <v>0</v>
      </c>
      <c r="EG206" s="4">
        <f t="shared" si="195"/>
        <v>0</v>
      </c>
      <c r="EH206" s="4">
        <f t="shared" si="195"/>
        <v>0</v>
      </c>
      <c r="EI206" s="4">
        <f t="shared" si="195"/>
        <v>0</v>
      </c>
      <c r="EJ206" s="4">
        <f t="shared" si="195"/>
        <v>371542.91</v>
      </c>
      <c r="EK206" s="4">
        <f t="shared" si="195"/>
        <v>348203.44</v>
      </c>
      <c r="EL206" s="4">
        <f t="shared" si="195"/>
        <v>23339.47</v>
      </c>
      <c r="EM206" s="4">
        <f t="shared" ref="EM206:FR206" si="196">EM229</f>
        <v>0</v>
      </c>
      <c r="EN206" s="4">
        <f t="shared" si="196"/>
        <v>371542.91</v>
      </c>
      <c r="EO206" s="4">
        <f t="shared" si="196"/>
        <v>371542.91</v>
      </c>
      <c r="EP206" s="4">
        <f t="shared" si="196"/>
        <v>0</v>
      </c>
      <c r="EQ206" s="4">
        <f t="shared" si="196"/>
        <v>371542.91</v>
      </c>
      <c r="ER206" s="4">
        <f t="shared" si="196"/>
        <v>0</v>
      </c>
      <c r="ES206" s="4">
        <f t="shared" si="196"/>
        <v>0</v>
      </c>
      <c r="ET206" s="4">
        <f t="shared" si="196"/>
        <v>0</v>
      </c>
      <c r="EU206" s="4">
        <f t="shared" si="196"/>
        <v>0</v>
      </c>
      <c r="EV206" s="4">
        <f t="shared" si="196"/>
        <v>0</v>
      </c>
      <c r="EW206" s="4">
        <f t="shared" si="196"/>
        <v>0</v>
      </c>
      <c r="EX206" s="4">
        <f t="shared" si="196"/>
        <v>0</v>
      </c>
      <c r="EY206" s="4">
        <f t="shared" si="196"/>
        <v>0</v>
      </c>
      <c r="EZ206" s="4">
        <f t="shared" si="196"/>
        <v>0</v>
      </c>
      <c r="FA206" s="4">
        <f t="shared" si="196"/>
        <v>0</v>
      </c>
      <c r="FB206" s="4">
        <f t="shared" si="196"/>
        <v>0</v>
      </c>
      <c r="FC206" s="4">
        <f t="shared" si="196"/>
        <v>0</v>
      </c>
      <c r="FD206" s="4">
        <f t="shared" si="196"/>
        <v>0</v>
      </c>
      <c r="FE206" s="4">
        <f t="shared" si="196"/>
        <v>0</v>
      </c>
      <c r="FF206" s="4">
        <f t="shared" si="196"/>
        <v>0</v>
      </c>
      <c r="FG206" s="4">
        <f t="shared" si="196"/>
        <v>0</v>
      </c>
      <c r="FH206" s="4">
        <f t="shared" si="196"/>
        <v>0</v>
      </c>
      <c r="FI206" s="4">
        <f t="shared" si="196"/>
        <v>0</v>
      </c>
      <c r="FJ206" s="4">
        <f t="shared" si="196"/>
        <v>0</v>
      </c>
      <c r="FK206" s="4">
        <f t="shared" si="196"/>
        <v>0</v>
      </c>
      <c r="FL206" s="4">
        <f t="shared" si="196"/>
        <v>0</v>
      </c>
      <c r="FM206" s="4">
        <f t="shared" si="196"/>
        <v>0</v>
      </c>
      <c r="FN206" s="4">
        <f t="shared" si="196"/>
        <v>0</v>
      </c>
      <c r="FO206" s="4">
        <f t="shared" si="196"/>
        <v>0</v>
      </c>
      <c r="FP206" s="4">
        <f t="shared" si="196"/>
        <v>0</v>
      </c>
      <c r="FQ206" s="4">
        <f t="shared" si="196"/>
        <v>0</v>
      </c>
      <c r="FR206" s="4">
        <f t="shared" si="196"/>
        <v>0</v>
      </c>
      <c r="FS206" s="4">
        <f t="shared" ref="FS206:GX206" si="197">FS229</f>
        <v>371542.91</v>
      </c>
      <c r="FT206" s="4">
        <f t="shared" si="197"/>
        <v>348203.44</v>
      </c>
      <c r="FU206" s="4">
        <f t="shared" si="197"/>
        <v>23339.47</v>
      </c>
      <c r="FV206" s="4">
        <f t="shared" si="197"/>
        <v>0</v>
      </c>
      <c r="FW206" s="4">
        <f t="shared" si="197"/>
        <v>371542.91</v>
      </c>
      <c r="FX206" s="4">
        <f t="shared" si="197"/>
        <v>371542.91</v>
      </c>
      <c r="FY206" s="4">
        <f t="shared" si="197"/>
        <v>0</v>
      </c>
      <c r="FZ206" s="4">
        <f t="shared" si="197"/>
        <v>371542.91</v>
      </c>
      <c r="GA206" s="4">
        <f t="shared" si="197"/>
        <v>0</v>
      </c>
      <c r="GB206" s="4">
        <f t="shared" si="197"/>
        <v>0</v>
      </c>
      <c r="GC206" s="4">
        <f t="shared" si="197"/>
        <v>0</v>
      </c>
      <c r="GD206" s="4">
        <f t="shared" si="197"/>
        <v>0</v>
      </c>
      <c r="GE206" s="4">
        <f t="shared" si="197"/>
        <v>0</v>
      </c>
      <c r="GF206" s="4">
        <f t="shared" si="197"/>
        <v>0</v>
      </c>
      <c r="GG206" s="4">
        <f t="shared" si="197"/>
        <v>0</v>
      </c>
      <c r="GH206" s="4">
        <f t="shared" si="197"/>
        <v>0</v>
      </c>
      <c r="GI206" s="4">
        <f t="shared" si="197"/>
        <v>0</v>
      </c>
      <c r="GJ206" s="4">
        <f t="shared" si="197"/>
        <v>0</v>
      </c>
      <c r="GK206" s="4">
        <f t="shared" si="197"/>
        <v>0</v>
      </c>
      <c r="GL206" s="4">
        <f t="shared" si="197"/>
        <v>0</v>
      </c>
      <c r="GM206" s="4">
        <f t="shared" si="197"/>
        <v>0</v>
      </c>
      <c r="GN206" s="4">
        <f t="shared" si="197"/>
        <v>0</v>
      </c>
      <c r="GO206" s="4">
        <f t="shared" si="197"/>
        <v>0</v>
      </c>
      <c r="GP206" s="4">
        <f t="shared" si="197"/>
        <v>0</v>
      </c>
      <c r="GQ206" s="4">
        <f t="shared" si="197"/>
        <v>0</v>
      </c>
      <c r="GR206" s="4">
        <f t="shared" si="197"/>
        <v>0</v>
      </c>
      <c r="GS206" s="4">
        <f t="shared" si="197"/>
        <v>0</v>
      </c>
      <c r="GT206" s="4">
        <f t="shared" si="197"/>
        <v>0</v>
      </c>
      <c r="GU206" s="4">
        <f t="shared" si="197"/>
        <v>0</v>
      </c>
      <c r="GV206" s="4">
        <f t="shared" si="197"/>
        <v>0</v>
      </c>
      <c r="GW206" s="4">
        <f t="shared" si="197"/>
        <v>0</v>
      </c>
      <c r="GX206" s="4">
        <f t="shared" si="197"/>
        <v>0</v>
      </c>
    </row>
    <row r="208" spans="1:255" x14ac:dyDescent="0.2">
      <c r="A208" s="2">
        <v>17</v>
      </c>
      <c r="B208" s="2">
        <v>1</v>
      </c>
      <c r="C208" s="2"/>
      <c r="D208" s="2"/>
      <c r="E208" s="2" t="s">
        <v>276</v>
      </c>
      <c r="F208" s="2" t="s">
        <v>91</v>
      </c>
      <c r="G208" s="2" t="s">
        <v>92</v>
      </c>
      <c r="H208" s="2" t="s">
        <v>93</v>
      </c>
      <c r="I208" s="2">
        <v>0</v>
      </c>
      <c r="J208" s="2">
        <v>0</v>
      </c>
      <c r="K208" s="2">
        <v>0</v>
      </c>
      <c r="L208" s="2"/>
      <c r="M208" s="2"/>
      <c r="N208" s="2"/>
      <c r="O208" s="2">
        <f t="shared" ref="O208:O227" si="198">ROUND(CP208,2)</f>
        <v>0</v>
      </c>
      <c r="P208" s="2">
        <f t="shared" ref="P208:P227" si="199">ROUND((ROUND((AC208*AW208*I208),2)*BC208),2)</f>
        <v>0</v>
      </c>
      <c r="Q208" s="2">
        <f t="shared" ref="Q208:Q227" si="200">(ROUND((ROUND((((ET208*1.1))*AV208*I208),2)*BB208),2)+ROUND((ROUND(((AE208-((EU208*1.1)))*AV208*I208),2)*BS208),2))</f>
        <v>0</v>
      </c>
      <c r="R208" s="2">
        <f t="shared" ref="R208:R227" si="201">ROUND((ROUND((AE208*AV208*I208),2)*BS208),2)</f>
        <v>0</v>
      </c>
      <c r="S208" s="2">
        <f t="shared" ref="S208:S227" si="202">ROUND((ROUND((AF208*AV208*I208),2)*BA208),2)</f>
        <v>0</v>
      </c>
      <c r="T208" s="2">
        <f t="shared" ref="T208:T227" si="203">ROUND(CU208*I208,2)</f>
        <v>0</v>
      </c>
      <c r="U208" s="2">
        <f t="shared" ref="U208:U227" si="204">CV208*I208</f>
        <v>0</v>
      </c>
      <c r="V208" s="2">
        <f t="shared" ref="V208:V227" si="205">CW208*I208</f>
        <v>0</v>
      </c>
      <c r="W208" s="2">
        <f t="shared" ref="W208:W227" si="206">ROUND(CX208*I208,2)</f>
        <v>0</v>
      </c>
      <c r="X208" s="2">
        <f t="shared" ref="X208:X227" si="207">ROUND(CY208,2)</f>
        <v>0</v>
      </c>
      <c r="Y208" s="2">
        <f t="shared" ref="Y208:Y227" si="208">ROUND(CZ208,2)</f>
        <v>0</v>
      </c>
      <c r="Z208" s="2"/>
      <c r="AA208" s="2">
        <v>56622586</v>
      </c>
      <c r="AB208" s="2">
        <f t="shared" ref="AB208:AB227" si="209">ROUND((AC208+AD208+AF208),6)</f>
        <v>104.99</v>
      </c>
      <c r="AC208" s="2">
        <f t="shared" ref="AC208:AC213" si="210">ROUND((ES208),6)</f>
        <v>104.99</v>
      </c>
      <c r="AD208" s="2">
        <f t="shared" ref="AD208:AD227" si="211">ROUND(((((ET208*1.1))-((EU208*1.1)))+AE208),6)</f>
        <v>0</v>
      </c>
      <c r="AE208" s="2">
        <f t="shared" ref="AE208:AE227" si="212">ROUND(((EU208*1.1)),6)</f>
        <v>0</v>
      </c>
      <c r="AF208" s="2">
        <f t="shared" ref="AF208:AF227" si="213">ROUND(((EV208*1.1)),6)</f>
        <v>0</v>
      </c>
      <c r="AG208" s="2">
        <f t="shared" ref="AG208:AG227" si="214">ROUND((AP208),6)</f>
        <v>0</v>
      </c>
      <c r="AH208" s="2">
        <f t="shared" ref="AH208:AH227" si="215">((EW208*1.1))</f>
        <v>0</v>
      </c>
      <c r="AI208" s="2">
        <f t="shared" ref="AI208:AI227" si="216">((EX208*1.1))</f>
        <v>0</v>
      </c>
      <c r="AJ208" s="2">
        <f t="shared" ref="AJ208:AJ227" si="217">(AS208)</f>
        <v>0</v>
      </c>
      <c r="AK208" s="2">
        <v>104.99</v>
      </c>
      <c r="AL208" s="2">
        <v>104.99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1</v>
      </c>
      <c r="AW208" s="2">
        <v>1</v>
      </c>
      <c r="AX208" s="2"/>
      <c r="AY208" s="2"/>
      <c r="AZ208" s="2">
        <v>1</v>
      </c>
      <c r="BA208" s="2">
        <v>1</v>
      </c>
      <c r="BB208" s="2">
        <v>1</v>
      </c>
      <c r="BC208" s="2">
        <v>1</v>
      </c>
      <c r="BD208" s="2" t="s">
        <v>3</v>
      </c>
      <c r="BE208" s="2" t="s">
        <v>3</v>
      </c>
      <c r="BF208" s="2" t="s">
        <v>3</v>
      </c>
      <c r="BG208" s="2" t="s">
        <v>3</v>
      </c>
      <c r="BH208" s="2">
        <v>3</v>
      </c>
      <c r="BI208" s="2">
        <v>1</v>
      </c>
      <c r="BJ208" s="2" t="s">
        <v>94</v>
      </c>
      <c r="BK208" s="2"/>
      <c r="BL208" s="2"/>
      <c r="BM208" s="2">
        <v>1617</v>
      </c>
      <c r="BN208" s="2">
        <v>0</v>
      </c>
      <c r="BO208" s="2" t="s">
        <v>3</v>
      </c>
      <c r="BP208" s="2">
        <v>0</v>
      </c>
      <c r="BQ208" s="2">
        <v>200</v>
      </c>
      <c r="BR208" s="2">
        <v>0</v>
      </c>
      <c r="BS208" s="2">
        <v>1</v>
      </c>
      <c r="BT208" s="2">
        <v>1</v>
      </c>
      <c r="BU208" s="2">
        <v>1</v>
      </c>
      <c r="BV208" s="2">
        <v>1</v>
      </c>
      <c r="BW208" s="2">
        <v>1</v>
      </c>
      <c r="BX208" s="2">
        <v>1</v>
      </c>
      <c r="BY208" s="2" t="s">
        <v>3</v>
      </c>
      <c r="BZ208" s="2">
        <v>0</v>
      </c>
      <c r="CA208" s="2">
        <v>0</v>
      </c>
      <c r="CB208" s="2" t="s">
        <v>3</v>
      </c>
      <c r="CC208" s="2"/>
      <c r="CD208" s="2"/>
      <c r="CE208" s="2">
        <v>30</v>
      </c>
      <c r="CF208" s="2">
        <v>0</v>
      </c>
      <c r="CG208" s="2">
        <v>0</v>
      </c>
      <c r="CH208" s="2"/>
      <c r="CI208" s="2"/>
      <c r="CJ208" s="2"/>
      <c r="CK208" s="2"/>
      <c r="CL208" s="2"/>
      <c r="CM208" s="2">
        <v>0</v>
      </c>
      <c r="CN208" s="2" t="s">
        <v>671</v>
      </c>
      <c r="CO208" s="2">
        <v>0</v>
      </c>
      <c r="CP208" s="2">
        <f t="shared" ref="CP208:CP227" si="218">(P208+Q208+S208)</f>
        <v>0</v>
      </c>
      <c r="CQ208" s="2">
        <f t="shared" ref="CQ208:CQ227" si="219">ROUND((ROUND((AC208*AW208*1),2)*BC208),2)</f>
        <v>104.99</v>
      </c>
      <c r="CR208" s="2">
        <f t="shared" ref="CR208:CR227" si="220">(ROUND((ROUND((((ET208*1.1))*AV208*1),2)*BB208),2)+ROUND((ROUND(((AE208-((EU208*1.1)))*AV208*1),2)*BS208),2))</f>
        <v>0</v>
      </c>
      <c r="CS208" s="2">
        <f t="shared" ref="CS208:CS227" si="221">ROUND((ROUND((AE208*AV208*1),2)*BS208),2)</f>
        <v>0</v>
      </c>
      <c r="CT208" s="2">
        <f t="shared" ref="CT208:CT227" si="222">ROUND((ROUND((AF208*AV208*1),2)*BA208),2)</f>
        <v>0</v>
      </c>
      <c r="CU208" s="2">
        <f t="shared" ref="CU208:CU227" si="223">AG208</f>
        <v>0</v>
      </c>
      <c r="CV208" s="2">
        <f t="shared" ref="CV208:CV227" si="224">(AH208*AV208)</f>
        <v>0</v>
      </c>
      <c r="CW208" s="2">
        <f t="shared" ref="CW208:CW227" si="225">AI208</f>
        <v>0</v>
      </c>
      <c r="CX208" s="2">
        <f t="shared" ref="CX208:CX227" si="226">AJ208</f>
        <v>0</v>
      </c>
      <c r="CY208" s="2">
        <f>((S208*BZ208)/100)</f>
        <v>0</v>
      </c>
      <c r="CZ208" s="2">
        <f>((S208*CA208)/100)</f>
        <v>0</v>
      </c>
      <c r="DA208" s="2"/>
      <c r="DB208" s="2"/>
      <c r="DC208" s="2" t="s">
        <v>3</v>
      </c>
      <c r="DD208" s="2" t="s">
        <v>3</v>
      </c>
      <c r="DE208" s="2" t="s">
        <v>22</v>
      </c>
      <c r="DF208" s="2" t="s">
        <v>22</v>
      </c>
      <c r="DG208" s="2" t="s">
        <v>22</v>
      </c>
      <c r="DH208" s="2" t="s">
        <v>3</v>
      </c>
      <c r="DI208" s="2" t="s">
        <v>22</v>
      </c>
      <c r="DJ208" s="2" t="s">
        <v>22</v>
      </c>
      <c r="DK208" s="2" t="s">
        <v>3</v>
      </c>
      <c r="DL208" s="2" t="s">
        <v>3</v>
      </c>
      <c r="DM208" s="2" t="s">
        <v>3</v>
      </c>
      <c r="DN208" s="2">
        <v>0</v>
      </c>
      <c r="DO208" s="2">
        <v>0</v>
      </c>
      <c r="DP208" s="2">
        <v>1</v>
      </c>
      <c r="DQ208" s="2">
        <v>1</v>
      </c>
      <c r="DR208" s="2"/>
      <c r="DS208" s="2"/>
      <c r="DT208" s="2"/>
      <c r="DU208" s="2">
        <v>1007</v>
      </c>
      <c r="DV208" s="2" t="s">
        <v>93</v>
      </c>
      <c r="DW208" s="2" t="s">
        <v>93</v>
      </c>
      <c r="DX208" s="2">
        <v>1</v>
      </c>
      <c r="DY208" s="2"/>
      <c r="DZ208" s="2" t="s">
        <v>3</v>
      </c>
      <c r="EA208" s="2" t="s">
        <v>3</v>
      </c>
      <c r="EB208" s="2" t="s">
        <v>3</v>
      </c>
      <c r="EC208" s="2" t="s">
        <v>3</v>
      </c>
      <c r="ED208" s="2"/>
      <c r="EE208" s="2">
        <v>51697656</v>
      </c>
      <c r="EF208" s="2">
        <v>200</v>
      </c>
      <c r="EG208" s="2" t="s">
        <v>57</v>
      </c>
      <c r="EH208" s="2">
        <v>0</v>
      </c>
      <c r="EI208" s="2" t="s">
        <v>3</v>
      </c>
      <c r="EJ208" s="2">
        <v>1</v>
      </c>
      <c r="EK208" s="2">
        <v>1617</v>
      </c>
      <c r="EL208" s="2" t="s">
        <v>58</v>
      </c>
      <c r="EM208" s="2" t="s">
        <v>59</v>
      </c>
      <c r="EN208" s="2"/>
      <c r="EO208" s="2" t="s">
        <v>25</v>
      </c>
      <c r="EP208" s="2"/>
      <c r="EQ208" s="2">
        <v>131072</v>
      </c>
      <c r="ER208" s="2">
        <v>104.99</v>
      </c>
      <c r="ES208" s="2">
        <v>104.99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>
        <v>0</v>
      </c>
      <c r="FR208" s="2">
        <v>0</v>
      </c>
      <c r="FS208" s="2">
        <v>0</v>
      </c>
      <c r="FT208" s="2"/>
      <c r="FU208" s="2"/>
      <c r="FV208" s="2"/>
      <c r="FW208" s="2"/>
      <c r="FX208" s="2">
        <v>0</v>
      </c>
      <c r="FY208" s="2">
        <v>0</v>
      </c>
      <c r="FZ208" s="2"/>
      <c r="GA208" s="2" t="s">
        <v>3</v>
      </c>
      <c r="GB208" s="2"/>
      <c r="GC208" s="2"/>
      <c r="GD208" s="2">
        <v>0</v>
      </c>
      <c r="GE208" s="2"/>
      <c r="GF208" s="2">
        <v>-449487181</v>
      </c>
      <c r="GG208" s="2">
        <v>2</v>
      </c>
      <c r="GH208" s="2">
        <v>1</v>
      </c>
      <c r="GI208" s="2">
        <v>-2</v>
      </c>
      <c r="GJ208" s="2">
        <v>0</v>
      </c>
      <c r="GK208" s="2">
        <f>ROUND(R208*(R12)/100,2)</f>
        <v>0</v>
      </c>
      <c r="GL208" s="2">
        <f t="shared" ref="GL208:GL227" si="227">ROUND(IF(AND(BH208=3,BI208=3,FS208&lt;&gt;0),P208,0),2)</f>
        <v>0</v>
      </c>
      <c r="GM208" s="2">
        <f t="shared" ref="GM208:GM227" si="228">ROUND(O208+X208+Y208+GK208,2)+GX208</f>
        <v>0</v>
      </c>
      <c r="GN208" s="2">
        <f t="shared" ref="GN208:GN227" si="229">IF(OR(BI208=0,BI208=1),GM208-GX208,0)</f>
        <v>0</v>
      </c>
      <c r="GO208" s="2">
        <f t="shared" ref="GO208:GO227" si="230">IF(BI208=2,GM208-GX208,0)</f>
        <v>0</v>
      </c>
      <c r="GP208" s="2">
        <f t="shared" ref="GP208:GP227" si="231">IF(BI208=4,GM208-GX208,0)</f>
        <v>0</v>
      </c>
      <c r="GQ208" s="2"/>
      <c r="GR208" s="2">
        <v>0</v>
      </c>
      <c r="GS208" s="2">
        <v>0</v>
      </c>
      <c r="GT208" s="2">
        <v>0</v>
      </c>
      <c r="GU208" s="2" t="s">
        <v>3</v>
      </c>
      <c r="GV208" s="2">
        <f t="shared" ref="GV208:GV227" si="232">ROUND((GT208),6)</f>
        <v>0</v>
      </c>
      <c r="GW208" s="2">
        <v>1</v>
      </c>
      <c r="GX208" s="2">
        <f t="shared" ref="GX208:GX227" si="233">ROUND(HC208*I208,2)</f>
        <v>0</v>
      </c>
      <c r="GY208" s="2"/>
      <c r="GZ208" s="2"/>
      <c r="HA208" s="2">
        <v>0</v>
      </c>
      <c r="HB208" s="2">
        <v>0</v>
      </c>
      <c r="HC208" s="2">
        <f t="shared" ref="HC208:HC227" si="234">GV208*GW208</f>
        <v>0</v>
      </c>
      <c r="HD208" s="2"/>
      <c r="HE208" s="2" t="s">
        <v>3</v>
      </c>
      <c r="HF208" s="2" t="s">
        <v>3</v>
      </c>
      <c r="HG208" s="2"/>
      <c r="HH208" s="2"/>
      <c r="HI208" s="2"/>
      <c r="HJ208" s="2"/>
      <c r="HK208" s="2"/>
      <c r="HL208" s="2"/>
      <c r="HM208" s="2" t="s">
        <v>3</v>
      </c>
      <c r="HN208" s="2" t="s">
        <v>3</v>
      </c>
      <c r="HO208" s="2" t="s">
        <v>3</v>
      </c>
      <c r="HP208" s="2" t="s">
        <v>3</v>
      </c>
      <c r="HQ208" s="2" t="s">
        <v>3</v>
      </c>
      <c r="HR208" s="2"/>
      <c r="HS208" s="2">
        <v>0</v>
      </c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>
        <v>0</v>
      </c>
      <c r="IL208" s="2"/>
      <c r="IM208" s="2"/>
      <c r="IN208" s="2"/>
      <c r="IO208" s="2"/>
      <c r="IP208" s="2"/>
      <c r="IQ208" s="2"/>
      <c r="IR208" s="2"/>
      <c r="IS208" s="2"/>
      <c r="IT208" s="2"/>
      <c r="IU208" s="2"/>
    </row>
    <row r="209" spans="1:255" x14ac:dyDescent="0.2">
      <c r="A209">
        <v>17</v>
      </c>
      <c r="B209">
        <v>1</v>
      </c>
      <c r="E209" t="s">
        <v>276</v>
      </c>
      <c r="F209" t="s">
        <v>91</v>
      </c>
      <c r="G209" t="s">
        <v>92</v>
      </c>
      <c r="H209" t="s">
        <v>93</v>
      </c>
      <c r="I209">
        <v>0</v>
      </c>
      <c r="J209">
        <v>0</v>
      </c>
      <c r="K209">
        <v>0</v>
      </c>
      <c r="O209">
        <f t="shared" si="198"/>
        <v>0</v>
      </c>
      <c r="P209">
        <f t="shared" si="199"/>
        <v>0</v>
      </c>
      <c r="Q209">
        <f t="shared" si="200"/>
        <v>0</v>
      </c>
      <c r="R209">
        <f t="shared" si="201"/>
        <v>0</v>
      </c>
      <c r="S209">
        <f t="shared" si="202"/>
        <v>0</v>
      </c>
      <c r="T209">
        <f t="shared" si="203"/>
        <v>0</v>
      </c>
      <c r="U209">
        <f t="shared" si="204"/>
        <v>0</v>
      </c>
      <c r="V209">
        <f t="shared" si="205"/>
        <v>0</v>
      </c>
      <c r="W209">
        <f t="shared" si="206"/>
        <v>0</v>
      </c>
      <c r="X209">
        <f t="shared" si="207"/>
        <v>0</v>
      </c>
      <c r="Y209">
        <f t="shared" si="208"/>
        <v>0</v>
      </c>
      <c r="AA209">
        <v>56616093</v>
      </c>
      <c r="AB209">
        <f t="shared" si="209"/>
        <v>104.99</v>
      </c>
      <c r="AC209">
        <f t="shared" si="210"/>
        <v>104.99</v>
      </c>
      <c r="AD209">
        <f t="shared" si="211"/>
        <v>0</v>
      </c>
      <c r="AE209">
        <f t="shared" si="212"/>
        <v>0</v>
      </c>
      <c r="AF209">
        <f t="shared" si="213"/>
        <v>0</v>
      </c>
      <c r="AG209">
        <f t="shared" si="214"/>
        <v>0</v>
      </c>
      <c r="AH209">
        <f t="shared" si="215"/>
        <v>0</v>
      </c>
      <c r="AI209">
        <f t="shared" si="216"/>
        <v>0</v>
      </c>
      <c r="AJ209">
        <f t="shared" si="217"/>
        <v>0</v>
      </c>
      <c r="AK209">
        <v>104.99</v>
      </c>
      <c r="AL209">
        <v>104.99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1</v>
      </c>
      <c r="AZ209">
        <v>1</v>
      </c>
      <c r="BA209">
        <v>1</v>
      </c>
      <c r="BB209">
        <v>1</v>
      </c>
      <c r="BC209">
        <v>7.69</v>
      </c>
      <c r="BD209" t="s">
        <v>3</v>
      </c>
      <c r="BE209" t="s">
        <v>3</v>
      </c>
      <c r="BF209" t="s">
        <v>3</v>
      </c>
      <c r="BG209" t="s">
        <v>3</v>
      </c>
      <c r="BH209">
        <v>3</v>
      </c>
      <c r="BI209">
        <v>1</v>
      </c>
      <c r="BJ209" t="s">
        <v>94</v>
      </c>
      <c r="BM209">
        <v>1617</v>
      </c>
      <c r="BN209">
        <v>0</v>
      </c>
      <c r="BO209" t="s">
        <v>91</v>
      </c>
      <c r="BP209">
        <v>1</v>
      </c>
      <c r="BQ209">
        <v>200</v>
      </c>
      <c r="BR209">
        <v>0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 t="s">
        <v>3</v>
      </c>
      <c r="BZ209">
        <v>0</v>
      </c>
      <c r="CA209">
        <v>0</v>
      </c>
      <c r="CB209" t="s">
        <v>3</v>
      </c>
      <c r="CE209">
        <v>30</v>
      </c>
      <c r="CF209">
        <v>0</v>
      </c>
      <c r="CG209">
        <v>0</v>
      </c>
      <c r="CM209">
        <v>0</v>
      </c>
      <c r="CN209" t="s">
        <v>671</v>
      </c>
      <c r="CO209">
        <v>0</v>
      </c>
      <c r="CP209">
        <f t="shared" si="218"/>
        <v>0</v>
      </c>
      <c r="CQ209">
        <f t="shared" si="219"/>
        <v>807.37</v>
      </c>
      <c r="CR209">
        <f t="shared" si="220"/>
        <v>0</v>
      </c>
      <c r="CS209">
        <f t="shared" si="221"/>
        <v>0</v>
      </c>
      <c r="CT209">
        <f t="shared" si="222"/>
        <v>0</v>
      </c>
      <c r="CU209">
        <f t="shared" si="223"/>
        <v>0</v>
      </c>
      <c r="CV209">
        <f t="shared" si="224"/>
        <v>0</v>
      </c>
      <c r="CW209">
        <f t="shared" si="225"/>
        <v>0</v>
      </c>
      <c r="CX209">
        <f t="shared" si="226"/>
        <v>0</v>
      </c>
      <c r="CY209">
        <f>S209*(BZ209/100)</f>
        <v>0</v>
      </c>
      <c r="CZ209">
        <f>S209*(CA209/100)</f>
        <v>0</v>
      </c>
      <c r="DC209" t="s">
        <v>3</v>
      </c>
      <c r="DD209" t="s">
        <v>3</v>
      </c>
      <c r="DE209" t="s">
        <v>22</v>
      </c>
      <c r="DF209" t="s">
        <v>22</v>
      </c>
      <c r="DG209" t="s">
        <v>22</v>
      </c>
      <c r="DH209" t="s">
        <v>3</v>
      </c>
      <c r="DI209" t="s">
        <v>22</v>
      </c>
      <c r="DJ209" t="s">
        <v>22</v>
      </c>
      <c r="DK209" t="s">
        <v>3</v>
      </c>
      <c r="DL209" t="s">
        <v>3</v>
      </c>
      <c r="DM209" t="s">
        <v>3</v>
      </c>
      <c r="DN209">
        <v>0</v>
      </c>
      <c r="DO209">
        <v>0</v>
      </c>
      <c r="DP209">
        <v>1</v>
      </c>
      <c r="DQ209">
        <v>1</v>
      </c>
      <c r="DU209">
        <v>1007</v>
      </c>
      <c r="DV209" t="s">
        <v>93</v>
      </c>
      <c r="DW209" t="s">
        <v>93</v>
      </c>
      <c r="DX209">
        <v>1</v>
      </c>
      <c r="DZ209" t="s">
        <v>3</v>
      </c>
      <c r="EA209" t="s">
        <v>3</v>
      </c>
      <c r="EB209" t="s">
        <v>3</v>
      </c>
      <c r="EC209" t="s">
        <v>3</v>
      </c>
      <c r="EE209">
        <v>51697656</v>
      </c>
      <c r="EF209">
        <v>200</v>
      </c>
      <c r="EG209" t="s">
        <v>57</v>
      </c>
      <c r="EH209">
        <v>0</v>
      </c>
      <c r="EI209" t="s">
        <v>3</v>
      </c>
      <c r="EJ209">
        <v>1</v>
      </c>
      <c r="EK209">
        <v>1617</v>
      </c>
      <c r="EL209" t="s">
        <v>58</v>
      </c>
      <c r="EM209" t="s">
        <v>59</v>
      </c>
      <c r="EO209" t="s">
        <v>25</v>
      </c>
      <c r="EQ209">
        <v>131072</v>
      </c>
      <c r="ER209">
        <v>104.99</v>
      </c>
      <c r="ES209">
        <v>104.99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FQ209">
        <v>0</v>
      </c>
      <c r="FR209">
        <v>0</v>
      </c>
      <c r="FS209">
        <v>0</v>
      </c>
      <c r="FX209">
        <v>0</v>
      </c>
      <c r="FY209">
        <v>0</v>
      </c>
      <c r="GA209" t="s">
        <v>3</v>
      </c>
      <c r="GD209">
        <v>0</v>
      </c>
      <c r="GF209">
        <v>-449487181</v>
      </c>
      <c r="GG209">
        <v>2</v>
      </c>
      <c r="GH209">
        <v>1</v>
      </c>
      <c r="GI209">
        <v>2</v>
      </c>
      <c r="GJ209">
        <v>0</v>
      </c>
      <c r="GK209">
        <f>ROUND(R209*(S12)/100,2)</f>
        <v>0</v>
      </c>
      <c r="GL209">
        <f t="shared" si="227"/>
        <v>0</v>
      </c>
      <c r="GM209">
        <f t="shared" si="228"/>
        <v>0</v>
      </c>
      <c r="GN209">
        <f t="shared" si="229"/>
        <v>0</v>
      </c>
      <c r="GO209">
        <f t="shared" si="230"/>
        <v>0</v>
      </c>
      <c r="GP209">
        <f t="shared" si="231"/>
        <v>0</v>
      </c>
      <c r="GR209">
        <v>0</v>
      </c>
      <c r="GS209">
        <v>3</v>
      </c>
      <c r="GT209">
        <v>0</v>
      </c>
      <c r="GU209" t="s">
        <v>3</v>
      </c>
      <c r="GV209">
        <f t="shared" si="232"/>
        <v>0</v>
      </c>
      <c r="GW209">
        <v>1</v>
      </c>
      <c r="GX209">
        <f t="shared" si="233"/>
        <v>0</v>
      </c>
      <c r="HA209">
        <v>0</v>
      </c>
      <c r="HB209">
        <v>0</v>
      </c>
      <c r="HC209">
        <f t="shared" si="234"/>
        <v>0</v>
      </c>
      <c r="HE209" t="s">
        <v>3</v>
      </c>
      <c r="HF209" t="s">
        <v>3</v>
      </c>
      <c r="HM209" t="s">
        <v>3</v>
      </c>
      <c r="HN209" t="s">
        <v>3</v>
      </c>
      <c r="HO209" t="s">
        <v>3</v>
      </c>
      <c r="HP209" t="s">
        <v>3</v>
      </c>
      <c r="HQ209" t="s">
        <v>3</v>
      </c>
      <c r="HS209">
        <v>0</v>
      </c>
      <c r="IK209">
        <v>0</v>
      </c>
    </row>
    <row r="210" spans="1:255" x14ac:dyDescent="0.2">
      <c r="A210" s="2">
        <v>17</v>
      </c>
      <c r="B210" s="2">
        <v>1</v>
      </c>
      <c r="C210" s="2"/>
      <c r="D210" s="2"/>
      <c r="E210" s="2" t="s">
        <v>277</v>
      </c>
      <c r="F210" s="2" t="s">
        <v>278</v>
      </c>
      <c r="G210" s="2" t="s">
        <v>279</v>
      </c>
      <c r="H210" s="2" t="s">
        <v>55</v>
      </c>
      <c r="I210" s="2">
        <f>ROUND(199.98*1.02,9)</f>
        <v>203.9796</v>
      </c>
      <c r="J210" s="2">
        <v>0</v>
      </c>
      <c r="K210" s="2">
        <f>ROUND(199.98*1.02,9)</f>
        <v>203.9796</v>
      </c>
      <c r="L210" s="2"/>
      <c r="M210" s="2"/>
      <c r="N210" s="2"/>
      <c r="O210" s="2">
        <f t="shared" si="198"/>
        <v>25613.72</v>
      </c>
      <c r="P210" s="2">
        <f t="shared" si="199"/>
        <v>25613.72</v>
      </c>
      <c r="Q210" s="2">
        <f t="shared" si="200"/>
        <v>0</v>
      </c>
      <c r="R210" s="2">
        <f t="shared" si="201"/>
        <v>0</v>
      </c>
      <c r="S210" s="2">
        <f t="shared" si="202"/>
        <v>0</v>
      </c>
      <c r="T210" s="2">
        <f t="shared" si="203"/>
        <v>0</v>
      </c>
      <c r="U210" s="2">
        <f t="shared" si="204"/>
        <v>0</v>
      </c>
      <c r="V210" s="2">
        <f t="shared" si="205"/>
        <v>0</v>
      </c>
      <c r="W210" s="2">
        <f t="shared" si="206"/>
        <v>0</v>
      </c>
      <c r="X210" s="2">
        <f t="shared" si="207"/>
        <v>0</v>
      </c>
      <c r="Y210" s="2">
        <f t="shared" si="208"/>
        <v>0</v>
      </c>
      <c r="Z210" s="2"/>
      <c r="AA210" s="2">
        <v>56622586</v>
      </c>
      <c r="AB210" s="2">
        <f t="shared" si="209"/>
        <v>125.57</v>
      </c>
      <c r="AC210" s="2">
        <f t="shared" si="210"/>
        <v>125.57</v>
      </c>
      <c r="AD210" s="2">
        <f t="shared" si="211"/>
        <v>0</v>
      </c>
      <c r="AE210" s="2">
        <f t="shared" si="212"/>
        <v>0</v>
      </c>
      <c r="AF210" s="2">
        <f t="shared" si="213"/>
        <v>0</v>
      </c>
      <c r="AG210" s="2">
        <f t="shared" si="214"/>
        <v>0</v>
      </c>
      <c r="AH210" s="2">
        <f t="shared" si="215"/>
        <v>0</v>
      </c>
      <c r="AI210" s="2">
        <f t="shared" si="216"/>
        <v>0</v>
      </c>
      <c r="AJ210" s="2">
        <f t="shared" si="217"/>
        <v>0</v>
      </c>
      <c r="AK210" s="2">
        <v>125.57</v>
      </c>
      <c r="AL210" s="2">
        <v>125.57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1</v>
      </c>
      <c r="AW210" s="2">
        <v>1</v>
      </c>
      <c r="AX210" s="2"/>
      <c r="AY210" s="2"/>
      <c r="AZ210" s="2">
        <v>1</v>
      </c>
      <c r="BA210" s="2">
        <v>1</v>
      </c>
      <c r="BB210" s="2">
        <v>1</v>
      </c>
      <c r="BC210" s="2">
        <v>1</v>
      </c>
      <c r="BD210" s="2" t="s">
        <v>3</v>
      </c>
      <c r="BE210" s="2" t="s">
        <v>3</v>
      </c>
      <c r="BF210" s="2" t="s">
        <v>3</v>
      </c>
      <c r="BG210" s="2" t="s">
        <v>3</v>
      </c>
      <c r="BH210" s="2">
        <v>3</v>
      </c>
      <c r="BI210" s="2">
        <v>1</v>
      </c>
      <c r="BJ210" s="2" t="s">
        <v>3</v>
      </c>
      <c r="BK210" s="2"/>
      <c r="BL210" s="2"/>
      <c r="BM210" s="2">
        <v>400002</v>
      </c>
      <c r="BN210" s="2">
        <v>0</v>
      </c>
      <c r="BO210" s="2" t="s">
        <v>3</v>
      </c>
      <c r="BP210" s="2">
        <v>0</v>
      </c>
      <c r="BQ210" s="2">
        <v>202</v>
      </c>
      <c r="BR210" s="2">
        <v>0</v>
      </c>
      <c r="BS210" s="2">
        <v>1</v>
      </c>
      <c r="BT210" s="2">
        <v>1</v>
      </c>
      <c r="BU210" s="2">
        <v>1</v>
      </c>
      <c r="BV210" s="2">
        <v>1</v>
      </c>
      <c r="BW210" s="2">
        <v>1</v>
      </c>
      <c r="BX210" s="2">
        <v>1</v>
      </c>
      <c r="BY210" s="2" t="s">
        <v>3</v>
      </c>
      <c r="BZ210" s="2">
        <v>0</v>
      </c>
      <c r="CA210" s="2">
        <v>0</v>
      </c>
      <c r="CB210" s="2" t="s">
        <v>3</v>
      </c>
      <c r="CC210" s="2"/>
      <c r="CD210" s="2"/>
      <c r="CE210" s="2">
        <v>30</v>
      </c>
      <c r="CF210" s="2">
        <v>0</v>
      </c>
      <c r="CG210" s="2">
        <v>0</v>
      </c>
      <c r="CH210" s="2"/>
      <c r="CI210" s="2"/>
      <c r="CJ210" s="2"/>
      <c r="CK210" s="2"/>
      <c r="CL210" s="2"/>
      <c r="CM210" s="2">
        <v>0</v>
      </c>
      <c r="CN210" s="2" t="s">
        <v>671</v>
      </c>
      <c r="CO210" s="2">
        <v>0</v>
      </c>
      <c r="CP210" s="2">
        <f t="shared" si="218"/>
        <v>25613.72</v>
      </c>
      <c r="CQ210" s="2">
        <f t="shared" si="219"/>
        <v>125.57</v>
      </c>
      <c r="CR210" s="2">
        <f t="shared" si="220"/>
        <v>0</v>
      </c>
      <c r="CS210" s="2">
        <f t="shared" si="221"/>
        <v>0</v>
      </c>
      <c r="CT210" s="2">
        <f t="shared" si="222"/>
        <v>0</v>
      </c>
      <c r="CU210" s="2">
        <f t="shared" si="223"/>
        <v>0</v>
      </c>
      <c r="CV210" s="2">
        <f t="shared" si="224"/>
        <v>0</v>
      </c>
      <c r="CW210" s="2">
        <f t="shared" si="225"/>
        <v>0</v>
      </c>
      <c r="CX210" s="2">
        <f t="shared" si="226"/>
        <v>0</v>
      </c>
      <c r="CY210" s="2">
        <f>((S210*BZ210)/100)</f>
        <v>0</v>
      </c>
      <c r="CZ210" s="2">
        <f>((S210*CA210)/100)</f>
        <v>0</v>
      </c>
      <c r="DA210" s="2"/>
      <c r="DB210" s="2"/>
      <c r="DC210" s="2" t="s">
        <v>3</v>
      </c>
      <c r="DD210" s="2" t="s">
        <v>3</v>
      </c>
      <c r="DE210" s="2" t="s">
        <v>22</v>
      </c>
      <c r="DF210" s="2" t="s">
        <v>22</v>
      </c>
      <c r="DG210" s="2" t="s">
        <v>22</v>
      </c>
      <c r="DH210" s="2" t="s">
        <v>3</v>
      </c>
      <c r="DI210" s="2" t="s">
        <v>22</v>
      </c>
      <c r="DJ210" s="2" t="s">
        <v>22</v>
      </c>
      <c r="DK210" s="2" t="s">
        <v>3</v>
      </c>
      <c r="DL210" s="2" t="s">
        <v>3</v>
      </c>
      <c r="DM210" s="2" t="s">
        <v>3</v>
      </c>
      <c r="DN210" s="2">
        <v>0</v>
      </c>
      <c r="DO210" s="2">
        <v>0</v>
      </c>
      <c r="DP210" s="2">
        <v>1</v>
      </c>
      <c r="DQ210" s="2">
        <v>1</v>
      </c>
      <c r="DR210" s="2"/>
      <c r="DS210" s="2"/>
      <c r="DT210" s="2"/>
      <c r="DU210" s="2">
        <v>1003</v>
      </c>
      <c r="DV210" s="2" t="s">
        <v>55</v>
      </c>
      <c r="DW210" s="2" t="s">
        <v>55</v>
      </c>
      <c r="DX210" s="2">
        <v>1</v>
      </c>
      <c r="DY210" s="2"/>
      <c r="DZ210" s="2" t="s">
        <v>3</v>
      </c>
      <c r="EA210" s="2" t="s">
        <v>3</v>
      </c>
      <c r="EB210" s="2" t="s">
        <v>3</v>
      </c>
      <c r="EC210" s="2" t="s">
        <v>3</v>
      </c>
      <c r="ED210" s="2"/>
      <c r="EE210" s="2">
        <v>51698006</v>
      </c>
      <c r="EF210" s="2">
        <v>202</v>
      </c>
      <c r="EG210" s="2" t="s">
        <v>81</v>
      </c>
      <c r="EH210" s="2">
        <v>0</v>
      </c>
      <c r="EI210" s="2" t="s">
        <v>3</v>
      </c>
      <c r="EJ210" s="2">
        <v>1</v>
      </c>
      <c r="EK210" s="2">
        <v>400002</v>
      </c>
      <c r="EL210" s="2" t="s">
        <v>82</v>
      </c>
      <c r="EM210" s="2" t="s">
        <v>81</v>
      </c>
      <c r="EN210" s="2"/>
      <c r="EO210" s="2" t="s">
        <v>25</v>
      </c>
      <c r="EP210" s="2"/>
      <c r="EQ210" s="2">
        <v>131072</v>
      </c>
      <c r="ER210" s="2">
        <v>123.11</v>
      </c>
      <c r="ES210" s="2">
        <v>125.57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>
        <v>0</v>
      </c>
      <c r="FR210" s="2">
        <v>0</v>
      </c>
      <c r="FS210" s="2">
        <v>0</v>
      </c>
      <c r="FT210" s="2"/>
      <c r="FU210" s="2"/>
      <c r="FV210" s="2"/>
      <c r="FW210" s="2"/>
      <c r="FX210" s="2">
        <v>0</v>
      </c>
      <c r="FY210" s="2">
        <v>0</v>
      </c>
      <c r="FZ210" s="2"/>
      <c r="GA210" s="2" t="s">
        <v>280</v>
      </c>
      <c r="GB210" s="2"/>
      <c r="GC210" s="2"/>
      <c r="GD210" s="2">
        <v>0</v>
      </c>
      <c r="GE210" s="2"/>
      <c r="GF210" s="2">
        <v>-390915874</v>
      </c>
      <c r="GG210" s="2">
        <v>2</v>
      </c>
      <c r="GH210" s="2">
        <v>4</v>
      </c>
      <c r="GI210" s="2">
        <v>3</v>
      </c>
      <c r="GJ210" s="2">
        <v>0</v>
      </c>
      <c r="GK210" s="2">
        <f>ROUND(R210*(R12)/100,2)</f>
        <v>0</v>
      </c>
      <c r="GL210" s="2">
        <f t="shared" si="227"/>
        <v>0</v>
      </c>
      <c r="GM210" s="2">
        <f t="shared" si="228"/>
        <v>25613.72</v>
      </c>
      <c r="GN210" s="2">
        <f t="shared" si="229"/>
        <v>25613.72</v>
      </c>
      <c r="GO210" s="2">
        <f t="shared" si="230"/>
        <v>0</v>
      </c>
      <c r="GP210" s="2">
        <f t="shared" si="231"/>
        <v>0</v>
      </c>
      <c r="GQ210" s="2"/>
      <c r="GR210" s="2">
        <v>0</v>
      </c>
      <c r="GS210" s="2">
        <v>2</v>
      </c>
      <c r="GT210" s="2">
        <v>0</v>
      </c>
      <c r="GU210" s="2" t="s">
        <v>3</v>
      </c>
      <c r="GV210" s="2">
        <f t="shared" si="232"/>
        <v>0</v>
      </c>
      <c r="GW210" s="2">
        <v>1</v>
      </c>
      <c r="GX210" s="2">
        <f t="shared" si="233"/>
        <v>0</v>
      </c>
      <c r="GY210" s="2"/>
      <c r="GZ210" s="2"/>
      <c r="HA210" s="2">
        <v>0</v>
      </c>
      <c r="HB210" s="2">
        <v>0</v>
      </c>
      <c r="HC210" s="2">
        <f t="shared" si="234"/>
        <v>0</v>
      </c>
      <c r="HD210" s="2"/>
      <c r="HE210" s="2" t="s">
        <v>26</v>
      </c>
      <c r="HF210" s="2" t="s">
        <v>84</v>
      </c>
      <c r="HG210" s="2"/>
      <c r="HH210" s="2"/>
      <c r="HI210" s="2"/>
      <c r="HJ210" s="2"/>
      <c r="HK210" s="2"/>
      <c r="HL210" s="2"/>
      <c r="HM210" s="2" t="s">
        <v>3</v>
      </c>
      <c r="HN210" s="2" t="s">
        <v>3</v>
      </c>
      <c r="HO210" s="2" t="s">
        <v>3</v>
      </c>
      <c r="HP210" s="2" t="s">
        <v>3</v>
      </c>
      <c r="HQ210" s="2" t="s">
        <v>3</v>
      </c>
      <c r="HR210" s="2"/>
      <c r="HS210" s="2">
        <v>0</v>
      </c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>
        <v>0</v>
      </c>
      <c r="IL210" s="2"/>
      <c r="IM210" s="2"/>
      <c r="IN210" s="2"/>
      <c r="IO210" s="2"/>
      <c r="IP210" s="2"/>
      <c r="IQ210" s="2"/>
      <c r="IR210" s="2"/>
      <c r="IS210" s="2"/>
      <c r="IT210" s="2"/>
      <c r="IU210" s="2"/>
    </row>
    <row r="211" spans="1:255" x14ac:dyDescent="0.2">
      <c r="A211">
        <v>17</v>
      </c>
      <c r="B211">
        <v>1</v>
      </c>
      <c r="E211" t="s">
        <v>277</v>
      </c>
      <c r="F211" t="s">
        <v>278</v>
      </c>
      <c r="G211" t="s">
        <v>279</v>
      </c>
      <c r="H211" t="s">
        <v>55</v>
      </c>
      <c r="I211">
        <f>ROUND(199.98*1.02,9)</f>
        <v>203.9796</v>
      </c>
      <c r="J211">
        <v>0</v>
      </c>
      <c r="K211">
        <f>ROUND(199.98*1.02,9)</f>
        <v>203.9796</v>
      </c>
      <c r="O211">
        <f t="shared" si="198"/>
        <v>249477.63</v>
      </c>
      <c r="P211">
        <f t="shared" si="199"/>
        <v>249477.63</v>
      </c>
      <c r="Q211">
        <f t="shared" si="200"/>
        <v>0</v>
      </c>
      <c r="R211">
        <f t="shared" si="201"/>
        <v>0</v>
      </c>
      <c r="S211">
        <f t="shared" si="202"/>
        <v>0</v>
      </c>
      <c r="T211">
        <f t="shared" si="203"/>
        <v>0</v>
      </c>
      <c r="U211">
        <f t="shared" si="204"/>
        <v>0</v>
      </c>
      <c r="V211">
        <f t="shared" si="205"/>
        <v>0</v>
      </c>
      <c r="W211">
        <f t="shared" si="206"/>
        <v>0</v>
      </c>
      <c r="X211">
        <f t="shared" si="207"/>
        <v>0</v>
      </c>
      <c r="Y211">
        <f t="shared" si="208"/>
        <v>0</v>
      </c>
      <c r="AA211">
        <v>56616093</v>
      </c>
      <c r="AB211">
        <f t="shared" si="209"/>
        <v>125.57</v>
      </c>
      <c r="AC211">
        <f t="shared" si="210"/>
        <v>125.57</v>
      </c>
      <c r="AD211">
        <f t="shared" si="211"/>
        <v>0</v>
      </c>
      <c r="AE211">
        <f t="shared" si="212"/>
        <v>0</v>
      </c>
      <c r="AF211">
        <f t="shared" si="213"/>
        <v>0</v>
      </c>
      <c r="AG211">
        <f t="shared" si="214"/>
        <v>0</v>
      </c>
      <c r="AH211">
        <f t="shared" si="215"/>
        <v>0</v>
      </c>
      <c r="AI211">
        <f t="shared" si="216"/>
        <v>0</v>
      </c>
      <c r="AJ211">
        <f t="shared" si="217"/>
        <v>0</v>
      </c>
      <c r="AK211">
        <v>125.57</v>
      </c>
      <c r="AL211">
        <v>125.57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1</v>
      </c>
      <c r="AZ211">
        <v>1</v>
      </c>
      <c r="BA211">
        <v>1</v>
      </c>
      <c r="BB211">
        <v>1</v>
      </c>
      <c r="BC211">
        <v>9.74</v>
      </c>
      <c r="BD211" t="s">
        <v>3</v>
      </c>
      <c r="BE211" t="s">
        <v>3</v>
      </c>
      <c r="BF211" t="s">
        <v>3</v>
      </c>
      <c r="BG211" t="s">
        <v>3</v>
      </c>
      <c r="BH211">
        <v>3</v>
      </c>
      <c r="BI211">
        <v>1</v>
      </c>
      <c r="BJ211" t="s">
        <v>3</v>
      </c>
      <c r="BM211">
        <v>400002</v>
      </c>
      <c r="BN211">
        <v>0</v>
      </c>
      <c r="BO211" t="s">
        <v>3</v>
      </c>
      <c r="BP211">
        <v>0</v>
      </c>
      <c r="BQ211">
        <v>202</v>
      </c>
      <c r="BR211">
        <v>0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 t="s">
        <v>3</v>
      </c>
      <c r="BZ211">
        <v>0</v>
      </c>
      <c r="CA211">
        <v>0</v>
      </c>
      <c r="CB211" t="s">
        <v>3</v>
      </c>
      <c r="CE211">
        <v>30</v>
      </c>
      <c r="CF211">
        <v>0</v>
      </c>
      <c r="CG211">
        <v>0</v>
      </c>
      <c r="CM211">
        <v>0</v>
      </c>
      <c r="CN211" t="s">
        <v>671</v>
      </c>
      <c r="CO211">
        <v>0</v>
      </c>
      <c r="CP211">
        <f t="shared" si="218"/>
        <v>249477.63</v>
      </c>
      <c r="CQ211">
        <f t="shared" si="219"/>
        <v>1223.05</v>
      </c>
      <c r="CR211">
        <f t="shared" si="220"/>
        <v>0</v>
      </c>
      <c r="CS211">
        <f t="shared" si="221"/>
        <v>0</v>
      </c>
      <c r="CT211">
        <f t="shared" si="222"/>
        <v>0</v>
      </c>
      <c r="CU211">
        <f t="shared" si="223"/>
        <v>0</v>
      </c>
      <c r="CV211">
        <f t="shared" si="224"/>
        <v>0</v>
      </c>
      <c r="CW211">
        <f t="shared" si="225"/>
        <v>0</v>
      </c>
      <c r="CX211">
        <f t="shared" si="226"/>
        <v>0</v>
      </c>
      <c r="CY211">
        <f>S211*(BZ211/100)</f>
        <v>0</v>
      </c>
      <c r="CZ211">
        <f>S211*(CA211/100)</f>
        <v>0</v>
      </c>
      <c r="DC211" t="s">
        <v>3</v>
      </c>
      <c r="DD211" t="s">
        <v>3</v>
      </c>
      <c r="DE211" t="s">
        <v>22</v>
      </c>
      <c r="DF211" t="s">
        <v>22</v>
      </c>
      <c r="DG211" t="s">
        <v>22</v>
      </c>
      <c r="DH211" t="s">
        <v>3</v>
      </c>
      <c r="DI211" t="s">
        <v>22</v>
      </c>
      <c r="DJ211" t="s">
        <v>22</v>
      </c>
      <c r="DK211" t="s">
        <v>3</v>
      </c>
      <c r="DL211" t="s">
        <v>3</v>
      </c>
      <c r="DM211" t="s">
        <v>3</v>
      </c>
      <c r="DN211">
        <v>0</v>
      </c>
      <c r="DO211">
        <v>0</v>
      </c>
      <c r="DP211">
        <v>1</v>
      </c>
      <c r="DQ211">
        <v>1</v>
      </c>
      <c r="DU211">
        <v>1003</v>
      </c>
      <c r="DV211" t="s">
        <v>55</v>
      </c>
      <c r="DW211" t="s">
        <v>55</v>
      </c>
      <c r="DX211">
        <v>1</v>
      </c>
      <c r="DZ211" t="s">
        <v>3</v>
      </c>
      <c r="EA211" t="s">
        <v>3</v>
      </c>
      <c r="EB211" t="s">
        <v>3</v>
      </c>
      <c r="EC211" t="s">
        <v>3</v>
      </c>
      <c r="EE211">
        <v>51698006</v>
      </c>
      <c r="EF211">
        <v>202</v>
      </c>
      <c r="EG211" t="s">
        <v>81</v>
      </c>
      <c r="EH211">
        <v>0</v>
      </c>
      <c r="EI211" t="s">
        <v>3</v>
      </c>
      <c r="EJ211">
        <v>1</v>
      </c>
      <c r="EK211">
        <v>400002</v>
      </c>
      <c r="EL211" t="s">
        <v>82</v>
      </c>
      <c r="EM211" t="s">
        <v>81</v>
      </c>
      <c r="EO211" t="s">
        <v>25</v>
      </c>
      <c r="EQ211">
        <v>131072</v>
      </c>
      <c r="ER211">
        <v>125.57</v>
      </c>
      <c r="ES211">
        <v>125.57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5</v>
      </c>
      <c r="FC211">
        <v>0</v>
      </c>
      <c r="FD211">
        <v>18</v>
      </c>
      <c r="FF211">
        <v>1199.1099999999999</v>
      </c>
      <c r="FQ211">
        <v>0</v>
      </c>
      <c r="FR211">
        <v>0</v>
      </c>
      <c r="FS211">
        <v>0</v>
      </c>
      <c r="FX211">
        <v>0</v>
      </c>
      <c r="FY211">
        <v>0</v>
      </c>
      <c r="GA211" t="s">
        <v>280</v>
      </c>
      <c r="GD211">
        <v>0</v>
      </c>
      <c r="GF211">
        <v>-390915874</v>
      </c>
      <c r="GG211">
        <v>2</v>
      </c>
      <c r="GH211">
        <v>3</v>
      </c>
      <c r="GI211">
        <v>3</v>
      </c>
      <c r="GJ211">
        <v>0</v>
      </c>
      <c r="GK211">
        <f>ROUND(R211*(S12)/100,2)</f>
        <v>0</v>
      </c>
      <c r="GL211">
        <f t="shared" si="227"/>
        <v>0</v>
      </c>
      <c r="GM211">
        <f t="shared" si="228"/>
        <v>249477.63</v>
      </c>
      <c r="GN211">
        <f t="shared" si="229"/>
        <v>249477.63</v>
      </c>
      <c r="GO211">
        <f t="shared" si="230"/>
        <v>0</v>
      </c>
      <c r="GP211">
        <f t="shared" si="231"/>
        <v>0</v>
      </c>
      <c r="GR211">
        <v>1</v>
      </c>
      <c r="GS211">
        <v>1</v>
      </c>
      <c r="GT211">
        <v>0</v>
      </c>
      <c r="GU211" t="s">
        <v>3</v>
      </c>
      <c r="GV211">
        <f t="shared" si="232"/>
        <v>0</v>
      </c>
      <c r="GW211">
        <v>1</v>
      </c>
      <c r="GX211">
        <f t="shared" si="233"/>
        <v>0</v>
      </c>
      <c r="HA211">
        <v>0</v>
      </c>
      <c r="HB211">
        <v>0</v>
      </c>
      <c r="HC211">
        <f t="shared" si="234"/>
        <v>0</v>
      </c>
      <c r="HE211" t="s">
        <v>26</v>
      </c>
      <c r="HF211" t="s">
        <v>84</v>
      </c>
      <c r="HM211" t="s">
        <v>3</v>
      </c>
      <c r="HN211" t="s">
        <v>3</v>
      </c>
      <c r="HO211" t="s">
        <v>3</v>
      </c>
      <c r="HP211" t="s">
        <v>3</v>
      </c>
      <c r="HQ211" t="s">
        <v>3</v>
      </c>
      <c r="HS211">
        <v>0</v>
      </c>
      <c r="IK211">
        <v>0</v>
      </c>
    </row>
    <row r="212" spans="1:255" x14ac:dyDescent="0.2">
      <c r="A212" s="2">
        <v>17</v>
      </c>
      <c r="B212" s="2">
        <v>1</v>
      </c>
      <c r="C212" s="2"/>
      <c r="D212" s="2"/>
      <c r="E212" s="2" t="s">
        <v>281</v>
      </c>
      <c r="F212" s="2" t="s">
        <v>278</v>
      </c>
      <c r="G212" s="2" t="s">
        <v>282</v>
      </c>
      <c r="H212" s="2" t="s">
        <v>55</v>
      </c>
      <c r="I212" s="2">
        <f>ROUND(94.94*1.02,9)</f>
        <v>96.838800000000006</v>
      </c>
      <c r="J212" s="2">
        <v>0</v>
      </c>
      <c r="K212" s="2">
        <f>ROUND(94.94*1.02,9)</f>
        <v>96.838800000000006</v>
      </c>
      <c r="L212" s="2"/>
      <c r="M212" s="2"/>
      <c r="N212" s="2"/>
      <c r="O212" s="2">
        <f t="shared" si="198"/>
        <v>10136.120000000001</v>
      </c>
      <c r="P212" s="2">
        <f t="shared" si="199"/>
        <v>10136.120000000001</v>
      </c>
      <c r="Q212" s="2">
        <f t="shared" si="200"/>
        <v>0</v>
      </c>
      <c r="R212" s="2">
        <f t="shared" si="201"/>
        <v>0</v>
      </c>
      <c r="S212" s="2">
        <f t="shared" si="202"/>
        <v>0</v>
      </c>
      <c r="T212" s="2">
        <f t="shared" si="203"/>
        <v>0</v>
      </c>
      <c r="U212" s="2">
        <f t="shared" si="204"/>
        <v>0</v>
      </c>
      <c r="V212" s="2">
        <f t="shared" si="205"/>
        <v>0</v>
      </c>
      <c r="W212" s="2">
        <f t="shared" si="206"/>
        <v>0</v>
      </c>
      <c r="X212" s="2">
        <f t="shared" si="207"/>
        <v>0</v>
      </c>
      <c r="Y212" s="2">
        <f t="shared" si="208"/>
        <v>0</v>
      </c>
      <c r="Z212" s="2"/>
      <c r="AA212" s="2">
        <v>56622586</v>
      </c>
      <c r="AB212" s="2">
        <f t="shared" si="209"/>
        <v>104.67</v>
      </c>
      <c r="AC212" s="2">
        <f t="shared" si="210"/>
        <v>104.67</v>
      </c>
      <c r="AD212" s="2">
        <f t="shared" si="211"/>
        <v>0</v>
      </c>
      <c r="AE212" s="2">
        <f t="shared" si="212"/>
        <v>0</v>
      </c>
      <c r="AF212" s="2">
        <f t="shared" si="213"/>
        <v>0</v>
      </c>
      <c r="AG212" s="2">
        <f t="shared" si="214"/>
        <v>0</v>
      </c>
      <c r="AH212" s="2">
        <f t="shared" si="215"/>
        <v>0</v>
      </c>
      <c r="AI212" s="2">
        <f t="shared" si="216"/>
        <v>0</v>
      </c>
      <c r="AJ212" s="2">
        <f t="shared" si="217"/>
        <v>0</v>
      </c>
      <c r="AK212" s="2">
        <v>104.67</v>
      </c>
      <c r="AL212" s="2">
        <v>104.67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1</v>
      </c>
      <c r="AW212" s="2">
        <v>1</v>
      </c>
      <c r="AX212" s="2"/>
      <c r="AY212" s="2"/>
      <c r="AZ212" s="2">
        <v>1</v>
      </c>
      <c r="BA212" s="2">
        <v>1</v>
      </c>
      <c r="BB212" s="2">
        <v>1</v>
      </c>
      <c r="BC212" s="2">
        <v>1</v>
      </c>
      <c r="BD212" s="2" t="s">
        <v>3</v>
      </c>
      <c r="BE212" s="2" t="s">
        <v>3</v>
      </c>
      <c r="BF212" s="2" t="s">
        <v>3</v>
      </c>
      <c r="BG212" s="2" t="s">
        <v>3</v>
      </c>
      <c r="BH212" s="2">
        <v>3</v>
      </c>
      <c r="BI212" s="2">
        <v>1</v>
      </c>
      <c r="BJ212" s="2" t="s">
        <v>3</v>
      </c>
      <c r="BK212" s="2"/>
      <c r="BL212" s="2"/>
      <c r="BM212" s="2">
        <v>400002</v>
      </c>
      <c r="BN212" s="2">
        <v>0</v>
      </c>
      <c r="BO212" s="2" t="s">
        <v>3</v>
      </c>
      <c r="BP212" s="2">
        <v>0</v>
      </c>
      <c r="BQ212" s="2">
        <v>202</v>
      </c>
      <c r="BR212" s="2">
        <v>0</v>
      </c>
      <c r="BS212" s="2">
        <v>1</v>
      </c>
      <c r="BT212" s="2">
        <v>1</v>
      </c>
      <c r="BU212" s="2">
        <v>1</v>
      </c>
      <c r="BV212" s="2">
        <v>1</v>
      </c>
      <c r="BW212" s="2">
        <v>1</v>
      </c>
      <c r="BX212" s="2">
        <v>1</v>
      </c>
      <c r="BY212" s="2" t="s">
        <v>3</v>
      </c>
      <c r="BZ212" s="2">
        <v>0</v>
      </c>
      <c r="CA212" s="2">
        <v>0</v>
      </c>
      <c r="CB212" s="2" t="s">
        <v>3</v>
      </c>
      <c r="CC212" s="2"/>
      <c r="CD212" s="2"/>
      <c r="CE212" s="2">
        <v>30</v>
      </c>
      <c r="CF212" s="2">
        <v>0</v>
      </c>
      <c r="CG212" s="2">
        <v>0</v>
      </c>
      <c r="CH212" s="2"/>
      <c r="CI212" s="2"/>
      <c r="CJ212" s="2"/>
      <c r="CK212" s="2"/>
      <c r="CL212" s="2"/>
      <c r="CM212" s="2">
        <v>0</v>
      </c>
      <c r="CN212" s="2" t="s">
        <v>671</v>
      </c>
      <c r="CO212" s="2">
        <v>0</v>
      </c>
      <c r="CP212" s="2">
        <f t="shared" si="218"/>
        <v>10136.120000000001</v>
      </c>
      <c r="CQ212" s="2">
        <f t="shared" si="219"/>
        <v>104.67</v>
      </c>
      <c r="CR212" s="2">
        <f t="shared" si="220"/>
        <v>0</v>
      </c>
      <c r="CS212" s="2">
        <f t="shared" si="221"/>
        <v>0</v>
      </c>
      <c r="CT212" s="2">
        <f t="shared" si="222"/>
        <v>0</v>
      </c>
      <c r="CU212" s="2">
        <f t="shared" si="223"/>
        <v>0</v>
      </c>
      <c r="CV212" s="2">
        <f t="shared" si="224"/>
        <v>0</v>
      </c>
      <c r="CW212" s="2">
        <f t="shared" si="225"/>
        <v>0</v>
      </c>
      <c r="CX212" s="2">
        <f t="shared" si="226"/>
        <v>0</v>
      </c>
      <c r="CY212" s="2">
        <f>((S212*BZ212)/100)</f>
        <v>0</v>
      </c>
      <c r="CZ212" s="2">
        <f>((S212*CA212)/100)</f>
        <v>0</v>
      </c>
      <c r="DA212" s="2"/>
      <c r="DB212" s="2"/>
      <c r="DC212" s="2" t="s">
        <v>3</v>
      </c>
      <c r="DD212" s="2" t="s">
        <v>3</v>
      </c>
      <c r="DE212" s="2" t="s">
        <v>22</v>
      </c>
      <c r="DF212" s="2" t="s">
        <v>22</v>
      </c>
      <c r="DG212" s="2" t="s">
        <v>22</v>
      </c>
      <c r="DH212" s="2" t="s">
        <v>3</v>
      </c>
      <c r="DI212" s="2" t="s">
        <v>22</v>
      </c>
      <c r="DJ212" s="2" t="s">
        <v>22</v>
      </c>
      <c r="DK212" s="2" t="s">
        <v>3</v>
      </c>
      <c r="DL212" s="2" t="s">
        <v>3</v>
      </c>
      <c r="DM212" s="2" t="s">
        <v>3</v>
      </c>
      <c r="DN212" s="2">
        <v>0</v>
      </c>
      <c r="DO212" s="2">
        <v>0</v>
      </c>
      <c r="DP212" s="2">
        <v>1</v>
      </c>
      <c r="DQ212" s="2">
        <v>1</v>
      </c>
      <c r="DR212" s="2"/>
      <c r="DS212" s="2"/>
      <c r="DT212" s="2"/>
      <c r="DU212" s="2">
        <v>1003</v>
      </c>
      <c r="DV212" s="2" t="s">
        <v>55</v>
      </c>
      <c r="DW212" s="2" t="s">
        <v>55</v>
      </c>
      <c r="DX212" s="2">
        <v>1</v>
      </c>
      <c r="DY212" s="2"/>
      <c r="DZ212" s="2" t="s">
        <v>3</v>
      </c>
      <c r="EA212" s="2" t="s">
        <v>3</v>
      </c>
      <c r="EB212" s="2" t="s">
        <v>3</v>
      </c>
      <c r="EC212" s="2" t="s">
        <v>3</v>
      </c>
      <c r="ED212" s="2"/>
      <c r="EE212" s="2">
        <v>51698006</v>
      </c>
      <c r="EF212" s="2">
        <v>202</v>
      </c>
      <c r="EG212" s="2" t="s">
        <v>81</v>
      </c>
      <c r="EH212" s="2">
        <v>0</v>
      </c>
      <c r="EI212" s="2" t="s">
        <v>3</v>
      </c>
      <c r="EJ212" s="2">
        <v>1</v>
      </c>
      <c r="EK212" s="2">
        <v>400002</v>
      </c>
      <c r="EL212" s="2" t="s">
        <v>82</v>
      </c>
      <c r="EM212" s="2" t="s">
        <v>81</v>
      </c>
      <c r="EN212" s="2"/>
      <c r="EO212" s="2" t="s">
        <v>25</v>
      </c>
      <c r="EP212" s="2"/>
      <c r="EQ212" s="2">
        <v>131072</v>
      </c>
      <c r="ER212" s="2">
        <v>102.62</v>
      </c>
      <c r="ES212" s="2">
        <v>104.67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>
        <v>0</v>
      </c>
      <c r="FR212" s="2">
        <v>0</v>
      </c>
      <c r="FS212" s="2">
        <v>0</v>
      </c>
      <c r="FT212" s="2"/>
      <c r="FU212" s="2"/>
      <c r="FV212" s="2"/>
      <c r="FW212" s="2"/>
      <c r="FX212" s="2">
        <v>0</v>
      </c>
      <c r="FY212" s="2">
        <v>0</v>
      </c>
      <c r="FZ212" s="2"/>
      <c r="GA212" s="2" t="s">
        <v>283</v>
      </c>
      <c r="GB212" s="2"/>
      <c r="GC212" s="2"/>
      <c r="GD212" s="2">
        <v>0</v>
      </c>
      <c r="GE212" s="2"/>
      <c r="GF212" s="2">
        <v>-352757361</v>
      </c>
      <c r="GG212" s="2">
        <v>2</v>
      </c>
      <c r="GH212" s="2">
        <v>4</v>
      </c>
      <c r="GI212" s="2">
        <v>3</v>
      </c>
      <c r="GJ212" s="2">
        <v>0</v>
      </c>
      <c r="GK212" s="2">
        <f>ROUND(R212*(R12)/100,2)</f>
        <v>0</v>
      </c>
      <c r="GL212" s="2">
        <f t="shared" si="227"/>
        <v>0</v>
      </c>
      <c r="GM212" s="2">
        <f t="shared" si="228"/>
        <v>10136.120000000001</v>
      </c>
      <c r="GN212" s="2">
        <f t="shared" si="229"/>
        <v>10136.120000000001</v>
      </c>
      <c r="GO212" s="2">
        <f t="shared" si="230"/>
        <v>0</v>
      </c>
      <c r="GP212" s="2">
        <f t="shared" si="231"/>
        <v>0</v>
      </c>
      <c r="GQ212" s="2"/>
      <c r="GR212" s="2">
        <v>0</v>
      </c>
      <c r="GS212" s="2">
        <v>2</v>
      </c>
      <c r="GT212" s="2">
        <v>0</v>
      </c>
      <c r="GU212" s="2" t="s">
        <v>3</v>
      </c>
      <c r="GV212" s="2">
        <f t="shared" si="232"/>
        <v>0</v>
      </c>
      <c r="GW212" s="2">
        <v>1</v>
      </c>
      <c r="GX212" s="2">
        <f t="shared" si="233"/>
        <v>0</v>
      </c>
      <c r="GY212" s="2"/>
      <c r="GZ212" s="2"/>
      <c r="HA212" s="2">
        <v>0</v>
      </c>
      <c r="HB212" s="2">
        <v>0</v>
      </c>
      <c r="HC212" s="2">
        <f t="shared" si="234"/>
        <v>0</v>
      </c>
      <c r="HD212" s="2"/>
      <c r="HE212" s="2" t="s">
        <v>26</v>
      </c>
      <c r="HF212" s="2" t="s">
        <v>84</v>
      </c>
      <c r="HG212" s="2"/>
      <c r="HH212" s="2"/>
      <c r="HI212" s="2"/>
      <c r="HJ212" s="2"/>
      <c r="HK212" s="2"/>
      <c r="HL212" s="2"/>
      <c r="HM212" s="2" t="s">
        <v>3</v>
      </c>
      <c r="HN212" s="2" t="s">
        <v>3</v>
      </c>
      <c r="HO212" s="2" t="s">
        <v>3</v>
      </c>
      <c r="HP212" s="2" t="s">
        <v>3</v>
      </c>
      <c r="HQ212" s="2" t="s">
        <v>3</v>
      </c>
      <c r="HR212" s="2"/>
      <c r="HS212" s="2">
        <v>0</v>
      </c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>
        <v>0</v>
      </c>
      <c r="IL212" s="2"/>
      <c r="IM212" s="2"/>
      <c r="IN212" s="2"/>
      <c r="IO212" s="2"/>
      <c r="IP212" s="2"/>
      <c r="IQ212" s="2"/>
      <c r="IR212" s="2"/>
      <c r="IS212" s="2"/>
      <c r="IT212" s="2"/>
      <c r="IU212" s="2"/>
    </row>
    <row r="213" spans="1:255" x14ac:dyDescent="0.2">
      <c r="A213">
        <v>17</v>
      </c>
      <c r="B213">
        <v>1</v>
      </c>
      <c r="E213" t="s">
        <v>281</v>
      </c>
      <c r="F213" t="s">
        <v>278</v>
      </c>
      <c r="G213" t="s">
        <v>282</v>
      </c>
      <c r="H213" t="s">
        <v>55</v>
      </c>
      <c r="I213">
        <f>ROUND(94.94*1.02,9)</f>
        <v>96.838800000000006</v>
      </c>
      <c r="J213">
        <v>0</v>
      </c>
      <c r="K213">
        <f>ROUND(94.94*1.02,9)</f>
        <v>96.838800000000006</v>
      </c>
      <c r="O213">
        <f t="shared" si="198"/>
        <v>98725.81</v>
      </c>
      <c r="P213">
        <f t="shared" si="199"/>
        <v>98725.81</v>
      </c>
      <c r="Q213">
        <f t="shared" si="200"/>
        <v>0</v>
      </c>
      <c r="R213">
        <f t="shared" si="201"/>
        <v>0</v>
      </c>
      <c r="S213">
        <f t="shared" si="202"/>
        <v>0</v>
      </c>
      <c r="T213">
        <f t="shared" si="203"/>
        <v>0</v>
      </c>
      <c r="U213">
        <f t="shared" si="204"/>
        <v>0</v>
      </c>
      <c r="V213">
        <f t="shared" si="205"/>
        <v>0</v>
      </c>
      <c r="W213">
        <f t="shared" si="206"/>
        <v>0</v>
      </c>
      <c r="X213">
        <f t="shared" si="207"/>
        <v>0</v>
      </c>
      <c r="Y213">
        <f t="shared" si="208"/>
        <v>0</v>
      </c>
      <c r="AA213">
        <v>56616093</v>
      </c>
      <c r="AB213">
        <f t="shared" si="209"/>
        <v>104.67</v>
      </c>
      <c r="AC213">
        <f t="shared" si="210"/>
        <v>104.67</v>
      </c>
      <c r="AD213">
        <f t="shared" si="211"/>
        <v>0</v>
      </c>
      <c r="AE213">
        <f t="shared" si="212"/>
        <v>0</v>
      </c>
      <c r="AF213">
        <f t="shared" si="213"/>
        <v>0</v>
      </c>
      <c r="AG213">
        <f t="shared" si="214"/>
        <v>0</v>
      </c>
      <c r="AH213">
        <f t="shared" si="215"/>
        <v>0</v>
      </c>
      <c r="AI213">
        <f t="shared" si="216"/>
        <v>0</v>
      </c>
      <c r="AJ213">
        <f t="shared" si="217"/>
        <v>0</v>
      </c>
      <c r="AK213">
        <v>104.67</v>
      </c>
      <c r="AL213">
        <v>104.67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1</v>
      </c>
      <c r="AZ213">
        <v>1</v>
      </c>
      <c r="BA213">
        <v>1</v>
      </c>
      <c r="BB213">
        <v>1</v>
      </c>
      <c r="BC213">
        <v>9.74</v>
      </c>
      <c r="BD213" t="s">
        <v>3</v>
      </c>
      <c r="BE213" t="s">
        <v>3</v>
      </c>
      <c r="BF213" t="s">
        <v>3</v>
      </c>
      <c r="BG213" t="s">
        <v>3</v>
      </c>
      <c r="BH213">
        <v>3</v>
      </c>
      <c r="BI213">
        <v>1</v>
      </c>
      <c r="BJ213" t="s">
        <v>3</v>
      </c>
      <c r="BM213">
        <v>400002</v>
      </c>
      <c r="BN213">
        <v>0</v>
      </c>
      <c r="BO213" t="s">
        <v>3</v>
      </c>
      <c r="BP213">
        <v>0</v>
      </c>
      <c r="BQ213">
        <v>202</v>
      </c>
      <c r="BR213">
        <v>0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 t="s">
        <v>3</v>
      </c>
      <c r="BZ213">
        <v>0</v>
      </c>
      <c r="CA213">
        <v>0</v>
      </c>
      <c r="CB213" t="s">
        <v>3</v>
      </c>
      <c r="CE213">
        <v>30</v>
      </c>
      <c r="CF213">
        <v>0</v>
      </c>
      <c r="CG213">
        <v>0</v>
      </c>
      <c r="CM213">
        <v>0</v>
      </c>
      <c r="CN213" t="s">
        <v>671</v>
      </c>
      <c r="CO213">
        <v>0</v>
      </c>
      <c r="CP213">
        <f t="shared" si="218"/>
        <v>98725.81</v>
      </c>
      <c r="CQ213">
        <f t="shared" si="219"/>
        <v>1019.49</v>
      </c>
      <c r="CR213">
        <f t="shared" si="220"/>
        <v>0</v>
      </c>
      <c r="CS213">
        <f t="shared" si="221"/>
        <v>0</v>
      </c>
      <c r="CT213">
        <f t="shared" si="222"/>
        <v>0</v>
      </c>
      <c r="CU213">
        <f t="shared" si="223"/>
        <v>0</v>
      </c>
      <c r="CV213">
        <f t="shared" si="224"/>
        <v>0</v>
      </c>
      <c r="CW213">
        <f t="shared" si="225"/>
        <v>0</v>
      </c>
      <c r="CX213">
        <f t="shared" si="226"/>
        <v>0</v>
      </c>
      <c r="CY213">
        <f>S213*(BZ213/100)</f>
        <v>0</v>
      </c>
      <c r="CZ213">
        <f>S213*(CA213/100)</f>
        <v>0</v>
      </c>
      <c r="DC213" t="s">
        <v>3</v>
      </c>
      <c r="DD213" t="s">
        <v>3</v>
      </c>
      <c r="DE213" t="s">
        <v>22</v>
      </c>
      <c r="DF213" t="s">
        <v>22</v>
      </c>
      <c r="DG213" t="s">
        <v>22</v>
      </c>
      <c r="DH213" t="s">
        <v>3</v>
      </c>
      <c r="DI213" t="s">
        <v>22</v>
      </c>
      <c r="DJ213" t="s">
        <v>22</v>
      </c>
      <c r="DK213" t="s">
        <v>3</v>
      </c>
      <c r="DL213" t="s">
        <v>3</v>
      </c>
      <c r="DM213" t="s">
        <v>3</v>
      </c>
      <c r="DN213">
        <v>0</v>
      </c>
      <c r="DO213">
        <v>0</v>
      </c>
      <c r="DP213">
        <v>1</v>
      </c>
      <c r="DQ213">
        <v>1</v>
      </c>
      <c r="DU213">
        <v>1003</v>
      </c>
      <c r="DV213" t="s">
        <v>55</v>
      </c>
      <c r="DW213" t="s">
        <v>55</v>
      </c>
      <c r="DX213">
        <v>1</v>
      </c>
      <c r="DZ213" t="s">
        <v>3</v>
      </c>
      <c r="EA213" t="s">
        <v>3</v>
      </c>
      <c r="EB213" t="s">
        <v>3</v>
      </c>
      <c r="EC213" t="s">
        <v>3</v>
      </c>
      <c r="EE213">
        <v>51698006</v>
      </c>
      <c r="EF213">
        <v>202</v>
      </c>
      <c r="EG213" t="s">
        <v>81</v>
      </c>
      <c r="EH213">
        <v>0</v>
      </c>
      <c r="EI213" t="s">
        <v>3</v>
      </c>
      <c r="EJ213">
        <v>1</v>
      </c>
      <c r="EK213">
        <v>400002</v>
      </c>
      <c r="EL213" t="s">
        <v>82</v>
      </c>
      <c r="EM213" t="s">
        <v>81</v>
      </c>
      <c r="EO213" t="s">
        <v>25</v>
      </c>
      <c r="EQ213">
        <v>131072</v>
      </c>
      <c r="ER213">
        <v>104.67</v>
      </c>
      <c r="ES213">
        <v>104.67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5</v>
      </c>
      <c r="FC213">
        <v>0</v>
      </c>
      <c r="FD213">
        <v>18</v>
      </c>
      <c r="FF213">
        <v>999.51</v>
      </c>
      <c r="FQ213">
        <v>0</v>
      </c>
      <c r="FR213">
        <v>0</v>
      </c>
      <c r="FS213">
        <v>0</v>
      </c>
      <c r="FX213">
        <v>0</v>
      </c>
      <c r="FY213">
        <v>0</v>
      </c>
      <c r="GA213" t="s">
        <v>283</v>
      </c>
      <c r="GD213">
        <v>0</v>
      </c>
      <c r="GF213">
        <v>-352757361</v>
      </c>
      <c r="GG213">
        <v>2</v>
      </c>
      <c r="GH213">
        <v>3</v>
      </c>
      <c r="GI213">
        <v>3</v>
      </c>
      <c r="GJ213">
        <v>0</v>
      </c>
      <c r="GK213">
        <f>ROUND(R213*(S12)/100,2)</f>
        <v>0</v>
      </c>
      <c r="GL213">
        <f t="shared" si="227"/>
        <v>0</v>
      </c>
      <c r="GM213">
        <f t="shared" si="228"/>
        <v>98725.81</v>
      </c>
      <c r="GN213">
        <f t="shared" si="229"/>
        <v>98725.81</v>
      </c>
      <c r="GO213">
        <f t="shared" si="230"/>
        <v>0</v>
      </c>
      <c r="GP213">
        <f t="shared" si="231"/>
        <v>0</v>
      </c>
      <c r="GR213">
        <v>1</v>
      </c>
      <c r="GS213">
        <v>1</v>
      </c>
      <c r="GT213">
        <v>0</v>
      </c>
      <c r="GU213" t="s">
        <v>3</v>
      </c>
      <c r="GV213">
        <f t="shared" si="232"/>
        <v>0</v>
      </c>
      <c r="GW213">
        <v>1</v>
      </c>
      <c r="GX213">
        <f t="shared" si="233"/>
        <v>0</v>
      </c>
      <c r="HA213">
        <v>0</v>
      </c>
      <c r="HB213">
        <v>0</v>
      </c>
      <c r="HC213">
        <f t="shared" si="234"/>
        <v>0</v>
      </c>
      <c r="HE213" t="s">
        <v>26</v>
      </c>
      <c r="HF213" t="s">
        <v>84</v>
      </c>
      <c r="HM213" t="s">
        <v>3</v>
      </c>
      <c r="HN213" t="s">
        <v>3</v>
      </c>
      <c r="HO213" t="s">
        <v>3</v>
      </c>
      <c r="HP213" t="s">
        <v>3</v>
      </c>
      <c r="HQ213" t="s">
        <v>3</v>
      </c>
      <c r="HS213">
        <v>0</v>
      </c>
      <c r="IK213">
        <v>0</v>
      </c>
    </row>
    <row r="214" spans="1:255" x14ac:dyDescent="0.2">
      <c r="A214" s="2">
        <v>17</v>
      </c>
      <c r="B214" s="2">
        <v>1</v>
      </c>
      <c r="C214" s="2"/>
      <c r="D214" s="2"/>
      <c r="E214" s="2" t="s">
        <v>284</v>
      </c>
      <c r="F214" s="2" t="s">
        <v>278</v>
      </c>
      <c r="G214" s="2" t="s">
        <v>285</v>
      </c>
      <c r="H214" s="2" t="s">
        <v>55</v>
      </c>
      <c r="I214" s="2">
        <v>0</v>
      </c>
      <c r="J214" s="2">
        <v>0</v>
      </c>
      <c r="K214" s="2">
        <v>0</v>
      </c>
      <c r="L214" s="2"/>
      <c r="M214" s="2"/>
      <c r="N214" s="2"/>
      <c r="O214" s="2">
        <f t="shared" si="198"/>
        <v>0</v>
      </c>
      <c r="P214" s="2">
        <f t="shared" si="199"/>
        <v>0</v>
      </c>
      <c r="Q214" s="2">
        <f t="shared" si="200"/>
        <v>0</v>
      </c>
      <c r="R214" s="2">
        <f t="shared" si="201"/>
        <v>0</v>
      </c>
      <c r="S214" s="2">
        <f t="shared" si="202"/>
        <v>0</v>
      </c>
      <c r="T214" s="2">
        <f t="shared" si="203"/>
        <v>0</v>
      </c>
      <c r="U214" s="2">
        <f t="shared" si="204"/>
        <v>0</v>
      </c>
      <c r="V214" s="2">
        <f t="shared" si="205"/>
        <v>0</v>
      </c>
      <c r="W214" s="2">
        <f t="shared" si="206"/>
        <v>0</v>
      </c>
      <c r="X214" s="2">
        <f t="shared" si="207"/>
        <v>0</v>
      </c>
      <c r="Y214" s="2">
        <f t="shared" si="208"/>
        <v>0</v>
      </c>
      <c r="Z214" s="2"/>
      <c r="AA214" s="2">
        <v>56622586</v>
      </c>
      <c r="AB214" s="2">
        <f t="shared" si="209"/>
        <v>700.69920000000002</v>
      </c>
      <c r="AC214" s="2">
        <f>ROUND(((ES214*1.02)),6)</f>
        <v>700.69920000000002</v>
      </c>
      <c r="AD214" s="2">
        <f t="shared" si="211"/>
        <v>0</v>
      </c>
      <c r="AE214" s="2">
        <f t="shared" si="212"/>
        <v>0</v>
      </c>
      <c r="AF214" s="2">
        <f t="shared" si="213"/>
        <v>0</v>
      </c>
      <c r="AG214" s="2">
        <f t="shared" si="214"/>
        <v>0</v>
      </c>
      <c r="AH214" s="2">
        <f t="shared" si="215"/>
        <v>0</v>
      </c>
      <c r="AI214" s="2">
        <f t="shared" si="216"/>
        <v>0</v>
      </c>
      <c r="AJ214" s="2">
        <f t="shared" si="217"/>
        <v>0</v>
      </c>
      <c r="AK214" s="2">
        <v>686.96</v>
      </c>
      <c r="AL214" s="2">
        <v>686.96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1</v>
      </c>
      <c r="AW214" s="2">
        <v>1</v>
      </c>
      <c r="AX214" s="2"/>
      <c r="AY214" s="2"/>
      <c r="AZ214" s="2">
        <v>1</v>
      </c>
      <c r="BA214" s="2">
        <v>1</v>
      </c>
      <c r="BB214" s="2">
        <v>1</v>
      </c>
      <c r="BC214" s="2">
        <v>1</v>
      </c>
      <c r="BD214" s="2" t="s">
        <v>3</v>
      </c>
      <c r="BE214" s="2" t="s">
        <v>3</v>
      </c>
      <c r="BF214" s="2" t="s">
        <v>3</v>
      </c>
      <c r="BG214" s="2" t="s">
        <v>3</v>
      </c>
      <c r="BH214" s="2">
        <v>3</v>
      </c>
      <c r="BI214" s="2">
        <v>1</v>
      </c>
      <c r="BJ214" s="2" t="s">
        <v>3</v>
      </c>
      <c r="BK214" s="2"/>
      <c r="BL214" s="2"/>
      <c r="BM214" s="2">
        <v>400002</v>
      </c>
      <c r="BN214" s="2">
        <v>0</v>
      </c>
      <c r="BO214" s="2" t="s">
        <v>3</v>
      </c>
      <c r="BP214" s="2">
        <v>0</v>
      </c>
      <c r="BQ214" s="2">
        <v>202</v>
      </c>
      <c r="BR214" s="2">
        <v>0</v>
      </c>
      <c r="BS214" s="2">
        <v>1</v>
      </c>
      <c r="BT214" s="2">
        <v>1</v>
      </c>
      <c r="BU214" s="2">
        <v>1</v>
      </c>
      <c r="BV214" s="2">
        <v>1</v>
      </c>
      <c r="BW214" s="2">
        <v>1</v>
      </c>
      <c r="BX214" s="2">
        <v>1</v>
      </c>
      <c r="BY214" s="2" t="s">
        <v>3</v>
      </c>
      <c r="BZ214" s="2">
        <v>0</v>
      </c>
      <c r="CA214" s="2">
        <v>0</v>
      </c>
      <c r="CB214" s="2" t="s">
        <v>3</v>
      </c>
      <c r="CC214" s="2"/>
      <c r="CD214" s="2"/>
      <c r="CE214" s="2">
        <v>30</v>
      </c>
      <c r="CF214" s="2">
        <v>0</v>
      </c>
      <c r="CG214" s="2">
        <v>0</v>
      </c>
      <c r="CH214" s="2"/>
      <c r="CI214" s="2"/>
      <c r="CJ214" s="2"/>
      <c r="CK214" s="2"/>
      <c r="CL214" s="2"/>
      <c r="CM214" s="2">
        <v>0</v>
      </c>
      <c r="CN214" s="2" t="s">
        <v>671</v>
      </c>
      <c r="CO214" s="2">
        <v>0</v>
      </c>
      <c r="CP214" s="2">
        <f t="shared" si="218"/>
        <v>0</v>
      </c>
      <c r="CQ214" s="2">
        <f t="shared" si="219"/>
        <v>700.7</v>
      </c>
      <c r="CR214" s="2">
        <f t="shared" si="220"/>
        <v>0</v>
      </c>
      <c r="CS214" s="2">
        <f t="shared" si="221"/>
        <v>0</v>
      </c>
      <c r="CT214" s="2">
        <f t="shared" si="222"/>
        <v>0</v>
      </c>
      <c r="CU214" s="2">
        <f t="shared" si="223"/>
        <v>0</v>
      </c>
      <c r="CV214" s="2">
        <f t="shared" si="224"/>
        <v>0</v>
      </c>
      <c r="CW214" s="2">
        <f t="shared" si="225"/>
        <v>0</v>
      </c>
      <c r="CX214" s="2">
        <f t="shared" si="226"/>
        <v>0</v>
      </c>
      <c r="CY214" s="2">
        <f>((S214*BZ214)/100)</f>
        <v>0</v>
      </c>
      <c r="CZ214" s="2">
        <f>((S214*CA214)/100)</f>
        <v>0</v>
      </c>
      <c r="DA214" s="2"/>
      <c r="DB214" s="2"/>
      <c r="DC214" s="2" t="s">
        <v>3</v>
      </c>
      <c r="DD214" s="2" t="s">
        <v>80</v>
      </c>
      <c r="DE214" s="2" t="s">
        <v>22</v>
      </c>
      <c r="DF214" s="2" t="s">
        <v>22</v>
      </c>
      <c r="DG214" s="2" t="s">
        <v>22</v>
      </c>
      <c r="DH214" s="2" t="s">
        <v>3</v>
      </c>
      <c r="DI214" s="2" t="s">
        <v>22</v>
      </c>
      <c r="DJ214" s="2" t="s">
        <v>22</v>
      </c>
      <c r="DK214" s="2" t="s">
        <v>3</v>
      </c>
      <c r="DL214" s="2" t="s">
        <v>3</v>
      </c>
      <c r="DM214" s="2" t="s">
        <v>3</v>
      </c>
      <c r="DN214" s="2">
        <v>0</v>
      </c>
      <c r="DO214" s="2">
        <v>0</v>
      </c>
      <c r="DP214" s="2">
        <v>1</v>
      </c>
      <c r="DQ214" s="2">
        <v>1</v>
      </c>
      <c r="DR214" s="2"/>
      <c r="DS214" s="2"/>
      <c r="DT214" s="2"/>
      <c r="DU214" s="2">
        <v>1003</v>
      </c>
      <c r="DV214" s="2" t="s">
        <v>55</v>
      </c>
      <c r="DW214" s="2" t="s">
        <v>55</v>
      </c>
      <c r="DX214" s="2">
        <v>1</v>
      </c>
      <c r="DY214" s="2"/>
      <c r="DZ214" s="2" t="s">
        <v>3</v>
      </c>
      <c r="EA214" s="2" t="s">
        <v>3</v>
      </c>
      <c r="EB214" s="2" t="s">
        <v>3</v>
      </c>
      <c r="EC214" s="2" t="s">
        <v>3</v>
      </c>
      <c r="ED214" s="2"/>
      <c r="EE214" s="2">
        <v>51698006</v>
      </c>
      <c r="EF214" s="2">
        <v>202</v>
      </c>
      <c r="EG214" s="2" t="s">
        <v>81</v>
      </c>
      <c r="EH214" s="2">
        <v>0</v>
      </c>
      <c r="EI214" s="2" t="s">
        <v>3</v>
      </c>
      <c r="EJ214" s="2">
        <v>1</v>
      </c>
      <c r="EK214" s="2">
        <v>400002</v>
      </c>
      <c r="EL214" s="2" t="s">
        <v>82</v>
      </c>
      <c r="EM214" s="2" t="s">
        <v>81</v>
      </c>
      <c r="EN214" s="2"/>
      <c r="EO214" s="2" t="s">
        <v>25</v>
      </c>
      <c r="EP214" s="2"/>
      <c r="EQ214" s="2">
        <v>131072</v>
      </c>
      <c r="ER214" s="2">
        <v>70.53</v>
      </c>
      <c r="ES214" s="2">
        <v>686.96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>
        <v>0</v>
      </c>
      <c r="FR214" s="2">
        <v>0</v>
      </c>
      <c r="FS214" s="2">
        <v>0</v>
      </c>
      <c r="FT214" s="2"/>
      <c r="FU214" s="2"/>
      <c r="FV214" s="2"/>
      <c r="FW214" s="2"/>
      <c r="FX214" s="2">
        <v>0</v>
      </c>
      <c r="FY214" s="2">
        <v>0</v>
      </c>
      <c r="FZ214" s="2"/>
      <c r="GA214" s="2" t="s">
        <v>3</v>
      </c>
      <c r="GB214" s="2"/>
      <c r="GC214" s="2"/>
      <c r="GD214" s="2">
        <v>0</v>
      </c>
      <c r="GE214" s="2"/>
      <c r="GF214" s="2">
        <v>124228962</v>
      </c>
      <c r="GG214" s="2">
        <v>2</v>
      </c>
      <c r="GH214" s="2">
        <v>4</v>
      </c>
      <c r="GI214" s="2">
        <v>3</v>
      </c>
      <c r="GJ214" s="2">
        <v>0</v>
      </c>
      <c r="GK214" s="2">
        <f>ROUND(R214*(R12)/100,2)</f>
        <v>0</v>
      </c>
      <c r="GL214" s="2">
        <f t="shared" si="227"/>
        <v>0</v>
      </c>
      <c r="GM214" s="2">
        <f t="shared" si="228"/>
        <v>0</v>
      </c>
      <c r="GN214" s="2">
        <f t="shared" si="229"/>
        <v>0</v>
      </c>
      <c r="GO214" s="2">
        <f t="shared" si="230"/>
        <v>0</v>
      </c>
      <c r="GP214" s="2">
        <f t="shared" si="231"/>
        <v>0</v>
      </c>
      <c r="GQ214" s="2"/>
      <c r="GR214" s="2">
        <v>0</v>
      </c>
      <c r="GS214" s="2">
        <v>2</v>
      </c>
      <c r="GT214" s="2">
        <v>0</v>
      </c>
      <c r="GU214" s="2" t="s">
        <v>3</v>
      </c>
      <c r="GV214" s="2">
        <f t="shared" si="232"/>
        <v>0</v>
      </c>
      <c r="GW214" s="2">
        <v>1</v>
      </c>
      <c r="GX214" s="2">
        <f t="shared" si="233"/>
        <v>0</v>
      </c>
      <c r="GY214" s="2"/>
      <c r="GZ214" s="2"/>
      <c r="HA214" s="2">
        <v>0</v>
      </c>
      <c r="HB214" s="2">
        <v>0</v>
      </c>
      <c r="HC214" s="2">
        <f t="shared" si="234"/>
        <v>0</v>
      </c>
      <c r="HD214" s="2"/>
      <c r="HE214" s="2" t="s">
        <v>3</v>
      </c>
      <c r="HF214" s="2" t="s">
        <v>3</v>
      </c>
      <c r="HG214" s="2"/>
      <c r="HH214" s="2"/>
      <c r="HI214" s="2"/>
      <c r="HJ214" s="2"/>
      <c r="HK214" s="2"/>
      <c r="HL214" s="2"/>
      <c r="HM214" s="2" t="s">
        <v>3</v>
      </c>
      <c r="HN214" s="2" t="s">
        <v>3</v>
      </c>
      <c r="HO214" s="2" t="s">
        <v>3</v>
      </c>
      <c r="HP214" s="2" t="s">
        <v>3</v>
      </c>
      <c r="HQ214" s="2" t="s">
        <v>3</v>
      </c>
      <c r="HR214" s="2"/>
      <c r="HS214" s="2">
        <v>0</v>
      </c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>
        <v>0</v>
      </c>
      <c r="IL214" s="2"/>
      <c r="IM214" s="2"/>
      <c r="IN214" s="2"/>
      <c r="IO214" s="2"/>
      <c r="IP214" s="2"/>
      <c r="IQ214" s="2"/>
      <c r="IR214" s="2"/>
      <c r="IS214" s="2"/>
      <c r="IT214" s="2"/>
      <c r="IU214" s="2"/>
    </row>
    <row r="215" spans="1:255" x14ac:dyDescent="0.2">
      <c r="A215">
        <v>17</v>
      </c>
      <c r="B215">
        <v>1</v>
      </c>
      <c r="E215" t="s">
        <v>284</v>
      </c>
      <c r="F215" t="s">
        <v>278</v>
      </c>
      <c r="G215" t="s">
        <v>285</v>
      </c>
      <c r="H215" t="s">
        <v>55</v>
      </c>
      <c r="I215">
        <v>0</v>
      </c>
      <c r="J215">
        <v>0</v>
      </c>
      <c r="K215">
        <v>0</v>
      </c>
      <c r="O215">
        <f t="shared" si="198"/>
        <v>0</v>
      </c>
      <c r="P215">
        <f t="shared" si="199"/>
        <v>0</v>
      </c>
      <c r="Q215">
        <f t="shared" si="200"/>
        <v>0</v>
      </c>
      <c r="R215">
        <f t="shared" si="201"/>
        <v>0</v>
      </c>
      <c r="S215">
        <f t="shared" si="202"/>
        <v>0</v>
      </c>
      <c r="T215">
        <f t="shared" si="203"/>
        <v>0</v>
      </c>
      <c r="U215">
        <f t="shared" si="204"/>
        <v>0</v>
      </c>
      <c r="V215">
        <f t="shared" si="205"/>
        <v>0</v>
      </c>
      <c r="W215">
        <f t="shared" si="206"/>
        <v>0</v>
      </c>
      <c r="X215">
        <f t="shared" si="207"/>
        <v>0</v>
      </c>
      <c r="Y215">
        <f t="shared" si="208"/>
        <v>0</v>
      </c>
      <c r="AA215">
        <v>56616093</v>
      </c>
      <c r="AB215">
        <f t="shared" si="209"/>
        <v>700.69920000000002</v>
      </c>
      <c r="AC215">
        <f>ROUND(((ES215*1.02)),6)</f>
        <v>700.69920000000002</v>
      </c>
      <c r="AD215">
        <f t="shared" si="211"/>
        <v>0</v>
      </c>
      <c r="AE215">
        <f t="shared" si="212"/>
        <v>0</v>
      </c>
      <c r="AF215">
        <f t="shared" si="213"/>
        <v>0</v>
      </c>
      <c r="AG215">
        <f t="shared" si="214"/>
        <v>0</v>
      </c>
      <c r="AH215">
        <f t="shared" si="215"/>
        <v>0</v>
      </c>
      <c r="AI215">
        <f t="shared" si="216"/>
        <v>0</v>
      </c>
      <c r="AJ215">
        <f t="shared" si="217"/>
        <v>0</v>
      </c>
      <c r="AK215">
        <v>686.96</v>
      </c>
      <c r="AL215">
        <v>686.96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  <c r="AW215">
        <v>1</v>
      </c>
      <c r="AZ215">
        <v>1</v>
      </c>
      <c r="BA215">
        <v>1</v>
      </c>
      <c r="BB215">
        <v>1</v>
      </c>
      <c r="BC215">
        <v>1</v>
      </c>
      <c r="BD215" t="s">
        <v>3</v>
      </c>
      <c r="BE215" t="s">
        <v>3</v>
      </c>
      <c r="BF215" t="s">
        <v>3</v>
      </c>
      <c r="BG215" t="s">
        <v>3</v>
      </c>
      <c r="BH215">
        <v>3</v>
      </c>
      <c r="BI215">
        <v>1</v>
      </c>
      <c r="BJ215" t="s">
        <v>3</v>
      </c>
      <c r="BM215">
        <v>400002</v>
      </c>
      <c r="BN215">
        <v>0</v>
      </c>
      <c r="BO215" t="s">
        <v>3</v>
      </c>
      <c r="BP215">
        <v>0</v>
      </c>
      <c r="BQ215">
        <v>202</v>
      </c>
      <c r="BR215">
        <v>0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 t="s">
        <v>3</v>
      </c>
      <c r="BZ215">
        <v>0</v>
      </c>
      <c r="CA215">
        <v>0</v>
      </c>
      <c r="CB215" t="s">
        <v>3</v>
      </c>
      <c r="CE215">
        <v>30</v>
      </c>
      <c r="CF215">
        <v>0</v>
      </c>
      <c r="CG215">
        <v>0</v>
      </c>
      <c r="CM215">
        <v>0</v>
      </c>
      <c r="CN215" t="s">
        <v>671</v>
      </c>
      <c r="CO215">
        <v>0</v>
      </c>
      <c r="CP215">
        <f t="shared" si="218"/>
        <v>0</v>
      </c>
      <c r="CQ215">
        <f t="shared" si="219"/>
        <v>700.7</v>
      </c>
      <c r="CR215">
        <f t="shared" si="220"/>
        <v>0</v>
      </c>
      <c r="CS215">
        <f t="shared" si="221"/>
        <v>0</v>
      </c>
      <c r="CT215">
        <f t="shared" si="222"/>
        <v>0</v>
      </c>
      <c r="CU215">
        <f t="shared" si="223"/>
        <v>0</v>
      </c>
      <c r="CV215">
        <f t="shared" si="224"/>
        <v>0</v>
      </c>
      <c r="CW215">
        <f t="shared" si="225"/>
        <v>0</v>
      </c>
      <c r="CX215">
        <f t="shared" si="226"/>
        <v>0</v>
      </c>
      <c r="CY215">
        <f>S215*(BZ215/100)</f>
        <v>0</v>
      </c>
      <c r="CZ215">
        <f>S215*(CA215/100)</f>
        <v>0</v>
      </c>
      <c r="DC215" t="s">
        <v>3</v>
      </c>
      <c r="DD215" t="s">
        <v>80</v>
      </c>
      <c r="DE215" t="s">
        <v>22</v>
      </c>
      <c r="DF215" t="s">
        <v>22</v>
      </c>
      <c r="DG215" t="s">
        <v>22</v>
      </c>
      <c r="DH215" t="s">
        <v>3</v>
      </c>
      <c r="DI215" t="s">
        <v>22</v>
      </c>
      <c r="DJ215" t="s">
        <v>22</v>
      </c>
      <c r="DK215" t="s">
        <v>3</v>
      </c>
      <c r="DL215" t="s">
        <v>3</v>
      </c>
      <c r="DM215" t="s">
        <v>3</v>
      </c>
      <c r="DN215">
        <v>0</v>
      </c>
      <c r="DO215">
        <v>0</v>
      </c>
      <c r="DP215">
        <v>1</v>
      </c>
      <c r="DQ215">
        <v>1</v>
      </c>
      <c r="DU215">
        <v>1003</v>
      </c>
      <c r="DV215" t="s">
        <v>55</v>
      </c>
      <c r="DW215" t="s">
        <v>55</v>
      </c>
      <c r="DX215">
        <v>1</v>
      </c>
      <c r="DZ215" t="s">
        <v>3</v>
      </c>
      <c r="EA215" t="s">
        <v>3</v>
      </c>
      <c r="EB215" t="s">
        <v>3</v>
      </c>
      <c r="EC215" t="s">
        <v>3</v>
      </c>
      <c r="EE215">
        <v>51698006</v>
      </c>
      <c r="EF215">
        <v>202</v>
      </c>
      <c r="EG215" t="s">
        <v>81</v>
      </c>
      <c r="EH215">
        <v>0</v>
      </c>
      <c r="EI215" t="s">
        <v>3</v>
      </c>
      <c r="EJ215">
        <v>1</v>
      </c>
      <c r="EK215">
        <v>400002</v>
      </c>
      <c r="EL215" t="s">
        <v>82</v>
      </c>
      <c r="EM215" t="s">
        <v>81</v>
      </c>
      <c r="EO215" t="s">
        <v>25</v>
      </c>
      <c r="EQ215">
        <v>131072</v>
      </c>
      <c r="ER215">
        <v>70.53</v>
      </c>
      <c r="ES215">
        <v>686.96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5</v>
      </c>
      <c r="FC215">
        <v>0</v>
      </c>
      <c r="FD215">
        <v>18</v>
      </c>
      <c r="FF215">
        <v>686.96</v>
      </c>
      <c r="FQ215">
        <v>0</v>
      </c>
      <c r="FR215">
        <v>0</v>
      </c>
      <c r="FS215">
        <v>0</v>
      </c>
      <c r="FX215">
        <v>0</v>
      </c>
      <c r="FY215">
        <v>0</v>
      </c>
      <c r="GA215" t="s">
        <v>3</v>
      </c>
      <c r="GD215">
        <v>0</v>
      </c>
      <c r="GF215">
        <v>124228962</v>
      </c>
      <c r="GG215">
        <v>2</v>
      </c>
      <c r="GH215">
        <v>3</v>
      </c>
      <c r="GI215">
        <v>-2</v>
      </c>
      <c r="GJ215">
        <v>0</v>
      </c>
      <c r="GK215">
        <f>ROUND(R215*(S12)/100,2)</f>
        <v>0</v>
      </c>
      <c r="GL215">
        <f t="shared" si="227"/>
        <v>0</v>
      </c>
      <c r="GM215">
        <f t="shared" si="228"/>
        <v>0</v>
      </c>
      <c r="GN215">
        <f t="shared" si="229"/>
        <v>0</v>
      </c>
      <c r="GO215">
        <f t="shared" si="230"/>
        <v>0</v>
      </c>
      <c r="GP215">
        <f t="shared" si="231"/>
        <v>0</v>
      </c>
      <c r="GR215">
        <v>1</v>
      </c>
      <c r="GS215">
        <v>1</v>
      </c>
      <c r="GT215">
        <v>0</v>
      </c>
      <c r="GU215" t="s">
        <v>3</v>
      </c>
      <c r="GV215">
        <f t="shared" si="232"/>
        <v>0</v>
      </c>
      <c r="GW215">
        <v>1</v>
      </c>
      <c r="GX215">
        <f t="shared" si="233"/>
        <v>0</v>
      </c>
      <c r="HA215">
        <v>0</v>
      </c>
      <c r="HB215">
        <v>0</v>
      </c>
      <c r="HC215">
        <f t="shared" si="234"/>
        <v>0</v>
      </c>
      <c r="HE215" t="s">
        <v>3</v>
      </c>
      <c r="HF215" t="s">
        <v>3</v>
      </c>
      <c r="HM215" t="s">
        <v>3</v>
      </c>
      <c r="HN215" t="s">
        <v>3</v>
      </c>
      <c r="HO215" t="s">
        <v>3</v>
      </c>
      <c r="HP215" t="s">
        <v>3</v>
      </c>
      <c r="HQ215" t="s">
        <v>3</v>
      </c>
      <c r="HS215">
        <v>0</v>
      </c>
      <c r="IK215">
        <v>0</v>
      </c>
    </row>
    <row r="216" spans="1:255" x14ac:dyDescent="0.2">
      <c r="A216" s="2">
        <v>17</v>
      </c>
      <c r="B216" s="2">
        <v>1</v>
      </c>
      <c r="C216" s="2"/>
      <c r="D216" s="2"/>
      <c r="E216" s="2" t="s">
        <v>286</v>
      </c>
      <c r="F216" s="2" t="s">
        <v>278</v>
      </c>
      <c r="G216" s="2" t="s">
        <v>282</v>
      </c>
      <c r="H216" s="2" t="s">
        <v>55</v>
      </c>
      <c r="I216" s="2">
        <v>0</v>
      </c>
      <c r="J216" s="2">
        <v>0</v>
      </c>
      <c r="K216" s="2">
        <v>0</v>
      </c>
      <c r="L216" s="2"/>
      <c r="M216" s="2"/>
      <c r="N216" s="2"/>
      <c r="O216" s="2">
        <f t="shared" si="198"/>
        <v>0</v>
      </c>
      <c r="P216" s="2">
        <f t="shared" si="199"/>
        <v>0</v>
      </c>
      <c r="Q216" s="2">
        <f t="shared" si="200"/>
        <v>0</v>
      </c>
      <c r="R216" s="2">
        <f t="shared" si="201"/>
        <v>0</v>
      </c>
      <c r="S216" s="2">
        <f t="shared" si="202"/>
        <v>0</v>
      </c>
      <c r="T216" s="2">
        <f t="shared" si="203"/>
        <v>0</v>
      </c>
      <c r="U216" s="2">
        <f t="shared" si="204"/>
        <v>0</v>
      </c>
      <c r="V216" s="2">
        <f t="shared" si="205"/>
        <v>0</v>
      </c>
      <c r="W216" s="2">
        <f t="shared" si="206"/>
        <v>0</v>
      </c>
      <c r="X216" s="2">
        <f t="shared" si="207"/>
        <v>0</v>
      </c>
      <c r="Y216" s="2">
        <f t="shared" si="208"/>
        <v>0</v>
      </c>
      <c r="Z216" s="2"/>
      <c r="AA216" s="2">
        <v>56622586</v>
      </c>
      <c r="AB216" s="2">
        <f t="shared" si="209"/>
        <v>102.27</v>
      </c>
      <c r="AC216" s="2">
        <f t="shared" ref="AC216:AC227" si="235">ROUND((ES216),6)</f>
        <v>102.27</v>
      </c>
      <c r="AD216" s="2">
        <f t="shared" si="211"/>
        <v>0</v>
      </c>
      <c r="AE216" s="2">
        <f t="shared" si="212"/>
        <v>0</v>
      </c>
      <c r="AF216" s="2">
        <f t="shared" si="213"/>
        <v>0</v>
      </c>
      <c r="AG216" s="2">
        <f t="shared" si="214"/>
        <v>0</v>
      </c>
      <c r="AH216" s="2">
        <f t="shared" si="215"/>
        <v>0</v>
      </c>
      <c r="AI216" s="2">
        <f t="shared" si="216"/>
        <v>0</v>
      </c>
      <c r="AJ216" s="2">
        <f t="shared" si="217"/>
        <v>0</v>
      </c>
      <c r="AK216" s="2">
        <v>102.27</v>
      </c>
      <c r="AL216" s="2">
        <v>102.27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1</v>
      </c>
      <c r="AW216" s="2">
        <v>1</v>
      </c>
      <c r="AX216" s="2"/>
      <c r="AY216" s="2"/>
      <c r="AZ216" s="2">
        <v>1</v>
      </c>
      <c r="BA216" s="2">
        <v>1</v>
      </c>
      <c r="BB216" s="2">
        <v>1</v>
      </c>
      <c r="BC216" s="2">
        <v>1</v>
      </c>
      <c r="BD216" s="2" t="s">
        <v>3</v>
      </c>
      <c r="BE216" s="2" t="s">
        <v>3</v>
      </c>
      <c r="BF216" s="2" t="s">
        <v>3</v>
      </c>
      <c r="BG216" s="2" t="s">
        <v>3</v>
      </c>
      <c r="BH216" s="2">
        <v>3</v>
      </c>
      <c r="BI216" s="2">
        <v>1</v>
      </c>
      <c r="BJ216" s="2" t="s">
        <v>3</v>
      </c>
      <c r="BK216" s="2"/>
      <c r="BL216" s="2"/>
      <c r="BM216" s="2">
        <v>400002</v>
      </c>
      <c r="BN216" s="2">
        <v>0</v>
      </c>
      <c r="BO216" s="2" t="s">
        <v>3</v>
      </c>
      <c r="BP216" s="2">
        <v>0</v>
      </c>
      <c r="BQ216" s="2">
        <v>202</v>
      </c>
      <c r="BR216" s="2">
        <v>0</v>
      </c>
      <c r="BS216" s="2">
        <v>1</v>
      </c>
      <c r="BT216" s="2">
        <v>1</v>
      </c>
      <c r="BU216" s="2">
        <v>1</v>
      </c>
      <c r="BV216" s="2">
        <v>1</v>
      </c>
      <c r="BW216" s="2">
        <v>1</v>
      </c>
      <c r="BX216" s="2">
        <v>1</v>
      </c>
      <c r="BY216" s="2" t="s">
        <v>3</v>
      </c>
      <c r="BZ216" s="2">
        <v>0</v>
      </c>
      <c r="CA216" s="2">
        <v>0</v>
      </c>
      <c r="CB216" s="2" t="s">
        <v>3</v>
      </c>
      <c r="CC216" s="2"/>
      <c r="CD216" s="2"/>
      <c r="CE216" s="2">
        <v>30</v>
      </c>
      <c r="CF216" s="2">
        <v>0</v>
      </c>
      <c r="CG216" s="2">
        <v>0</v>
      </c>
      <c r="CH216" s="2"/>
      <c r="CI216" s="2"/>
      <c r="CJ216" s="2"/>
      <c r="CK216" s="2"/>
      <c r="CL216" s="2"/>
      <c r="CM216" s="2">
        <v>0</v>
      </c>
      <c r="CN216" s="2" t="s">
        <v>671</v>
      </c>
      <c r="CO216" s="2">
        <v>0</v>
      </c>
      <c r="CP216" s="2">
        <f t="shared" si="218"/>
        <v>0</v>
      </c>
      <c r="CQ216" s="2">
        <f t="shared" si="219"/>
        <v>102.27</v>
      </c>
      <c r="CR216" s="2">
        <f t="shared" si="220"/>
        <v>0</v>
      </c>
      <c r="CS216" s="2">
        <f t="shared" si="221"/>
        <v>0</v>
      </c>
      <c r="CT216" s="2">
        <f t="shared" si="222"/>
        <v>0</v>
      </c>
      <c r="CU216" s="2">
        <f t="shared" si="223"/>
        <v>0</v>
      </c>
      <c r="CV216" s="2">
        <f t="shared" si="224"/>
        <v>0</v>
      </c>
      <c r="CW216" s="2">
        <f t="shared" si="225"/>
        <v>0</v>
      </c>
      <c r="CX216" s="2">
        <f t="shared" si="226"/>
        <v>0</v>
      </c>
      <c r="CY216" s="2">
        <f>((S216*BZ216)/100)</f>
        <v>0</v>
      </c>
      <c r="CZ216" s="2">
        <f>((S216*CA216)/100)</f>
        <v>0</v>
      </c>
      <c r="DA216" s="2"/>
      <c r="DB216" s="2"/>
      <c r="DC216" s="2" t="s">
        <v>3</v>
      </c>
      <c r="DD216" s="2" t="s">
        <v>3</v>
      </c>
      <c r="DE216" s="2" t="s">
        <v>22</v>
      </c>
      <c r="DF216" s="2" t="s">
        <v>22</v>
      </c>
      <c r="DG216" s="2" t="s">
        <v>22</v>
      </c>
      <c r="DH216" s="2" t="s">
        <v>3</v>
      </c>
      <c r="DI216" s="2" t="s">
        <v>22</v>
      </c>
      <c r="DJ216" s="2" t="s">
        <v>22</v>
      </c>
      <c r="DK216" s="2" t="s">
        <v>3</v>
      </c>
      <c r="DL216" s="2" t="s">
        <v>3</v>
      </c>
      <c r="DM216" s="2" t="s">
        <v>3</v>
      </c>
      <c r="DN216" s="2">
        <v>0</v>
      </c>
      <c r="DO216" s="2">
        <v>0</v>
      </c>
      <c r="DP216" s="2">
        <v>1</v>
      </c>
      <c r="DQ216" s="2">
        <v>1</v>
      </c>
      <c r="DR216" s="2"/>
      <c r="DS216" s="2"/>
      <c r="DT216" s="2"/>
      <c r="DU216" s="2">
        <v>1003</v>
      </c>
      <c r="DV216" s="2" t="s">
        <v>55</v>
      </c>
      <c r="DW216" s="2" t="s">
        <v>55</v>
      </c>
      <c r="DX216" s="2">
        <v>1</v>
      </c>
      <c r="DY216" s="2"/>
      <c r="DZ216" s="2" t="s">
        <v>3</v>
      </c>
      <c r="EA216" s="2" t="s">
        <v>3</v>
      </c>
      <c r="EB216" s="2" t="s">
        <v>3</v>
      </c>
      <c r="EC216" s="2" t="s">
        <v>3</v>
      </c>
      <c r="ED216" s="2"/>
      <c r="EE216" s="2">
        <v>51698006</v>
      </c>
      <c r="EF216" s="2">
        <v>202</v>
      </c>
      <c r="EG216" s="2" t="s">
        <v>81</v>
      </c>
      <c r="EH216" s="2">
        <v>0</v>
      </c>
      <c r="EI216" s="2" t="s">
        <v>3</v>
      </c>
      <c r="EJ216" s="2">
        <v>1</v>
      </c>
      <c r="EK216" s="2">
        <v>400002</v>
      </c>
      <c r="EL216" s="2" t="s">
        <v>82</v>
      </c>
      <c r="EM216" s="2" t="s">
        <v>81</v>
      </c>
      <c r="EN216" s="2"/>
      <c r="EO216" s="2" t="s">
        <v>25</v>
      </c>
      <c r="EP216" s="2"/>
      <c r="EQ216" s="2">
        <v>131072</v>
      </c>
      <c r="ER216" s="2">
        <v>102.27</v>
      </c>
      <c r="ES216" s="2">
        <v>102.27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>
        <v>0</v>
      </c>
      <c r="FR216" s="2">
        <v>0</v>
      </c>
      <c r="FS216" s="2">
        <v>0</v>
      </c>
      <c r="FT216" s="2"/>
      <c r="FU216" s="2"/>
      <c r="FV216" s="2"/>
      <c r="FW216" s="2"/>
      <c r="FX216" s="2">
        <v>0</v>
      </c>
      <c r="FY216" s="2">
        <v>0</v>
      </c>
      <c r="FZ216" s="2"/>
      <c r="GA216" s="2" t="s">
        <v>3</v>
      </c>
      <c r="GB216" s="2"/>
      <c r="GC216" s="2"/>
      <c r="GD216" s="2">
        <v>0</v>
      </c>
      <c r="GE216" s="2"/>
      <c r="GF216" s="2">
        <v>-352757361</v>
      </c>
      <c r="GG216" s="2">
        <v>2</v>
      </c>
      <c r="GH216" s="2">
        <v>0</v>
      </c>
      <c r="GI216" s="2">
        <v>3</v>
      </c>
      <c r="GJ216" s="2">
        <v>0</v>
      </c>
      <c r="GK216" s="2">
        <f>ROUND(R216*(R12)/100,2)</f>
        <v>0</v>
      </c>
      <c r="GL216" s="2">
        <f t="shared" si="227"/>
        <v>0</v>
      </c>
      <c r="GM216" s="2">
        <f t="shared" si="228"/>
        <v>0</v>
      </c>
      <c r="GN216" s="2">
        <f t="shared" si="229"/>
        <v>0</v>
      </c>
      <c r="GO216" s="2">
        <f t="shared" si="230"/>
        <v>0</v>
      </c>
      <c r="GP216" s="2">
        <f t="shared" si="231"/>
        <v>0</v>
      </c>
      <c r="GQ216" s="2"/>
      <c r="GR216" s="2">
        <v>0</v>
      </c>
      <c r="GS216" s="2">
        <v>0</v>
      </c>
      <c r="GT216" s="2">
        <v>0</v>
      </c>
      <c r="GU216" s="2" t="s">
        <v>3</v>
      </c>
      <c r="GV216" s="2">
        <f t="shared" si="232"/>
        <v>0</v>
      </c>
      <c r="GW216" s="2">
        <v>1</v>
      </c>
      <c r="GX216" s="2">
        <f t="shared" si="233"/>
        <v>0</v>
      </c>
      <c r="GY216" s="2"/>
      <c r="GZ216" s="2"/>
      <c r="HA216" s="2">
        <v>0</v>
      </c>
      <c r="HB216" s="2">
        <v>0</v>
      </c>
      <c r="HC216" s="2">
        <f t="shared" si="234"/>
        <v>0</v>
      </c>
      <c r="HD216" s="2"/>
      <c r="HE216" s="2" t="s">
        <v>3</v>
      </c>
      <c r="HF216" s="2" t="s">
        <v>3</v>
      </c>
      <c r="HG216" s="2"/>
      <c r="HH216" s="2"/>
      <c r="HI216" s="2"/>
      <c r="HJ216" s="2"/>
      <c r="HK216" s="2"/>
      <c r="HL216" s="2"/>
      <c r="HM216" s="2" t="s">
        <v>3</v>
      </c>
      <c r="HN216" s="2" t="s">
        <v>3</v>
      </c>
      <c r="HO216" s="2" t="s">
        <v>3</v>
      </c>
      <c r="HP216" s="2" t="s">
        <v>3</v>
      </c>
      <c r="HQ216" s="2" t="s">
        <v>3</v>
      </c>
      <c r="HR216" s="2"/>
      <c r="HS216" s="2">
        <v>0</v>
      </c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>
        <v>0</v>
      </c>
      <c r="IL216" s="2"/>
      <c r="IM216" s="2"/>
      <c r="IN216" s="2"/>
      <c r="IO216" s="2"/>
      <c r="IP216" s="2"/>
      <c r="IQ216" s="2"/>
      <c r="IR216" s="2"/>
      <c r="IS216" s="2"/>
      <c r="IT216" s="2"/>
      <c r="IU216" s="2"/>
    </row>
    <row r="217" spans="1:255" x14ac:dyDescent="0.2">
      <c r="A217">
        <v>17</v>
      </c>
      <c r="B217">
        <v>1</v>
      </c>
      <c r="E217" t="s">
        <v>286</v>
      </c>
      <c r="F217" t="s">
        <v>278</v>
      </c>
      <c r="G217" t="s">
        <v>282</v>
      </c>
      <c r="H217" t="s">
        <v>55</v>
      </c>
      <c r="I217">
        <v>0</v>
      </c>
      <c r="J217">
        <v>0</v>
      </c>
      <c r="K217">
        <v>0</v>
      </c>
      <c r="O217">
        <f t="shared" si="198"/>
        <v>0</v>
      </c>
      <c r="P217">
        <f t="shared" si="199"/>
        <v>0</v>
      </c>
      <c r="Q217">
        <f t="shared" si="200"/>
        <v>0</v>
      </c>
      <c r="R217">
        <f t="shared" si="201"/>
        <v>0</v>
      </c>
      <c r="S217">
        <f t="shared" si="202"/>
        <v>0</v>
      </c>
      <c r="T217">
        <f t="shared" si="203"/>
        <v>0</v>
      </c>
      <c r="U217">
        <f t="shared" si="204"/>
        <v>0</v>
      </c>
      <c r="V217">
        <f t="shared" si="205"/>
        <v>0</v>
      </c>
      <c r="W217">
        <f t="shared" si="206"/>
        <v>0</v>
      </c>
      <c r="X217">
        <f t="shared" si="207"/>
        <v>0</v>
      </c>
      <c r="Y217">
        <f t="shared" si="208"/>
        <v>0</v>
      </c>
      <c r="AA217">
        <v>56616093</v>
      </c>
      <c r="AB217">
        <f t="shared" si="209"/>
        <v>102.27</v>
      </c>
      <c r="AC217">
        <f t="shared" si="235"/>
        <v>102.27</v>
      </c>
      <c r="AD217">
        <f t="shared" si="211"/>
        <v>0</v>
      </c>
      <c r="AE217">
        <f t="shared" si="212"/>
        <v>0</v>
      </c>
      <c r="AF217">
        <f t="shared" si="213"/>
        <v>0</v>
      </c>
      <c r="AG217">
        <f t="shared" si="214"/>
        <v>0</v>
      </c>
      <c r="AH217">
        <f t="shared" si="215"/>
        <v>0</v>
      </c>
      <c r="AI217">
        <f t="shared" si="216"/>
        <v>0</v>
      </c>
      <c r="AJ217">
        <f t="shared" si="217"/>
        <v>0</v>
      </c>
      <c r="AK217">
        <v>102.27</v>
      </c>
      <c r="AL217">
        <v>102.27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1</v>
      </c>
      <c r="AZ217">
        <v>1</v>
      </c>
      <c r="BA217">
        <v>1</v>
      </c>
      <c r="BB217">
        <v>1</v>
      </c>
      <c r="BC217">
        <v>1</v>
      </c>
      <c r="BD217" t="s">
        <v>3</v>
      </c>
      <c r="BE217" t="s">
        <v>3</v>
      </c>
      <c r="BF217" t="s">
        <v>3</v>
      </c>
      <c r="BG217" t="s">
        <v>3</v>
      </c>
      <c r="BH217">
        <v>3</v>
      </c>
      <c r="BI217">
        <v>1</v>
      </c>
      <c r="BJ217" t="s">
        <v>3</v>
      </c>
      <c r="BM217">
        <v>400002</v>
      </c>
      <c r="BN217">
        <v>0</v>
      </c>
      <c r="BO217" t="s">
        <v>3</v>
      </c>
      <c r="BP217">
        <v>0</v>
      </c>
      <c r="BQ217">
        <v>202</v>
      </c>
      <c r="BR217">
        <v>0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 t="s">
        <v>3</v>
      </c>
      <c r="BZ217">
        <v>0</v>
      </c>
      <c r="CA217">
        <v>0</v>
      </c>
      <c r="CB217" t="s">
        <v>3</v>
      </c>
      <c r="CE217">
        <v>30</v>
      </c>
      <c r="CF217">
        <v>0</v>
      </c>
      <c r="CG217">
        <v>0</v>
      </c>
      <c r="CM217">
        <v>0</v>
      </c>
      <c r="CN217" t="s">
        <v>671</v>
      </c>
      <c r="CO217">
        <v>0</v>
      </c>
      <c r="CP217">
        <f t="shared" si="218"/>
        <v>0</v>
      </c>
      <c r="CQ217">
        <f t="shared" si="219"/>
        <v>102.27</v>
      </c>
      <c r="CR217">
        <f t="shared" si="220"/>
        <v>0</v>
      </c>
      <c r="CS217">
        <f t="shared" si="221"/>
        <v>0</v>
      </c>
      <c r="CT217">
        <f t="shared" si="222"/>
        <v>0</v>
      </c>
      <c r="CU217">
        <f t="shared" si="223"/>
        <v>0</v>
      </c>
      <c r="CV217">
        <f t="shared" si="224"/>
        <v>0</v>
      </c>
      <c r="CW217">
        <f t="shared" si="225"/>
        <v>0</v>
      </c>
      <c r="CX217">
        <f t="shared" si="226"/>
        <v>0</v>
      </c>
      <c r="CY217">
        <f>S217*(BZ217/100)</f>
        <v>0</v>
      </c>
      <c r="CZ217">
        <f>S217*(CA217/100)</f>
        <v>0</v>
      </c>
      <c r="DC217" t="s">
        <v>3</v>
      </c>
      <c r="DD217" t="s">
        <v>3</v>
      </c>
      <c r="DE217" t="s">
        <v>22</v>
      </c>
      <c r="DF217" t="s">
        <v>22</v>
      </c>
      <c r="DG217" t="s">
        <v>22</v>
      </c>
      <c r="DH217" t="s">
        <v>3</v>
      </c>
      <c r="DI217" t="s">
        <v>22</v>
      </c>
      <c r="DJ217" t="s">
        <v>22</v>
      </c>
      <c r="DK217" t="s">
        <v>3</v>
      </c>
      <c r="DL217" t="s">
        <v>3</v>
      </c>
      <c r="DM217" t="s">
        <v>3</v>
      </c>
      <c r="DN217">
        <v>0</v>
      </c>
      <c r="DO217">
        <v>0</v>
      </c>
      <c r="DP217">
        <v>1</v>
      </c>
      <c r="DQ217">
        <v>1</v>
      </c>
      <c r="DU217">
        <v>1003</v>
      </c>
      <c r="DV217" t="s">
        <v>55</v>
      </c>
      <c r="DW217" t="s">
        <v>55</v>
      </c>
      <c r="DX217">
        <v>1</v>
      </c>
      <c r="DZ217" t="s">
        <v>3</v>
      </c>
      <c r="EA217" t="s">
        <v>3</v>
      </c>
      <c r="EB217" t="s">
        <v>3</v>
      </c>
      <c r="EC217" t="s">
        <v>3</v>
      </c>
      <c r="EE217">
        <v>51698006</v>
      </c>
      <c r="EF217">
        <v>202</v>
      </c>
      <c r="EG217" t="s">
        <v>81</v>
      </c>
      <c r="EH217">
        <v>0</v>
      </c>
      <c r="EI217" t="s">
        <v>3</v>
      </c>
      <c r="EJ217">
        <v>1</v>
      </c>
      <c r="EK217">
        <v>400002</v>
      </c>
      <c r="EL217" t="s">
        <v>82</v>
      </c>
      <c r="EM217" t="s">
        <v>81</v>
      </c>
      <c r="EO217" t="s">
        <v>25</v>
      </c>
      <c r="EQ217">
        <v>131072</v>
      </c>
      <c r="ER217">
        <v>102.27</v>
      </c>
      <c r="ES217">
        <v>102.27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FQ217">
        <v>0</v>
      </c>
      <c r="FR217">
        <v>0</v>
      </c>
      <c r="FS217">
        <v>0</v>
      </c>
      <c r="FX217">
        <v>0</v>
      </c>
      <c r="FY217">
        <v>0</v>
      </c>
      <c r="GA217" t="s">
        <v>3</v>
      </c>
      <c r="GD217">
        <v>0</v>
      </c>
      <c r="GF217">
        <v>-352757361</v>
      </c>
      <c r="GG217">
        <v>2</v>
      </c>
      <c r="GH217">
        <v>0</v>
      </c>
      <c r="GI217">
        <v>-2</v>
      </c>
      <c r="GJ217">
        <v>0</v>
      </c>
      <c r="GK217">
        <f>ROUND(R217*(S12)/100,2)</f>
        <v>0</v>
      </c>
      <c r="GL217">
        <f t="shared" si="227"/>
        <v>0</v>
      </c>
      <c r="GM217">
        <f t="shared" si="228"/>
        <v>0</v>
      </c>
      <c r="GN217">
        <f t="shared" si="229"/>
        <v>0</v>
      </c>
      <c r="GO217">
        <f t="shared" si="230"/>
        <v>0</v>
      </c>
      <c r="GP217">
        <f t="shared" si="231"/>
        <v>0</v>
      </c>
      <c r="GR217">
        <v>0</v>
      </c>
      <c r="GS217">
        <v>0</v>
      </c>
      <c r="GT217">
        <v>0</v>
      </c>
      <c r="GU217" t="s">
        <v>3</v>
      </c>
      <c r="GV217">
        <f t="shared" si="232"/>
        <v>0</v>
      </c>
      <c r="GW217">
        <v>1</v>
      </c>
      <c r="GX217">
        <f t="shared" si="233"/>
        <v>0</v>
      </c>
      <c r="HA217">
        <v>0</v>
      </c>
      <c r="HB217">
        <v>0</v>
      </c>
      <c r="HC217">
        <f t="shared" si="234"/>
        <v>0</v>
      </c>
      <c r="HE217" t="s">
        <v>3</v>
      </c>
      <c r="HF217" t="s">
        <v>3</v>
      </c>
      <c r="HM217" t="s">
        <v>3</v>
      </c>
      <c r="HN217" t="s">
        <v>3</v>
      </c>
      <c r="HO217" t="s">
        <v>3</v>
      </c>
      <c r="HP217" t="s">
        <v>3</v>
      </c>
      <c r="HQ217" t="s">
        <v>3</v>
      </c>
      <c r="HS217">
        <v>0</v>
      </c>
      <c r="IK217">
        <v>0</v>
      </c>
    </row>
    <row r="218" spans="1:255" x14ac:dyDescent="0.2">
      <c r="A218" s="2">
        <v>17</v>
      </c>
      <c r="B218" s="2">
        <v>1</v>
      </c>
      <c r="C218" s="2"/>
      <c r="D218" s="2"/>
      <c r="E218" s="2" t="s">
        <v>287</v>
      </c>
      <c r="F218" s="2" t="s">
        <v>288</v>
      </c>
      <c r="G218" s="2" t="s">
        <v>289</v>
      </c>
      <c r="H218" s="2" t="s">
        <v>290</v>
      </c>
      <c r="I218" s="2">
        <v>0</v>
      </c>
      <c r="J218" s="2">
        <v>0</v>
      </c>
      <c r="K218" s="2">
        <v>0</v>
      </c>
      <c r="L218" s="2"/>
      <c r="M218" s="2"/>
      <c r="N218" s="2"/>
      <c r="O218" s="2">
        <f t="shared" si="198"/>
        <v>0</v>
      </c>
      <c r="P218" s="2">
        <f t="shared" si="199"/>
        <v>0</v>
      </c>
      <c r="Q218" s="2">
        <f t="shared" si="200"/>
        <v>0</v>
      </c>
      <c r="R218" s="2">
        <f t="shared" si="201"/>
        <v>0</v>
      </c>
      <c r="S218" s="2">
        <f t="shared" si="202"/>
        <v>0</v>
      </c>
      <c r="T218" s="2">
        <f t="shared" si="203"/>
        <v>0</v>
      </c>
      <c r="U218" s="2">
        <f t="shared" si="204"/>
        <v>0</v>
      </c>
      <c r="V218" s="2">
        <f t="shared" si="205"/>
        <v>0</v>
      </c>
      <c r="W218" s="2">
        <f t="shared" si="206"/>
        <v>0</v>
      </c>
      <c r="X218" s="2">
        <f t="shared" si="207"/>
        <v>0</v>
      </c>
      <c r="Y218" s="2">
        <f t="shared" si="208"/>
        <v>0</v>
      </c>
      <c r="Z218" s="2"/>
      <c r="AA218" s="2">
        <v>56622586</v>
      </c>
      <c r="AB218" s="2">
        <f t="shared" si="209"/>
        <v>857.41</v>
      </c>
      <c r="AC218" s="2">
        <f t="shared" si="235"/>
        <v>857.41</v>
      </c>
      <c r="AD218" s="2">
        <f t="shared" si="211"/>
        <v>0</v>
      </c>
      <c r="AE218" s="2">
        <f t="shared" si="212"/>
        <v>0</v>
      </c>
      <c r="AF218" s="2">
        <f t="shared" si="213"/>
        <v>0</v>
      </c>
      <c r="AG218" s="2">
        <f t="shared" si="214"/>
        <v>0</v>
      </c>
      <c r="AH218" s="2">
        <f t="shared" si="215"/>
        <v>0</v>
      </c>
      <c r="AI218" s="2">
        <f t="shared" si="216"/>
        <v>0</v>
      </c>
      <c r="AJ218" s="2">
        <f t="shared" si="217"/>
        <v>0</v>
      </c>
      <c r="AK218" s="2">
        <v>857.41</v>
      </c>
      <c r="AL218" s="2">
        <v>857.41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1</v>
      </c>
      <c r="AW218" s="2">
        <v>1</v>
      </c>
      <c r="AX218" s="2"/>
      <c r="AY218" s="2"/>
      <c r="AZ218" s="2">
        <v>1</v>
      </c>
      <c r="BA218" s="2">
        <v>1</v>
      </c>
      <c r="BB218" s="2">
        <v>1</v>
      </c>
      <c r="BC218" s="2">
        <v>1</v>
      </c>
      <c r="BD218" s="2" t="s">
        <v>3</v>
      </c>
      <c r="BE218" s="2" t="s">
        <v>3</v>
      </c>
      <c r="BF218" s="2" t="s">
        <v>3</v>
      </c>
      <c r="BG218" s="2" t="s">
        <v>3</v>
      </c>
      <c r="BH218" s="2">
        <v>3</v>
      </c>
      <c r="BI218" s="2">
        <v>2</v>
      </c>
      <c r="BJ218" s="2" t="s">
        <v>291</v>
      </c>
      <c r="BK218" s="2"/>
      <c r="BL218" s="2"/>
      <c r="BM218" s="2">
        <v>1618</v>
      </c>
      <c r="BN218" s="2">
        <v>0</v>
      </c>
      <c r="BO218" s="2" t="s">
        <v>3</v>
      </c>
      <c r="BP218" s="2">
        <v>0</v>
      </c>
      <c r="BQ218" s="2">
        <v>201</v>
      </c>
      <c r="BR218" s="2">
        <v>0</v>
      </c>
      <c r="BS218" s="2">
        <v>1</v>
      </c>
      <c r="BT218" s="2">
        <v>1</v>
      </c>
      <c r="BU218" s="2">
        <v>1</v>
      </c>
      <c r="BV218" s="2">
        <v>1</v>
      </c>
      <c r="BW218" s="2">
        <v>1</v>
      </c>
      <c r="BX218" s="2">
        <v>1</v>
      </c>
      <c r="BY218" s="2" t="s">
        <v>3</v>
      </c>
      <c r="BZ218" s="2">
        <v>0</v>
      </c>
      <c r="CA218" s="2">
        <v>0</v>
      </c>
      <c r="CB218" s="2" t="s">
        <v>3</v>
      </c>
      <c r="CC218" s="2"/>
      <c r="CD218" s="2"/>
      <c r="CE218" s="2">
        <v>30</v>
      </c>
      <c r="CF218" s="2">
        <v>0</v>
      </c>
      <c r="CG218" s="2">
        <v>0</v>
      </c>
      <c r="CH218" s="2"/>
      <c r="CI218" s="2"/>
      <c r="CJ218" s="2"/>
      <c r="CK218" s="2"/>
      <c r="CL218" s="2"/>
      <c r="CM218" s="2">
        <v>0</v>
      </c>
      <c r="CN218" s="2" t="s">
        <v>671</v>
      </c>
      <c r="CO218" s="2">
        <v>0</v>
      </c>
      <c r="CP218" s="2">
        <f t="shared" si="218"/>
        <v>0</v>
      </c>
      <c r="CQ218" s="2">
        <f t="shared" si="219"/>
        <v>857.41</v>
      </c>
      <c r="CR218" s="2">
        <f t="shared" si="220"/>
        <v>0</v>
      </c>
      <c r="CS218" s="2">
        <f t="shared" si="221"/>
        <v>0</v>
      </c>
      <c r="CT218" s="2">
        <f t="shared" si="222"/>
        <v>0</v>
      </c>
      <c r="CU218" s="2">
        <f t="shared" si="223"/>
        <v>0</v>
      </c>
      <c r="CV218" s="2">
        <f t="shared" si="224"/>
        <v>0</v>
      </c>
      <c r="CW218" s="2">
        <f t="shared" si="225"/>
        <v>0</v>
      </c>
      <c r="CX218" s="2">
        <f t="shared" si="226"/>
        <v>0</v>
      </c>
      <c r="CY218" s="2">
        <f>((S218*BZ218)/100)</f>
        <v>0</v>
      </c>
      <c r="CZ218" s="2">
        <f>((S218*CA218)/100)</f>
        <v>0</v>
      </c>
      <c r="DA218" s="2"/>
      <c r="DB218" s="2"/>
      <c r="DC218" s="2" t="s">
        <v>3</v>
      </c>
      <c r="DD218" s="2" t="s">
        <v>3</v>
      </c>
      <c r="DE218" s="2" t="s">
        <v>22</v>
      </c>
      <c r="DF218" s="2" t="s">
        <v>22</v>
      </c>
      <c r="DG218" s="2" t="s">
        <v>22</v>
      </c>
      <c r="DH218" s="2" t="s">
        <v>3</v>
      </c>
      <c r="DI218" s="2" t="s">
        <v>22</v>
      </c>
      <c r="DJ218" s="2" t="s">
        <v>22</v>
      </c>
      <c r="DK218" s="2" t="s">
        <v>3</v>
      </c>
      <c r="DL218" s="2" t="s">
        <v>3</v>
      </c>
      <c r="DM218" s="2" t="s">
        <v>3</v>
      </c>
      <c r="DN218" s="2">
        <v>0</v>
      </c>
      <c r="DO218" s="2">
        <v>0</v>
      </c>
      <c r="DP218" s="2">
        <v>1</v>
      </c>
      <c r="DQ218" s="2">
        <v>1</v>
      </c>
      <c r="DR218" s="2"/>
      <c r="DS218" s="2"/>
      <c r="DT218" s="2"/>
      <c r="DU218" s="2">
        <v>1013</v>
      </c>
      <c r="DV218" s="2" t="s">
        <v>290</v>
      </c>
      <c r="DW218" s="2" t="s">
        <v>290</v>
      </c>
      <c r="DX218" s="2">
        <v>1</v>
      </c>
      <c r="DY218" s="2"/>
      <c r="DZ218" s="2" t="s">
        <v>3</v>
      </c>
      <c r="EA218" s="2" t="s">
        <v>3</v>
      </c>
      <c r="EB218" s="2" t="s">
        <v>3</v>
      </c>
      <c r="EC218" s="2" t="s">
        <v>3</v>
      </c>
      <c r="ED218" s="2"/>
      <c r="EE218" s="2">
        <v>51697657</v>
      </c>
      <c r="EF218" s="2">
        <v>201</v>
      </c>
      <c r="EG218" s="2" t="s">
        <v>292</v>
      </c>
      <c r="EH218" s="2">
        <v>0</v>
      </c>
      <c r="EI218" s="2" t="s">
        <v>3</v>
      </c>
      <c r="EJ218" s="2">
        <v>2</v>
      </c>
      <c r="EK218" s="2">
        <v>1618</v>
      </c>
      <c r="EL218" s="2" t="s">
        <v>293</v>
      </c>
      <c r="EM218" s="2" t="s">
        <v>294</v>
      </c>
      <c r="EN218" s="2"/>
      <c r="EO218" s="2" t="s">
        <v>25</v>
      </c>
      <c r="EP218" s="2"/>
      <c r="EQ218" s="2">
        <v>131072</v>
      </c>
      <c r="ER218" s="2">
        <v>857.41</v>
      </c>
      <c r="ES218" s="2">
        <v>857.41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>
        <v>0</v>
      </c>
      <c r="FR218" s="2">
        <v>0</v>
      </c>
      <c r="FS218" s="2">
        <v>0</v>
      </c>
      <c r="FT218" s="2"/>
      <c r="FU218" s="2"/>
      <c r="FV218" s="2"/>
      <c r="FW218" s="2"/>
      <c r="FX218" s="2">
        <v>0</v>
      </c>
      <c r="FY218" s="2">
        <v>0</v>
      </c>
      <c r="FZ218" s="2"/>
      <c r="GA218" s="2" t="s">
        <v>3</v>
      </c>
      <c r="GB218" s="2"/>
      <c r="GC218" s="2"/>
      <c r="GD218" s="2">
        <v>0</v>
      </c>
      <c r="GE218" s="2"/>
      <c r="GF218" s="2">
        <v>-377559799</v>
      </c>
      <c r="GG218" s="2">
        <v>2</v>
      </c>
      <c r="GH218" s="2">
        <v>1</v>
      </c>
      <c r="GI218" s="2">
        <v>-2</v>
      </c>
      <c r="GJ218" s="2">
        <v>0</v>
      </c>
      <c r="GK218" s="2">
        <f>ROUND(R218*(R12)/100,2)</f>
        <v>0</v>
      </c>
      <c r="GL218" s="2">
        <f t="shared" si="227"/>
        <v>0</v>
      </c>
      <c r="GM218" s="2">
        <f t="shared" si="228"/>
        <v>0</v>
      </c>
      <c r="GN218" s="2">
        <f t="shared" si="229"/>
        <v>0</v>
      </c>
      <c r="GO218" s="2">
        <f t="shared" si="230"/>
        <v>0</v>
      </c>
      <c r="GP218" s="2">
        <f t="shared" si="231"/>
        <v>0</v>
      </c>
      <c r="GQ218" s="2"/>
      <c r="GR218" s="2">
        <v>0</v>
      </c>
      <c r="GS218" s="2">
        <v>0</v>
      </c>
      <c r="GT218" s="2">
        <v>0</v>
      </c>
      <c r="GU218" s="2" t="s">
        <v>3</v>
      </c>
      <c r="GV218" s="2">
        <f t="shared" si="232"/>
        <v>0</v>
      </c>
      <c r="GW218" s="2">
        <v>1</v>
      </c>
      <c r="GX218" s="2">
        <f t="shared" si="233"/>
        <v>0</v>
      </c>
      <c r="GY218" s="2"/>
      <c r="GZ218" s="2"/>
      <c r="HA218" s="2">
        <v>0</v>
      </c>
      <c r="HB218" s="2">
        <v>0</v>
      </c>
      <c r="HC218" s="2">
        <f t="shared" si="234"/>
        <v>0</v>
      </c>
      <c r="HD218" s="2"/>
      <c r="HE218" s="2" t="s">
        <v>3</v>
      </c>
      <c r="HF218" s="2" t="s">
        <v>3</v>
      </c>
      <c r="HG218" s="2"/>
      <c r="HH218" s="2"/>
      <c r="HI218" s="2"/>
      <c r="HJ218" s="2"/>
      <c r="HK218" s="2"/>
      <c r="HL218" s="2"/>
      <c r="HM218" s="2" t="s">
        <v>3</v>
      </c>
      <c r="HN218" s="2" t="s">
        <v>3</v>
      </c>
      <c r="HO218" s="2" t="s">
        <v>3</v>
      </c>
      <c r="HP218" s="2" t="s">
        <v>3</v>
      </c>
      <c r="HQ218" s="2" t="s">
        <v>3</v>
      </c>
      <c r="HR218" s="2"/>
      <c r="HS218" s="2">
        <v>0</v>
      </c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>
        <v>0</v>
      </c>
      <c r="IL218" s="2"/>
      <c r="IM218" s="2"/>
      <c r="IN218" s="2"/>
      <c r="IO218" s="2"/>
      <c r="IP218" s="2"/>
      <c r="IQ218" s="2"/>
      <c r="IR218" s="2"/>
      <c r="IS218" s="2"/>
      <c r="IT218" s="2"/>
      <c r="IU218" s="2"/>
    </row>
    <row r="219" spans="1:255" x14ac:dyDescent="0.2">
      <c r="A219">
        <v>17</v>
      </c>
      <c r="B219">
        <v>1</v>
      </c>
      <c r="E219" t="s">
        <v>287</v>
      </c>
      <c r="F219" t="s">
        <v>288</v>
      </c>
      <c r="G219" t="s">
        <v>289</v>
      </c>
      <c r="H219" t="s">
        <v>290</v>
      </c>
      <c r="I219">
        <v>0</v>
      </c>
      <c r="J219">
        <v>0</v>
      </c>
      <c r="K219">
        <v>0</v>
      </c>
      <c r="O219">
        <f t="shared" si="198"/>
        <v>0</v>
      </c>
      <c r="P219">
        <f t="shared" si="199"/>
        <v>0</v>
      </c>
      <c r="Q219">
        <f t="shared" si="200"/>
        <v>0</v>
      </c>
      <c r="R219">
        <f t="shared" si="201"/>
        <v>0</v>
      </c>
      <c r="S219">
        <f t="shared" si="202"/>
        <v>0</v>
      </c>
      <c r="T219">
        <f t="shared" si="203"/>
        <v>0</v>
      </c>
      <c r="U219">
        <f t="shared" si="204"/>
        <v>0</v>
      </c>
      <c r="V219">
        <f t="shared" si="205"/>
        <v>0</v>
      </c>
      <c r="W219">
        <f t="shared" si="206"/>
        <v>0</v>
      </c>
      <c r="X219">
        <f t="shared" si="207"/>
        <v>0</v>
      </c>
      <c r="Y219">
        <f t="shared" si="208"/>
        <v>0</v>
      </c>
      <c r="AA219">
        <v>56616093</v>
      </c>
      <c r="AB219">
        <f t="shared" si="209"/>
        <v>857.41</v>
      </c>
      <c r="AC219">
        <f t="shared" si="235"/>
        <v>857.41</v>
      </c>
      <c r="AD219">
        <f t="shared" si="211"/>
        <v>0</v>
      </c>
      <c r="AE219">
        <f t="shared" si="212"/>
        <v>0</v>
      </c>
      <c r="AF219">
        <f t="shared" si="213"/>
        <v>0</v>
      </c>
      <c r="AG219">
        <f t="shared" si="214"/>
        <v>0</v>
      </c>
      <c r="AH219">
        <f t="shared" si="215"/>
        <v>0</v>
      </c>
      <c r="AI219">
        <f t="shared" si="216"/>
        <v>0</v>
      </c>
      <c r="AJ219">
        <f t="shared" si="217"/>
        <v>0</v>
      </c>
      <c r="AK219">
        <v>857.41</v>
      </c>
      <c r="AL219">
        <v>857.41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1</v>
      </c>
      <c r="AZ219">
        <v>1</v>
      </c>
      <c r="BA219">
        <v>1</v>
      </c>
      <c r="BB219">
        <v>1</v>
      </c>
      <c r="BC219">
        <v>6.96</v>
      </c>
      <c r="BD219" t="s">
        <v>3</v>
      </c>
      <c r="BE219" t="s">
        <v>3</v>
      </c>
      <c r="BF219" t="s">
        <v>3</v>
      </c>
      <c r="BG219" t="s">
        <v>3</v>
      </c>
      <c r="BH219">
        <v>3</v>
      </c>
      <c r="BI219">
        <v>2</v>
      </c>
      <c r="BJ219" t="s">
        <v>291</v>
      </c>
      <c r="BM219">
        <v>1618</v>
      </c>
      <c r="BN219">
        <v>0</v>
      </c>
      <c r="BO219" t="s">
        <v>288</v>
      </c>
      <c r="BP219">
        <v>1</v>
      </c>
      <c r="BQ219">
        <v>201</v>
      </c>
      <c r="BR219">
        <v>0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 t="s">
        <v>3</v>
      </c>
      <c r="BZ219">
        <v>0</v>
      </c>
      <c r="CA219">
        <v>0</v>
      </c>
      <c r="CB219" t="s">
        <v>3</v>
      </c>
      <c r="CE219">
        <v>30</v>
      </c>
      <c r="CF219">
        <v>0</v>
      </c>
      <c r="CG219">
        <v>0</v>
      </c>
      <c r="CM219">
        <v>0</v>
      </c>
      <c r="CN219" t="s">
        <v>671</v>
      </c>
      <c r="CO219">
        <v>0</v>
      </c>
      <c r="CP219">
        <f t="shared" si="218"/>
        <v>0</v>
      </c>
      <c r="CQ219">
        <f t="shared" si="219"/>
        <v>5967.57</v>
      </c>
      <c r="CR219">
        <f t="shared" si="220"/>
        <v>0</v>
      </c>
      <c r="CS219">
        <f t="shared" si="221"/>
        <v>0</v>
      </c>
      <c r="CT219">
        <f t="shared" si="222"/>
        <v>0</v>
      </c>
      <c r="CU219">
        <f t="shared" si="223"/>
        <v>0</v>
      </c>
      <c r="CV219">
        <f t="shared" si="224"/>
        <v>0</v>
      </c>
      <c r="CW219">
        <f t="shared" si="225"/>
        <v>0</v>
      </c>
      <c r="CX219">
        <f t="shared" si="226"/>
        <v>0</v>
      </c>
      <c r="CY219">
        <f>S219*(BZ219/100)</f>
        <v>0</v>
      </c>
      <c r="CZ219">
        <f>S219*(CA219/100)</f>
        <v>0</v>
      </c>
      <c r="DC219" t="s">
        <v>3</v>
      </c>
      <c r="DD219" t="s">
        <v>3</v>
      </c>
      <c r="DE219" t="s">
        <v>22</v>
      </c>
      <c r="DF219" t="s">
        <v>22</v>
      </c>
      <c r="DG219" t="s">
        <v>22</v>
      </c>
      <c r="DH219" t="s">
        <v>3</v>
      </c>
      <c r="DI219" t="s">
        <v>22</v>
      </c>
      <c r="DJ219" t="s">
        <v>22</v>
      </c>
      <c r="DK219" t="s">
        <v>3</v>
      </c>
      <c r="DL219" t="s">
        <v>3</v>
      </c>
      <c r="DM219" t="s">
        <v>3</v>
      </c>
      <c r="DN219">
        <v>0</v>
      </c>
      <c r="DO219">
        <v>0</v>
      </c>
      <c r="DP219">
        <v>1</v>
      </c>
      <c r="DQ219">
        <v>1</v>
      </c>
      <c r="DU219">
        <v>1013</v>
      </c>
      <c r="DV219" t="s">
        <v>290</v>
      </c>
      <c r="DW219" t="s">
        <v>290</v>
      </c>
      <c r="DX219">
        <v>1</v>
      </c>
      <c r="DZ219" t="s">
        <v>3</v>
      </c>
      <c r="EA219" t="s">
        <v>3</v>
      </c>
      <c r="EB219" t="s">
        <v>3</v>
      </c>
      <c r="EC219" t="s">
        <v>3</v>
      </c>
      <c r="EE219">
        <v>51697657</v>
      </c>
      <c r="EF219">
        <v>201</v>
      </c>
      <c r="EG219" t="s">
        <v>292</v>
      </c>
      <c r="EH219">
        <v>0</v>
      </c>
      <c r="EI219" t="s">
        <v>3</v>
      </c>
      <c r="EJ219">
        <v>2</v>
      </c>
      <c r="EK219">
        <v>1618</v>
      </c>
      <c r="EL219" t="s">
        <v>293</v>
      </c>
      <c r="EM219" t="s">
        <v>294</v>
      </c>
      <c r="EO219" t="s">
        <v>25</v>
      </c>
      <c r="EQ219">
        <v>131072</v>
      </c>
      <c r="ER219">
        <v>857.41</v>
      </c>
      <c r="ES219">
        <v>857.41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FQ219">
        <v>0</v>
      </c>
      <c r="FR219">
        <v>0</v>
      </c>
      <c r="FS219">
        <v>0</v>
      </c>
      <c r="FX219">
        <v>0</v>
      </c>
      <c r="FY219">
        <v>0</v>
      </c>
      <c r="GA219" t="s">
        <v>3</v>
      </c>
      <c r="GD219">
        <v>0</v>
      </c>
      <c r="GF219">
        <v>-377559799</v>
      </c>
      <c r="GG219">
        <v>2</v>
      </c>
      <c r="GH219">
        <v>1</v>
      </c>
      <c r="GI219">
        <v>2</v>
      </c>
      <c r="GJ219">
        <v>0</v>
      </c>
      <c r="GK219">
        <f>ROUND(R219*(S12)/100,2)</f>
        <v>0</v>
      </c>
      <c r="GL219">
        <f t="shared" si="227"/>
        <v>0</v>
      </c>
      <c r="GM219">
        <f t="shared" si="228"/>
        <v>0</v>
      </c>
      <c r="GN219">
        <f t="shared" si="229"/>
        <v>0</v>
      </c>
      <c r="GO219">
        <f t="shared" si="230"/>
        <v>0</v>
      </c>
      <c r="GP219">
        <f t="shared" si="231"/>
        <v>0</v>
      </c>
      <c r="GR219">
        <v>0</v>
      </c>
      <c r="GS219">
        <v>3</v>
      </c>
      <c r="GT219">
        <v>0</v>
      </c>
      <c r="GU219" t="s">
        <v>3</v>
      </c>
      <c r="GV219">
        <f t="shared" si="232"/>
        <v>0</v>
      </c>
      <c r="GW219">
        <v>1</v>
      </c>
      <c r="GX219">
        <f t="shared" si="233"/>
        <v>0</v>
      </c>
      <c r="HA219">
        <v>0</v>
      </c>
      <c r="HB219">
        <v>0</v>
      </c>
      <c r="HC219">
        <f t="shared" si="234"/>
        <v>0</v>
      </c>
      <c r="HE219" t="s">
        <v>3</v>
      </c>
      <c r="HF219" t="s">
        <v>3</v>
      </c>
      <c r="HM219" t="s">
        <v>3</v>
      </c>
      <c r="HN219" t="s">
        <v>3</v>
      </c>
      <c r="HO219" t="s">
        <v>3</v>
      </c>
      <c r="HP219" t="s">
        <v>3</v>
      </c>
      <c r="HQ219" t="s">
        <v>3</v>
      </c>
      <c r="HS219">
        <v>0</v>
      </c>
      <c r="IK219">
        <v>0</v>
      </c>
    </row>
    <row r="220" spans="1:255" x14ac:dyDescent="0.2">
      <c r="A220" s="2">
        <v>17</v>
      </c>
      <c r="B220" s="2">
        <v>1</v>
      </c>
      <c r="C220" s="2"/>
      <c r="D220" s="2"/>
      <c r="E220" s="2" t="s">
        <v>295</v>
      </c>
      <c r="F220" s="2" t="s">
        <v>296</v>
      </c>
      <c r="G220" s="2" t="s">
        <v>297</v>
      </c>
      <c r="H220" s="2" t="s">
        <v>290</v>
      </c>
      <c r="I220" s="2">
        <v>0</v>
      </c>
      <c r="J220" s="2">
        <v>0</v>
      </c>
      <c r="K220" s="2">
        <v>0</v>
      </c>
      <c r="L220" s="2"/>
      <c r="M220" s="2"/>
      <c r="N220" s="2"/>
      <c r="O220" s="2">
        <f t="shared" si="198"/>
        <v>0</v>
      </c>
      <c r="P220" s="2">
        <f t="shared" si="199"/>
        <v>0</v>
      </c>
      <c r="Q220" s="2">
        <f t="shared" si="200"/>
        <v>0</v>
      </c>
      <c r="R220" s="2">
        <f t="shared" si="201"/>
        <v>0</v>
      </c>
      <c r="S220" s="2">
        <f t="shared" si="202"/>
        <v>0</v>
      </c>
      <c r="T220" s="2">
        <f t="shared" si="203"/>
        <v>0</v>
      </c>
      <c r="U220" s="2">
        <f t="shared" si="204"/>
        <v>0</v>
      </c>
      <c r="V220" s="2">
        <f t="shared" si="205"/>
        <v>0</v>
      </c>
      <c r="W220" s="2">
        <f t="shared" si="206"/>
        <v>0</v>
      </c>
      <c r="X220" s="2">
        <f t="shared" si="207"/>
        <v>0</v>
      </c>
      <c r="Y220" s="2">
        <f t="shared" si="208"/>
        <v>0</v>
      </c>
      <c r="Z220" s="2"/>
      <c r="AA220" s="2">
        <v>56622586</v>
      </c>
      <c r="AB220" s="2">
        <f t="shared" si="209"/>
        <v>673.75</v>
      </c>
      <c r="AC220" s="2">
        <f t="shared" si="235"/>
        <v>673.75</v>
      </c>
      <c r="AD220" s="2">
        <f t="shared" si="211"/>
        <v>0</v>
      </c>
      <c r="AE220" s="2">
        <f t="shared" si="212"/>
        <v>0</v>
      </c>
      <c r="AF220" s="2">
        <f t="shared" si="213"/>
        <v>0</v>
      </c>
      <c r="AG220" s="2">
        <f t="shared" si="214"/>
        <v>0</v>
      </c>
      <c r="AH220" s="2">
        <f t="shared" si="215"/>
        <v>0</v>
      </c>
      <c r="AI220" s="2">
        <f t="shared" si="216"/>
        <v>0</v>
      </c>
      <c r="AJ220" s="2">
        <f t="shared" si="217"/>
        <v>0</v>
      </c>
      <c r="AK220" s="2">
        <v>673.75</v>
      </c>
      <c r="AL220" s="2">
        <v>673.75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1</v>
      </c>
      <c r="AW220" s="2">
        <v>1</v>
      </c>
      <c r="AX220" s="2"/>
      <c r="AY220" s="2"/>
      <c r="AZ220" s="2">
        <v>1</v>
      </c>
      <c r="BA220" s="2">
        <v>1</v>
      </c>
      <c r="BB220" s="2">
        <v>1</v>
      </c>
      <c r="BC220" s="2">
        <v>1</v>
      </c>
      <c r="BD220" s="2" t="s">
        <v>3</v>
      </c>
      <c r="BE220" s="2" t="s">
        <v>3</v>
      </c>
      <c r="BF220" s="2" t="s">
        <v>3</v>
      </c>
      <c r="BG220" s="2" t="s">
        <v>3</v>
      </c>
      <c r="BH220" s="2">
        <v>3</v>
      </c>
      <c r="BI220" s="2">
        <v>2</v>
      </c>
      <c r="BJ220" s="2" t="s">
        <v>298</v>
      </c>
      <c r="BK220" s="2"/>
      <c r="BL220" s="2"/>
      <c r="BM220" s="2">
        <v>1618</v>
      </c>
      <c r="BN220" s="2">
        <v>0</v>
      </c>
      <c r="BO220" s="2" t="s">
        <v>3</v>
      </c>
      <c r="BP220" s="2">
        <v>0</v>
      </c>
      <c r="BQ220" s="2">
        <v>201</v>
      </c>
      <c r="BR220" s="2">
        <v>0</v>
      </c>
      <c r="BS220" s="2">
        <v>1</v>
      </c>
      <c r="BT220" s="2">
        <v>1</v>
      </c>
      <c r="BU220" s="2">
        <v>1</v>
      </c>
      <c r="BV220" s="2">
        <v>1</v>
      </c>
      <c r="BW220" s="2">
        <v>1</v>
      </c>
      <c r="BX220" s="2">
        <v>1</v>
      </c>
      <c r="BY220" s="2" t="s">
        <v>3</v>
      </c>
      <c r="BZ220" s="2">
        <v>0</v>
      </c>
      <c r="CA220" s="2">
        <v>0</v>
      </c>
      <c r="CB220" s="2" t="s">
        <v>3</v>
      </c>
      <c r="CC220" s="2"/>
      <c r="CD220" s="2"/>
      <c r="CE220" s="2">
        <v>30</v>
      </c>
      <c r="CF220" s="2">
        <v>0</v>
      </c>
      <c r="CG220" s="2">
        <v>0</v>
      </c>
      <c r="CH220" s="2"/>
      <c r="CI220" s="2"/>
      <c r="CJ220" s="2"/>
      <c r="CK220" s="2"/>
      <c r="CL220" s="2"/>
      <c r="CM220" s="2">
        <v>0</v>
      </c>
      <c r="CN220" s="2" t="s">
        <v>671</v>
      </c>
      <c r="CO220" s="2">
        <v>0</v>
      </c>
      <c r="CP220" s="2">
        <f t="shared" si="218"/>
        <v>0</v>
      </c>
      <c r="CQ220" s="2">
        <f t="shared" si="219"/>
        <v>673.75</v>
      </c>
      <c r="CR220" s="2">
        <f t="shared" si="220"/>
        <v>0</v>
      </c>
      <c r="CS220" s="2">
        <f t="shared" si="221"/>
        <v>0</v>
      </c>
      <c r="CT220" s="2">
        <f t="shared" si="222"/>
        <v>0</v>
      </c>
      <c r="CU220" s="2">
        <f t="shared" si="223"/>
        <v>0</v>
      </c>
      <c r="CV220" s="2">
        <f t="shared" si="224"/>
        <v>0</v>
      </c>
      <c r="CW220" s="2">
        <f t="shared" si="225"/>
        <v>0</v>
      </c>
      <c r="CX220" s="2">
        <f t="shared" si="226"/>
        <v>0</v>
      </c>
      <c r="CY220" s="2">
        <f>((S220*BZ220)/100)</f>
        <v>0</v>
      </c>
      <c r="CZ220" s="2">
        <f>((S220*CA220)/100)</f>
        <v>0</v>
      </c>
      <c r="DA220" s="2"/>
      <c r="DB220" s="2"/>
      <c r="DC220" s="2" t="s">
        <v>3</v>
      </c>
      <c r="DD220" s="2" t="s">
        <v>3</v>
      </c>
      <c r="DE220" s="2" t="s">
        <v>22</v>
      </c>
      <c r="DF220" s="2" t="s">
        <v>22</v>
      </c>
      <c r="DG220" s="2" t="s">
        <v>22</v>
      </c>
      <c r="DH220" s="2" t="s">
        <v>3</v>
      </c>
      <c r="DI220" s="2" t="s">
        <v>22</v>
      </c>
      <c r="DJ220" s="2" t="s">
        <v>22</v>
      </c>
      <c r="DK220" s="2" t="s">
        <v>3</v>
      </c>
      <c r="DL220" s="2" t="s">
        <v>3</v>
      </c>
      <c r="DM220" s="2" t="s">
        <v>3</v>
      </c>
      <c r="DN220" s="2">
        <v>0</v>
      </c>
      <c r="DO220" s="2">
        <v>0</v>
      </c>
      <c r="DP220" s="2">
        <v>1</v>
      </c>
      <c r="DQ220" s="2">
        <v>1</v>
      </c>
      <c r="DR220" s="2"/>
      <c r="DS220" s="2"/>
      <c r="DT220" s="2"/>
      <c r="DU220" s="2">
        <v>1013</v>
      </c>
      <c r="DV220" s="2" t="s">
        <v>290</v>
      </c>
      <c r="DW220" s="2" t="s">
        <v>290</v>
      </c>
      <c r="DX220" s="2">
        <v>1</v>
      </c>
      <c r="DY220" s="2"/>
      <c r="DZ220" s="2" t="s">
        <v>3</v>
      </c>
      <c r="EA220" s="2" t="s">
        <v>3</v>
      </c>
      <c r="EB220" s="2" t="s">
        <v>3</v>
      </c>
      <c r="EC220" s="2" t="s">
        <v>3</v>
      </c>
      <c r="ED220" s="2"/>
      <c r="EE220" s="2">
        <v>51697657</v>
      </c>
      <c r="EF220" s="2">
        <v>201</v>
      </c>
      <c r="EG220" s="2" t="s">
        <v>292</v>
      </c>
      <c r="EH220" s="2">
        <v>0</v>
      </c>
      <c r="EI220" s="2" t="s">
        <v>3</v>
      </c>
      <c r="EJ220" s="2">
        <v>2</v>
      </c>
      <c r="EK220" s="2">
        <v>1618</v>
      </c>
      <c r="EL220" s="2" t="s">
        <v>293</v>
      </c>
      <c r="EM220" s="2" t="s">
        <v>294</v>
      </c>
      <c r="EN220" s="2"/>
      <c r="EO220" s="2" t="s">
        <v>25</v>
      </c>
      <c r="EP220" s="2"/>
      <c r="EQ220" s="2">
        <v>131072</v>
      </c>
      <c r="ER220" s="2">
        <v>673.75</v>
      </c>
      <c r="ES220" s="2">
        <v>673.75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>
        <v>0</v>
      </c>
      <c r="FR220" s="2">
        <v>0</v>
      </c>
      <c r="FS220" s="2">
        <v>0</v>
      </c>
      <c r="FT220" s="2"/>
      <c r="FU220" s="2"/>
      <c r="FV220" s="2"/>
      <c r="FW220" s="2"/>
      <c r="FX220" s="2">
        <v>0</v>
      </c>
      <c r="FY220" s="2">
        <v>0</v>
      </c>
      <c r="FZ220" s="2"/>
      <c r="GA220" s="2" t="s">
        <v>3</v>
      </c>
      <c r="GB220" s="2"/>
      <c r="GC220" s="2"/>
      <c r="GD220" s="2">
        <v>0</v>
      </c>
      <c r="GE220" s="2"/>
      <c r="GF220" s="2">
        <v>-1043076021</v>
      </c>
      <c r="GG220" s="2">
        <v>2</v>
      </c>
      <c r="GH220" s="2">
        <v>1</v>
      </c>
      <c r="GI220" s="2">
        <v>-2</v>
      </c>
      <c r="GJ220" s="2">
        <v>0</v>
      </c>
      <c r="GK220" s="2">
        <f>ROUND(R220*(R12)/100,2)</f>
        <v>0</v>
      </c>
      <c r="GL220" s="2">
        <f t="shared" si="227"/>
        <v>0</v>
      </c>
      <c r="GM220" s="2">
        <f t="shared" si="228"/>
        <v>0</v>
      </c>
      <c r="GN220" s="2">
        <f t="shared" si="229"/>
        <v>0</v>
      </c>
      <c r="GO220" s="2">
        <f t="shared" si="230"/>
        <v>0</v>
      </c>
      <c r="GP220" s="2">
        <f t="shared" si="231"/>
        <v>0</v>
      </c>
      <c r="GQ220" s="2"/>
      <c r="GR220" s="2">
        <v>0</v>
      </c>
      <c r="GS220" s="2">
        <v>0</v>
      </c>
      <c r="GT220" s="2">
        <v>0</v>
      </c>
      <c r="GU220" s="2" t="s">
        <v>3</v>
      </c>
      <c r="GV220" s="2">
        <f t="shared" si="232"/>
        <v>0</v>
      </c>
      <c r="GW220" s="2">
        <v>1</v>
      </c>
      <c r="GX220" s="2">
        <f t="shared" si="233"/>
        <v>0</v>
      </c>
      <c r="GY220" s="2"/>
      <c r="GZ220" s="2"/>
      <c r="HA220" s="2">
        <v>0</v>
      </c>
      <c r="HB220" s="2">
        <v>0</v>
      </c>
      <c r="HC220" s="2">
        <f t="shared" si="234"/>
        <v>0</v>
      </c>
      <c r="HD220" s="2"/>
      <c r="HE220" s="2" t="s">
        <v>3</v>
      </c>
      <c r="HF220" s="2" t="s">
        <v>3</v>
      </c>
      <c r="HG220" s="2"/>
      <c r="HH220" s="2"/>
      <c r="HI220" s="2"/>
      <c r="HJ220" s="2"/>
      <c r="HK220" s="2"/>
      <c r="HL220" s="2"/>
      <c r="HM220" s="2" t="s">
        <v>3</v>
      </c>
      <c r="HN220" s="2" t="s">
        <v>3</v>
      </c>
      <c r="HO220" s="2" t="s">
        <v>3</v>
      </c>
      <c r="HP220" s="2" t="s">
        <v>3</v>
      </c>
      <c r="HQ220" s="2" t="s">
        <v>3</v>
      </c>
      <c r="HR220" s="2"/>
      <c r="HS220" s="2">
        <v>0</v>
      </c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>
        <v>0</v>
      </c>
      <c r="IL220" s="2"/>
      <c r="IM220" s="2"/>
      <c r="IN220" s="2"/>
      <c r="IO220" s="2"/>
      <c r="IP220" s="2"/>
      <c r="IQ220" s="2"/>
      <c r="IR220" s="2"/>
      <c r="IS220" s="2"/>
      <c r="IT220" s="2"/>
      <c r="IU220" s="2"/>
    </row>
    <row r="221" spans="1:255" x14ac:dyDescent="0.2">
      <c r="A221">
        <v>17</v>
      </c>
      <c r="B221">
        <v>1</v>
      </c>
      <c r="E221" t="s">
        <v>295</v>
      </c>
      <c r="F221" t="s">
        <v>296</v>
      </c>
      <c r="G221" t="s">
        <v>297</v>
      </c>
      <c r="H221" t="s">
        <v>290</v>
      </c>
      <c r="I221">
        <v>0</v>
      </c>
      <c r="J221">
        <v>0</v>
      </c>
      <c r="K221">
        <v>0</v>
      </c>
      <c r="O221">
        <f t="shared" si="198"/>
        <v>0</v>
      </c>
      <c r="P221">
        <f t="shared" si="199"/>
        <v>0</v>
      </c>
      <c r="Q221">
        <f t="shared" si="200"/>
        <v>0</v>
      </c>
      <c r="R221">
        <f t="shared" si="201"/>
        <v>0</v>
      </c>
      <c r="S221">
        <f t="shared" si="202"/>
        <v>0</v>
      </c>
      <c r="T221">
        <f t="shared" si="203"/>
        <v>0</v>
      </c>
      <c r="U221">
        <f t="shared" si="204"/>
        <v>0</v>
      </c>
      <c r="V221">
        <f t="shared" si="205"/>
        <v>0</v>
      </c>
      <c r="W221">
        <f t="shared" si="206"/>
        <v>0</v>
      </c>
      <c r="X221">
        <f t="shared" si="207"/>
        <v>0</v>
      </c>
      <c r="Y221">
        <f t="shared" si="208"/>
        <v>0</v>
      </c>
      <c r="AA221">
        <v>56616093</v>
      </c>
      <c r="AB221">
        <f t="shared" si="209"/>
        <v>673.75</v>
      </c>
      <c r="AC221">
        <f t="shared" si="235"/>
        <v>673.75</v>
      </c>
      <c r="AD221">
        <f t="shared" si="211"/>
        <v>0</v>
      </c>
      <c r="AE221">
        <f t="shared" si="212"/>
        <v>0</v>
      </c>
      <c r="AF221">
        <f t="shared" si="213"/>
        <v>0</v>
      </c>
      <c r="AG221">
        <f t="shared" si="214"/>
        <v>0</v>
      </c>
      <c r="AH221">
        <f t="shared" si="215"/>
        <v>0</v>
      </c>
      <c r="AI221">
        <f t="shared" si="216"/>
        <v>0</v>
      </c>
      <c r="AJ221">
        <f t="shared" si="217"/>
        <v>0</v>
      </c>
      <c r="AK221">
        <v>673.75</v>
      </c>
      <c r="AL221">
        <v>673.75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1</v>
      </c>
      <c r="AZ221">
        <v>1</v>
      </c>
      <c r="BA221">
        <v>1</v>
      </c>
      <c r="BB221">
        <v>1</v>
      </c>
      <c r="BC221">
        <v>6.3</v>
      </c>
      <c r="BD221" t="s">
        <v>3</v>
      </c>
      <c r="BE221" t="s">
        <v>3</v>
      </c>
      <c r="BF221" t="s">
        <v>3</v>
      </c>
      <c r="BG221" t="s">
        <v>3</v>
      </c>
      <c r="BH221">
        <v>3</v>
      </c>
      <c r="BI221">
        <v>2</v>
      </c>
      <c r="BJ221" t="s">
        <v>298</v>
      </c>
      <c r="BM221">
        <v>1618</v>
      </c>
      <c r="BN221">
        <v>0</v>
      </c>
      <c r="BO221" t="s">
        <v>296</v>
      </c>
      <c r="BP221">
        <v>1</v>
      </c>
      <c r="BQ221">
        <v>201</v>
      </c>
      <c r="BR221">
        <v>0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 t="s">
        <v>3</v>
      </c>
      <c r="BZ221">
        <v>0</v>
      </c>
      <c r="CA221">
        <v>0</v>
      </c>
      <c r="CB221" t="s">
        <v>3</v>
      </c>
      <c r="CE221">
        <v>30</v>
      </c>
      <c r="CF221">
        <v>0</v>
      </c>
      <c r="CG221">
        <v>0</v>
      </c>
      <c r="CM221">
        <v>0</v>
      </c>
      <c r="CN221" t="s">
        <v>671</v>
      </c>
      <c r="CO221">
        <v>0</v>
      </c>
      <c r="CP221">
        <f t="shared" si="218"/>
        <v>0</v>
      </c>
      <c r="CQ221">
        <f t="shared" si="219"/>
        <v>4244.63</v>
      </c>
      <c r="CR221">
        <f t="shared" si="220"/>
        <v>0</v>
      </c>
      <c r="CS221">
        <f t="shared" si="221"/>
        <v>0</v>
      </c>
      <c r="CT221">
        <f t="shared" si="222"/>
        <v>0</v>
      </c>
      <c r="CU221">
        <f t="shared" si="223"/>
        <v>0</v>
      </c>
      <c r="CV221">
        <f t="shared" si="224"/>
        <v>0</v>
      </c>
      <c r="CW221">
        <f t="shared" si="225"/>
        <v>0</v>
      </c>
      <c r="CX221">
        <f t="shared" si="226"/>
        <v>0</v>
      </c>
      <c r="CY221">
        <f>S221*(BZ221/100)</f>
        <v>0</v>
      </c>
      <c r="CZ221">
        <f>S221*(CA221/100)</f>
        <v>0</v>
      </c>
      <c r="DC221" t="s">
        <v>3</v>
      </c>
      <c r="DD221" t="s">
        <v>3</v>
      </c>
      <c r="DE221" t="s">
        <v>22</v>
      </c>
      <c r="DF221" t="s">
        <v>22</v>
      </c>
      <c r="DG221" t="s">
        <v>22</v>
      </c>
      <c r="DH221" t="s">
        <v>3</v>
      </c>
      <c r="DI221" t="s">
        <v>22</v>
      </c>
      <c r="DJ221" t="s">
        <v>22</v>
      </c>
      <c r="DK221" t="s">
        <v>3</v>
      </c>
      <c r="DL221" t="s">
        <v>3</v>
      </c>
      <c r="DM221" t="s">
        <v>3</v>
      </c>
      <c r="DN221">
        <v>0</v>
      </c>
      <c r="DO221">
        <v>0</v>
      </c>
      <c r="DP221">
        <v>1</v>
      </c>
      <c r="DQ221">
        <v>1</v>
      </c>
      <c r="DU221">
        <v>1013</v>
      </c>
      <c r="DV221" t="s">
        <v>290</v>
      </c>
      <c r="DW221" t="s">
        <v>290</v>
      </c>
      <c r="DX221">
        <v>1</v>
      </c>
      <c r="DZ221" t="s">
        <v>3</v>
      </c>
      <c r="EA221" t="s">
        <v>3</v>
      </c>
      <c r="EB221" t="s">
        <v>3</v>
      </c>
      <c r="EC221" t="s">
        <v>3</v>
      </c>
      <c r="EE221">
        <v>51697657</v>
      </c>
      <c r="EF221">
        <v>201</v>
      </c>
      <c r="EG221" t="s">
        <v>292</v>
      </c>
      <c r="EH221">
        <v>0</v>
      </c>
      <c r="EI221" t="s">
        <v>3</v>
      </c>
      <c r="EJ221">
        <v>2</v>
      </c>
      <c r="EK221">
        <v>1618</v>
      </c>
      <c r="EL221" t="s">
        <v>293</v>
      </c>
      <c r="EM221" t="s">
        <v>294</v>
      </c>
      <c r="EO221" t="s">
        <v>25</v>
      </c>
      <c r="EQ221">
        <v>131072</v>
      </c>
      <c r="ER221">
        <v>673.75</v>
      </c>
      <c r="ES221">
        <v>673.75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FQ221">
        <v>0</v>
      </c>
      <c r="FR221">
        <v>0</v>
      </c>
      <c r="FS221">
        <v>0</v>
      </c>
      <c r="FX221">
        <v>0</v>
      </c>
      <c r="FY221">
        <v>0</v>
      </c>
      <c r="GA221" t="s">
        <v>3</v>
      </c>
      <c r="GD221">
        <v>0</v>
      </c>
      <c r="GF221">
        <v>-1043076021</v>
      </c>
      <c r="GG221">
        <v>2</v>
      </c>
      <c r="GH221">
        <v>1</v>
      </c>
      <c r="GI221">
        <v>2</v>
      </c>
      <c r="GJ221">
        <v>0</v>
      </c>
      <c r="GK221">
        <f>ROUND(R221*(S12)/100,2)</f>
        <v>0</v>
      </c>
      <c r="GL221">
        <f t="shared" si="227"/>
        <v>0</v>
      </c>
      <c r="GM221">
        <f t="shared" si="228"/>
        <v>0</v>
      </c>
      <c r="GN221">
        <f t="shared" si="229"/>
        <v>0</v>
      </c>
      <c r="GO221">
        <f t="shared" si="230"/>
        <v>0</v>
      </c>
      <c r="GP221">
        <f t="shared" si="231"/>
        <v>0</v>
      </c>
      <c r="GR221">
        <v>0</v>
      </c>
      <c r="GS221">
        <v>3</v>
      </c>
      <c r="GT221">
        <v>0</v>
      </c>
      <c r="GU221" t="s">
        <v>3</v>
      </c>
      <c r="GV221">
        <f t="shared" si="232"/>
        <v>0</v>
      </c>
      <c r="GW221">
        <v>1</v>
      </c>
      <c r="GX221">
        <f t="shared" si="233"/>
        <v>0</v>
      </c>
      <c r="HA221">
        <v>0</v>
      </c>
      <c r="HB221">
        <v>0</v>
      </c>
      <c r="HC221">
        <f t="shared" si="234"/>
        <v>0</v>
      </c>
      <c r="HE221" t="s">
        <v>3</v>
      </c>
      <c r="HF221" t="s">
        <v>3</v>
      </c>
      <c r="HM221" t="s">
        <v>3</v>
      </c>
      <c r="HN221" t="s">
        <v>3</v>
      </c>
      <c r="HO221" t="s">
        <v>3</v>
      </c>
      <c r="HP221" t="s">
        <v>3</v>
      </c>
      <c r="HQ221" t="s">
        <v>3</v>
      </c>
      <c r="HS221">
        <v>0</v>
      </c>
      <c r="IK221">
        <v>0</v>
      </c>
    </row>
    <row r="222" spans="1:255" x14ac:dyDescent="0.2">
      <c r="A222" s="2">
        <v>17</v>
      </c>
      <c r="B222" s="2">
        <v>1</v>
      </c>
      <c r="C222" s="2"/>
      <c r="D222" s="2"/>
      <c r="E222" s="2" t="s">
        <v>299</v>
      </c>
      <c r="F222" s="2" t="s">
        <v>300</v>
      </c>
      <c r="G222" s="2" t="s">
        <v>301</v>
      </c>
      <c r="H222" s="2" t="s">
        <v>290</v>
      </c>
      <c r="I222" s="2">
        <v>0</v>
      </c>
      <c r="J222" s="2">
        <v>0</v>
      </c>
      <c r="K222" s="2">
        <v>0</v>
      </c>
      <c r="L222" s="2"/>
      <c r="M222" s="2"/>
      <c r="N222" s="2"/>
      <c r="O222" s="2">
        <f t="shared" si="198"/>
        <v>0</v>
      </c>
      <c r="P222" s="2">
        <f t="shared" si="199"/>
        <v>0</v>
      </c>
      <c r="Q222" s="2">
        <f t="shared" si="200"/>
        <v>0</v>
      </c>
      <c r="R222" s="2">
        <f t="shared" si="201"/>
        <v>0</v>
      </c>
      <c r="S222" s="2">
        <f t="shared" si="202"/>
        <v>0</v>
      </c>
      <c r="T222" s="2">
        <f t="shared" si="203"/>
        <v>0</v>
      </c>
      <c r="U222" s="2">
        <f t="shared" si="204"/>
        <v>0</v>
      </c>
      <c r="V222" s="2">
        <f t="shared" si="205"/>
        <v>0</v>
      </c>
      <c r="W222" s="2">
        <f t="shared" si="206"/>
        <v>0</v>
      </c>
      <c r="X222" s="2">
        <f t="shared" si="207"/>
        <v>0</v>
      </c>
      <c r="Y222" s="2">
        <f t="shared" si="208"/>
        <v>0</v>
      </c>
      <c r="Z222" s="2"/>
      <c r="AA222" s="2">
        <v>56622586</v>
      </c>
      <c r="AB222" s="2">
        <f t="shared" si="209"/>
        <v>1073.6500000000001</v>
      </c>
      <c r="AC222" s="2">
        <f t="shared" si="235"/>
        <v>1073.6500000000001</v>
      </c>
      <c r="AD222" s="2">
        <f t="shared" si="211"/>
        <v>0</v>
      </c>
      <c r="AE222" s="2">
        <f t="shared" si="212"/>
        <v>0</v>
      </c>
      <c r="AF222" s="2">
        <f t="shared" si="213"/>
        <v>0</v>
      </c>
      <c r="AG222" s="2">
        <f t="shared" si="214"/>
        <v>0</v>
      </c>
      <c r="AH222" s="2">
        <f t="shared" si="215"/>
        <v>0</v>
      </c>
      <c r="AI222" s="2">
        <f t="shared" si="216"/>
        <v>0</v>
      </c>
      <c r="AJ222" s="2">
        <f t="shared" si="217"/>
        <v>0</v>
      </c>
      <c r="AK222" s="2">
        <v>1073.6500000000001</v>
      </c>
      <c r="AL222" s="2">
        <v>1073.6500000000001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1</v>
      </c>
      <c r="AW222" s="2">
        <v>1</v>
      </c>
      <c r="AX222" s="2"/>
      <c r="AY222" s="2"/>
      <c r="AZ222" s="2">
        <v>1</v>
      </c>
      <c r="BA222" s="2">
        <v>1</v>
      </c>
      <c r="BB222" s="2">
        <v>1</v>
      </c>
      <c r="BC222" s="2">
        <v>1</v>
      </c>
      <c r="BD222" s="2" t="s">
        <v>3</v>
      </c>
      <c r="BE222" s="2" t="s">
        <v>3</v>
      </c>
      <c r="BF222" s="2" t="s">
        <v>3</v>
      </c>
      <c r="BG222" s="2" t="s">
        <v>3</v>
      </c>
      <c r="BH222" s="2">
        <v>3</v>
      </c>
      <c r="BI222" s="2">
        <v>2</v>
      </c>
      <c r="BJ222" s="2" t="s">
        <v>302</v>
      </c>
      <c r="BK222" s="2"/>
      <c r="BL222" s="2"/>
      <c r="BM222" s="2">
        <v>1618</v>
      </c>
      <c r="BN222" s="2">
        <v>0</v>
      </c>
      <c r="BO222" s="2" t="s">
        <v>3</v>
      </c>
      <c r="BP222" s="2">
        <v>0</v>
      </c>
      <c r="BQ222" s="2">
        <v>201</v>
      </c>
      <c r="BR222" s="2">
        <v>0</v>
      </c>
      <c r="BS222" s="2">
        <v>1</v>
      </c>
      <c r="BT222" s="2">
        <v>1</v>
      </c>
      <c r="BU222" s="2">
        <v>1</v>
      </c>
      <c r="BV222" s="2">
        <v>1</v>
      </c>
      <c r="BW222" s="2">
        <v>1</v>
      </c>
      <c r="BX222" s="2">
        <v>1</v>
      </c>
      <c r="BY222" s="2" t="s">
        <v>3</v>
      </c>
      <c r="BZ222" s="2">
        <v>0</v>
      </c>
      <c r="CA222" s="2">
        <v>0</v>
      </c>
      <c r="CB222" s="2" t="s">
        <v>3</v>
      </c>
      <c r="CC222" s="2"/>
      <c r="CD222" s="2"/>
      <c r="CE222" s="2">
        <v>30</v>
      </c>
      <c r="CF222" s="2">
        <v>0</v>
      </c>
      <c r="CG222" s="2">
        <v>0</v>
      </c>
      <c r="CH222" s="2"/>
      <c r="CI222" s="2"/>
      <c r="CJ222" s="2"/>
      <c r="CK222" s="2"/>
      <c r="CL222" s="2"/>
      <c r="CM222" s="2">
        <v>0</v>
      </c>
      <c r="CN222" s="2" t="s">
        <v>671</v>
      </c>
      <c r="CO222" s="2">
        <v>0</v>
      </c>
      <c r="CP222" s="2">
        <f t="shared" si="218"/>
        <v>0</v>
      </c>
      <c r="CQ222" s="2">
        <f t="shared" si="219"/>
        <v>1073.6500000000001</v>
      </c>
      <c r="CR222" s="2">
        <f t="shared" si="220"/>
        <v>0</v>
      </c>
      <c r="CS222" s="2">
        <f t="shared" si="221"/>
        <v>0</v>
      </c>
      <c r="CT222" s="2">
        <f t="shared" si="222"/>
        <v>0</v>
      </c>
      <c r="CU222" s="2">
        <f t="shared" si="223"/>
        <v>0</v>
      </c>
      <c r="CV222" s="2">
        <f t="shared" si="224"/>
        <v>0</v>
      </c>
      <c r="CW222" s="2">
        <f t="shared" si="225"/>
        <v>0</v>
      </c>
      <c r="CX222" s="2">
        <f t="shared" si="226"/>
        <v>0</v>
      </c>
      <c r="CY222" s="2">
        <f>((S222*BZ222)/100)</f>
        <v>0</v>
      </c>
      <c r="CZ222" s="2">
        <f>((S222*CA222)/100)</f>
        <v>0</v>
      </c>
      <c r="DA222" s="2"/>
      <c r="DB222" s="2"/>
      <c r="DC222" s="2" t="s">
        <v>3</v>
      </c>
      <c r="DD222" s="2" t="s">
        <v>3</v>
      </c>
      <c r="DE222" s="2" t="s">
        <v>22</v>
      </c>
      <c r="DF222" s="2" t="s">
        <v>22</v>
      </c>
      <c r="DG222" s="2" t="s">
        <v>22</v>
      </c>
      <c r="DH222" s="2" t="s">
        <v>3</v>
      </c>
      <c r="DI222" s="2" t="s">
        <v>22</v>
      </c>
      <c r="DJ222" s="2" t="s">
        <v>22</v>
      </c>
      <c r="DK222" s="2" t="s">
        <v>3</v>
      </c>
      <c r="DL222" s="2" t="s">
        <v>3</v>
      </c>
      <c r="DM222" s="2" t="s">
        <v>3</v>
      </c>
      <c r="DN222" s="2">
        <v>0</v>
      </c>
      <c r="DO222" s="2">
        <v>0</v>
      </c>
      <c r="DP222" s="2">
        <v>1</v>
      </c>
      <c r="DQ222" s="2">
        <v>1</v>
      </c>
      <c r="DR222" s="2"/>
      <c r="DS222" s="2"/>
      <c r="DT222" s="2"/>
      <c r="DU222" s="2">
        <v>1013</v>
      </c>
      <c r="DV222" s="2" t="s">
        <v>290</v>
      </c>
      <c r="DW222" s="2" t="s">
        <v>290</v>
      </c>
      <c r="DX222" s="2">
        <v>1</v>
      </c>
      <c r="DY222" s="2"/>
      <c r="DZ222" s="2" t="s">
        <v>3</v>
      </c>
      <c r="EA222" s="2" t="s">
        <v>3</v>
      </c>
      <c r="EB222" s="2" t="s">
        <v>3</v>
      </c>
      <c r="EC222" s="2" t="s">
        <v>3</v>
      </c>
      <c r="ED222" s="2"/>
      <c r="EE222" s="2">
        <v>51697657</v>
      </c>
      <c r="EF222" s="2">
        <v>201</v>
      </c>
      <c r="EG222" s="2" t="s">
        <v>292</v>
      </c>
      <c r="EH222" s="2">
        <v>0</v>
      </c>
      <c r="EI222" s="2" t="s">
        <v>3</v>
      </c>
      <c r="EJ222" s="2">
        <v>2</v>
      </c>
      <c r="EK222" s="2">
        <v>1618</v>
      </c>
      <c r="EL222" s="2" t="s">
        <v>293</v>
      </c>
      <c r="EM222" s="2" t="s">
        <v>294</v>
      </c>
      <c r="EN222" s="2"/>
      <c r="EO222" s="2" t="s">
        <v>25</v>
      </c>
      <c r="EP222" s="2"/>
      <c r="EQ222" s="2">
        <v>131072</v>
      </c>
      <c r="ER222" s="2">
        <v>1073.6500000000001</v>
      </c>
      <c r="ES222" s="2">
        <v>1073.6500000000001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>
        <v>0</v>
      </c>
      <c r="FR222" s="2">
        <v>0</v>
      </c>
      <c r="FS222" s="2">
        <v>0</v>
      </c>
      <c r="FT222" s="2"/>
      <c r="FU222" s="2"/>
      <c r="FV222" s="2"/>
      <c r="FW222" s="2"/>
      <c r="FX222" s="2">
        <v>0</v>
      </c>
      <c r="FY222" s="2">
        <v>0</v>
      </c>
      <c r="FZ222" s="2"/>
      <c r="GA222" s="2" t="s">
        <v>3</v>
      </c>
      <c r="GB222" s="2"/>
      <c r="GC222" s="2"/>
      <c r="GD222" s="2">
        <v>0</v>
      </c>
      <c r="GE222" s="2"/>
      <c r="GF222" s="2">
        <v>1518394410</v>
      </c>
      <c r="GG222" s="2">
        <v>2</v>
      </c>
      <c r="GH222" s="2">
        <v>1</v>
      </c>
      <c r="GI222" s="2">
        <v>-2</v>
      </c>
      <c r="GJ222" s="2">
        <v>0</v>
      </c>
      <c r="GK222" s="2">
        <f>ROUND(R222*(R12)/100,2)</f>
        <v>0</v>
      </c>
      <c r="GL222" s="2">
        <f t="shared" si="227"/>
        <v>0</v>
      </c>
      <c r="GM222" s="2">
        <f t="shared" si="228"/>
        <v>0</v>
      </c>
      <c r="GN222" s="2">
        <f t="shared" si="229"/>
        <v>0</v>
      </c>
      <c r="GO222" s="2">
        <f t="shared" si="230"/>
        <v>0</v>
      </c>
      <c r="GP222" s="2">
        <f t="shared" si="231"/>
        <v>0</v>
      </c>
      <c r="GQ222" s="2"/>
      <c r="GR222" s="2">
        <v>0</v>
      </c>
      <c r="GS222" s="2">
        <v>0</v>
      </c>
      <c r="GT222" s="2">
        <v>0</v>
      </c>
      <c r="GU222" s="2" t="s">
        <v>3</v>
      </c>
      <c r="GV222" s="2">
        <f t="shared" si="232"/>
        <v>0</v>
      </c>
      <c r="GW222" s="2">
        <v>1</v>
      </c>
      <c r="GX222" s="2">
        <f t="shared" si="233"/>
        <v>0</v>
      </c>
      <c r="GY222" s="2"/>
      <c r="GZ222" s="2"/>
      <c r="HA222" s="2">
        <v>0</v>
      </c>
      <c r="HB222" s="2">
        <v>0</v>
      </c>
      <c r="HC222" s="2">
        <f t="shared" si="234"/>
        <v>0</v>
      </c>
      <c r="HD222" s="2"/>
      <c r="HE222" s="2" t="s">
        <v>3</v>
      </c>
      <c r="HF222" s="2" t="s">
        <v>3</v>
      </c>
      <c r="HG222" s="2"/>
      <c r="HH222" s="2"/>
      <c r="HI222" s="2"/>
      <c r="HJ222" s="2"/>
      <c r="HK222" s="2"/>
      <c r="HL222" s="2"/>
      <c r="HM222" s="2" t="s">
        <v>3</v>
      </c>
      <c r="HN222" s="2" t="s">
        <v>3</v>
      </c>
      <c r="HO222" s="2" t="s">
        <v>3</v>
      </c>
      <c r="HP222" s="2" t="s">
        <v>3</v>
      </c>
      <c r="HQ222" s="2" t="s">
        <v>3</v>
      </c>
      <c r="HR222" s="2"/>
      <c r="HS222" s="2">
        <v>0</v>
      </c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>
        <v>0</v>
      </c>
      <c r="IL222" s="2"/>
      <c r="IM222" s="2"/>
      <c r="IN222" s="2"/>
      <c r="IO222" s="2"/>
      <c r="IP222" s="2"/>
      <c r="IQ222" s="2"/>
      <c r="IR222" s="2"/>
      <c r="IS222" s="2"/>
      <c r="IT222" s="2"/>
      <c r="IU222" s="2"/>
    </row>
    <row r="223" spans="1:255" x14ac:dyDescent="0.2">
      <c r="A223">
        <v>17</v>
      </c>
      <c r="B223">
        <v>1</v>
      </c>
      <c r="E223" t="s">
        <v>299</v>
      </c>
      <c r="F223" t="s">
        <v>300</v>
      </c>
      <c r="G223" t="s">
        <v>301</v>
      </c>
      <c r="H223" t="s">
        <v>290</v>
      </c>
      <c r="I223">
        <v>0</v>
      </c>
      <c r="J223">
        <v>0</v>
      </c>
      <c r="K223">
        <v>0</v>
      </c>
      <c r="O223">
        <f t="shared" si="198"/>
        <v>0</v>
      </c>
      <c r="P223">
        <f t="shared" si="199"/>
        <v>0</v>
      </c>
      <c r="Q223">
        <f t="shared" si="200"/>
        <v>0</v>
      </c>
      <c r="R223">
        <f t="shared" si="201"/>
        <v>0</v>
      </c>
      <c r="S223">
        <f t="shared" si="202"/>
        <v>0</v>
      </c>
      <c r="T223">
        <f t="shared" si="203"/>
        <v>0</v>
      </c>
      <c r="U223">
        <f t="shared" si="204"/>
        <v>0</v>
      </c>
      <c r="V223">
        <f t="shared" si="205"/>
        <v>0</v>
      </c>
      <c r="W223">
        <f t="shared" si="206"/>
        <v>0</v>
      </c>
      <c r="X223">
        <f t="shared" si="207"/>
        <v>0</v>
      </c>
      <c r="Y223">
        <f t="shared" si="208"/>
        <v>0</v>
      </c>
      <c r="AA223">
        <v>56616093</v>
      </c>
      <c r="AB223">
        <f t="shared" si="209"/>
        <v>1073.6500000000001</v>
      </c>
      <c r="AC223">
        <f t="shared" si="235"/>
        <v>1073.6500000000001</v>
      </c>
      <c r="AD223">
        <f t="shared" si="211"/>
        <v>0</v>
      </c>
      <c r="AE223">
        <f t="shared" si="212"/>
        <v>0</v>
      </c>
      <c r="AF223">
        <f t="shared" si="213"/>
        <v>0</v>
      </c>
      <c r="AG223">
        <f t="shared" si="214"/>
        <v>0</v>
      </c>
      <c r="AH223">
        <f t="shared" si="215"/>
        <v>0</v>
      </c>
      <c r="AI223">
        <f t="shared" si="216"/>
        <v>0</v>
      </c>
      <c r="AJ223">
        <f t="shared" si="217"/>
        <v>0</v>
      </c>
      <c r="AK223">
        <v>1073.6500000000001</v>
      </c>
      <c r="AL223">
        <v>1073.6500000000001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1</v>
      </c>
      <c r="AZ223">
        <v>1</v>
      </c>
      <c r="BA223">
        <v>1</v>
      </c>
      <c r="BB223">
        <v>1</v>
      </c>
      <c r="BC223">
        <v>5.82</v>
      </c>
      <c r="BD223" t="s">
        <v>3</v>
      </c>
      <c r="BE223" t="s">
        <v>3</v>
      </c>
      <c r="BF223" t="s">
        <v>3</v>
      </c>
      <c r="BG223" t="s">
        <v>3</v>
      </c>
      <c r="BH223">
        <v>3</v>
      </c>
      <c r="BI223">
        <v>2</v>
      </c>
      <c r="BJ223" t="s">
        <v>302</v>
      </c>
      <c r="BM223">
        <v>1618</v>
      </c>
      <c r="BN223">
        <v>0</v>
      </c>
      <c r="BO223" t="s">
        <v>300</v>
      </c>
      <c r="BP223">
        <v>1</v>
      </c>
      <c r="BQ223">
        <v>201</v>
      </c>
      <c r="BR223">
        <v>0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 t="s">
        <v>3</v>
      </c>
      <c r="BZ223">
        <v>0</v>
      </c>
      <c r="CA223">
        <v>0</v>
      </c>
      <c r="CB223" t="s">
        <v>3</v>
      </c>
      <c r="CE223">
        <v>30</v>
      </c>
      <c r="CF223">
        <v>0</v>
      </c>
      <c r="CG223">
        <v>0</v>
      </c>
      <c r="CM223">
        <v>0</v>
      </c>
      <c r="CN223" t="s">
        <v>671</v>
      </c>
      <c r="CO223">
        <v>0</v>
      </c>
      <c r="CP223">
        <f t="shared" si="218"/>
        <v>0</v>
      </c>
      <c r="CQ223">
        <f t="shared" si="219"/>
        <v>6248.64</v>
      </c>
      <c r="CR223">
        <f t="shared" si="220"/>
        <v>0</v>
      </c>
      <c r="CS223">
        <f t="shared" si="221"/>
        <v>0</v>
      </c>
      <c r="CT223">
        <f t="shared" si="222"/>
        <v>0</v>
      </c>
      <c r="CU223">
        <f t="shared" si="223"/>
        <v>0</v>
      </c>
      <c r="CV223">
        <f t="shared" si="224"/>
        <v>0</v>
      </c>
      <c r="CW223">
        <f t="shared" si="225"/>
        <v>0</v>
      </c>
      <c r="CX223">
        <f t="shared" si="226"/>
        <v>0</v>
      </c>
      <c r="CY223">
        <f>S223*(BZ223/100)</f>
        <v>0</v>
      </c>
      <c r="CZ223">
        <f>S223*(CA223/100)</f>
        <v>0</v>
      </c>
      <c r="DC223" t="s">
        <v>3</v>
      </c>
      <c r="DD223" t="s">
        <v>3</v>
      </c>
      <c r="DE223" t="s">
        <v>22</v>
      </c>
      <c r="DF223" t="s">
        <v>22</v>
      </c>
      <c r="DG223" t="s">
        <v>22</v>
      </c>
      <c r="DH223" t="s">
        <v>3</v>
      </c>
      <c r="DI223" t="s">
        <v>22</v>
      </c>
      <c r="DJ223" t="s">
        <v>22</v>
      </c>
      <c r="DK223" t="s">
        <v>3</v>
      </c>
      <c r="DL223" t="s">
        <v>3</v>
      </c>
      <c r="DM223" t="s">
        <v>3</v>
      </c>
      <c r="DN223">
        <v>0</v>
      </c>
      <c r="DO223">
        <v>0</v>
      </c>
      <c r="DP223">
        <v>1</v>
      </c>
      <c r="DQ223">
        <v>1</v>
      </c>
      <c r="DU223">
        <v>1013</v>
      </c>
      <c r="DV223" t="s">
        <v>290</v>
      </c>
      <c r="DW223" t="s">
        <v>290</v>
      </c>
      <c r="DX223">
        <v>1</v>
      </c>
      <c r="DZ223" t="s">
        <v>3</v>
      </c>
      <c r="EA223" t="s">
        <v>3</v>
      </c>
      <c r="EB223" t="s">
        <v>3</v>
      </c>
      <c r="EC223" t="s">
        <v>3</v>
      </c>
      <c r="EE223">
        <v>51697657</v>
      </c>
      <c r="EF223">
        <v>201</v>
      </c>
      <c r="EG223" t="s">
        <v>292</v>
      </c>
      <c r="EH223">
        <v>0</v>
      </c>
      <c r="EI223" t="s">
        <v>3</v>
      </c>
      <c r="EJ223">
        <v>2</v>
      </c>
      <c r="EK223">
        <v>1618</v>
      </c>
      <c r="EL223" t="s">
        <v>293</v>
      </c>
      <c r="EM223" t="s">
        <v>294</v>
      </c>
      <c r="EO223" t="s">
        <v>25</v>
      </c>
      <c r="EQ223">
        <v>131072</v>
      </c>
      <c r="ER223">
        <v>1073.6500000000001</v>
      </c>
      <c r="ES223">
        <v>1073.6500000000001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FQ223">
        <v>0</v>
      </c>
      <c r="FR223">
        <v>0</v>
      </c>
      <c r="FS223">
        <v>0</v>
      </c>
      <c r="FX223">
        <v>0</v>
      </c>
      <c r="FY223">
        <v>0</v>
      </c>
      <c r="GA223" t="s">
        <v>3</v>
      </c>
      <c r="GD223">
        <v>0</v>
      </c>
      <c r="GF223">
        <v>1518394410</v>
      </c>
      <c r="GG223">
        <v>2</v>
      </c>
      <c r="GH223">
        <v>1</v>
      </c>
      <c r="GI223">
        <v>2</v>
      </c>
      <c r="GJ223">
        <v>0</v>
      </c>
      <c r="GK223">
        <f>ROUND(R223*(S12)/100,2)</f>
        <v>0</v>
      </c>
      <c r="GL223">
        <f t="shared" si="227"/>
        <v>0</v>
      </c>
      <c r="GM223">
        <f t="shared" si="228"/>
        <v>0</v>
      </c>
      <c r="GN223">
        <f t="shared" si="229"/>
        <v>0</v>
      </c>
      <c r="GO223">
        <f t="shared" si="230"/>
        <v>0</v>
      </c>
      <c r="GP223">
        <f t="shared" si="231"/>
        <v>0</v>
      </c>
      <c r="GR223">
        <v>0</v>
      </c>
      <c r="GS223">
        <v>3</v>
      </c>
      <c r="GT223">
        <v>0</v>
      </c>
      <c r="GU223" t="s">
        <v>3</v>
      </c>
      <c r="GV223">
        <f t="shared" si="232"/>
        <v>0</v>
      </c>
      <c r="GW223">
        <v>1</v>
      </c>
      <c r="GX223">
        <f t="shared" si="233"/>
        <v>0</v>
      </c>
      <c r="HA223">
        <v>0</v>
      </c>
      <c r="HB223">
        <v>0</v>
      </c>
      <c r="HC223">
        <f t="shared" si="234"/>
        <v>0</v>
      </c>
      <c r="HE223" t="s">
        <v>3</v>
      </c>
      <c r="HF223" t="s">
        <v>3</v>
      </c>
      <c r="HM223" t="s">
        <v>3</v>
      </c>
      <c r="HN223" t="s">
        <v>3</v>
      </c>
      <c r="HO223" t="s">
        <v>3</v>
      </c>
      <c r="HP223" t="s">
        <v>3</v>
      </c>
      <c r="HQ223" t="s">
        <v>3</v>
      </c>
      <c r="HS223">
        <v>0</v>
      </c>
      <c r="IK223">
        <v>0</v>
      </c>
    </row>
    <row r="224" spans="1:255" x14ac:dyDescent="0.2">
      <c r="A224" s="2">
        <v>17</v>
      </c>
      <c r="B224" s="2">
        <v>1</v>
      </c>
      <c r="C224" s="2"/>
      <c r="D224" s="2"/>
      <c r="E224" s="2" t="s">
        <v>303</v>
      </c>
      <c r="F224" s="2" t="s">
        <v>304</v>
      </c>
      <c r="G224" s="2" t="s">
        <v>305</v>
      </c>
      <c r="H224" s="2" t="s">
        <v>290</v>
      </c>
      <c r="I224" s="2">
        <v>0</v>
      </c>
      <c r="J224" s="2">
        <v>0</v>
      </c>
      <c r="K224" s="2">
        <v>0</v>
      </c>
      <c r="L224" s="2"/>
      <c r="M224" s="2"/>
      <c r="N224" s="2"/>
      <c r="O224" s="2">
        <f t="shared" si="198"/>
        <v>0</v>
      </c>
      <c r="P224" s="2">
        <f t="shared" si="199"/>
        <v>0</v>
      </c>
      <c r="Q224" s="2">
        <f t="shared" si="200"/>
        <v>0</v>
      </c>
      <c r="R224" s="2">
        <f t="shared" si="201"/>
        <v>0</v>
      </c>
      <c r="S224" s="2">
        <f t="shared" si="202"/>
        <v>0</v>
      </c>
      <c r="T224" s="2">
        <f t="shared" si="203"/>
        <v>0</v>
      </c>
      <c r="U224" s="2">
        <f t="shared" si="204"/>
        <v>0</v>
      </c>
      <c r="V224" s="2">
        <f t="shared" si="205"/>
        <v>0</v>
      </c>
      <c r="W224" s="2">
        <f t="shared" si="206"/>
        <v>0</v>
      </c>
      <c r="X224" s="2">
        <f t="shared" si="207"/>
        <v>0</v>
      </c>
      <c r="Y224" s="2">
        <f t="shared" si="208"/>
        <v>0</v>
      </c>
      <c r="Z224" s="2"/>
      <c r="AA224" s="2">
        <v>56622586</v>
      </c>
      <c r="AB224" s="2">
        <f t="shared" si="209"/>
        <v>1304.67</v>
      </c>
      <c r="AC224" s="2">
        <f t="shared" si="235"/>
        <v>1304.67</v>
      </c>
      <c r="AD224" s="2">
        <f t="shared" si="211"/>
        <v>0</v>
      </c>
      <c r="AE224" s="2">
        <f t="shared" si="212"/>
        <v>0</v>
      </c>
      <c r="AF224" s="2">
        <f t="shared" si="213"/>
        <v>0</v>
      </c>
      <c r="AG224" s="2">
        <f t="shared" si="214"/>
        <v>0</v>
      </c>
      <c r="AH224" s="2">
        <f t="shared" si="215"/>
        <v>0</v>
      </c>
      <c r="AI224" s="2">
        <f t="shared" si="216"/>
        <v>0</v>
      </c>
      <c r="AJ224" s="2">
        <f t="shared" si="217"/>
        <v>0</v>
      </c>
      <c r="AK224" s="2">
        <v>1304.67</v>
      </c>
      <c r="AL224" s="2">
        <v>1304.67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1</v>
      </c>
      <c r="AW224" s="2">
        <v>1</v>
      </c>
      <c r="AX224" s="2"/>
      <c r="AY224" s="2"/>
      <c r="AZ224" s="2">
        <v>1</v>
      </c>
      <c r="BA224" s="2">
        <v>1</v>
      </c>
      <c r="BB224" s="2">
        <v>1</v>
      </c>
      <c r="BC224" s="2">
        <v>1</v>
      </c>
      <c r="BD224" s="2" t="s">
        <v>3</v>
      </c>
      <c r="BE224" s="2" t="s">
        <v>3</v>
      </c>
      <c r="BF224" s="2" t="s">
        <v>3</v>
      </c>
      <c r="BG224" s="2" t="s">
        <v>3</v>
      </c>
      <c r="BH224" s="2">
        <v>3</v>
      </c>
      <c r="BI224" s="2">
        <v>2</v>
      </c>
      <c r="BJ224" s="2" t="s">
        <v>306</v>
      </c>
      <c r="BK224" s="2"/>
      <c r="BL224" s="2"/>
      <c r="BM224" s="2">
        <v>1618</v>
      </c>
      <c r="BN224" s="2">
        <v>0</v>
      </c>
      <c r="BO224" s="2" t="s">
        <v>3</v>
      </c>
      <c r="BP224" s="2">
        <v>0</v>
      </c>
      <c r="BQ224" s="2">
        <v>201</v>
      </c>
      <c r="BR224" s="2">
        <v>0</v>
      </c>
      <c r="BS224" s="2">
        <v>1</v>
      </c>
      <c r="BT224" s="2">
        <v>1</v>
      </c>
      <c r="BU224" s="2">
        <v>1</v>
      </c>
      <c r="BV224" s="2">
        <v>1</v>
      </c>
      <c r="BW224" s="2">
        <v>1</v>
      </c>
      <c r="BX224" s="2">
        <v>1</v>
      </c>
      <c r="BY224" s="2" t="s">
        <v>3</v>
      </c>
      <c r="BZ224" s="2">
        <v>0</v>
      </c>
      <c r="CA224" s="2">
        <v>0</v>
      </c>
      <c r="CB224" s="2" t="s">
        <v>3</v>
      </c>
      <c r="CC224" s="2"/>
      <c r="CD224" s="2"/>
      <c r="CE224" s="2">
        <v>30</v>
      </c>
      <c r="CF224" s="2">
        <v>0</v>
      </c>
      <c r="CG224" s="2">
        <v>0</v>
      </c>
      <c r="CH224" s="2"/>
      <c r="CI224" s="2"/>
      <c r="CJ224" s="2"/>
      <c r="CK224" s="2"/>
      <c r="CL224" s="2"/>
      <c r="CM224" s="2">
        <v>0</v>
      </c>
      <c r="CN224" s="2" t="s">
        <v>671</v>
      </c>
      <c r="CO224" s="2">
        <v>0</v>
      </c>
      <c r="CP224" s="2">
        <f t="shared" si="218"/>
        <v>0</v>
      </c>
      <c r="CQ224" s="2">
        <f t="shared" si="219"/>
        <v>1304.67</v>
      </c>
      <c r="CR224" s="2">
        <f t="shared" si="220"/>
        <v>0</v>
      </c>
      <c r="CS224" s="2">
        <f t="shared" si="221"/>
        <v>0</v>
      </c>
      <c r="CT224" s="2">
        <f t="shared" si="222"/>
        <v>0</v>
      </c>
      <c r="CU224" s="2">
        <f t="shared" si="223"/>
        <v>0</v>
      </c>
      <c r="CV224" s="2">
        <f t="shared" si="224"/>
        <v>0</v>
      </c>
      <c r="CW224" s="2">
        <f t="shared" si="225"/>
        <v>0</v>
      </c>
      <c r="CX224" s="2">
        <f t="shared" si="226"/>
        <v>0</v>
      </c>
      <c r="CY224" s="2">
        <f>((S224*BZ224)/100)</f>
        <v>0</v>
      </c>
      <c r="CZ224" s="2">
        <f>((S224*CA224)/100)</f>
        <v>0</v>
      </c>
      <c r="DA224" s="2"/>
      <c r="DB224" s="2"/>
      <c r="DC224" s="2" t="s">
        <v>3</v>
      </c>
      <c r="DD224" s="2" t="s">
        <v>3</v>
      </c>
      <c r="DE224" s="2" t="s">
        <v>22</v>
      </c>
      <c r="DF224" s="2" t="s">
        <v>22</v>
      </c>
      <c r="DG224" s="2" t="s">
        <v>22</v>
      </c>
      <c r="DH224" s="2" t="s">
        <v>3</v>
      </c>
      <c r="DI224" s="2" t="s">
        <v>22</v>
      </c>
      <c r="DJ224" s="2" t="s">
        <v>22</v>
      </c>
      <c r="DK224" s="2" t="s">
        <v>3</v>
      </c>
      <c r="DL224" s="2" t="s">
        <v>3</v>
      </c>
      <c r="DM224" s="2" t="s">
        <v>3</v>
      </c>
      <c r="DN224" s="2">
        <v>0</v>
      </c>
      <c r="DO224" s="2">
        <v>0</v>
      </c>
      <c r="DP224" s="2">
        <v>1</v>
      </c>
      <c r="DQ224" s="2">
        <v>1</v>
      </c>
      <c r="DR224" s="2"/>
      <c r="DS224" s="2"/>
      <c r="DT224" s="2"/>
      <c r="DU224" s="2">
        <v>1013</v>
      </c>
      <c r="DV224" s="2" t="s">
        <v>290</v>
      </c>
      <c r="DW224" s="2" t="s">
        <v>290</v>
      </c>
      <c r="DX224" s="2">
        <v>1</v>
      </c>
      <c r="DY224" s="2"/>
      <c r="DZ224" s="2" t="s">
        <v>3</v>
      </c>
      <c r="EA224" s="2" t="s">
        <v>3</v>
      </c>
      <c r="EB224" s="2" t="s">
        <v>3</v>
      </c>
      <c r="EC224" s="2" t="s">
        <v>3</v>
      </c>
      <c r="ED224" s="2"/>
      <c r="EE224" s="2">
        <v>51697657</v>
      </c>
      <c r="EF224" s="2">
        <v>201</v>
      </c>
      <c r="EG224" s="2" t="s">
        <v>292</v>
      </c>
      <c r="EH224" s="2">
        <v>0</v>
      </c>
      <c r="EI224" s="2" t="s">
        <v>3</v>
      </c>
      <c r="EJ224" s="2">
        <v>2</v>
      </c>
      <c r="EK224" s="2">
        <v>1618</v>
      </c>
      <c r="EL224" s="2" t="s">
        <v>293</v>
      </c>
      <c r="EM224" s="2" t="s">
        <v>294</v>
      </c>
      <c r="EN224" s="2"/>
      <c r="EO224" s="2" t="s">
        <v>25</v>
      </c>
      <c r="EP224" s="2"/>
      <c r="EQ224" s="2">
        <v>131072</v>
      </c>
      <c r="ER224" s="2">
        <v>1304.67</v>
      </c>
      <c r="ES224" s="2">
        <v>1304.67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>
        <v>0</v>
      </c>
      <c r="FR224" s="2">
        <v>0</v>
      </c>
      <c r="FS224" s="2">
        <v>0</v>
      </c>
      <c r="FT224" s="2"/>
      <c r="FU224" s="2"/>
      <c r="FV224" s="2"/>
      <c r="FW224" s="2"/>
      <c r="FX224" s="2">
        <v>0</v>
      </c>
      <c r="FY224" s="2">
        <v>0</v>
      </c>
      <c r="FZ224" s="2"/>
      <c r="GA224" s="2" t="s">
        <v>3</v>
      </c>
      <c r="GB224" s="2"/>
      <c r="GC224" s="2"/>
      <c r="GD224" s="2">
        <v>0</v>
      </c>
      <c r="GE224" s="2"/>
      <c r="GF224" s="2">
        <v>-2097213409</v>
      </c>
      <c r="GG224" s="2">
        <v>2</v>
      </c>
      <c r="GH224" s="2">
        <v>1</v>
      </c>
      <c r="GI224" s="2">
        <v>-2</v>
      </c>
      <c r="GJ224" s="2">
        <v>0</v>
      </c>
      <c r="GK224" s="2">
        <f>ROUND(R224*(R12)/100,2)</f>
        <v>0</v>
      </c>
      <c r="GL224" s="2">
        <f t="shared" si="227"/>
        <v>0</v>
      </c>
      <c r="GM224" s="2">
        <f t="shared" si="228"/>
        <v>0</v>
      </c>
      <c r="GN224" s="2">
        <f t="shared" si="229"/>
        <v>0</v>
      </c>
      <c r="GO224" s="2">
        <f t="shared" si="230"/>
        <v>0</v>
      </c>
      <c r="GP224" s="2">
        <f t="shared" si="231"/>
        <v>0</v>
      </c>
      <c r="GQ224" s="2"/>
      <c r="GR224" s="2">
        <v>0</v>
      </c>
      <c r="GS224" s="2">
        <v>0</v>
      </c>
      <c r="GT224" s="2">
        <v>0</v>
      </c>
      <c r="GU224" s="2" t="s">
        <v>3</v>
      </c>
      <c r="GV224" s="2">
        <f t="shared" si="232"/>
        <v>0</v>
      </c>
      <c r="GW224" s="2">
        <v>1</v>
      </c>
      <c r="GX224" s="2">
        <f t="shared" si="233"/>
        <v>0</v>
      </c>
      <c r="GY224" s="2"/>
      <c r="GZ224" s="2"/>
      <c r="HA224" s="2">
        <v>0</v>
      </c>
      <c r="HB224" s="2">
        <v>0</v>
      </c>
      <c r="HC224" s="2">
        <f t="shared" si="234"/>
        <v>0</v>
      </c>
      <c r="HD224" s="2"/>
      <c r="HE224" s="2" t="s">
        <v>3</v>
      </c>
      <c r="HF224" s="2" t="s">
        <v>3</v>
      </c>
      <c r="HG224" s="2"/>
      <c r="HH224" s="2"/>
      <c r="HI224" s="2"/>
      <c r="HJ224" s="2"/>
      <c r="HK224" s="2"/>
      <c r="HL224" s="2"/>
      <c r="HM224" s="2" t="s">
        <v>3</v>
      </c>
      <c r="HN224" s="2" t="s">
        <v>3</v>
      </c>
      <c r="HO224" s="2" t="s">
        <v>3</v>
      </c>
      <c r="HP224" s="2" t="s">
        <v>3</v>
      </c>
      <c r="HQ224" s="2" t="s">
        <v>3</v>
      </c>
      <c r="HR224" s="2"/>
      <c r="HS224" s="2">
        <v>0</v>
      </c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>
        <v>0</v>
      </c>
      <c r="IL224" s="2"/>
      <c r="IM224" s="2"/>
      <c r="IN224" s="2"/>
      <c r="IO224" s="2"/>
      <c r="IP224" s="2"/>
      <c r="IQ224" s="2"/>
      <c r="IR224" s="2"/>
      <c r="IS224" s="2"/>
      <c r="IT224" s="2"/>
      <c r="IU224" s="2"/>
    </row>
    <row r="225" spans="1:255" x14ac:dyDescent="0.2">
      <c r="A225">
        <v>17</v>
      </c>
      <c r="B225">
        <v>1</v>
      </c>
      <c r="E225" t="s">
        <v>303</v>
      </c>
      <c r="F225" t="s">
        <v>304</v>
      </c>
      <c r="G225" t="s">
        <v>305</v>
      </c>
      <c r="H225" t="s">
        <v>290</v>
      </c>
      <c r="I225">
        <v>0</v>
      </c>
      <c r="J225">
        <v>0</v>
      </c>
      <c r="K225">
        <v>0</v>
      </c>
      <c r="O225">
        <f t="shared" si="198"/>
        <v>0</v>
      </c>
      <c r="P225">
        <f t="shared" si="199"/>
        <v>0</v>
      </c>
      <c r="Q225">
        <f t="shared" si="200"/>
        <v>0</v>
      </c>
      <c r="R225">
        <f t="shared" si="201"/>
        <v>0</v>
      </c>
      <c r="S225">
        <f t="shared" si="202"/>
        <v>0</v>
      </c>
      <c r="T225">
        <f t="shared" si="203"/>
        <v>0</v>
      </c>
      <c r="U225">
        <f t="shared" si="204"/>
        <v>0</v>
      </c>
      <c r="V225">
        <f t="shared" si="205"/>
        <v>0</v>
      </c>
      <c r="W225">
        <f t="shared" si="206"/>
        <v>0</v>
      </c>
      <c r="X225">
        <f t="shared" si="207"/>
        <v>0</v>
      </c>
      <c r="Y225">
        <f t="shared" si="208"/>
        <v>0</v>
      </c>
      <c r="AA225">
        <v>56616093</v>
      </c>
      <c r="AB225">
        <f t="shared" si="209"/>
        <v>1304.67</v>
      </c>
      <c r="AC225">
        <f t="shared" si="235"/>
        <v>1304.67</v>
      </c>
      <c r="AD225">
        <f t="shared" si="211"/>
        <v>0</v>
      </c>
      <c r="AE225">
        <f t="shared" si="212"/>
        <v>0</v>
      </c>
      <c r="AF225">
        <f t="shared" si="213"/>
        <v>0</v>
      </c>
      <c r="AG225">
        <f t="shared" si="214"/>
        <v>0</v>
      </c>
      <c r="AH225">
        <f t="shared" si="215"/>
        <v>0</v>
      </c>
      <c r="AI225">
        <f t="shared" si="216"/>
        <v>0</v>
      </c>
      <c r="AJ225">
        <f t="shared" si="217"/>
        <v>0</v>
      </c>
      <c r="AK225">
        <v>1304.67</v>
      </c>
      <c r="AL225">
        <v>1304.67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1</v>
      </c>
      <c r="AZ225">
        <v>1</v>
      </c>
      <c r="BA225">
        <v>1</v>
      </c>
      <c r="BB225">
        <v>1</v>
      </c>
      <c r="BC225">
        <v>5.97</v>
      </c>
      <c r="BD225" t="s">
        <v>3</v>
      </c>
      <c r="BE225" t="s">
        <v>3</v>
      </c>
      <c r="BF225" t="s">
        <v>3</v>
      </c>
      <c r="BG225" t="s">
        <v>3</v>
      </c>
      <c r="BH225">
        <v>3</v>
      </c>
      <c r="BI225">
        <v>2</v>
      </c>
      <c r="BJ225" t="s">
        <v>306</v>
      </c>
      <c r="BM225">
        <v>1618</v>
      </c>
      <c r="BN225">
        <v>0</v>
      </c>
      <c r="BO225" t="s">
        <v>304</v>
      </c>
      <c r="BP225">
        <v>1</v>
      </c>
      <c r="BQ225">
        <v>201</v>
      </c>
      <c r="BR225">
        <v>0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 t="s">
        <v>3</v>
      </c>
      <c r="BZ225">
        <v>0</v>
      </c>
      <c r="CA225">
        <v>0</v>
      </c>
      <c r="CB225" t="s">
        <v>3</v>
      </c>
      <c r="CE225">
        <v>30</v>
      </c>
      <c r="CF225">
        <v>0</v>
      </c>
      <c r="CG225">
        <v>0</v>
      </c>
      <c r="CM225">
        <v>0</v>
      </c>
      <c r="CN225" t="s">
        <v>671</v>
      </c>
      <c r="CO225">
        <v>0</v>
      </c>
      <c r="CP225">
        <f t="shared" si="218"/>
        <v>0</v>
      </c>
      <c r="CQ225">
        <f t="shared" si="219"/>
        <v>7788.88</v>
      </c>
      <c r="CR225">
        <f t="shared" si="220"/>
        <v>0</v>
      </c>
      <c r="CS225">
        <f t="shared" si="221"/>
        <v>0</v>
      </c>
      <c r="CT225">
        <f t="shared" si="222"/>
        <v>0</v>
      </c>
      <c r="CU225">
        <f t="shared" si="223"/>
        <v>0</v>
      </c>
      <c r="CV225">
        <f t="shared" si="224"/>
        <v>0</v>
      </c>
      <c r="CW225">
        <f t="shared" si="225"/>
        <v>0</v>
      </c>
      <c r="CX225">
        <f t="shared" si="226"/>
        <v>0</v>
      </c>
      <c r="CY225">
        <f>S225*(BZ225/100)</f>
        <v>0</v>
      </c>
      <c r="CZ225">
        <f>S225*(CA225/100)</f>
        <v>0</v>
      </c>
      <c r="DC225" t="s">
        <v>3</v>
      </c>
      <c r="DD225" t="s">
        <v>3</v>
      </c>
      <c r="DE225" t="s">
        <v>22</v>
      </c>
      <c r="DF225" t="s">
        <v>22</v>
      </c>
      <c r="DG225" t="s">
        <v>22</v>
      </c>
      <c r="DH225" t="s">
        <v>3</v>
      </c>
      <c r="DI225" t="s">
        <v>22</v>
      </c>
      <c r="DJ225" t="s">
        <v>22</v>
      </c>
      <c r="DK225" t="s">
        <v>3</v>
      </c>
      <c r="DL225" t="s">
        <v>3</v>
      </c>
      <c r="DM225" t="s">
        <v>3</v>
      </c>
      <c r="DN225">
        <v>0</v>
      </c>
      <c r="DO225">
        <v>0</v>
      </c>
      <c r="DP225">
        <v>1</v>
      </c>
      <c r="DQ225">
        <v>1</v>
      </c>
      <c r="DU225">
        <v>1013</v>
      </c>
      <c r="DV225" t="s">
        <v>290</v>
      </c>
      <c r="DW225" t="s">
        <v>290</v>
      </c>
      <c r="DX225">
        <v>1</v>
      </c>
      <c r="DZ225" t="s">
        <v>3</v>
      </c>
      <c r="EA225" t="s">
        <v>3</v>
      </c>
      <c r="EB225" t="s">
        <v>3</v>
      </c>
      <c r="EC225" t="s">
        <v>3</v>
      </c>
      <c r="EE225">
        <v>51697657</v>
      </c>
      <c r="EF225">
        <v>201</v>
      </c>
      <c r="EG225" t="s">
        <v>292</v>
      </c>
      <c r="EH225">
        <v>0</v>
      </c>
      <c r="EI225" t="s">
        <v>3</v>
      </c>
      <c r="EJ225">
        <v>2</v>
      </c>
      <c r="EK225">
        <v>1618</v>
      </c>
      <c r="EL225" t="s">
        <v>293</v>
      </c>
      <c r="EM225" t="s">
        <v>294</v>
      </c>
      <c r="EO225" t="s">
        <v>25</v>
      </c>
      <c r="EQ225">
        <v>131072</v>
      </c>
      <c r="ER225">
        <v>1304.67</v>
      </c>
      <c r="ES225">
        <v>1304.67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FQ225">
        <v>0</v>
      </c>
      <c r="FR225">
        <v>0</v>
      </c>
      <c r="FS225">
        <v>0</v>
      </c>
      <c r="FX225">
        <v>0</v>
      </c>
      <c r="FY225">
        <v>0</v>
      </c>
      <c r="GA225" t="s">
        <v>3</v>
      </c>
      <c r="GD225">
        <v>0</v>
      </c>
      <c r="GF225">
        <v>-2097213409</v>
      </c>
      <c r="GG225">
        <v>2</v>
      </c>
      <c r="GH225">
        <v>1</v>
      </c>
      <c r="GI225">
        <v>2</v>
      </c>
      <c r="GJ225">
        <v>0</v>
      </c>
      <c r="GK225">
        <f>ROUND(R225*(S12)/100,2)</f>
        <v>0</v>
      </c>
      <c r="GL225">
        <f t="shared" si="227"/>
        <v>0</v>
      </c>
      <c r="GM225">
        <f t="shared" si="228"/>
        <v>0</v>
      </c>
      <c r="GN225">
        <f t="shared" si="229"/>
        <v>0</v>
      </c>
      <c r="GO225">
        <f t="shared" si="230"/>
        <v>0</v>
      </c>
      <c r="GP225">
        <f t="shared" si="231"/>
        <v>0</v>
      </c>
      <c r="GR225">
        <v>0</v>
      </c>
      <c r="GS225">
        <v>3</v>
      </c>
      <c r="GT225">
        <v>0</v>
      </c>
      <c r="GU225" t="s">
        <v>3</v>
      </c>
      <c r="GV225">
        <f t="shared" si="232"/>
        <v>0</v>
      </c>
      <c r="GW225">
        <v>1</v>
      </c>
      <c r="GX225">
        <f t="shared" si="233"/>
        <v>0</v>
      </c>
      <c r="HA225">
        <v>0</v>
      </c>
      <c r="HB225">
        <v>0</v>
      </c>
      <c r="HC225">
        <f t="shared" si="234"/>
        <v>0</v>
      </c>
      <c r="HE225" t="s">
        <v>3</v>
      </c>
      <c r="HF225" t="s">
        <v>3</v>
      </c>
      <c r="HM225" t="s">
        <v>3</v>
      </c>
      <c r="HN225" t="s">
        <v>3</v>
      </c>
      <c r="HO225" t="s">
        <v>3</v>
      </c>
      <c r="HP225" t="s">
        <v>3</v>
      </c>
      <c r="HQ225" t="s">
        <v>3</v>
      </c>
      <c r="HS225">
        <v>0</v>
      </c>
      <c r="IK225">
        <v>0</v>
      </c>
    </row>
    <row r="226" spans="1:255" x14ac:dyDescent="0.2">
      <c r="A226" s="2">
        <v>17</v>
      </c>
      <c r="B226" s="2">
        <v>1</v>
      </c>
      <c r="C226" s="2"/>
      <c r="D226" s="2"/>
      <c r="E226" s="2" t="s">
        <v>307</v>
      </c>
      <c r="F226" s="2" t="s">
        <v>308</v>
      </c>
      <c r="G226" s="2" t="s">
        <v>309</v>
      </c>
      <c r="H226" s="2" t="s">
        <v>290</v>
      </c>
      <c r="I226" s="2">
        <v>72</v>
      </c>
      <c r="J226" s="2">
        <v>0</v>
      </c>
      <c r="K226" s="2">
        <v>72</v>
      </c>
      <c r="L226" s="2"/>
      <c r="M226" s="2"/>
      <c r="N226" s="2"/>
      <c r="O226" s="2">
        <f t="shared" si="198"/>
        <v>11061.36</v>
      </c>
      <c r="P226" s="2">
        <f t="shared" si="199"/>
        <v>11061.36</v>
      </c>
      <c r="Q226" s="2">
        <f t="shared" si="200"/>
        <v>0</v>
      </c>
      <c r="R226" s="2">
        <f t="shared" si="201"/>
        <v>0</v>
      </c>
      <c r="S226" s="2">
        <f t="shared" si="202"/>
        <v>0</v>
      </c>
      <c r="T226" s="2">
        <f t="shared" si="203"/>
        <v>0</v>
      </c>
      <c r="U226" s="2">
        <f t="shared" si="204"/>
        <v>0</v>
      </c>
      <c r="V226" s="2">
        <f t="shared" si="205"/>
        <v>0</v>
      </c>
      <c r="W226" s="2">
        <f t="shared" si="206"/>
        <v>0</v>
      </c>
      <c r="X226" s="2">
        <f t="shared" si="207"/>
        <v>0</v>
      </c>
      <c r="Y226" s="2">
        <f t="shared" si="208"/>
        <v>0</v>
      </c>
      <c r="Z226" s="2"/>
      <c r="AA226" s="2">
        <v>56622586</v>
      </c>
      <c r="AB226" s="2">
        <f t="shared" si="209"/>
        <v>153.63</v>
      </c>
      <c r="AC226" s="2">
        <f t="shared" si="235"/>
        <v>153.63</v>
      </c>
      <c r="AD226" s="2">
        <f t="shared" si="211"/>
        <v>0</v>
      </c>
      <c r="AE226" s="2">
        <f t="shared" si="212"/>
        <v>0</v>
      </c>
      <c r="AF226" s="2">
        <f t="shared" si="213"/>
        <v>0</v>
      </c>
      <c r="AG226" s="2">
        <f t="shared" si="214"/>
        <v>0</v>
      </c>
      <c r="AH226" s="2">
        <f t="shared" si="215"/>
        <v>0</v>
      </c>
      <c r="AI226" s="2">
        <f t="shared" si="216"/>
        <v>0</v>
      </c>
      <c r="AJ226" s="2">
        <f t="shared" si="217"/>
        <v>0</v>
      </c>
      <c r="AK226" s="2">
        <v>153.63</v>
      </c>
      <c r="AL226" s="2">
        <v>153.63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1</v>
      </c>
      <c r="AW226" s="2">
        <v>1</v>
      </c>
      <c r="AX226" s="2"/>
      <c r="AY226" s="2"/>
      <c r="AZ226" s="2">
        <v>1</v>
      </c>
      <c r="BA226" s="2">
        <v>1</v>
      </c>
      <c r="BB226" s="2">
        <v>1</v>
      </c>
      <c r="BC226" s="2">
        <v>1</v>
      </c>
      <c r="BD226" s="2" t="s">
        <v>3</v>
      </c>
      <c r="BE226" s="2" t="s">
        <v>3</v>
      </c>
      <c r="BF226" s="2" t="s">
        <v>3</v>
      </c>
      <c r="BG226" s="2" t="s">
        <v>3</v>
      </c>
      <c r="BH226" s="2">
        <v>3</v>
      </c>
      <c r="BI226" s="2">
        <v>2</v>
      </c>
      <c r="BJ226" s="2" t="s">
        <v>310</v>
      </c>
      <c r="BK226" s="2"/>
      <c r="BL226" s="2"/>
      <c r="BM226" s="2">
        <v>1618</v>
      </c>
      <c r="BN226" s="2">
        <v>0</v>
      </c>
      <c r="BO226" s="2" t="s">
        <v>3</v>
      </c>
      <c r="BP226" s="2">
        <v>0</v>
      </c>
      <c r="BQ226" s="2">
        <v>201</v>
      </c>
      <c r="BR226" s="2">
        <v>0</v>
      </c>
      <c r="BS226" s="2">
        <v>1</v>
      </c>
      <c r="BT226" s="2">
        <v>1</v>
      </c>
      <c r="BU226" s="2">
        <v>1</v>
      </c>
      <c r="BV226" s="2">
        <v>1</v>
      </c>
      <c r="BW226" s="2">
        <v>1</v>
      </c>
      <c r="BX226" s="2">
        <v>1</v>
      </c>
      <c r="BY226" s="2" t="s">
        <v>3</v>
      </c>
      <c r="BZ226" s="2">
        <v>0</v>
      </c>
      <c r="CA226" s="2">
        <v>0</v>
      </c>
      <c r="CB226" s="2" t="s">
        <v>3</v>
      </c>
      <c r="CC226" s="2"/>
      <c r="CD226" s="2"/>
      <c r="CE226" s="2">
        <v>30</v>
      </c>
      <c r="CF226" s="2">
        <v>0</v>
      </c>
      <c r="CG226" s="2">
        <v>0</v>
      </c>
      <c r="CH226" s="2"/>
      <c r="CI226" s="2"/>
      <c r="CJ226" s="2"/>
      <c r="CK226" s="2"/>
      <c r="CL226" s="2"/>
      <c r="CM226" s="2">
        <v>0</v>
      </c>
      <c r="CN226" s="2" t="s">
        <v>671</v>
      </c>
      <c r="CO226" s="2">
        <v>0</v>
      </c>
      <c r="CP226" s="2">
        <f t="shared" si="218"/>
        <v>11061.36</v>
      </c>
      <c r="CQ226" s="2">
        <f t="shared" si="219"/>
        <v>153.63</v>
      </c>
      <c r="CR226" s="2">
        <f t="shared" si="220"/>
        <v>0</v>
      </c>
      <c r="CS226" s="2">
        <f t="shared" si="221"/>
        <v>0</v>
      </c>
      <c r="CT226" s="2">
        <f t="shared" si="222"/>
        <v>0</v>
      </c>
      <c r="CU226" s="2">
        <f t="shared" si="223"/>
        <v>0</v>
      </c>
      <c r="CV226" s="2">
        <f t="shared" si="224"/>
        <v>0</v>
      </c>
      <c r="CW226" s="2">
        <f t="shared" si="225"/>
        <v>0</v>
      </c>
      <c r="CX226" s="2">
        <f t="shared" si="226"/>
        <v>0</v>
      </c>
      <c r="CY226" s="2">
        <f>((S226*BZ226)/100)</f>
        <v>0</v>
      </c>
      <c r="CZ226" s="2">
        <f>((S226*CA226)/100)</f>
        <v>0</v>
      </c>
      <c r="DA226" s="2"/>
      <c r="DB226" s="2"/>
      <c r="DC226" s="2" t="s">
        <v>3</v>
      </c>
      <c r="DD226" s="2" t="s">
        <v>3</v>
      </c>
      <c r="DE226" s="2" t="s">
        <v>22</v>
      </c>
      <c r="DF226" s="2" t="s">
        <v>22</v>
      </c>
      <c r="DG226" s="2" t="s">
        <v>22</v>
      </c>
      <c r="DH226" s="2" t="s">
        <v>3</v>
      </c>
      <c r="DI226" s="2" t="s">
        <v>22</v>
      </c>
      <c r="DJ226" s="2" t="s">
        <v>22</v>
      </c>
      <c r="DK226" s="2" t="s">
        <v>3</v>
      </c>
      <c r="DL226" s="2" t="s">
        <v>3</v>
      </c>
      <c r="DM226" s="2" t="s">
        <v>3</v>
      </c>
      <c r="DN226" s="2">
        <v>0</v>
      </c>
      <c r="DO226" s="2">
        <v>0</v>
      </c>
      <c r="DP226" s="2">
        <v>1</v>
      </c>
      <c r="DQ226" s="2">
        <v>1</v>
      </c>
      <c r="DR226" s="2"/>
      <c r="DS226" s="2"/>
      <c r="DT226" s="2"/>
      <c r="DU226" s="2">
        <v>1013</v>
      </c>
      <c r="DV226" s="2" t="s">
        <v>290</v>
      </c>
      <c r="DW226" s="2" t="s">
        <v>290</v>
      </c>
      <c r="DX226" s="2">
        <v>1</v>
      </c>
      <c r="DY226" s="2"/>
      <c r="DZ226" s="2" t="s">
        <v>3</v>
      </c>
      <c r="EA226" s="2" t="s">
        <v>3</v>
      </c>
      <c r="EB226" s="2" t="s">
        <v>3</v>
      </c>
      <c r="EC226" s="2" t="s">
        <v>3</v>
      </c>
      <c r="ED226" s="2"/>
      <c r="EE226" s="2">
        <v>51697657</v>
      </c>
      <c r="EF226" s="2">
        <v>201</v>
      </c>
      <c r="EG226" s="2" t="s">
        <v>292</v>
      </c>
      <c r="EH226" s="2">
        <v>0</v>
      </c>
      <c r="EI226" s="2" t="s">
        <v>3</v>
      </c>
      <c r="EJ226" s="2">
        <v>2</v>
      </c>
      <c r="EK226" s="2">
        <v>1618</v>
      </c>
      <c r="EL226" s="2" t="s">
        <v>293</v>
      </c>
      <c r="EM226" s="2" t="s">
        <v>294</v>
      </c>
      <c r="EN226" s="2"/>
      <c r="EO226" s="2" t="s">
        <v>25</v>
      </c>
      <c r="EP226" s="2"/>
      <c r="EQ226" s="2">
        <v>131072</v>
      </c>
      <c r="ER226" s="2">
        <v>153.63</v>
      </c>
      <c r="ES226" s="2">
        <v>153.63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>
        <v>0</v>
      </c>
      <c r="FR226" s="2">
        <v>0</v>
      </c>
      <c r="FS226" s="2">
        <v>0</v>
      </c>
      <c r="FT226" s="2"/>
      <c r="FU226" s="2"/>
      <c r="FV226" s="2"/>
      <c r="FW226" s="2"/>
      <c r="FX226" s="2">
        <v>0</v>
      </c>
      <c r="FY226" s="2">
        <v>0</v>
      </c>
      <c r="FZ226" s="2"/>
      <c r="GA226" s="2" t="s">
        <v>3</v>
      </c>
      <c r="GB226" s="2"/>
      <c r="GC226" s="2"/>
      <c r="GD226" s="2">
        <v>0</v>
      </c>
      <c r="GE226" s="2"/>
      <c r="GF226" s="2">
        <v>1544174678</v>
      </c>
      <c r="GG226" s="2">
        <v>2</v>
      </c>
      <c r="GH226" s="2">
        <v>1</v>
      </c>
      <c r="GI226" s="2">
        <v>-2</v>
      </c>
      <c r="GJ226" s="2">
        <v>0</v>
      </c>
      <c r="GK226" s="2">
        <f>ROUND(R226*(R12)/100,2)</f>
        <v>0</v>
      </c>
      <c r="GL226" s="2">
        <f t="shared" si="227"/>
        <v>0</v>
      </c>
      <c r="GM226" s="2">
        <f t="shared" si="228"/>
        <v>11061.36</v>
      </c>
      <c r="GN226" s="2">
        <f t="shared" si="229"/>
        <v>0</v>
      </c>
      <c r="GO226" s="2">
        <f t="shared" si="230"/>
        <v>11061.36</v>
      </c>
      <c r="GP226" s="2">
        <f t="shared" si="231"/>
        <v>0</v>
      </c>
      <c r="GQ226" s="2"/>
      <c r="GR226" s="2">
        <v>0</v>
      </c>
      <c r="GS226" s="2">
        <v>0</v>
      </c>
      <c r="GT226" s="2">
        <v>0</v>
      </c>
      <c r="GU226" s="2" t="s">
        <v>3</v>
      </c>
      <c r="GV226" s="2">
        <f t="shared" si="232"/>
        <v>0</v>
      </c>
      <c r="GW226" s="2">
        <v>1</v>
      </c>
      <c r="GX226" s="2">
        <f t="shared" si="233"/>
        <v>0</v>
      </c>
      <c r="GY226" s="2"/>
      <c r="GZ226" s="2"/>
      <c r="HA226" s="2">
        <v>0</v>
      </c>
      <c r="HB226" s="2">
        <v>0</v>
      </c>
      <c r="HC226" s="2">
        <f t="shared" si="234"/>
        <v>0</v>
      </c>
      <c r="HD226" s="2"/>
      <c r="HE226" s="2" t="s">
        <v>3</v>
      </c>
      <c r="HF226" s="2" t="s">
        <v>3</v>
      </c>
      <c r="HG226" s="2"/>
      <c r="HH226" s="2"/>
      <c r="HI226" s="2"/>
      <c r="HJ226" s="2"/>
      <c r="HK226" s="2"/>
      <c r="HL226" s="2"/>
      <c r="HM226" s="2" t="s">
        <v>3</v>
      </c>
      <c r="HN226" s="2" t="s">
        <v>3</v>
      </c>
      <c r="HO226" s="2" t="s">
        <v>3</v>
      </c>
      <c r="HP226" s="2" t="s">
        <v>3</v>
      </c>
      <c r="HQ226" s="2" t="s">
        <v>3</v>
      </c>
      <c r="HR226" s="2"/>
      <c r="HS226" s="2">
        <v>0</v>
      </c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>
        <v>0</v>
      </c>
      <c r="IL226" s="2"/>
      <c r="IM226" s="2"/>
      <c r="IN226" s="2"/>
      <c r="IO226" s="2"/>
      <c r="IP226" s="2"/>
      <c r="IQ226" s="2"/>
      <c r="IR226" s="2"/>
      <c r="IS226" s="2"/>
      <c r="IT226" s="2"/>
      <c r="IU226" s="2"/>
    </row>
    <row r="227" spans="1:255" x14ac:dyDescent="0.2">
      <c r="A227">
        <v>17</v>
      </c>
      <c r="B227">
        <v>1</v>
      </c>
      <c r="E227" t="s">
        <v>307</v>
      </c>
      <c r="F227" t="s">
        <v>308</v>
      </c>
      <c r="G227" t="s">
        <v>309</v>
      </c>
      <c r="H227" t="s">
        <v>290</v>
      </c>
      <c r="I227">
        <v>72</v>
      </c>
      <c r="J227">
        <v>0</v>
      </c>
      <c r="K227">
        <v>72</v>
      </c>
      <c r="O227">
        <f t="shared" si="198"/>
        <v>23339.47</v>
      </c>
      <c r="P227">
        <f t="shared" si="199"/>
        <v>23339.47</v>
      </c>
      <c r="Q227">
        <f t="shared" si="200"/>
        <v>0</v>
      </c>
      <c r="R227">
        <f t="shared" si="201"/>
        <v>0</v>
      </c>
      <c r="S227">
        <f t="shared" si="202"/>
        <v>0</v>
      </c>
      <c r="T227">
        <f t="shared" si="203"/>
        <v>0</v>
      </c>
      <c r="U227">
        <f t="shared" si="204"/>
        <v>0</v>
      </c>
      <c r="V227">
        <f t="shared" si="205"/>
        <v>0</v>
      </c>
      <c r="W227">
        <f t="shared" si="206"/>
        <v>0</v>
      </c>
      <c r="X227">
        <f t="shared" si="207"/>
        <v>0</v>
      </c>
      <c r="Y227">
        <f t="shared" si="208"/>
        <v>0</v>
      </c>
      <c r="AA227">
        <v>56616093</v>
      </c>
      <c r="AB227">
        <f t="shared" si="209"/>
        <v>153.63</v>
      </c>
      <c r="AC227">
        <f t="shared" si="235"/>
        <v>153.63</v>
      </c>
      <c r="AD227">
        <f t="shared" si="211"/>
        <v>0</v>
      </c>
      <c r="AE227">
        <f t="shared" si="212"/>
        <v>0</v>
      </c>
      <c r="AF227">
        <f t="shared" si="213"/>
        <v>0</v>
      </c>
      <c r="AG227">
        <f t="shared" si="214"/>
        <v>0</v>
      </c>
      <c r="AH227">
        <f t="shared" si="215"/>
        <v>0</v>
      </c>
      <c r="AI227">
        <f t="shared" si="216"/>
        <v>0</v>
      </c>
      <c r="AJ227">
        <f t="shared" si="217"/>
        <v>0</v>
      </c>
      <c r="AK227">
        <v>153.63</v>
      </c>
      <c r="AL227">
        <v>153.63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1</v>
      </c>
      <c r="AZ227">
        <v>1</v>
      </c>
      <c r="BA227">
        <v>1</v>
      </c>
      <c r="BB227">
        <v>1</v>
      </c>
      <c r="BC227">
        <v>2.11</v>
      </c>
      <c r="BD227" t="s">
        <v>3</v>
      </c>
      <c r="BE227" t="s">
        <v>3</v>
      </c>
      <c r="BF227" t="s">
        <v>3</v>
      </c>
      <c r="BG227" t="s">
        <v>3</v>
      </c>
      <c r="BH227">
        <v>3</v>
      </c>
      <c r="BI227">
        <v>2</v>
      </c>
      <c r="BJ227" t="s">
        <v>310</v>
      </c>
      <c r="BM227">
        <v>1618</v>
      </c>
      <c r="BN227">
        <v>0</v>
      </c>
      <c r="BO227" t="s">
        <v>308</v>
      </c>
      <c r="BP227">
        <v>1</v>
      </c>
      <c r="BQ227">
        <v>201</v>
      </c>
      <c r="BR227">
        <v>0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 t="s">
        <v>3</v>
      </c>
      <c r="BZ227">
        <v>0</v>
      </c>
      <c r="CA227">
        <v>0</v>
      </c>
      <c r="CB227" t="s">
        <v>3</v>
      </c>
      <c r="CE227">
        <v>30</v>
      </c>
      <c r="CF227">
        <v>0</v>
      </c>
      <c r="CG227">
        <v>0</v>
      </c>
      <c r="CM227">
        <v>0</v>
      </c>
      <c r="CN227" t="s">
        <v>671</v>
      </c>
      <c r="CO227">
        <v>0</v>
      </c>
      <c r="CP227">
        <f t="shared" si="218"/>
        <v>23339.47</v>
      </c>
      <c r="CQ227">
        <f t="shared" si="219"/>
        <v>324.16000000000003</v>
      </c>
      <c r="CR227">
        <f t="shared" si="220"/>
        <v>0</v>
      </c>
      <c r="CS227">
        <f t="shared" si="221"/>
        <v>0</v>
      </c>
      <c r="CT227">
        <f t="shared" si="222"/>
        <v>0</v>
      </c>
      <c r="CU227">
        <f t="shared" si="223"/>
        <v>0</v>
      </c>
      <c r="CV227">
        <f t="shared" si="224"/>
        <v>0</v>
      </c>
      <c r="CW227">
        <f t="shared" si="225"/>
        <v>0</v>
      </c>
      <c r="CX227">
        <f t="shared" si="226"/>
        <v>0</v>
      </c>
      <c r="CY227">
        <f>S227*(BZ227/100)</f>
        <v>0</v>
      </c>
      <c r="CZ227">
        <f>S227*(CA227/100)</f>
        <v>0</v>
      </c>
      <c r="DC227" t="s">
        <v>3</v>
      </c>
      <c r="DD227" t="s">
        <v>3</v>
      </c>
      <c r="DE227" t="s">
        <v>22</v>
      </c>
      <c r="DF227" t="s">
        <v>22</v>
      </c>
      <c r="DG227" t="s">
        <v>22</v>
      </c>
      <c r="DH227" t="s">
        <v>3</v>
      </c>
      <c r="DI227" t="s">
        <v>22</v>
      </c>
      <c r="DJ227" t="s">
        <v>22</v>
      </c>
      <c r="DK227" t="s">
        <v>3</v>
      </c>
      <c r="DL227" t="s">
        <v>3</v>
      </c>
      <c r="DM227" t="s">
        <v>3</v>
      </c>
      <c r="DN227">
        <v>0</v>
      </c>
      <c r="DO227">
        <v>0</v>
      </c>
      <c r="DP227">
        <v>1</v>
      </c>
      <c r="DQ227">
        <v>1</v>
      </c>
      <c r="DU227">
        <v>1013</v>
      </c>
      <c r="DV227" t="s">
        <v>290</v>
      </c>
      <c r="DW227" t="s">
        <v>290</v>
      </c>
      <c r="DX227">
        <v>1</v>
      </c>
      <c r="DZ227" t="s">
        <v>3</v>
      </c>
      <c r="EA227" t="s">
        <v>3</v>
      </c>
      <c r="EB227" t="s">
        <v>3</v>
      </c>
      <c r="EC227" t="s">
        <v>3</v>
      </c>
      <c r="EE227">
        <v>51697657</v>
      </c>
      <c r="EF227">
        <v>201</v>
      </c>
      <c r="EG227" t="s">
        <v>292</v>
      </c>
      <c r="EH227">
        <v>0</v>
      </c>
      <c r="EI227" t="s">
        <v>3</v>
      </c>
      <c r="EJ227">
        <v>2</v>
      </c>
      <c r="EK227">
        <v>1618</v>
      </c>
      <c r="EL227" t="s">
        <v>293</v>
      </c>
      <c r="EM227" t="s">
        <v>294</v>
      </c>
      <c r="EO227" t="s">
        <v>25</v>
      </c>
      <c r="EQ227">
        <v>131072</v>
      </c>
      <c r="ER227">
        <v>153.63</v>
      </c>
      <c r="ES227">
        <v>153.63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FQ227">
        <v>0</v>
      </c>
      <c r="FR227">
        <v>0</v>
      </c>
      <c r="FS227">
        <v>0</v>
      </c>
      <c r="FX227">
        <v>0</v>
      </c>
      <c r="FY227">
        <v>0</v>
      </c>
      <c r="GA227" t="s">
        <v>3</v>
      </c>
      <c r="GD227">
        <v>0</v>
      </c>
      <c r="GF227">
        <v>1544174678</v>
      </c>
      <c r="GG227">
        <v>2</v>
      </c>
      <c r="GH227">
        <v>1</v>
      </c>
      <c r="GI227">
        <v>2</v>
      </c>
      <c r="GJ227">
        <v>0</v>
      </c>
      <c r="GK227">
        <f>ROUND(R227*(S12)/100,2)</f>
        <v>0</v>
      </c>
      <c r="GL227">
        <f t="shared" si="227"/>
        <v>0</v>
      </c>
      <c r="GM227">
        <f t="shared" si="228"/>
        <v>23339.47</v>
      </c>
      <c r="GN227">
        <f t="shared" si="229"/>
        <v>0</v>
      </c>
      <c r="GO227">
        <f t="shared" si="230"/>
        <v>23339.47</v>
      </c>
      <c r="GP227">
        <f t="shared" si="231"/>
        <v>0</v>
      </c>
      <c r="GR227">
        <v>0</v>
      </c>
      <c r="GS227">
        <v>3</v>
      </c>
      <c r="GT227">
        <v>0</v>
      </c>
      <c r="GU227" t="s">
        <v>3</v>
      </c>
      <c r="GV227">
        <f t="shared" si="232"/>
        <v>0</v>
      </c>
      <c r="GW227">
        <v>1</v>
      </c>
      <c r="GX227">
        <f t="shared" si="233"/>
        <v>0</v>
      </c>
      <c r="HA227">
        <v>0</v>
      </c>
      <c r="HB227">
        <v>0</v>
      </c>
      <c r="HC227">
        <f t="shared" si="234"/>
        <v>0</v>
      </c>
      <c r="HE227" t="s">
        <v>3</v>
      </c>
      <c r="HF227" t="s">
        <v>3</v>
      </c>
      <c r="HM227" t="s">
        <v>3</v>
      </c>
      <c r="HN227" t="s">
        <v>3</v>
      </c>
      <c r="HO227" t="s">
        <v>3</v>
      </c>
      <c r="HP227" t="s">
        <v>3</v>
      </c>
      <c r="HQ227" t="s">
        <v>3</v>
      </c>
      <c r="HS227">
        <v>0</v>
      </c>
      <c r="IK227">
        <v>0</v>
      </c>
    </row>
    <row r="229" spans="1:255" x14ac:dyDescent="0.2">
      <c r="A229" s="3">
        <v>51</v>
      </c>
      <c r="B229" s="3">
        <f>B204</f>
        <v>1</v>
      </c>
      <c r="C229" s="3">
        <f>A204</f>
        <v>4</v>
      </c>
      <c r="D229" s="3">
        <f>ROW(A204)</f>
        <v>204</v>
      </c>
      <c r="E229" s="3"/>
      <c r="F229" s="3" t="str">
        <f>IF(F204&lt;&gt;"",F204,"")</f>
        <v>Новый раздел</v>
      </c>
      <c r="G229" s="3" t="str">
        <f>IF(G204&lt;&gt;"",G204,"")</f>
        <v>Материалы, не учтенные ценником</v>
      </c>
      <c r="H229" s="3">
        <v>0</v>
      </c>
      <c r="I229" s="3"/>
      <c r="J229" s="3"/>
      <c r="K229" s="3"/>
      <c r="L229" s="3"/>
      <c r="M229" s="3"/>
      <c r="N229" s="3"/>
      <c r="O229" s="3">
        <f t="shared" ref="O229:T229" si="236">ROUND(AB229,2)</f>
        <v>46811.199999999997</v>
      </c>
      <c r="P229" s="3">
        <f t="shared" si="236"/>
        <v>46811.199999999997</v>
      </c>
      <c r="Q229" s="3">
        <f t="shared" si="236"/>
        <v>0</v>
      </c>
      <c r="R229" s="3">
        <f t="shared" si="236"/>
        <v>0</v>
      </c>
      <c r="S229" s="3">
        <f t="shared" si="236"/>
        <v>0</v>
      </c>
      <c r="T229" s="3">
        <f t="shared" si="236"/>
        <v>0</v>
      </c>
      <c r="U229" s="3">
        <f>AH229</f>
        <v>0</v>
      </c>
      <c r="V229" s="3">
        <f>AI229</f>
        <v>0</v>
      </c>
      <c r="W229" s="3">
        <f>ROUND(AJ229,2)</f>
        <v>0</v>
      </c>
      <c r="X229" s="3">
        <f>ROUND(AK229,2)</f>
        <v>0</v>
      </c>
      <c r="Y229" s="3">
        <f>ROUND(AL229,2)</f>
        <v>0</v>
      </c>
      <c r="Z229" s="3"/>
      <c r="AA229" s="3"/>
      <c r="AB229" s="3">
        <f>ROUND(SUMIF(AA208:AA227,"=56622586",O208:O227),2)</f>
        <v>46811.199999999997</v>
      </c>
      <c r="AC229" s="3">
        <f>ROUND(SUMIF(AA208:AA227,"=56622586",P208:P227),2)</f>
        <v>46811.199999999997</v>
      </c>
      <c r="AD229" s="3">
        <f>ROUND(SUMIF(AA208:AA227,"=56622586",Q208:Q227),2)</f>
        <v>0</v>
      </c>
      <c r="AE229" s="3">
        <f>ROUND(SUMIF(AA208:AA227,"=56622586",R208:R227),2)</f>
        <v>0</v>
      </c>
      <c r="AF229" s="3">
        <f>ROUND(SUMIF(AA208:AA227,"=56622586",S208:S227),2)</f>
        <v>0</v>
      </c>
      <c r="AG229" s="3">
        <f>ROUND(SUMIF(AA208:AA227,"=56622586",T208:T227),2)</f>
        <v>0</v>
      </c>
      <c r="AH229" s="3">
        <f>SUMIF(AA208:AA227,"=56622586",U208:U227)</f>
        <v>0</v>
      </c>
      <c r="AI229" s="3">
        <f>SUMIF(AA208:AA227,"=56622586",V208:V227)</f>
        <v>0</v>
      </c>
      <c r="AJ229" s="3">
        <f>ROUND(SUMIF(AA208:AA227,"=56622586",W208:W227),2)</f>
        <v>0</v>
      </c>
      <c r="AK229" s="3">
        <f>ROUND(SUMIF(AA208:AA227,"=56622586",X208:X227),2)</f>
        <v>0</v>
      </c>
      <c r="AL229" s="3">
        <f>ROUND(SUMIF(AA208:AA227,"=56622586",Y208:Y227),2)</f>
        <v>0</v>
      </c>
      <c r="AM229" s="3"/>
      <c r="AN229" s="3"/>
      <c r="AO229" s="3">
        <f t="shared" ref="AO229:BD229" si="237">ROUND(BX229,2)</f>
        <v>0</v>
      </c>
      <c r="AP229" s="3">
        <f t="shared" si="237"/>
        <v>0</v>
      </c>
      <c r="AQ229" s="3">
        <f t="shared" si="237"/>
        <v>0</v>
      </c>
      <c r="AR229" s="3">
        <f t="shared" si="237"/>
        <v>46811.199999999997</v>
      </c>
      <c r="AS229" s="3">
        <f t="shared" si="237"/>
        <v>35749.839999999997</v>
      </c>
      <c r="AT229" s="3">
        <f t="shared" si="237"/>
        <v>11061.36</v>
      </c>
      <c r="AU229" s="3">
        <f t="shared" si="237"/>
        <v>0</v>
      </c>
      <c r="AV229" s="3">
        <f t="shared" si="237"/>
        <v>46811.199999999997</v>
      </c>
      <c r="AW229" s="3">
        <f t="shared" si="237"/>
        <v>46811.199999999997</v>
      </c>
      <c r="AX229" s="3">
        <f t="shared" si="237"/>
        <v>0</v>
      </c>
      <c r="AY229" s="3">
        <f t="shared" si="237"/>
        <v>46811.199999999997</v>
      </c>
      <c r="AZ229" s="3">
        <f t="shared" si="237"/>
        <v>0</v>
      </c>
      <c r="BA229" s="3">
        <f t="shared" si="237"/>
        <v>0</v>
      </c>
      <c r="BB229" s="3">
        <f t="shared" si="237"/>
        <v>0</v>
      </c>
      <c r="BC229" s="3">
        <f t="shared" si="237"/>
        <v>0</v>
      </c>
      <c r="BD229" s="3">
        <f t="shared" si="237"/>
        <v>0</v>
      </c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>
        <f>ROUND(SUMIF(AA208:AA227,"=56622586",FQ208:FQ227),2)</f>
        <v>0</v>
      </c>
      <c r="BY229" s="3">
        <f>ROUND(SUMIF(AA208:AA227,"=56622586",FR208:FR227),2)</f>
        <v>0</v>
      </c>
      <c r="BZ229" s="3">
        <f>ROUND(SUMIF(AA208:AA227,"=56622586",GL208:GL227),2)</f>
        <v>0</v>
      </c>
      <c r="CA229" s="3">
        <f>ROUND(SUMIF(AA208:AA227,"=56622586",GM208:GM227),2)</f>
        <v>46811.199999999997</v>
      </c>
      <c r="CB229" s="3">
        <f>ROUND(SUMIF(AA208:AA227,"=56622586",GN208:GN227),2)</f>
        <v>35749.839999999997</v>
      </c>
      <c r="CC229" s="3">
        <f>ROUND(SUMIF(AA208:AA227,"=56622586",GO208:GO227),2)</f>
        <v>11061.36</v>
      </c>
      <c r="CD229" s="3">
        <f>ROUND(SUMIF(AA208:AA227,"=56622586",GP208:GP227),2)</f>
        <v>0</v>
      </c>
      <c r="CE229" s="3">
        <f>AC229-BX229</f>
        <v>46811.199999999997</v>
      </c>
      <c r="CF229" s="3">
        <f>AC229-BY229</f>
        <v>46811.199999999997</v>
      </c>
      <c r="CG229" s="3">
        <f>BX229-BZ229</f>
        <v>0</v>
      </c>
      <c r="CH229" s="3">
        <f>AC229-BX229-BY229+BZ229</f>
        <v>46811.199999999997</v>
      </c>
      <c r="CI229" s="3">
        <f>BY229-BZ229</f>
        <v>0</v>
      </c>
      <c r="CJ229" s="3">
        <f>ROUND(SUMIF(AA208:AA227,"=56622586",GX208:GX227),2)</f>
        <v>0</v>
      </c>
      <c r="CK229" s="3">
        <f>ROUND(SUMIF(AA208:AA227,"=56622586",GY208:GY227),2)</f>
        <v>0</v>
      </c>
      <c r="CL229" s="3">
        <f>ROUND(SUMIF(AA208:AA227,"=56622586",GZ208:GZ227),2)</f>
        <v>0</v>
      </c>
      <c r="CM229" s="3">
        <f>ROUND(SUMIF(AA208:AA227,"=56622586",HD208:HD227),2)</f>
        <v>0</v>
      </c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4">
        <f t="shared" ref="DG229:DL229" si="238">ROUND(DT229,2)</f>
        <v>371542.91</v>
      </c>
      <c r="DH229" s="4">
        <f t="shared" si="238"/>
        <v>371542.91</v>
      </c>
      <c r="DI229" s="4">
        <f t="shared" si="238"/>
        <v>0</v>
      </c>
      <c r="DJ229" s="4">
        <f t="shared" si="238"/>
        <v>0</v>
      </c>
      <c r="DK229" s="4">
        <f t="shared" si="238"/>
        <v>0</v>
      </c>
      <c r="DL229" s="4">
        <f t="shared" si="238"/>
        <v>0</v>
      </c>
      <c r="DM229" s="4">
        <f>DZ229</f>
        <v>0</v>
      </c>
      <c r="DN229" s="4">
        <f>EA229</f>
        <v>0</v>
      </c>
      <c r="DO229" s="4">
        <f>ROUND(EB229,2)</f>
        <v>0</v>
      </c>
      <c r="DP229" s="4">
        <f>ROUND(EC229,2)</f>
        <v>0</v>
      </c>
      <c r="DQ229" s="4">
        <f>ROUND(ED229,2)</f>
        <v>0</v>
      </c>
      <c r="DR229" s="4"/>
      <c r="DS229" s="4"/>
      <c r="DT229" s="4">
        <f>ROUND(SUMIF(AA208:AA227,"=56616093",O208:O227),2)</f>
        <v>371542.91</v>
      </c>
      <c r="DU229" s="4">
        <f>ROUND(SUMIF(AA208:AA227,"=56616093",P208:P227),2)</f>
        <v>371542.91</v>
      </c>
      <c r="DV229" s="4">
        <f>ROUND(SUMIF(AA208:AA227,"=56616093",Q208:Q227),2)</f>
        <v>0</v>
      </c>
      <c r="DW229" s="4">
        <f>ROUND(SUMIF(AA208:AA227,"=56616093",R208:R227),2)</f>
        <v>0</v>
      </c>
      <c r="DX229" s="4">
        <f>ROUND(SUMIF(AA208:AA227,"=56616093",S208:S227),2)</f>
        <v>0</v>
      </c>
      <c r="DY229" s="4">
        <f>ROUND(SUMIF(AA208:AA227,"=56616093",T208:T227),2)</f>
        <v>0</v>
      </c>
      <c r="DZ229" s="4">
        <f>SUMIF(AA208:AA227,"=56616093",U208:U227)</f>
        <v>0</v>
      </c>
      <c r="EA229" s="4">
        <f>SUMIF(AA208:AA227,"=56616093",V208:V227)</f>
        <v>0</v>
      </c>
      <c r="EB229" s="4">
        <f>ROUND(SUMIF(AA208:AA227,"=56616093",W208:W227),2)</f>
        <v>0</v>
      </c>
      <c r="EC229" s="4">
        <f>ROUND(SUMIF(AA208:AA227,"=56616093",X208:X227),2)</f>
        <v>0</v>
      </c>
      <c r="ED229" s="4">
        <f>ROUND(SUMIF(AA208:AA227,"=56616093",Y208:Y227),2)</f>
        <v>0</v>
      </c>
      <c r="EE229" s="4"/>
      <c r="EF229" s="4"/>
      <c r="EG229" s="4">
        <f t="shared" ref="EG229:EV229" si="239">ROUND(FP229,2)</f>
        <v>0</v>
      </c>
      <c r="EH229" s="4">
        <f t="shared" si="239"/>
        <v>0</v>
      </c>
      <c r="EI229" s="4">
        <f t="shared" si="239"/>
        <v>0</v>
      </c>
      <c r="EJ229" s="4">
        <f t="shared" si="239"/>
        <v>371542.91</v>
      </c>
      <c r="EK229" s="4">
        <f t="shared" si="239"/>
        <v>348203.44</v>
      </c>
      <c r="EL229" s="4">
        <f t="shared" si="239"/>
        <v>23339.47</v>
      </c>
      <c r="EM229" s="4">
        <f t="shared" si="239"/>
        <v>0</v>
      </c>
      <c r="EN229" s="4">
        <f t="shared" si="239"/>
        <v>371542.91</v>
      </c>
      <c r="EO229" s="4">
        <f t="shared" si="239"/>
        <v>371542.91</v>
      </c>
      <c r="EP229" s="4">
        <f t="shared" si="239"/>
        <v>0</v>
      </c>
      <c r="EQ229" s="4">
        <f t="shared" si="239"/>
        <v>371542.91</v>
      </c>
      <c r="ER229" s="4">
        <f t="shared" si="239"/>
        <v>0</v>
      </c>
      <c r="ES229" s="4">
        <f t="shared" si="239"/>
        <v>0</v>
      </c>
      <c r="ET229" s="4">
        <f t="shared" si="239"/>
        <v>0</v>
      </c>
      <c r="EU229" s="4">
        <f t="shared" si="239"/>
        <v>0</v>
      </c>
      <c r="EV229" s="4">
        <f t="shared" si="239"/>
        <v>0</v>
      </c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>
        <f>ROUND(SUMIF(AA208:AA227,"=56616093",FQ208:FQ227),2)</f>
        <v>0</v>
      </c>
      <c r="FQ229" s="4">
        <f>ROUND(SUMIF(AA208:AA227,"=56616093",FR208:FR227),2)</f>
        <v>0</v>
      </c>
      <c r="FR229" s="4">
        <f>ROUND(SUMIF(AA208:AA227,"=56616093",GL208:GL227),2)</f>
        <v>0</v>
      </c>
      <c r="FS229" s="4">
        <f>ROUND(SUMIF(AA208:AA227,"=56616093",GM208:GM227),2)</f>
        <v>371542.91</v>
      </c>
      <c r="FT229" s="4">
        <f>ROUND(SUMIF(AA208:AA227,"=56616093",GN208:GN227),2)</f>
        <v>348203.44</v>
      </c>
      <c r="FU229" s="4">
        <f>ROUND(SUMIF(AA208:AA227,"=56616093",GO208:GO227),2)</f>
        <v>23339.47</v>
      </c>
      <c r="FV229" s="4">
        <f>ROUND(SUMIF(AA208:AA227,"=56616093",GP208:GP227),2)</f>
        <v>0</v>
      </c>
      <c r="FW229" s="4">
        <f>DU229-FP229</f>
        <v>371542.91</v>
      </c>
      <c r="FX229" s="4">
        <f>DU229-FQ229</f>
        <v>371542.91</v>
      </c>
      <c r="FY229" s="4">
        <f>FP229-FR229</f>
        <v>0</v>
      </c>
      <c r="FZ229" s="4">
        <f>DU229-FP229-FQ229+FR229</f>
        <v>371542.91</v>
      </c>
      <c r="GA229" s="4">
        <f>FQ229-FR229</f>
        <v>0</v>
      </c>
      <c r="GB229" s="4">
        <f>ROUND(SUMIF(AA208:AA227,"=56616093",GX208:GX227),2)</f>
        <v>0</v>
      </c>
      <c r="GC229" s="4">
        <f>ROUND(SUMIF(AA208:AA227,"=56616093",GY208:GY227),2)</f>
        <v>0</v>
      </c>
      <c r="GD229" s="4">
        <f>ROUND(SUMIF(AA208:AA227,"=56616093",GZ208:GZ227),2)</f>
        <v>0</v>
      </c>
      <c r="GE229" s="4">
        <f>ROUND(SUMIF(AA208:AA227,"=56616093",HD208:HD227),2)</f>
        <v>0</v>
      </c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>
        <v>0</v>
      </c>
    </row>
    <row r="231" spans="1:255" x14ac:dyDescent="0.2">
      <c r="A231" s="5">
        <v>50</v>
      </c>
      <c r="B231" s="5">
        <v>0</v>
      </c>
      <c r="C231" s="5">
        <v>0</v>
      </c>
      <c r="D231" s="5">
        <v>1</v>
      </c>
      <c r="E231" s="5">
        <v>201</v>
      </c>
      <c r="F231" s="5">
        <f>ROUND(Source!O229,O231)</f>
        <v>46811.199999999997</v>
      </c>
      <c r="G231" s="5" t="s">
        <v>106</v>
      </c>
      <c r="H231" s="5" t="s">
        <v>107</v>
      </c>
      <c r="I231" s="5"/>
      <c r="J231" s="5"/>
      <c r="K231" s="5">
        <v>201</v>
      </c>
      <c r="L231" s="5">
        <v>1</v>
      </c>
      <c r="M231" s="5">
        <v>3</v>
      </c>
      <c r="N231" s="5" t="s">
        <v>3</v>
      </c>
      <c r="O231" s="5">
        <v>2</v>
      </c>
      <c r="P231" s="5">
        <f>ROUND(Source!DG229,O231)</f>
        <v>371542.91</v>
      </c>
      <c r="Q231" s="5"/>
      <c r="R231" s="5"/>
      <c r="S231" s="5"/>
      <c r="T231" s="5"/>
      <c r="U231" s="5"/>
      <c r="V231" s="5"/>
      <c r="W231" s="5">
        <v>46811.199999999997</v>
      </c>
      <c r="X231" s="5">
        <v>1</v>
      </c>
      <c r="Y231" s="5">
        <v>46811.199999999997</v>
      </c>
      <c r="Z231" s="5">
        <v>371542.91</v>
      </c>
      <c r="AA231" s="5">
        <v>1</v>
      </c>
      <c r="AB231" s="5">
        <v>371542.91</v>
      </c>
    </row>
    <row r="232" spans="1:255" x14ac:dyDescent="0.2">
      <c r="A232" s="5">
        <v>50</v>
      </c>
      <c r="B232" s="5">
        <v>0</v>
      </c>
      <c r="C232" s="5">
        <v>0</v>
      </c>
      <c r="D232" s="5">
        <v>1</v>
      </c>
      <c r="E232" s="5">
        <v>202</v>
      </c>
      <c r="F232" s="5">
        <f>ROUND(Source!P229,O232)</f>
        <v>46811.199999999997</v>
      </c>
      <c r="G232" s="5" t="s">
        <v>108</v>
      </c>
      <c r="H232" s="5" t="s">
        <v>109</v>
      </c>
      <c r="I232" s="5"/>
      <c r="J232" s="5"/>
      <c r="K232" s="5">
        <v>202</v>
      </c>
      <c r="L232" s="5">
        <v>2</v>
      </c>
      <c r="M232" s="5">
        <v>3</v>
      </c>
      <c r="N232" s="5" t="s">
        <v>3</v>
      </c>
      <c r="O232" s="5">
        <v>2</v>
      </c>
      <c r="P232" s="5">
        <f>ROUND(Source!DH229,O232)</f>
        <v>371542.91</v>
      </c>
      <c r="Q232" s="5"/>
      <c r="R232" s="5"/>
      <c r="S232" s="5"/>
      <c r="T232" s="5"/>
      <c r="U232" s="5"/>
      <c r="V232" s="5"/>
      <c r="W232" s="5">
        <v>46811.199999999997</v>
      </c>
      <c r="X232" s="5">
        <v>1</v>
      </c>
      <c r="Y232" s="5">
        <v>46811.199999999997</v>
      </c>
      <c r="Z232" s="5">
        <v>371542.91</v>
      </c>
      <c r="AA232" s="5">
        <v>1</v>
      </c>
      <c r="AB232" s="5">
        <v>371542.91</v>
      </c>
    </row>
    <row r="233" spans="1:255" x14ac:dyDescent="0.2">
      <c r="A233" s="5">
        <v>50</v>
      </c>
      <c r="B233" s="5">
        <v>0</v>
      </c>
      <c r="C233" s="5">
        <v>0</v>
      </c>
      <c r="D233" s="5">
        <v>1</v>
      </c>
      <c r="E233" s="5">
        <v>222</v>
      </c>
      <c r="F233" s="5">
        <f>ROUND(Source!AO229,O233)</f>
        <v>0</v>
      </c>
      <c r="G233" s="5" t="s">
        <v>110</v>
      </c>
      <c r="H233" s="5" t="s">
        <v>111</v>
      </c>
      <c r="I233" s="5"/>
      <c r="J233" s="5"/>
      <c r="K233" s="5">
        <v>222</v>
      </c>
      <c r="L233" s="5">
        <v>3</v>
      </c>
      <c r="M233" s="5">
        <v>3</v>
      </c>
      <c r="N233" s="5" t="s">
        <v>3</v>
      </c>
      <c r="O233" s="5">
        <v>2</v>
      </c>
      <c r="P233" s="5">
        <f>ROUND(Source!EG229,O233)</f>
        <v>0</v>
      </c>
      <c r="Q233" s="5"/>
      <c r="R233" s="5"/>
      <c r="S233" s="5"/>
      <c r="T233" s="5"/>
      <c r="U233" s="5"/>
      <c r="V233" s="5"/>
      <c r="W233" s="5">
        <v>0</v>
      </c>
      <c r="X233" s="5">
        <v>1</v>
      </c>
      <c r="Y233" s="5">
        <v>0</v>
      </c>
      <c r="Z233" s="5">
        <v>0</v>
      </c>
      <c r="AA233" s="5">
        <v>1</v>
      </c>
      <c r="AB233" s="5">
        <v>0</v>
      </c>
    </row>
    <row r="234" spans="1:255" x14ac:dyDescent="0.2">
      <c r="A234" s="5">
        <v>50</v>
      </c>
      <c r="B234" s="5">
        <v>0</v>
      </c>
      <c r="C234" s="5">
        <v>0</v>
      </c>
      <c r="D234" s="5">
        <v>1</v>
      </c>
      <c r="E234" s="5">
        <v>225</v>
      </c>
      <c r="F234" s="5">
        <f>ROUND(Source!AV229,O234)</f>
        <v>46811.199999999997</v>
      </c>
      <c r="G234" s="5" t="s">
        <v>112</v>
      </c>
      <c r="H234" s="5" t="s">
        <v>113</v>
      </c>
      <c r="I234" s="5"/>
      <c r="J234" s="5"/>
      <c r="K234" s="5">
        <v>225</v>
      </c>
      <c r="L234" s="5">
        <v>4</v>
      </c>
      <c r="M234" s="5">
        <v>3</v>
      </c>
      <c r="N234" s="5" t="s">
        <v>3</v>
      </c>
      <c r="O234" s="5">
        <v>2</v>
      </c>
      <c r="P234" s="5">
        <f>ROUND(Source!EN229,O234)</f>
        <v>371542.91</v>
      </c>
      <c r="Q234" s="5"/>
      <c r="R234" s="5"/>
      <c r="S234" s="5"/>
      <c r="T234" s="5"/>
      <c r="U234" s="5"/>
      <c r="V234" s="5"/>
      <c r="W234" s="5">
        <v>46811.199999999997</v>
      </c>
      <c r="X234" s="5">
        <v>1</v>
      </c>
      <c r="Y234" s="5">
        <v>46811.199999999997</v>
      </c>
      <c r="Z234" s="5">
        <v>371542.91</v>
      </c>
      <c r="AA234" s="5">
        <v>1</v>
      </c>
      <c r="AB234" s="5">
        <v>371542.91</v>
      </c>
    </row>
    <row r="235" spans="1:255" x14ac:dyDescent="0.2">
      <c r="A235" s="5">
        <v>50</v>
      </c>
      <c r="B235" s="5">
        <v>0</v>
      </c>
      <c r="C235" s="5">
        <v>0</v>
      </c>
      <c r="D235" s="5">
        <v>1</v>
      </c>
      <c r="E235" s="5">
        <v>226</v>
      </c>
      <c r="F235" s="5">
        <f>ROUND(Source!AW229,O235)</f>
        <v>46811.199999999997</v>
      </c>
      <c r="G235" s="5" t="s">
        <v>114</v>
      </c>
      <c r="H235" s="5" t="s">
        <v>115</v>
      </c>
      <c r="I235" s="5"/>
      <c r="J235" s="5"/>
      <c r="K235" s="5">
        <v>226</v>
      </c>
      <c r="L235" s="5">
        <v>5</v>
      </c>
      <c r="M235" s="5">
        <v>3</v>
      </c>
      <c r="N235" s="5" t="s">
        <v>3</v>
      </c>
      <c r="O235" s="5">
        <v>2</v>
      </c>
      <c r="P235" s="5">
        <f>ROUND(Source!EO229,O235)</f>
        <v>371542.91</v>
      </c>
      <c r="Q235" s="5"/>
      <c r="R235" s="5"/>
      <c r="S235" s="5"/>
      <c r="T235" s="5"/>
      <c r="U235" s="5"/>
      <c r="V235" s="5"/>
      <c r="W235" s="5">
        <v>46811.199999999997</v>
      </c>
      <c r="X235" s="5">
        <v>1</v>
      </c>
      <c r="Y235" s="5">
        <v>46811.199999999997</v>
      </c>
      <c r="Z235" s="5">
        <v>371542.91</v>
      </c>
      <c r="AA235" s="5">
        <v>1</v>
      </c>
      <c r="AB235" s="5">
        <v>371542.91</v>
      </c>
    </row>
    <row r="236" spans="1:255" x14ac:dyDescent="0.2">
      <c r="A236" s="5">
        <v>50</v>
      </c>
      <c r="B236" s="5">
        <v>0</v>
      </c>
      <c r="C236" s="5">
        <v>0</v>
      </c>
      <c r="D236" s="5">
        <v>1</v>
      </c>
      <c r="E236" s="5">
        <v>227</v>
      </c>
      <c r="F236" s="5">
        <f>ROUND(Source!AX229,O236)</f>
        <v>0</v>
      </c>
      <c r="G236" s="5" t="s">
        <v>116</v>
      </c>
      <c r="H236" s="5" t="s">
        <v>117</v>
      </c>
      <c r="I236" s="5"/>
      <c r="J236" s="5"/>
      <c r="K236" s="5">
        <v>227</v>
      </c>
      <c r="L236" s="5">
        <v>6</v>
      </c>
      <c r="M236" s="5">
        <v>3</v>
      </c>
      <c r="N236" s="5" t="s">
        <v>3</v>
      </c>
      <c r="O236" s="5">
        <v>2</v>
      </c>
      <c r="P236" s="5">
        <f>ROUND(Source!EP229,O236)</f>
        <v>0</v>
      </c>
      <c r="Q236" s="5"/>
      <c r="R236" s="5"/>
      <c r="S236" s="5"/>
      <c r="T236" s="5"/>
      <c r="U236" s="5"/>
      <c r="V236" s="5"/>
      <c r="W236" s="5">
        <v>0</v>
      </c>
      <c r="X236" s="5">
        <v>1</v>
      </c>
      <c r="Y236" s="5">
        <v>0</v>
      </c>
      <c r="Z236" s="5">
        <v>0</v>
      </c>
      <c r="AA236" s="5">
        <v>1</v>
      </c>
      <c r="AB236" s="5">
        <v>0</v>
      </c>
    </row>
    <row r="237" spans="1:255" x14ac:dyDescent="0.2">
      <c r="A237" s="5">
        <v>50</v>
      </c>
      <c r="B237" s="5">
        <v>0</v>
      </c>
      <c r="C237" s="5">
        <v>0</v>
      </c>
      <c r="D237" s="5">
        <v>1</v>
      </c>
      <c r="E237" s="5">
        <v>228</v>
      </c>
      <c r="F237" s="5">
        <f>ROUND(Source!AY229,O237)</f>
        <v>46811.199999999997</v>
      </c>
      <c r="G237" s="5" t="s">
        <v>118</v>
      </c>
      <c r="H237" s="5" t="s">
        <v>119</v>
      </c>
      <c r="I237" s="5"/>
      <c r="J237" s="5"/>
      <c r="K237" s="5">
        <v>228</v>
      </c>
      <c r="L237" s="5">
        <v>7</v>
      </c>
      <c r="M237" s="5">
        <v>3</v>
      </c>
      <c r="N237" s="5" t="s">
        <v>3</v>
      </c>
      <c r="O237" s="5">
        <v>2</v>
      </c>
      <c r="P237" s="5">
        <f>ROUND(Source!EQ229,O237)</f>
        <v>371542.91</v>
      </c>
      <c r="Q237" s="5"/>
      <c r="R237" s="5"/>
      <c r="S237" s="5"/>
      <c r="T237" s="5"/>
      <c r="U237" s="5"/>
      <c r="V237" s="5"/>
      <c r="W237" s="5">
        <v>46811.199999999997</v>
      </c>
      <c r="X237" s="5">
        <v>1</v>
      </c>
      <c r="Y237" s="5">
        <v>46811.199999999997</v>
      </c>
      <c r="Z237" s="5">
        <v>371542.91</v>
      </c>
      <c r="AA237" s="5">
        <v>1</v>
      </c>
      <c r="AB237" s="5">
        <v>371542.91</v>
      </c>
    </row>
    <row r="238" spans="1:255" x14ac:dyDescent="0.2">
      <c r="A238" s="5">
        <v>50</v>
      </c>
      <c r="B238" s="5">
        <v>0</v>
      </c>
      <c r="C238" s="5">
        <v>0</v>
      </c>
      <c r="D238" s="5">
        <v>1</v>
      </c>
      <c r="E238" s="5">
        <v>216</v>
      </c>
      <c r="F238" s="5">
        <f>ROUND(Source!AP229,O238)</f>
        <v>0</v>
      </c>
      <c r="G238" s="5" t="s">
        <v>120</v>
      </c>
      <c r="H238" s="5" t="s">
        <v>121</v>
      </c>
      <c r="I238" s="5"/>
      <c r="J238" s="5"/>
      <c r="K238" s="5">
        <v>216</v>
      </c>
      <c r="L238" s="5">
        <v>8</v>
      </c>
      <c r="M238" s="5">
        <v>3</v>
      </c>
      <c r="N238" s="5" t="s">
        <v>3</v>
      </c>
      <c r="O238" s="5">
        <v>2</v>
      </c>
      <c r="P238" s="5">
        <f>ROUND(Source!EH229,O238)</f>
        <v>0</v>
      </c>
      <c r="Q238" s="5"/>
      <c r="R238" s="5"/>
      <c r="S238" s="5"/>
      <c r="T238" s="5"/>
      <c r="U238" s="5"/>
      <c r="V238" s="5"/>
      <c r="W238" s="5">
        <v>0</v>
      </c>
      <c r="X238" s="5">
        <v>1</v>
      </c>
      <c r="Y238" s="5">
        <v>0</v>
      </c>
      <c r="Z238" s="5">
        <v>0</v>
      </c>
      <c r="AA238" s="5">
        <v>1</v>
      </c>
      <c r="AB238" s="5">
        <v>0</v>
      </c>
    </row>
    <row r="239" spans="1:255" x14ac:dyDescent="0.2">
      <c r="A239" s="5">
        <v>50</v>
      </c>
      <c r="B239" s="5">
        <v>0</v>
      </c>
      <c r="C239" s="5">
        <v>0</v>
      </c>
      <c r="D239" s="5">
        <v>1</v>
      </c>
      <c r="E239" s="5">
        <v>223</v>
      </c>
      <c r="F239" s="5">
        <f>ROUND(Source!AQ229,O239)</f>
        <v>0</v>
      </c>
      <c r="G239" s="5" t="s">
        <v>122</v>
      </c>
      <c r="H239" s="5" t="s">
        <v>123</v>
      </c>
      <c r="I239" s="5"/>
      <c r="J239" s="5"/>
      <c r="K239" s="5">
        <v>223</v>
      </c>
      <c r="L239" s="5">
        <v>9</v>
      </c>
      <c r="M239" s="5">
        <v>3</v>
      </c>
      <c r="N239" s="5" t="s">
        <v>3</v>
      </c>
      <c r="O239" s="5">
        <v>2</v>
      </c>
      <c r="P239" s="5">
        <f>ROUND(Source!EI229,O239)</f>
        <v>0</v>
      </c>
      <c r="Q239" s="5"/>
      <c r="R239" s="5"/>
      <c r="S239" s="5"/>
      <c r="T239" s="5"/>
      <c r="U239" s="5"/>
      <c r="V239" s="5"/>
      <c r="W239" s="5">
        <v>0</v>
      </c>
      <c r="X239" s="5">
        <v>1</v>
      </c>
      <c r="Y239" s="5">
        <v>0</v>
      </c>
      <c r="Z239" s="5">
        <v>0</v>
      </c>
      <c r="AA239" s="5">
        <v>1</v>
      </c>
      <c r="AB239" s="5">
        <v>0</v>
      </c>
    </row>
    <row r="240" spans="1:255" x14ac:dyDescent="0.2">
      <c r="A240" s="5">
        <v>50</v>
      </c>
      <c r="B240" s="5">
        <v>0</v>
      </c>
      <c r="C240" s="5">
        <v>0</v>
      </c>
      <c r="D240" s="5">
        <v>1</v>
      </c>
      <c r="E240" s="5">
        <v>229</v>
      </c>
      <c r="F240" s="5">
        <f>ROUND(Source!AZ229,O240)</f>
        <v>0</v>
      </c>
      <c r="G240" s="5" t="s">
        <v>124</v>
      </c>
      <c r="H240" s="5" t="s">
        <v>125</v>
      </c>
      <c r="I240" s="5"/>
      <c r="J240" s="5"/>
      <c r="K240" s="5">
        <v>229</v>
      </c>
      <c r="L240" s="5">
        <v>10</v>
      </c>
      <c r="M240" s="5">
        <v>3</v>
      </c>
      <c r="N240" s="5" t="s">
        <v>3</v>
      </c>
      <c r="O240" s="5">
        <v>2</v>
      </c>
      <c r="P240" s="5">
        <f>ROUND(Source!ER229,O240)</f>
        <v>0</v>
      </c>
      <c r="Q240" s="5"/>
      <c r="R240" s="5"/>
      <c r="S240" s="5"/>
      <c r="T240" s="5"/>
      <c r="U240" s="5"/>
      <c r="V240" s="5"/>
      <c r="W240" s="5">
        <v>0</v>
      </c>
      <c r="X240" s="5">
        <v>1</v>
      </c>
      <c r="Y240" s="5">
        <v>0</v>
      </c>
      <c r="Z240" s="5">
        <v>0</v>
      </c>
      <c r="AA240" s="5">
        <v>1</v>
      </c>
      <c r="AB240" s="5">
        <v>0</v>
      </c>
    </row>
    <row r="241" spans="1:28" x14ac:dyDescent="0.2">
      <c r="A241" s="5">
        <v>50</v>
      </c>
      <c r="B241" s="5">
        <v>0</v>
      </c>
      <c r="C241" s="5">
        <v>0</v>
      </c>
      <c r="D241" s="5">
        <v>1</v>
      </c>
      <c r="E241" s="5">
        <v>203</v>
      </c>
      <c r="F241" s="5">
        <f>ROUND(Source!Q229,O241)</f>
        <v>0</v>
      </c>
      <c r="G241" s="5" t="s">
        <v>126</v>
      </c>
      <c r="H241" s="5" t="s">
        <v>127</v>
      </c>
      <c r="I241" s="5"/>
      <c r="J241" s="5"/>
      <c r="K241" s="5">
        <v>203</v>
      </c>
      <c r="L241" s="5">
        <v>11</v>
      </c>
      <c r="M241" s="5">
        <v>3</v>
      </c>
      <c r="N241" s="5" t="s">
        <v>3</v>
      </c>
      <c r="O241" s="5">
        <v>2</v>
      </c>
      <c r="P241" s="5">
        <f>ROUND(Source!DI229,O241)</f>
        <v>0</v>
      </c>
      <c r="Q241" s="5"/>
      <c r="R241" s="5"/>
      <c r="S241" s="5"/>
      <c r="T241" s="5"/>
      <c r="U241" s="5"/>
      <c r="V241" s="5"/>
      <c r="W241" s="5">
        <v>0</v>
      </c>
      <c r="X241" s="5">
        <v>1</v>
      </c>
      <c r="Y241" s="5">
        <v>0</v>
      </c>
      <c r="Z241" s="5">
        <v>0</v>
      </c>
      <c r="AA241" s="5">
        <v>1</v>
      </c>
      <c r="AB241" s="5">
        <v>0</v>
      </c>
    </row>
    <row r="242" spans="1:28" x14ac:dyDescent="0.2">
      <c r="A242" s="5">
        <v>50</v>
      </c>
      <c r="B242" s="5">
        <v>0</v>
      </c>
      <c r="C242" s="5">
        <v>0</v>
      </c>
      <c r="D242" s="5">
        <v>1</v>
      </c>
      <c r="E242" s="5">
        <v>231</v>
      </c>
      <c r="F242" s="5">
        <f>ROUND(Source!BB229,O242)</f>
        <v>0</v>
      </c>
      <c r="G242" s="5" t="s">
        <v>128</v>
      </c>
      <c r="H242" s="5" t="s">
        <v>129</v>
      </c>
      <c r="I242" s="5"/>
      <c r="J242" s="5"/>
      <c r="K242" s="5">
        <v>231</v>
      </c>
      <c r="L242" s="5">
        <v>12</v>
      </c>
      <c r="M242" s="5">
        <v>3</v>
      </c>
      <c r="N242" s="5" t="s">
        <v>3</v>
      </c>
      <c r="O242" s="5">
        <v>2</v>
      </c>
      <c r="P242" s="5">
        <f>ROUND(Source!ET229,O242)</f>
        <v>0</v>
      </c>
      <c r="Q242" s="5"/>
      <c r="R242" s="5"/>
      <c r="S242" s="5"/>
      <c r="T242" s="5"/>
      <c r="U242" s="5"/>
      <c r="V242" s="5"/>
      <c r="W242" s="5">
        <v>0</v>
      </c>
      <c r="X242" s="5">
        <v>1</v>
      </c>
      <c r="Y242" s="5">
        <v>0</v>
      </c>
      <c r="Z242" s="5">
        <v>0</v>
      </c>
      <c r="AA242" s="5">
        <v>1</v>
      </c>
      <c r="AB242" s="5">
        <v>0</v>
      </c>
    </row>
    <row r="243" spans="1:28" x14ac:dyDescent="0.2">
      <c r="A243" s="5">
        <v>50</v>
      </c>
      <c r="B243" s="5">
        <v>0</v>
      </c>
      <c r="C243" s="5">
        <v>0</v>
      </c>
      <c r="D243" s="5">
        <v>1</v>
      </c>
      <c r="E243" s="5">
        <v>204</v>
      </c>
      <c r="F243" s="5">
        <f>ROUND(Source!R229,O243)</f>
        <v>0</v>
      </c>
      <c r="G243" s="5" t="s">
        <v>130</v>
      </c>
      <c r="H243" s="5" t="s">
        <v>131</v>
      </c>
      <c r="I243" s="5"/>
      <c r="J243" s="5"/>
      <c r="K243" s="5">
        <v>204</v>
      </c>
      <c r="L243" s="5">
        <v>13</v>
      </c>
      <c r="M243" s="5">
        <v>3</v>
      </c>
      <c r="N243" s="5" t="s">
        <v>3</v>
      </c>
      <c r="O243" s="5">
        <v>2</v>
      </c>
      <c r="P243" s="5">
        <f>ROUND(Source!DJ229,O243)</f>
        <v>0</v>
      </c>
      <c r="Q243" s="5"/>
      <c r="R243" s="5"/>
      <c r="S243" s="5"/>
      <c r="T243" s="5"/>
      <c r="U243" s="5"/>
      <c r="V243" s="5"/>
      <c r="W243" s="5">
        <v>0</v>
      </c>
      <c r="X243" s="5">
        <v>1</v>
      </c>
      <c r="Y243" s="5">
        <v>0</v>
      </c>
      <c r="Z243" s="5">
        <v>0</v>
      </c>
      <c r="AA243" s="5">
        <v>1</v>
      </c>
      <c r="AB243" s="5">
        <v>0</v>
      </c>
    </row>
    <row r="244" spans="1:28" x14ac:dyDescent="0.2">
      <c r="A244" s="5">
        <v>50</v>
      </c>
      <c r="B244" s="5">
        <v>0</v>
      </c>
      <c r="C244" s="5">
        <v>0</v>
      </c>
      <c r="D244" s="5">
        <v>1</v>
      </c>
      <c r="E244" s="5">
        <v>205</v>
      </c>
      <c r="F244" s="5">
        <f>ROUND(Source!S229,O244)</f>
        <v>0</v>
      </c>
      <c r="G244" s="5" t="s">
        <v>132</v>
      </c>
      <c r="H244" s="5" t="s">
        <v>133</v>
      </c>
      <c r="I244" s="5"/>
      <c r="J244" s="5"/>
      <c r="K244" s="5">
        <v>205</v>
      </c>
      <c r="L244" s="5">
        <v>14</v>
      </c>
      <c r="M244" s="5">
        <v>3</v>
      </c>
      <c r="N244" s="5" t="s">
        <v>3</v>
      </c>
      <c r="O244" s="5">
        <v>2</v>
      </c>
      <c r="P244" s="5">
        <f>ROUND(Source!DK229,O244)</f>
        <v>0</v>
      </c>
      <c r="Q244" s="5"/>
      <c r="R244" s="5"/>
      <c r="S244" s="5"/>
      <c r="T244" s="5"/>
      <c r="U244" s="5"/>
      <c r="V244" s="5"/>
      <c r="W244" s="5">
        <v>0</v>
      </c>
      <c r="X244" s="5">
        <v>1</v>
      </c>
      <c r="Y244" s="5">
        <v>0</v>
      </c>
      <c r="Z244" s="5">
        <v>0</v>
      </c>
      <c r="AA244" s="5">
        <v>1</v>
      </c>
      <c r="AB244" s="5">
        <v>0</v>
      </c>
    </row>
    <row r="245" spans="1:28" x14ac:dyDescent="0.2">
      <c r="A245" s="5">
        <v>50</v>
      </c>
      <c r="B245" s="5">
        <v>0</v>
      </c>
      <c r="C245" s="5">
        <v>0</v>
      </c>
      <c r="D245" s="5">
        <v>1</v>
      </c>
      <c r="E245" s="5">
        <v>232</v>
      </c>
      <c r="F245" s="5">
        <f>ROUND(Source!BC229,O245)</f>
        <v>0</v>
      </c>
      <c r="G245" s="5" t="s">
        <v>134</v>
      </c>
      <c r="H245" s="5" t="s">
        <v>135</v>
      </c>
      <c r="I245" s="5"/>
      <c r="J245" s="5"/>
      <c r="K245" s="5">
        <v>232</v>
      </c>
      <c r="L245" s="5">
        <v>15</v>
      </c>
      <c r="M245" s="5">
        <v>3</v>
      </c>
      <c r="N245" s="5" t="s">
        <v>3</v>
      </c>
      <c r="O245" s="5">
        <v>2</v>
      </c>
      <c r="P245" s="5">
        <f>ROUND(Source!EU229,O245)</f>
        <v>0</v>
      </c>
      <c r="Q245" s="5"/>
      <c r="R245" s="5"/>
      <c r="S245" s="5"/>
      <c r="T245" s="5"/>
      <c r="U245" s="5"/>
      <c r="V245" s="5"/>
      <c r="W245" s="5">
        <v>0</v>
      </c>
      <c r="X245" s="5">
        <v>1</v>
      </c>
      <c r="Y245" s="5">
        <v>0</v>
      </c>
      <c r="Z245" s="5">
        <v>0</v>
      </c>
      <c r="AA245" s="5">
        <v>1</v>
      </c>
      <c r="AB245" s="5">
        <v>0</v>
      </c>
    </row>
    <row r="246" spans="1:28" x14ac:dyDescent="0.2">
      <c r="A246" s="5">
        <v>50</v>
      </c>
      <c r="B246" s="5">
        <v>0</v>
      </c>
      <c r="C246" s="5">
        <v>0</v>
      </c>
      <c r="D246" s="5">
        <v>1</v>
      </c>
      <c r="E246" s="5">
        <v>214</v>
      </c>
      <c r="F246" s="5">
        <f>ROUND(Source!AS229,O246)</f>
        <v>35749.839999999997</v>
      </c>
      <c r="G246" s="5" t="s">
        <v>136</v>
      </c>
      <c r="H246" s="5" t="s">
        <v>137</v>
      </c>
      <c r="I246" s="5"/>
      <c r="J246" s="5"/>
      <c r="K246" s="5">
        <v>214</v>
      </c>
      <c r="L246" s="5">
        <v>16</v>
      </c>
      <c r="M246" s="5">
        <v>3</v>
      </c>
      <c r="N246" s="5" t="s">
        <v>3</v>
      </c>
      <c r="O246" s="5">
        <v>2</v>
      </c>
      <c r="P246" s="5">
        <f>ROUND(Source!EK229,O246)</f>
        <v>348203.44</v>
      </c>
      <c r="Q246" s="5"/>
      <c r="R246" s="5"/>
      <c r="S246" s="5"/>
      <c r="T246" s="5"/>
      <c r="U246" s="5"/>
      <c r="V246" s="5"/>
      <c r="W246" s="5">
        <v>35749.839999999997</v>
      </c>
      <c r="X246" s="5">
        <v>1</v>
      </c>
      <c r="Y246" s="5">
        <v>35749.839999999997</v>
      </c>
      <c r="Z246" s="5">
        <v>348203.44</v>
      </c>
      <c r="AA246" s="5">
        <v>1</v>
      </c>
      <c r="AB246" s="5">
        <v>348203.44</v>
      </c>
    </row>
    <row r="247" spans="1:28" x14ac:dyDescent="0.2">
      <c r="A247" s="5">
        <v>50</v>
      </c>
      <c r="B247" s="5">
        <v>0</v>
      </c>
      <c r="C247" s="5">
        <v>0</v>
      </c>
      <c r="D247" s="5">
        <v>1</v>
      </c>
      <c r="E247" s="5">
        <v>215</v>
      </c>
      <c r="F247" s="5">
        <f>ROUND(Source!AT229,O247)</f>
        <v>11061.36</v>
      </c>
      <c r="G247" s="5" t="s">
        <v>138</v>
      </c>
      <c r="H247" s="5" t="s">
        <v>139</v>
      </c>
      <c r="I247" s="5"/>
      <c r="J247" s="5"/>
      <c r="K247" s="5">
        <v>215</v>
      </c>
      <c r="L247" s="5">
        <v>17</v>
      </c>
      <c r="M247" s="5">
        <v>3</v>
      </c>
      <c r="N247" s="5" t="s">
        <v>3</v>
      </c>
      <c r="O247" s="5">
        <v>2</v>
      </c>
      <c r="P247" s="5">
        <f>ROUND(Source!EL229,O247)</f>
        <v>23339.47</v>
      </c>
      <c r="Q247" s="5"/>
      <c r="R247" s="5"/>
      <c r="S247" s="5"/>
      <c r="T247" s="5"/>
      <c r="U247" s="5"/>
      <c r="V247" s="5"/>
      <c r="W247" s="5">
        <v>11061.36</v>
      </c>
      <c r="X247" s="5">
        <v>1</v>
      </c>
      <c r="Y247" s="5">
        <v>11061.36</v>
      </c>
      <c r="Z247" s="5">
        <v>23339.47</v>
      </c>
      <c r="AA247" s="5">
        <v>1</v>
      </c>
      <c r="AB247" s="5">
        <v>23339.47</v>
      </c>
    </row>
    <row r="248" spans="1:28" x14ac:dyDescent="0.2">
      <c r="A248" s="5">
        <v>50</v>
      </c>
      <c r="B248" s="5">
        <v>0</v>
      </c>
      <c r="C248" s="5">
        <v>0</v>
      </c>
      <c r="D248" s="5">
        <v>1</v>
      </c>
      <c r="E248" s="5">
        <v>217</v>
      </c>
      <c r="F248" s="5">
        <f>ROUND(Source!AU229,O248)</f>
        <v>0</v>
      </c>
      <c r="G248" s="5" t="s">
        <v>140</v>
      </c>
      <c r="H248" s="5" t="s">
        <v>141</v>
      </c>
      <c r="I248" s="5"/>
      <c r="J248" s="5"/>
      <c r="K248" s="5">
        <v>217</v>
      </c>
      <c r="L248" s="5">
        <v>18</v>
      </c>
      <c r="M248" s="5">
        <v>3</v>
      </c>
      <c r="N248" s="5" t="s">
        <v>3</v>
      </c>
      <c r="O248" s="5">
        <v>2</v>
      </c>
      <c r="P248" s="5">
        <f>ROUND(Source!EM229,O248)</f>
        <v>0</v>
      </c>
      <c r="Q248" s="5"/>
      <c r="R248" s="5"/>
      <c r="S248" s="5"/>
      <c r="T248" s="5"/>
      <c r="U248" s="5"/>
      <c r="V248" s="5"/>
      <c r="W248" s="5">
        <v>0</v>
      </c>
      <c r="X248" s="5">
        <v>1</v>
      </c>
      <c r="Y248" s="5">
        <v>0</v>
      </c>
      <c r="Z248" s="5">
        <v>0</v>
      </c>
      <c r="AA248" s="5">
        <v>1</v>
      </c>
      <c r="AB248" s="5">
        <v>0</v>
      </c>
    </row>
    <row r="249" spans="1:28" x14ac:dyDescent="0.2">
      <c r="A249" s="5">
        <v>50</v>
      </c>
      <c r="B249" s="5">
        <v>0</v>
      </c>
      <c r="C249" s="5">
        <v>0</v>
      </c>
      <c r="D249" s="5">
        <v>1</v>
      </c>
      <c r="E249" s="5">
        <v>230</v>
      </c>
      <c r="F249" s="5">
        <f>ROUND(Source!BA229,O249)</f>
        <v>0</v>
      </c>
      <c r="G249" s="5" t="s">
        <v>142</v>
      </c>
      <c r="H249" s="5" t="s">
        <v>143</v>
      </c>
      <c r="I249" s="5"/>
      <c r="J249" s="5"/>
      <c r="K249" s="5">
        <v>230</v>
      </c>
      <c r="L249" s="5">
        <v>19</v>
      </c>
      <c r="M249" s="5">
        <v>3</v>
      </c>
      <c r="N249" s="5" t="s">
        <v>3</v>
      </c>
      <c r="O249" s="5">
        <v>2</v>
      </c>
      <c r="P249" s="5">
        <f>ROUND(Source!ES229,O249)</f>
        <v>0</v>
      </c>
      <c r="Q249" s="5"/>
      <c r="R249" s="5"/>
      <c r="S249" s="5"/>
      <c r="T249" s="5"/>
      <c r="U249" s="5"/>
      <c r="V249" s="5"/>
      <c r="W249" s="5">
        <v>0</v>
      </c>
      <c r="X249" s="5">
        <v>1</v>
      </c>
      <c r="Y249" s="5">
        <v>0</v>
      </c>
      <c r="Z249" s="5">
        <v>0</v>
      </c>
      <c r="AA249" s="5">
        <v>1</v>
      </c>
      <c r="AB249" s="5">
        <v>0</v>
      </c>
    </row>
    <row r="250" spans="1:28" x14ac:dyDescent="0.2">
      <c r="A250" s="5">
        <v>50</v>
      </c>
      <c r="B250" s="5">
        <v>0</v>
      </c>
      <c r="C250" s="5">
        <v>0</v>
      </c>
      <c r="D250" s="5">
        <v>1</v>
      </c>
      <c r="E250" s="5">
        <v>206</v>
      </c>
      <c r="F250" s="5">
        <f>ROUND(Source!T229,O250)</f>
        <v>0</v>
      </c>
      <c r="G250" s="5" t="s">
        <v>144</v>
      </c>
      <c r="H250" s="5" t="s">
        <v>145</v>
      </c>
      <c r="I250" s="5"/>
      <c r="J250" s="5"/>
      <c r="K250" s="5">
        <v>206</v>
      </c>
      <c r="L250" s="5">
        <v>20</v>
      </c>
      <c r="M250" s="5">
        <v>3</v>
      </c>
      <c r="N250" s="5" t="s">
        <v>3</v>
      </c>
      <c r="O250" s="5">
        <v>2</v>
      </c>
      <c r="P250" s="5">
        <f>ROUND(Source!DL229,O250)</f>
        <v>0</v>
      </c>
      <c r="Q250" s="5"/>
      <c r="R250" s="5"/>
      <c r="S250" s="5"/>
      <c r="T250" s="5"/>
      <c r="U250" s="5"/>
      <c r="V250" s="5"/>
      <c r="W250" s="5">
        <v>0</v>
      </c>
      <c r="X250" s="5">
        <v>1</v>
      </c>
      <c r="Y250" s="5">
        <v>0</v>
      </c>
      <c r="Z250" s="5">
        <v>0</v>
      </c>
      <c r="AA250" s="5">
        <v>1</v>
      </c>
      <c r="AB250" s="5">
        <v>0</v>
      </c>
    </row>
    <row r="251" spans="1:28" x14ac:dyDescent="0.2">
      <c r="A251" s="5">
        <v>50</v>
      </c>
      <c r="B251" s="5">
        <v>0</v>
      </c>
      <c r="C251" s="5">
        <v>0</v>
      </c>
      <c r="D251" s="5">
        <v>1</v>
      </c>
      <c r="E251" s="5">
        <v>207</v>
      </c>
      <c r="F251" s="5">
        <f>Source!U229</f>
        <v>0</v>
      </c>
      <c r="G251" s="5" t="s">
        <v>146</v>
      </c>
      <c r="H251" s="5" t="s">
        <v>147</v>
      </c>
      <c r="I251" s="5"/>
      <c r="J251" s="5"/>
      <c r="K251" s="5">
        <v>207</v>
      </c>
      <c r="L251" s="5">
        <v>21</v>
      </c>
      <c r="M251" s="5">
        <v>3</v>
      </c>
      <c r="N251" s="5" t="s">
        <v>3</v>
      </c>
      <c r="O251" s="5">
        <v>-1</v>
      </c>
      <c r="P251" s="5">
        <f>Source!DM229</f>
        <v>0</v>
      </c>
      <c r="Q251" s="5"/>
      <c r="R251" s="5"/>
      <c r="S251" s="5"/>
      <c r="T251" s="5"/>
      <c r="U251" s="5"/>
      <c r="V251" s="5"/>
      <c r="W251" s="5">
        <v>0</v>
      </c>
      <c r="X251" s="5">
        <v>1</v>
      </c>
      <c r="Y251" s="5">
        <v>0</v>
      </c>
      <c r="Z251" s="5">
        <v>0</v>
      </c>
      <c r="AA251" s="5">
        <v>1</v>
      </c>
      <c r="AB251" s="5">
        <v>0</v>
      </c>
    </row>
    <row r="252" spans="1:28" x14ac:dyDescent="0.2">
      <c r="A252" s="5">
        <v>50</v>
      </c>
      <c r="B252" s="5">
        <v>0</v>
      </c>
      <c r="C252" s="5">
        <v>0</v>
      </c>
      <c r="D252" s="5">
        <v>1</v>
      </c>
      <c r="E252" s="5">
        <v>208</v>
      </c>
      <c r="F252" s="5">
        <f>Source!V229</f>
        <v>0</v>
      </c>
      <c r="G252" s="5" t="s">
        <v>148</v>
      </c>
      <c r="H252" s="5" t="s">
        <v>149</v>
      </c>
      <c r="I252" s="5"/>
      <c r="J252" s="5"/>
      <c r="K252" s="5">
        <v>208</v>
      </c>
      <c r="L252" s="5">
        <v>22</v>
      </c>
      <c r="M252" s="5">
        <v>3</v>
      </c>
      <c r="N252" s="5" t="s">
        <v>3</v>
      </c>
      <c r="O252" s="5">
        <v>-1</v>
      </c>
      <c r="P252" s="5">
        <f>Source!DN229</f>
        <v>0</v>
      </c>
      <c r="Q252" s="5"/>
      <c r="R252" s="5"/>
      <c r="S252" s="5"/>
      <c r="T252" s="5"/>
      <c r="U252" s="5"/>
      <c r="V252" s="5"/>
      <c r="W252" s="5">
        <v>0</v>
      </c>
      <c r="X252" s="5">
        <v>1</v>
      </c>
      <c r="Y252" s="5">
        <v>0</v>
      </c>
      <c r="Z252" s="5">
        <v>0</v>
      </c>
      <c r="AA252" s="5">
        <v>1</v>
      </c>
      <c r="AB252" s="5">
        <v>0</v>
      </c>
    </row>
    <row r="253" spans="1:28" x14ac:dyDescent="0.2">
      <c r="A253" s="5">
        <v>50</v>
      </c>
      <c r="B253" s="5">
        <v>0</v>
      </c>
      <c r="C253" s="5">
        <v>0</v>
      </c>
      <c r="D253" s="5">
        <v>1</v>
      </c>
      <c r="E253" s="5">
        <v>209</v>
      </c>
      <c r="F253" s="5">
        <f>ROUND(Source!W229,O253)</f>
        <v>0</v>
      </c>
      <c r="G253" s="5" t="s">
        <v>150</v>
      </c>
      <c r="H253" s="5" t="s">
        <v>151</v>
      </c>
      <c r="I253" s="5"/>
      <c r="J253" s="5"/>
      <c r="K253" s="5">
        <v>209</v>
      </c>
      <c r="L253" s="5">
        <v>23</v>
      </c>
      <c r="M253" s="5">
        <v>3</v>
      </c>
      <c r="N253" s="5" t="s">
        <v>3</v>
      </c>
      <c r="O253" s="5">
        <v>2</v>
      </c>
      <c r="P253" s="5">
        <f>ROUND(Source!DO229,O253)</f>
        <v>0</v>
      </c>
      <c r="Q253" s="5"/>
      <c r="R253" s="5"/>
      <c r="S253" s="5"/>
      <c r="T253" s="5"/>
      <c r="U253" s="5"/>
      <c r="V253" s="5"/>
      <c r="W253" s="5">
        <v>0</v>
      </c>
      <c r="X253" s="5">
        <v>1</v>
      </c>
      <c r="Y253" s="5">
        <v>0</v>
      </c>
      <c r="Z253" s="5">
        <v>0</v>
      </c>
      <c r="AA253" s="5">
        <v>1</v>
      </c>
      <c r="AB253" s="5">
        <v>0</v>
      </c>
    </row>
    <row r="254" spans="1:28" x14ac:dyDescent="0.2">
      <c r="A254" s="5">
        <v>50</v>
      </c>
      <c r="B254" s="5">
        <v>0</v>
      </c>
      <c r="C254" s="5">
        <v>0</v>
      </c>
      <c r="D254" s="5">
        <v>1</v>
      </c>
      <c r="E254" s="5">
        <v>233</v>
      </c>
      <c r="F254" s="5">
        <f>ROUND(Source!BD229,O254)</f>
        <v>0</v>
      </c>
      <c r="G254" s="5" t="s">
        <v>152</v>
      </c>
      <c r="H254" s="5" t="s">
        <v>153</v>
      </c>
      <c r="I254" s="5"/>
      <c r="J254" s="5"/>
      <c r="K254" s="5">
        <v>233</v>
      </c>
      <c r="L254" s="5">
        <v>24</v>
      </c>
      <c r="M254" s="5">
        <v>3</v>
      </c>
      <c r="N254" s="5" t="s">
        <v>3</v>
      </c>
      <c r="O254" s="5">
        <v>2</v>
      </c>
      <c r="P254" s="5">
        <f>ROUND(Source!EV229,O254)</f>
        <v>0</v>
      </c>
      <c r="Q254" s="5"/>
      <c r="R254" s="5"/>
      <c r="S254" s="5"/>
      <c r="T254" s="5"/>
      <c r="U254" s="5"/>
      <c r="V254" s="5"/>
      <c r="W254" s="5">
        <v>0</v>
      </c>
      <c r="X254" s="5">
        <v>1</v>
      </c>
      <c r="Y254" s="5">
        <v>0</v>
      </c>
      <c r="Z254" s="5">
        <v>0</v>
      </c>
      <c r="AA254" s="5">
        <v>1</v>
      </c>
      <c r="AB254" s="5">
        <v>0</v>
      </c>
    </row>
    <row r="255" spans="1:28" x14ac:dyDescent="0.2">
      <c r="A255" s="5">
        <v>50</v>
      </c>
      <c r="B255" s="5">
        <v>0</v>
      </c>
      <c r="C255" s="5">
        <v>0</v>
      </c>
      <c r="D255" s="5">
        <v>1</v>
      </c>
      <c r="E255" s="5">
        <v>210</v>
      </c>
      <c r="F255" s="5">
        <f>ROUND(Source!X229,O255)</f>
        <v>0</v>
      </c>
      <c r="G255" s="5" t="s">
        <v>154</v>
      </c>
      <c r="H255" s="5" t="s">
        <v>155</v>
      </c>
      <c r="I255" s="5"/>
      <c r="J255" s="5"/>
      <c r="K255" s="5">
        <v>210</v>
      </c>
      <c r="L255" s="5">
        <v>25</v>
      </c>
      <c r="M255" s="5">
        <v>3</v>
      </c>
      <c r="N255" s="5" t="s">
        <v>3</v>
      </c>
      <c r="O255" s="5">
        <v>2</v>
      </c>
      <c r="P255" s="5">
        <f>ROUND(Source!DP229,O255)</f>
        <v>0</v>
      </c>
      <c r="Q255" s="5"/>
      <c r="R255" s="5"/>
      <c r="S255" s="5"/>
      <c r="T255" s="5"/>
      <c r="U255" s="5"/>
      <c r="V255" s="5"/>
      <c r="W255" s="5">
        <v>0</v>
      </c>
      <c r="X255" s="5">
        <v>1</v>
      </c>
      <c r="Y255" s="5">
        <v>0</v>
      </c>
      <c r="Z255" s="5">
        <v>0</v>
      </c>
      <c r="AA255" s="5">
        <v>1</v>
      </c>
      <c r="AB255" s="5">
        <v>0</v>
      </c>
    </row>
    <row r="256" spans="1:28" x14ac:dyDescent="0.2">
      <c r="A256" s="5">
        <v>50</v>
      </c>
      <c r="B256" s="5">
        <v>0</v>
      </c>
      <c r="C256" s="5">
        <v>0</v>
      </c>
      <c r="D256" s="5">
        <v>1</v>
      </c>
      <c r="E256" s="5">
        <v>211</v>
      </c>
      <c r="F256" s="5">
        <f>ROUND(Source!Y229,O256)</f>
        <v>0</v>
      </c>
      <c r="G256" s="5" t="s">
        <v>156</v>
      </c>
      <c r="H256" s="5" t="s">
        <v>157</v>
      </c>
      <c r="I256" s="5"/>
      <c r="J256" s="5"/>
      <c r="K256" s="5">
        <v>211</v>
      </c>
      <c r="L256" s="5">
        <v>26</v>
      </c>
      <c r="M256" s="5">
        <v>3</v>
      </c>
      <c r="N256" s="5" t="s">
        <v>3</v>
      </c>
      <c r="O256" s="5">
        <v>2</v>
      </c>
      <c r="P256" s="5">
        <f>ROUND(Source!DQ229,O256)</f>
        <v>0</v>
      </c>
      <c r="Q256" s="5"/>
      <c r="R256" s="5"/>
      <c r="S256" s="5"/>
      <c r="T256" s="5"/>
      <c r="U256" s="5"/>
      <c r="V256" s="5"/>
      <c r="W256" s="5">
        <v>0</v>
      </c>
      <c r="X256" s="5">
        <v>1</v>
      </c>
      <c r="Y256" s="5">
        <v>0</v>
      </c>
      <c r="Z256" s="5">
        <v>0</v>
      </c>
      <c r="AA256" s="5">
        <v>1</v>
      </c>
      <c r="AB256" s="5">
        <v>0</v>
      </c>
    </row>
    <row r="257" spans="1:255" x14ac:dyDescent="0.2">
      <c r="A257" s="5">
        <v>50</v>
      </c>
      <c r="B257" s="5">
        <v>0</v>
      </c>
      <c r="C257" s="5">
        <v>0</v>
      </c>
      <c r="D257" s="5">
        <v>1</v>
      </c>
      <c r="E257" s="5">
        <v>224</v>
      </c>
      <c r="F257" s="5">
        <f>ROUND(Source!AR229,O257)</f>
        <v>46811.199999999997</v>
      </c>
      <c r="G257" s="5" t="s">
        <v>158</v>
      </c>
      <c r="H257" s="5" t="s">
        <v>159</v>
      </c>
      <c r="I257" s="5"/>
      <c r="J257" s="5"/>
      <c r="K257" s="5">
        <v>224</v>
      </c>
      <c r="L257" s="5">
        <v>27</v>
      </c>
      <c r="M257" s="5">
        <v>3</v>
      </c>
      <c r="N257" s="5" t="s">
        <v>3</v>
      </c>
      <c r="O257" s="5">
        <v>2</v>
      </c>
      <c r="P257" s="5">
        <f>ROUND(Source!EJ229,O257)</f>
        <v>371542.91</v>
      </c>
      <c r="Q257" s="5"/>
      <c r="R257" s="5"/>
      <c r="S257" s="5"/>
      <c r="T257" s="5"/>
      <c r="U257" s="5"/>
      <c r="V257" s="5"/>
      <c r="W257" s="5">
        <v>46811.199999999997</v>
      </c>
      <c r="X257" s="5">
        <v>1</v>
      </c>
      <c r="Y257" s="5">
        <v>46811.199999999997</v>
      </c>
      <c r="Z257" s="5">
        <v>371542.91</v>
      </c>
      <c r="AA257" s="5">
        <v>1</v>
      </c>
      <c r="AB257" s="5">
        <v>371542.91</v>
      </c>
    </row>
    <row r="259" spans="1:255" x14ac:dyDescent="0.2">
      <c r="A259" s="1">
        <v>4</v>
      </c>
      <c r="B259" s="1">
        <v>1</v>
      </c>
      <c r="C259" s="1"/>
      <c r="D259" s="1">
        <f>ROW(A393)</f>
        <v>393</v>
      </c>
      <c r="E259" s="1"/>
      <c r="F259" s="1" t="s">
        <v>15</v>
      </c>
      <c r="G259" s="1" t="s">
        <v>311</v>
      </c>
      <c r="H259" s="1" t="s">
        <v>3</v>
      </c>
      <c r="I259" s="1">
        <v>0</v>
      </c>
      <c r="J259" s="1"/>
      <c r="K259" s="1">
        <v>0</v>
      </c>
      <c r="L259" s="1"/>
      <c r="M259" s="1" t="s">
        <v>3</v>
      </c>
      <c r="N259" s="1"/>
      <c r="O259" s="1"/>
      <c r="P259" s="1"/>
      <c r="Q259" s="1"/>
      <c r="R259" s="1"/>
      <c r="S259" s="1">
        <v>0</v>
      </c>
      <c r="T259" s="1">
        <v>0</v>
      </c>
      <c r="U259" s="1" t="s">
        <v>3</v>
      </c>
      <c r="V259" s="1">
        <v>0</v>
      </c>
      <c r="W259" s="1"/>
      <c r="X259" s="1"/>
      <c r="Y259" s="1"/>
      <c r="Z259" s="1"/>
      <c r="AA259" s="1"/>
      <c r="AB259" s="1" t="s">
        <v>3</v>
      </c>
      <c r="AC259" s="1" t="s">
        <v>3</v>
      </c>
      <c r="AD259" s="1" t="s">
        <v>3</v>
      </c>
      <c r="AE259" s="1" t="s">
        <v>3</v>
      </c>
      <c r="AF259" s="1" t="s">
        <v>3</v>
      </c>
      <c r="AG259" s="1" t="s">
        <v>3</v>
      </c>
      <c r="AH259" s="1"/>
      <c r="AI259" s="1"/>
      <c r="AJ259" s="1"/>
      <c r="AK259" s="1"/>
      <c r="AL259" s="1"/>
      <c r="AM259" s="1"/>
      <c r="AN259" s="1"/>
      <c r="AO259" s="1"/>
      <c r="AP259" s="1" t="s">
        <v>3</v>
      </c>
      <c r="AQ259" s="1" t="s">
        <v>3</v>
      </c>
      <c r="AR259" s="1" t="s">
        <v>3</v>
      </c>
      <c r="AS259" s="1"/>
      <c r="AT259" s="1"/>
      <c r="AU259" s="1"/>
      <c r="AV259" s="1"/>
      <c r="AW259" s="1"/>
      <c r="AX259" s="1"/>
      <c r="AY259" s="1"/>
      <c r="AZ259" s="1" t="s">
        <v>3</v>
      </c>
      <c r="BA259" s="1"/>
      <c r="BB259" s="1" t="s">
        <v>3</v>
      </c>
      <c r="BC259" s="1" t="s">
        <v>3</v>
      </c>
      <c r="BD259" s="1" t="s">
        <v>3</v>
      </c>
      <c r="BE259" s="1" t="s">
        <v>3</v>
      </c>
      <c r="BF259" s="1" t="s">
        <v>3</v>
      </c>
      <c r="BG259" s="1" t="s">
        <v>3</v>
      </c>
      <c r="BH259" s="1" t="s">
        <v>3</v>
      </c>
      <c r="BI259" s="1" t="s">
        <v>3</v>
      </c>
      <c r="BJ259" s="1" t="s">
        <v>3</v>
      </c>
      <c r="BK259" s="1" t="s">
        <v>3</v>
      </c>
      <c r="BL259" s="1" t="s">
        <v>3</v>
      </c>
      <c r="BM259" s="1" t="s">
        <v>3</v>
      </c>
      <c r="BN259" s="1" t="s">
        <v>3</v>
      </c>
      <c r="BO259" s="1" t="s">
        <v>3</v>
      </c>
      <c r="BP259" s="1" t="s">
        <v>3</v>
      </c>
      <c r="BQ259" s="1"/>
      <c r="BR259" s="1"/>
      <c r="BS259" s="1"/>
      <c r="BT259" s="1"/>
      <c r="BU259" s="1"/>
      <c r="BV259" s="1"/>
      <c r="BW259" s="1"/>
      <c r="BX259" s="1">
        <v>0</v>
      </c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>
        <v>0</v>
      </c>
    </row>
    <row r="261" spans="1:255" x14ac:dyDescent="0.2">
      <c r="A261" s="3">
        <v>52</v>
      </c>
      <c r="B261" s="3">
        <f t="shared" ref="B261:G261" si="240">B393</f>
        <v>1</v>
      </c>
      <c r="C261" s="3">
        <f t="shared" si="240"/>
        <v>4</v>
      </c>
      <c r="D261" s="3">
        <f t="shared" si="240"/>
        <v>259</v>
      </c>
      <c r="E261" s="3">
        <f t="shared" si="240"/>
        <v>0</v>
      </c>
      <c r="F261" s="3" t="str">
        <f t="shared" si="240"/>
        <v>Новый раздел</v>
      </c>
      <c r="G261" s="3" t="str">
        <f t="shared" si="240"/>
        <v>Благоустройство</v>
      </c>
      <c r="H261" s="3"/>
      <c r="I261" s="3"/>
      <c r="J261" s="3"/>
      <c r="K261" s="3"/>
      <c r="L261" s="3"/>
      <c r="M261" s="3"/>
      <c r="N261" s="3"/>
      <c r="O261" s="3">
        <f t="shared" ref="O261:AT261" si="241">O393</f>
        <v>0</v>
      </c>
      <c r="P261" s="3">
        <f t="shared" si="241"/>
        <v>0</v>
      </c>
      <c r="Q261" s="3">
        <f t="shared" si="241"/>
        <v>0</v>
      </c>
      <c r="R261" s="3">
        <f t="shared" si="241"/>
        <v>0</v>
      </c>
      <c r="S261" s="3">
        <f t="shared" si="241"/>
        <v>0</v>
      </c>
      <c r="T261" s="3">
        <f t="shared" si="241"/>
        <v>0</v>
      </c>
      <c r="U261" s="3">
        <f t="shared" si="241"/>
        <v>0</v>
      </c>
      <c r="V261" s="3">
        <f t="shared" si="241"/>
        <v>0</v>
      </c>
      <c r="W261" s="3">
        <f t="shared" si="241"/>
        <v>0</v>
      </c>
      <c r="X261" s="3">
        <f t="shared" si="241"/>
        <v>0</v>
      </c>
      <c r="Y261" s="3">
        <f t="shared" si="241"/>
        <v>0</v>
      </c>
      <c r="Z261" s="3">
        <f t="shared" si="241"/>
        <v>0</v>
      </c>
      <c r="AA261" s="3">
        <f t="shared" si="241"/>
        <v>0</v>
      </c>
      <c r="AB261" s="3">
        <f t="shared" si="241"/>
        <v>0</v>
      </c>
      <c r="AC261" s="3">
        <f t="shared" si="241"/>
        <v>0</v>
      </c>
      <c r="AD261" s="3">
        <f t="shared" si="241"/>
        <v>0</v>
      </c>
      <c r="AE261" s="3">
        <f t="shared" si="241"/>
        <v>0</v>
      </c>
      <c r="AF261" s="3">
        <f t="shared" si="241"/>
        <v>0</v>
      </c>
      <c r="AG261" s="3">
        <f t="shared" si="241"/>
        <v>0</v>
      </c>
      <c r="AH261" s="3">
        <f t="shared" si="241"/>
        <v>0</v>
      </c>
      <c r="AI261" s="3">
        <f t="shared" si="241"/>
        <v>0</v>
      </c>
      <c r="AJ261" s="3">
        <f t="shared" si="241"/>
        <v>0</v>
      </c>
      <c r="AK261" s="3">
        <f t="shared" si="241"/>
        <v>0</v>
      </c>
      <c r="AL261" s="3">
        <f t="shared" si="241"/>
        <v>0</v>
      </c>
      <c r="AM261" s="3">
        <f t="shared" si="241"/>
        <v>0</v>
      </c>
      <c r="AN261" s="3">
        <f t="shared" si="241"/>
        <v>0</v>
      </c>
      <c r="AO261" s="3">
        <f t="shared" si="241"/>
        <v>0</v>
      </c>
      <c r="AP261" s="3">
        <f t="shared" si="241"/>
        <v>0</v>
      </c>
      <c r="AQ261" s="3">
        <f t="shared" si="241"/>
        <v>0</v>
      </c>
      <c r="AR261" s="3">
        <f t="shared" si="241"/>
        <v>0</v>
      </c>
      <c r="AS261" s="3">
        <f t="shared" si="241"/>
        <v>0</v>
      </c>
      <c r="AT261" s="3">
        <f t="shared" si="241"/>
        <v>0</v>
      </c>
      <c r="AU261" s="3">
        <f t="shared" ref="AU261:BZ261" si="242">AU393</f>
        <v>0</v>
      </c>
      <c r="AV261" s="3">
        <f t="shared" si="242"/>
        <v>0</v>
      </c>
      <c r="AW261" s="3">
        <f t="shared" si="242"/>
        <v>0</v>
      </c>
      <c r="AX261" s="3">
        <f t="shared" si="242"/>
        <v>0</v>
      </c>
      <c r="AY261" s="3">
        <f t="shared" si="242"/>
        <v>0</v>
      </c>
      <c r="AZ261" s="3">
        <f t="shared" si="242"/>
        <v>0</v>
      </c>
      <c r="BA261" s="3">
        <f t="shared" si="242"/>
        <v>0</v>
      </c>
      <c r="BB261" s="3">
        <f t="shared" si="242"/>
        <v>0</v>
      </c>
      <c r="BC261" s="3">
        <f t="shared" si="242"/>
        <v>0</v>
      </c>
      <c r="BD261" s="3">
        <f t="shared" si="242"/>
        <v>0</v>
      </c>
      <c r="BE261" s="3">
        <f t="shared" si="242"/>
        <v>0</v>
      </c>
      <c r="BF261" s="3">
        <f t="shared" si="242"/>
        <v>0</v>
      </c>
      <c r="BG261" s="3">
        <f t="shared" si="242"/>
        <v>0</v>
      </c>
      <c r="BH261" s="3">
        <f t="shared" si="242"/>
        <v>0</v>
      </c>
      <c r="BI261" s="3">
        <f t="shared" si="242"/>
        <v>0</v>
      </c>
      <c r="BJ261" s="3">
        <f t="shared" si="242"/>
        <v>0</v>
      </c>
      <c r="BK261" s="3">
        <f t="shared" si="242"/>
        <v>0</v>
      </c>
      <c r="BL261" s="3">
        <f t="shared" si="242"/>
        <v>0</v>
      </c>
      <c r="BM261" s="3">
        <f t="shared" si="242"/>
        <v>0</v>
      </c>
      <c r="BN261" s="3">
        <f t="shared" si="242"/>
        <v>0</v>
      </c>
      <c r="BO261" s="3">
        <f t="shared" si="242"/>
        <v>0</v>
      </c>
      <c r="BP261" s="3">
        <f t="shared" si="242"/>
        <v>0</v>
      </c>
      <c r="BQ261" s="3">
        <f t="shared" si="242"/>
        <v>0</v>
      </c>
      <c r="BR261" s="3">
        <f t="shared" si="242"/>
        <v>0</v>
      </c>
      <c r="BS261" s="3">
        <f t="shared" si="242"/>
        <v>0</v>
      </c>
      <c r="BT261" s="3">
        <f t="shared" si="242"/>
        <v>0</v>
      </c>
      <c r="BU261" s="3">
        <f t="shared" si="242"/>
        <v>0</v>
      </c>
      <c r="BV261" s="3">
        <f t="shared" si="242"/>
        <v>0</v>
      </c>
      <c r="BW261" s="3">
        <f t="shared" si="242"/>
        <v>0</v>
      </c>
      <c r="BX261" s="3">
        <f t="shared" si="242"/>
        <v>0</v>
      </c>
      <c r="BY261" s="3">
        <f t="shared" si="242"/>
        <v>0</v>
      </c>
      <c r="BZ261" s="3">
        <f t="shared" si="242"/>
        <v>0</v>
      </c>
      <c r="CA261" s="3">
        <f t="shared" ref="CA261:DF261" si="243">CA393</f>
        <v>0</v>
      </c>
      <c r="CB261" s="3">
        <f t="shared" si="243"/>
        <v>0</v>
      </c>
      <c r="CC261" s="3">
        <f t="shared" si="243"/>
        <v>0</v>
      </c>
      <c r="CD261" s="3">
        <f t="shared" si="243"/>
        <v>0</v>
      </c>
      <c r="CE261" s="3">
        <f t="shared" si="243"/>
        <v>0</v>
      </c>
      <c r="CF261" s="3">
        <f t="shared" si="243"/>
        <v>0</v>
      </c>
      <c r="CG261" s="3">
        <f t="shared" si="243"/>
        <v>0</v>
      </c>
      <c r="CH261" s="3">
        <f t="shared" si="243"/>
        <v>0</v>
      </c>
      <c r="CI261" s="3">
        <f t="shared" si="243"/>
        <v>0</v>
      </c>
      <c r="CJ261" s="3">
        <f t="shared" si="243"/>
        <v>0</v>
      </c>
      <c r="CK261" s="3">
        <f t="shared" si="243"/>
        <v>0</v>
      </c>
      <c r="CL261" s="3">
        <f t="shared" si="243"/>
        <v>0</v>
      </c>
      <c r="CM261" s="3">
        <f t="shared" si="243"/>
        <v>0</v>
      </c>
      <c r="CN261" s="3">
        <f t="shared" si="243"/>
        <v>0</v>
      </c>
      <c r="CO261" s="3">
        <f t="shared" si="243"/>
        <v>0</v>
      </c>
      <c r="CP261" s="3">
        <f t="shared" si="243"/>
        <v>0</v>
      </c>
      <c r="CQ261" s="3">
        <f t="shared" si="243"/>
        <v>0</v>
      </c>
      <c r="CR261" s="3">
        <f t="shared" si="243"/>
        <v>0</v>
      </c>
      <c r="CS261" s="3">
        <f t="shared" si="243"/>
        <v>0</v>
      </c>
      <c r="CT261" s="3">
        <f t="shared" si="243"/>
        <v>0</v>
      </c>
      <c r="CU261" s="3">
        <f t="shared" si="243"/>
        <v>0</v>
      </c>
      <c r="CV261" s="3">
        <f t="shared" si="243"/>
        <v>0</v>
      </c>
      <c r="CW261" s="3">
        <f t="shared" si="243"/>
        <v>0</v>
      </c>
      <c r="CX261" s="3">
        <f t="shared" si="243"/>
        <v>0</v>
      </c>
      <c r="CY261" s="3">
        <f t="shared" si="243"/>
        <v>0</v>
      </c>
      <c r="CZ261" s="3">
        <f t="shared" si="243"/>
        <v>0</v>
      </c>
      <c r="DA261" s="3">
        <f t="shared" si="243"/>
        <v>0</v>
      </c>
      <c r="DB261" s="3">
        <f t="shared" si="243"/>
        <v>0</v>
      </c>
      <c r="DC261" s="3">
        <f t="shared" si="243"/>
        <v>0</v>
      </c>
      <c r="DD261" s="3">
        <f t="shared" si="243"/>
        <v>0</v>
      </c>
      <c r="DE261" s="3">
        <f t="shared" si="243"/>
        <v>0</v>
      </c>
      <c r="DF261" s="3">
        <f t="shared" si="243"/>
        <v>0</v>
      </c>
      <c r="DG261" s="4">
        <f t="shared" ref="DG261:EL261" si="244">DG393</f>
        <v>0</v>
      </c>
      <c r="DH261" s="4">
        <f t="shared" si="244"/>
        <v>0</v>
      </c>
      <c r="DI261" s="4">
        <f t="shared" si="244"/>
        <v>0</v>
      </c>
      <c r="DJ261" s="4">
        <f t="shared" si="244"/>
        <v>0</v>
      </c>
      <c r="DK261" s="4">
        <f t="shared" si="244"/>
        <v>0</v>
      </c>
      <c r="DL261" s="4">
        <f t="shared" si="244"/>
        <v>0</v>
      </c>
      <c r="DM261" s="4">
        <f t="shared" si="244"/>
        <v>0</v>
      </c>
      <c r="DN261" s="4">
        <f t="shared" si="244"/>
        <v>0</v>
      </c>
      <c r="DO261" s="4">
        <f t="shared" si="244"/>
        <v>0</v>
      </c>
      <c r="DP261" s="4">
        <f t="shared" si="244"/>
        <v>0</v>
      </c>
      <c r="DQ261" s="4">
        <f t="shared" si="244"/>
        <v>0</v>
      </c>
      <c r="DR261" s="4">
        <f t="shared" si="244"/>
        <v>0</v>
      </c>
      <c r="DS261" s="4">
        <f t="shared" si="244"/>
        <v>0</v>
      </c>
      <c r="DT261" s="4">
        <f t="shared" si="244"/>
        <v>0</v>
      </c>
      <c r="DU261" s="4">
        <f t="shared" si="244"/>
        <v>0</v>
      </c>
      <c r="DV261" s="4">
        <f t="shared" si="244"/>
        <v>0</v>
      </c>
      <c r="DW261" s="4">
        <f t="shared" si="244"/>
        <v>0</v>
      </c>
      <c r="DX261" s="4">
        <f t="shared" si="244"/>
        <v>0</v>
      </c>
      <c r="DY261" s="4">
        <f t="shared" si="244"/>
        <v>0</v>
      </c>
      <c r="DZ261" s="4">
        <f t="shared" si="244"/>
        <v>0</v>
      </c>
      <c r="EA261" s="4">
        <f t="shared" si="244"/>
        <v>0</v>
      </c>
      <c r="EB261" s="4">
        <f t="shared" si="244"/>
        <v>0</v>
      </c>
      <c r="EC261" s="4">
        <f t="shared" si="244"/>
        <v>0</v>
      </c>
      <c r="ED261" s="4">
        <f t="shared" si="244"/>
        <v>0</v>
      </c>
      <c r="EE261" s="4">
        <f t="shared" si="244"/>
        <v>0</v>
      </c>
      <c r="EF261" s="4">
        <f t="shared" si="244"/>
        <v>0</v>
      </c>
      <c r="EG261" s="4">
        <f t="shared" si="244"/>
        <v>0</v>
      </c>
      <c r="EH261" s="4">
        <f t="shared" si="244"/>
        <v>0</v>
      </c>
      <c r="EI261" s="4">
        <f t="shared" si="244"/>
        <v>0</v>
      </c>
      <c r="EJ261" s="4">
        <f t="shared" si="244"/>
        <v>0</v>
      </c>
      <c r="EK261" s="4">
        <f t="shared" si="244"/>
        <v>0</v>
      </c>
      <c r="EL261" s="4">
        <f t="shared" si="244"/>
        <v>0</v>
      </c>
      <c r="EM261" s="4">
        <f t="shared" ref="EM261:FR261" si="245">EM393</f>
        <v>0</v>
      </c>
      <c r="EN261" s="4">
        <f t="shared" si="245"/>
        <v>0</v>
      </c>
      <c r="EO261" s="4">
        <f t="shared" si="245"/>
        <v>0</v>
      </c>
      <c r="EP261" s="4">
        <f t="shared" si="245"/>
        <v>0</v>
      </c>
      <c r="EQ261" s="4">
        <f t="shared" si="245"/>
        <v>0</v>
      </c>
      <c r="ER261" s="4">
        <f t="shared" si="245"/>
        <v>0</v>
      </c>
      <c r="ES261" s="4">
        <f t="shared" si="245"/>
        <v>0</v>
      </c>
      <c r="ET261" s="4">
        <f t="shared" si="245"/>
        <v>0</v>
      </c>
      <c r="EU261" s="4">
        <f t="shared" si="245"/>
        <v>0</v>
      </c>
      <c r="EV261" s="4">
        <f t="shared" si="245"/>
        <v>0</v>
      </c>
      <c r="EW261" s="4">
        <f t="shared" si="245"/>
        <v>0</v>
      </c>
      <c r="EX261" s="4">
        <f t="shared" si="245"/>
        <v>0</v>
      </c>
      <c r="EY261" s="4">
        <f t="shared" si="245"/>
        <v>0</v>
      </c>
      <c r="EZ261" s="4">
        <f t="shared" si="245"/>
        <v>0</v>
      </c>
      <c r="FA261" s="4">
        <f t="shared" si="245"/>
        <v>0</v>
      </c>
      <c r="FB261" s="4">
        <f t="shared" si="245"/>
        <v>0</v>
      </c>
      <c r="FC261" s="4">
        <f t="shared" si="245"/>
        <v>0</v>
      </c>
      <c r="FD261" s="4">
        <f t="shared" si="245"/>
        <v>0</v>
      </c>
      <c r="FE261" s="4">
        <f t="shared" si="245"/>
        <v>0</v>
      </c>
      <c r="FF261" s="4">
        <f t="shared" si="245"/>
        <v>0</v>
      </c>
      <c r="FG261" s="4">
        <f t="shared" si="245"/>
        <v>0</v>
      </c>
      <c r="FH261" s="4">
        <f t="shared" si="245"/>
        <v>0</v>
      </c>
      <c r="FI261" s="4">
        <f t="shared" si="245"/>
        <v>0</v>
      </c>
      <c r="FJ261" s="4">
        <f t="shared" si="245"/>
        <v>0</v>
      </c>
      <c r="FK261" s="4">
        <f t="shared" si="245"/>
        <v>0</v>
      </c>
      <c r="FL261" s="4">
        <f t="shared" si="245"/>
        <v>0</v>
      </c>
      <c r="FM261" s="4">
        <f t="shared" si="245"/>
        <v>0</v>
      </c>
      <c r="FN261" s="4">
        <f t="shared" si="245"/>
        <v>0</v>
      </c>
      <c r="FO261" s="4">
        <f t="shared" si="245"/>
        <v>0</v>
      </c>
      <c r="FP261" s="4">
        <f t="shared" si="245"/>
        <v>0</v>
      </c>
      <c r="FQ261" s="4">
        <f t="shared" si="245"/>
        <v>0</v>
      </c>
      <c r="FR261" s="4">
        <f t="shared" si="245"/>
        <v>0</v>
      </c>
      <c r="FS261" s="4">
        <f t="shared" ref="FS261:GX261" si="246">FS393</f>
        <v>0</v>
      </c>
      <c r="FT261" s="4">
        <f t="shared" si="246"/>
        <v>0</v>
      </c>
      <c r="FU261" s="4">
        <f t="shared" si="246"/>
        <v>0</v>
      </c>
      <c r="FV261" s="4">
        <f t="shared" si="246"/>
        <v>0</v>
      </c>
      <c r="FW261" s="4">
        <f t="shared" si="246"/>
        <v>0</v>
      </c>
      <c r="FX261" s="4">
        <f t="shared" si="246"/>
        <v>0</v>
      </c>
      <c r="FY261" s="4">
        <f t="shared" si="246"/>
        <v>0</v>
      </c>
      <c r="FZ261" s="4">
        <f t="shared" si="246"/>
        <v>0</v>
      </c>
      <c r="GA261" s="4">
        <f t="shared" si="246"/>
        <v>0</v>
      </c>
      <c r="GB261" s="4">
        <f t="shared" si="246"/>
        <v>0</v>
      </c>
      <c r="GC261" s="4">
        <f t="shared" si="246"/>
        <v>0</v>
      </c>
      <c r="GD261" s="4">
        <f t="shared" si="246"/>
        <v>0</v>
      </c>
      <c r="GE261" s="4">
        <f t="shared" si="246"/>
        <v>0</v>
      </c>
      <c r="GF261" s="4">
        <f t="shared" si="246"/>
        <v>0</v>
      </c>
      <c r="GG261" s="4">
        <f t="shared" si="246"/>
        <v>0</v>
      </c>
      <c r="GH261" s="4">
        <f t="shared" si="246"/>
        <v>0</v>
      </c>
      <c r="GI261" s="4">
        <f t="shared" si="246"/>
        <v>0</v>
      </c>
      <c r="GJ261" s="4">
        <f t="shared" si="246"/>
        <v>0</v>
      </c>
      <c r="GK261" s="4">
        <f t="shared" si="246"/>
        <v>0</v>
      </c>
      <c r="GL261" s="4">
        <f t="shared" si="246"/>
        <v>0</v>
      </c>
      <c r="GM261" s="4">
        <f t="shared" si="246"/>
        <v>0</v>
      </c>
      <c r="GN261" s="4">
        <f t="shared" si="246"/>
        <v>0</v>
      </c>
      <c r="GO261" s="4">
        <f t="shared" si="246"/>
        <v>0</v>
      </c>
      <c r="GP261" s="4">
        <f t="shared" si="246"/>
        <v>0</v>
      </c>
      <c r="GQ261" s="4">
        <f t="shared" si="246"/>
        <v>0</v>
      </c>
      <c r="GR261" s="4">
        <f t="shared" si="246"/>
        <v>0</v>
      </c>
      <c r="GS261" s="4">
        <f t="shared" si="246"/>
        <v>0</v>
      </c>
      <c r="GT261" s="4">
        <f t="shared" si="246"/>
        <v>0</v>
      </c>
      <c r="GU261" s="4">
        <f t="shared" si="246"/>
        <v>0</v>
      </c>
      <c r="GV261" s="4">
        <f t="shared" si="246"/>
        <v>0</v>
      </c>
      <c r="GW261" s="4">
        <f t="shared" si="246"/>
        <v>0</v>
      </c>
      <c r="GX261" s="4">
        <f t="shared" si="246"/>
        <v>0</v>
      </c>
    </row>
    <row r="263" spans="1:255" x14ac:dyDescent="0.2">
      <c r="A263" s="1">
        <v>5</v>
      </c>
      <c r="B263" s="1">
        <v>1</v>
      </c>
      <c r="C263" s="1"/>
      <c r="D263" s="1">
        <f>ROW(A302)</f>
        <v>302</v>
      </c>
      <c r="E263" s="1"/>
      <c r="F263" s="1" t="s">
        <v>312</v>
      </c>
      <c r="G263" s="1" t="s">
        <v>313</v>
      </c>
      <c r="H263" s="1" t="s">
        <v>3</v>
      </c>
      <c r="I263" s="1">
        <v>0</v>
      </c>
      <c r="J263" s="1"/>
      <c r="K263" s="1">
        <v>0</v>
      </c>
      <c r="L263" s="1"/>
      <c r="M263" s="1" t="s">
        <v>3</v>
      </c>
      <c r="N263" s="1"/>
      <c r="O263" s="1"/>
      <c r="P263" s="1"/>
      <c r="Q263" s="1"/>
      <c r="R263" s="1"/>
      <c r="S263" s="1">
        <v>0</v>
      </c>
      <c r="T263" s="1">
        <v>0</v>
      </c>
      <c r="U263" s="1" t="s">
        <v>3</v>
      </c>
      <c r="V263" s="1">
        <v>0</v>
      </c>
      <c r="W263" s="1"/>
      <c r="X263" s="1"/>
      <c r="Y263" s="1"/>
      <c r="Z263" s="1"/>
      <c r="AA263" s="1"/>
      <c r="AB263" s="1" t="s">
        <v>3</v>
      </c>
      <c r="AC263" s="1" t="s">
        <v>3</v>
      </c>
      <c r="AD263" s="1" t="s">
        <v>3</v>
      </c>
      <c r="AE263" s="1" t="s">
        <v>3</v>
      </c>
      <c r="AF263" s="1" t="s">
        <v>3</v>
      </c>
      <c r="AG263" s="1" t="s">
        <v>3</v>
      </c>
      <c r="AH263" s="1"/>
      <c r="AI263" s="1"/>
      <c r="AJ263" s="1"/>
      <c r="AK263" s="1"/>
      <c r="AL263" s="1"/>
      <c r="AM263" s="1"/>
      <c r="AN263" s="1"/>
      <c r="AO263" s="1"/>
      <c r="AP263" s="1" t="s">
        <v>3</v>
      </c>
      <c r="AQ263" s="1" t="s">
        <v>3</v>
      </c>
      <c r="AR263" s="1" t="s">
        <v>3</v>
      </c>
      <c r="AS263" s="1"/>
      <c r="AT263" s="1"/>
      <c r="AU263" s="1"/>
      <c r="AV263" s="1"/>
      <c r="AW263" s="1"/>
      <c r="AX263" s="1"/>
      <c r="AY263" s="1"/>
      <c r="AZ263" s="1" t="s">
        <v>3</v>
      </c>
      <c r="BA263" s="1"/>
      <c r="BB263" s="1" t="s">
        <v>3</v>
      </c>
      <c r="BC263" s="1" t="s">
        <v>3</v>
      </c>
      <c r="BD263" s="1" t="s">
        <v>3</v>
      </c>
      <c r="BE263" s="1" t="s">
        <v>3</v>
      </c>
      <c r="BF263" s="1" t="s">
        <v>3</v>
      </c>
      <c r="BG263" s="1" t="s">
        <v>3</v>
      </c>
      <c r="BH263" s="1" t="s">
        <v>3</v>
      </c>
      <c r="BI263" s="1" t="s">
        <v>3</v>
      </c>
      <c r="BJ263" s="1" t="s">
        <v>3</v>
      </c>
      <c r="BK263" s="1" t="s">
        <v>3</v>
      </c>
      <c r="BL263" s="1" t="s">
        <v>3</v>
      </c>
      <c r="BM263" s="1" t="s">
        <v>3</v>
      </c>
      <c r="BN263" s="1" t="s">
        <v>3</v>
      </c>
      <c r="BO263" s="1" t="s">
        <v>3</v>
      </c>
      <c r="BP263" s="1" t="s">
        <v>3</v>
      </c>
      <c r="BQ263" s="1"/>
      <c r="BR263" s="1"/>
      <c r="BS263" s="1"/>
      <c r="BT263" s="1"/>
      <c r="BU263" s="1"/>
      <c r="BV263" s="1"/>
      <c r="BW263" s="1"/>
      <c r="BX263" s="1">
        <v>0</v>
      </c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>
        <v>0</v>
      </c>
    </row>
    <row r="265" spans="1:255" x14ac:dyDescent="0.2">
      <c r="A265" s="3">
        <v>52</v>
      </c>
      <c r="B265" s="3">
        <f t="shared" ref="B265:G265" si="247">B302</f>
        <v>1</v>
      </c>
      <c r="C265" s="3">
        <f t="shared" si="247"/>
        <v>5</v>
      </c>
      <c r="D265" s="3">
        <f t="shared" si="247"/>
        <v>263</v>
      </c>
      <c r="E265" s="3">
        <f t="shared" si="247"/>
        <v>0</v>
      </c>
      <c r="F265" s="3" t="str">
        <f t="shared" si="247"/>
        <v>Новый подраздел</v>
      </c>
      <c r="G265" s="3" t="str">
        <f t="shared" si="247"/>
        <v>Дорога</v>
      </c>
      <c r="H265" s="3"/>
      <c r="I265" s="3"/>
      <c r="J265" s="3"/>
      <c r="K265" s="3"/>
      <c r="L265" s="3"/>
      <c r="M265" s="3"/>
      <c r="N265" s="3"/>
      <c r="O265" s="3">
        <f t="shared" ref="O265:AT265" si="248">O302</f>
        <v>0</v>
      </c>
      <c r="P265" s="3">
        <f t="shared" si="248"/>
        <v>0</v>
      </c>
      <c r="Q265" s="3">
        <f t="shared" si="248"/>
        <v>0</v>
      </c>
      <c r="R265" s="3">
        <f t="shared" si="248"/>
        <v>0</v>
      </c>
      <c r="S265" s="3">
        <f t="shared" si="248"/>
        <v>0</v>
      </c>
      <c r="T265" s="3">
        <f t="shared" si="248"/>
        <v>0</v>
      </c>
      <c r="U265" s="3">
        <f t="shared" si="248"/>
        <v>0</v>
      </c>
      <c r="V265" s="3">
        <f t="shared" si="248"/>
        <v>0</v>
      </c>
      <c r="W265" s="3">
        <f t="shared" si="248"/>
        <v>0</v>
      </c>
      <c r="X265" s="3">
        <f t="shared" si="248"/>
        <v>0</v>
      </c>
      <c r="Y265" s="3">
        <f t="shared" si="248"/>
        <v>0</v>
      </c>
      <c r="Z265" s="3">
        <f t="shared" si="248"/>
        <v>0</v>
      </c>
      <c r="AA265" s="3">
        <f t="shared" si="248"/>
        <v>0</v>
      </c>
      <c r="AB265" s="3">
        <f t="shared" si="248"/>
        <v>0</v>
      </c>
      <c r="AC265" s="3">
        <f t="shared" si="248"/>
        <v>0</v>
      </c>
      <c r="AD265" s="3">
        <f t="shared" si="248"/>
        <v>0</v>
      </c>
      <c r="AE265" s="3">
        <f t="shared" si="248"/>
        <v>0</v>
      </c>
      <c r="AF265" s="3">
        <f t="shared" si="248"/>
        <v>0</v>
      </c>
      <c r="AG265" s="3">
        <f t="shared" si="248"/>
        <v>0</v>
      </c>
      <c r="AH265" s="3">
        <f t="shared" si="248"/>
        <v>0</v>
      </c>
      <c r="AI265" s="3">
        <f t="shared" si="248"/>
        <v>0</v>
      </c>
      <c r="AJ265" s="3">
        <f t="shared" si="248"/>
        <v>0</v>
      </c>
      <c r="AK265" s="3">
        <f t="shared" si="248"/>
        <v>0</v>
      </c>
      <c r="AL265" s="3">
        <f t="shared" si="248"/>
        <v>0</v>
      </c>
      <c r="AM265" s="3">
        <f t="shared" si="248"/>
        <v>0</v>
      </c>
      <c r="AN265" s="3">
        <f t="shared" si="248"/>
        <v>0</v>
      </c>
      <c r="AO265" s="3">
        <f t="shared" si="248"/>
        <v>0</v>
      </c>
      <c r="AP265" s="3">
        <f t="shared" si="248"/>
        <v>0</v>
      </c>
      <c r="AQ265" s="3">
        <f t="shared" si="248"/>
        <v>0</v>
      </c>
      <c r="AR265" s="3">
        <f t="shared" si="248"/>
        <v>0</v>
      </c>
      <c r="AS265" s="3">
        <f t="shared" si="248"/>
        <v>0</v>
      </c>
      <c r="AT265" s="3">
        <f t="shared" si="248"/>
        <v>0</v>
      </c>
      <c r="AU265" s="3">
        <f t="shared" ref="AU265:BZ265" si="249">AU302</f>
        <v>0</v>
      </c>
      <c r="AV265" s="3">
        <f t="shared" si="249"/>
        <v>0</v>
      </c>
      <c r="AW265" s="3">
        <f t="shared" si="249"/>
        <v>0</v>
      </c>
      <c r="AX265" s="3">
        <f t="shared" si="249"/>
        <v>0</v>
      </c>
      <c r="AY265" s="3">
        <f t="shared" si="249"/>
        <v>0</v>
      </c>
      <c r="AZ265" s="3">
        <f t="shared" si="249"/>
        <v>0</v>
      </c>
      <c r="BA265" s="3">
        <f t="shared" si="249"/>
        <v>0</v>
      </c>
      <c r="BB265" s="3">
        <f t="shared" si="249"/>
        <v>0</v>
      </c>
      <c r="BC265" s="3">
        <f t="shared" si="249"/>
        <v>0</v>
      </c>
      <c r="BD265" s="3">
        <f t="shared" si="249"/>
        <v>0</v>
      </c>
      <c r="BE265" s="3">
        <f t="shared" si="249"/>
        <v>0</v>
      </c>
      <c r="BF265" s="3">
        <f t="shared" si="249"/>
        <v>0</v>
      </c>
      <c r="BG265" s="3">
        <f t="shared" si="249"/>
        <v>0</v>
      </c>
      <c r="BH265" s="3">
        <f t="shared" si="249"/>
        <v>0</v>
      </c>
      <c r="BI265" s="3">
        <f t="shared" si="249"/>
        <v>0</v>
      </c>
      <c r="BJ265" s="3">
        <f t="shared" si="249"/>
        <v>0</v>
      </c>
      <c r="BK265" s="3">
        <f t="shared" si="249"/>
        <v>0</v>
      </c>
      <c r="BL265" s="3">
        <f t="shared" si="249"/>
        <v>0</v>
      </c>
      <c r="BM265" s="3">
        <f t="shared" si="249"/>
        <v>0</v>
      </c>
      <c r="BN265" s="3">
        <f t="shared" si="249"/>
        <v>0</v>
      </c>
      <c r="BO265" s="3">
        <f t="shared" si="249"/>
        <v>0</v>
      </c>
      <c r="BP265" s="3">
        <f t="shared" si="249"/>
        <v>0</v>
      </c>
      <c r="BQ265" s="3">
        <f t="shared" si="249"/>
        <v>0</v>
      </c>
      <c r="BR265" s="3">
        <f t="shared" si="249"/>
        <v>0</v>
      </c>
      <c r="BS265" s="3">
        <f t="shared" si="249"/>
        <v>0</v>
      </c>
      <c r="BT265" s="3">
        <f t="shared" si="249"/>
        <v>0</v>
      </c>
      <c r="BU265" s="3">
        <f t="shared" si="249"/>
        <v>0</v>
      </c>
      <c r="BV265" s="3">
        <f t="shared" si="249"/>
        <v>0</v>
      </c>
      <c r="BW265" s="3">
        <f t="shared" si="249"/>
        <v>0</v>
      </c>
      <c r="BX265" s="3">
        <f t="shared" si="249"/>
        <v>0</v>
      </c>
      <c r="BY265" s="3">
        <f t="shared" si="249"/>
        <v>0</v>
      </c>
      <c r="BZ265" s="3">
        <f t="shared" si="249"/>
        <v>0</v>
      </c>
      <c r="CA265" s="3">
        <f t="shared" ref="CA265:DF265" si="250">CA302</f>
        <v>0</v>
      </c>
      <c r="CB265" s="3">
        <f t="shared" si="250"/>
        <v>0</v>
      </c>
      <c r="CC265" s="3">
        <f t="shared" si="250"/>
        <v>0</v>
      </c>
      <c r="CD265" s="3">
        <f t="shared" si="250"/>
        <v>0</v>
      </c>
      <c r="CE265" s="3">
        <f t="shared" si="250"/>
        <v>0</v>
      </c>
      <c r="CF265" s="3">
        <f t="shared" si="250"/>
        <v>0</v>
      </c>
      <c r="CG265" s="3">
        <f t="shared" si="250"/>
        <v>0</v>
      </c>
      <c r="CH265" s="3">
        <f t="shared" si="250"/>
        <v>0</v>
      </c>
      <c r="CI265" s="3">
        <f t="shared" si="250"/>
        <v>0</v>
      </c>
      <c r="CJ265" s="3">
        <f t="shared" si="250"/>
        <v>0</v>
      </c>
      <c r="CK265" s="3">
        <f t="shared" si="250"/>
        <v>0</v>
      </c>
      <c r="CL265" s="3">
        <f t="shared" si="250"/>
        <v>0</v>
      </c>
      <c r="CM265" s="3">
        <f t="shared" si="250"/>
        <v>0</v>
      </c>
      <c r="CN265" s="3">
        <f t="shared" si="250"/>
        <v>0</v>
      </c>
      <c r="CO265" s="3">
        <f t="shared" si="250"/>
        <v>0</v>
      </c>
      <c r="CP265" s="3">
        <f t="shared" si="250"/>
        <v>0</v>
      </c>
      <c r="CQ265" s="3">
        <f t="shared" si="250"/>
        <v>0</v>
      </c>
      <c r="CR265" s="3">
        <f t="shared" si="250"/>
        <v>0</v>
      </c>
      <c r="CS265" s="3">
        <f t="shared" si="250"/>
        <v>0</v>
      </c>
      <c r="CT265" s="3">
        <f t="shared" si="250"/>
        <v>0</v>
      </c>
      <c r="CU265" s="3">
        <f t="shared" si="250"/>
        <v>0</v>
      </c>
      <c r="CV265" s="3">
        <f t="shared" si="250"/>
        <v>0</v>
      </c>
      <c r="CW265" s="3">
        <f t="shared" si="250"/>
        <v>0</v>
      </c>
      <c r="CX265" s="3">
        <f t="shared" si="250"/>
        <v>0</v>
      </c>
      <c r="CY265" s="3">
        <f t="shared" si="250"/>
        <v>0</v>
      </c>
      <c r="CZ265" s="3">
        <f t="shared" si="250"/>
        <v>0</v>
      </c>
      <c r="DA265" s="3">
        <f t="shared" si="250"/>
        <v>0</v>
      </c>
      <c r="DB265" s="3">
        <f t="shared" si="250"/>
        <v>0</v>
      </c>
      <c r="DC265" s="3">
        <f t="shared" si="250"/>
        <v>0</v>
      </c>
      <c r="DD265" s="3">
        <f t="shared" si="250"/>
        <v>0</v>
      </c>
      <c r="DE265" s="3">
        <f t="shared" si="250"/>
        <v>0</v>
      </c>
      <c r="DF265" s="3">
        <f t="shared" si="250"/>
        <v>0</v>
      </c>
      <c r="DG265" s="4">
        <f t="shared" ref="DG265:EL265" si="251">DG302</f>
        <v>0</v>
      </c>
      <c r="DH265" s="4">
        <f t="shared" si="251"/>
        <v>0</v>
      </c>
      <c r="DI265" s="4">
        <f t="shared" si="251"/>
        <v>0</v>
      </c>
      <c r="DJ265" s="4">
        <f t="shared" si="251"/>
        <v>0</v>
      </c>
      <c r="DK265" s="4">
        <f t="shared" si="251"/>
        <v>0</v>
      </c>
      <c r="DL265" s="4">
        <f t="shared" si="251"/>
        <v>0</v>
      </c>
      <c r="DM265" s="4">
        <f t="shared" si="251"/>
        <v>0</v>
      </c>
      <c r="DN265" s="4">
        <f t="shared" si="251"/>
        <v>0</v>
      </c>
      <c r="DO265" s="4">
        <f t="shared" si="251"/>
        <v>0</v>
      </c>
      <c r="DP265" s="4">
        <f t="shared" si="251"/>
        <v>0</v>
      </c>
      <c r="DQ265" s="4">
        <f t="shared" si="251"/>
        <v>0</v>
      </c>
      <c r="DR265" s="4">
        <f t="shared" si="251"/>
        <v>0</v>
      </c>
      <c r="DS265" s="4">
        <f t="shared" si="251"/>
        <v>0</v>
      </c>
      <c r="DT265" s="4">
        <f t="shared" si="251"/>
        <v>0</v>
      </c>
      <c r="DU265" s="4">
        <f t="shared" si="251"/>
        <v>0</v>
      </c>
      <c r="DV265" s="4">
        <f t="shared" si="251"/>
        <v>0</v>
      </c>
      <c r="DW265" s="4">
        <f t="shared" si="251"/>
        <v>0</v>
      </c>
      <c r="DX265" s="4">
        <f t="shared" si="251"/>
        <v>0</v>
      </c>
      <c r="DY265" s="4">
        <f t="shared" si="251"/>
        <v>0</v>
      </c>
      <c r="DZ265" s="4">
        <f t="shared" si="251"/>
        <v>0</v>
      </c>
      <c r="EA265" s="4">
        <f t="shared" si="251"/>
        <v>0</v>
      </c>
      <c r="EB265" s="4">
        <f t="shared" si="251"/>
        <v>0</v>
      </c>
      <c r="EC265" s="4">
        <f t="shared" si="251"/>
        <v>0</v>
      </c>
      <c r="ED265" s="4">
        <f t="shared" si="251"/>
        <v>0</v>
      </c>
      <c r="EE265" s="4">
        <f t="shared" si="251"/>
        <v>0</v>
      </c>
      <c r="EF265" s="4">
        <f t="shared" si="251"/>
        <v>0</v>
      </c>
      <c r="EG265" s="4">
        <f t="shared" si="251"/>
        <v>0</v>
      </c>
      <c r="EH265" s="4">
        <f t="shared" si="251"/>
        <v>0</v>
      </c>
      <c r="EI265" s="4">
        <f t="shared" si="251"/>
        <v>0</v>
      </c>
      <c r="EJ265" s="4">
        <f t="shared" si="251"/>
        <v>0</v>
      </c>
      <c r="EK265" s="4">
        <f t="shared" si="251"/>
        <v>0</v>
      </c>
      <c r="EL265" s="4">
        <f t="shared" si="251"/>
        <v>0</v>
      </c>
      <c r="EM265" s="4">
        <f t="shared" ref="EM265:FR265" si="252">EM302</f>
        <v>0</v>
      </c>
      <c r="EN265" s="4">
        <f t="shared" si="252"/>
        <v>0</v>
      </c>
      <c r="EO265" s="4">
        <f t="shared" si="252"/>
        <v>0</v>
      </c>
      <c r="EP265" s="4">
        <f t="shared" si="252"/>
        <v>0</v>
      </c>
      <c r="EQ265" s="4">
        <f t="shared" si="252"/>
        <v>0</v>
      </c>
      <c r="ER265" s="4">
        <f t="shared" si="252"/>
        <v>0</v>
      </c>
      <c r="ES265" s="4">
        <f t="shared" si="252"/>
        <v>0</v>
      </c>
      <c r="ET265" s="4">
        <f t="shared" si="252"/>
        <v>0</v>
      </c>
      <c r="EU265" s="4">
        <f t="shared" si="252"/>
        <v>0</v>
      </c>
      <c r="EV265" s="4">
        <f t="shared" si="252"/>
        <v>0</v>
      </c>
      <c r="EW265" s="4">
        <f t="shared" si="252"/>
        <v>0</v>
      </c>
      <c r="EX265" s="4">
        <f t="shared" si="252"/>
        <v>0</v>
      </c>
      <c r="EY265" s="4">
        <f t="shared" si="252"/>
        <v>0</v>
      </c>
      <c r="EZ265" s="4">
        <f t="shared" si="252"/>
        <v>0</v>
      </c>
      <c r="FA265" s="4">
        <f t="shared" si="252"/>
        <v>0</v>
      </c>
      <c r="FB265" s="4">
        <f t="shared" si="252"/>
        <v>0</v>
      </c>
      <c r="FC265" s="4">
        <f t="shared" si="252"/>
        <v>0</v>
      </c>
      <c r="FD265" s="4">
        <f t="shared" si="252"/>
        <v>0</v>
      </c>
      <c r="FE265" s="4">
        <f t="shared" si="252"/>
        <v>0</v>
      </c>
      <c r="FF265" s="4">
        <f t="shared" si="252"/>
        <v>0</v>
      </c>
      <c r="FG265" s="4">
        <f t="shared" si="252"/>
        <v>0</v>
      </c>
      <c r="FH265" s="4">
        <f t="shared" si="252"/>
        <v>0</v>
      </c>
      <c r="FI265" s="4">
        <f t="shared" si="252"/>
        <v>0</v>
      </c>
      <c r="FJ265" s="4">
        <f t="shared" si="252"/>
        <v>0</v>
      </c>
      <c r="FK265" s="4">
        <f t="shared" si="252"/>
        <v>0</v>
      </c>
      <c r="FL265" s="4">
        <f t="shared" si="252"/>
        <v>0</v>
      </c>
      <c r="FM265" s="4">
        <f t="shared" si="252"/>
        <v>0</v>
      </c>
      <c r="FN265" s="4">
        <f t="shared" si="252"/>
        <v>0</v>
      </c>
      <c r="FO265" s="4">
        <f t="shared" si="252"/>
        <v>0</v>
      </c>
      <c r="FP265" s="4">
        <f t="shared" si="252"/>
        <v>0</v>
      </c>
      <c r="FQ265" s="4">
        <f t="shared" si="252"/>
        <v>0</v>
      </c>
      <c r="FR265" s="4">
        <f t="shared" si="252"/>
        <v>0</v>
      </c>
      <c r="FS265" s="4">
        <f t="shared" ref="FS265:GX265" si="253">FS302</f>
        <v>0</v>
      </c>
      <c r="FT265" s="4">
        <f t="shared" si="253"/>
        <v>0</v>
      </c>
      <c r="FU265" s="4">
        <f t="shared" si="253"/>
        <v>0</v>
      </c>
      <c r="FV265" s="4">
        <f t="shared" si="253"/>
        <v>0</v>
      </c>
      <c r="FW265" s="4">
        <f t="shared" si="253"/>
        <v>0</v>
      </c>
      <c r="FX265" s="4">
        <f t="shared" si="253"/>
        <v>0</v>
      </c>
      <c r="FY265" s="4">
        <f t="shared" si="253"/>
        <v>0</v>
      </c>
      <c r="FZ265" s="4">
        <f t="shared" si="253"/>
        <v>0</v>
      </c>
      <c r="GA265" s="4">
        <f t="shared" si="253"/>
        <v>0</v>
      </c>
      <c r="GB265" s="4">
        <f t="shared" si="253"/>
        <v>0</v>
      </c>
      <c r="GC265" s="4">
        <f t="shared" si="253"/>
        <v>0</v>
      </c>
      <c r="GD265" s="4">
        <f t="shared" si="253"/>
        <v>0</v>
      </c>
      <c r="GE265" s="4">
        <f t="shared" si="253"/>
        <v>0</v>
      </c>
      <c r="GF265" s="4">
        <f t="shared" si="253"/>
        <v>0</v>
      </c>
      <c r="GG265" s="4">
        <f t="shared" si="253"/>
        <v>0</v>
      </c>
      <c r="GH265" s="4">
        <f t="shared" si="253"/>
        <v>0</v>
      </c>
      <c r="GI265" s="4">
        <f t="shared" si="253"/>
        <v>0</v>
      </c>
      <c r="GJ265" s="4">
        <f t="shared" si="253"/>
        <v>0</v>
      </c>
      <c r="GK265" s="4">
        <f t="shared" si="253"/>
        <v>0</v>
      </c>
      <c r="GL265" s="4">
        <f t="shared" si="253"/>
        <v>0</v>
      </c>
      <c r="GM265" s="4">
        <f t="shared" si="253"/>
        <v>0</v>
      </c>
      <c r="GN265" s="4">
        <f t="shared" si="253"/>
        <v>0</v>
      </c>
      <c r="GO265" s="4">
        <f t="shared" si="253"/>
        <v>0</v>
      </c>
      <c r="GP265" s="4">
        <f t="shared" si="253"/>
        <v>0</v>
      </c>
      <c r="GQ265" s="4">
        <f t="shared" si="253"/>
        <v>0</v>
      </c>
      <c r="GR265" s="4">
        <f t="shared" si="253"/>
        <v>0</v>
      </c>
      <c r="GS265" s="4">
        <f t="shared" si="253"/>
        <v>0</v>
      </c>
      <c r="GT265" s="4">
        <f t="shared" si="253"/>
        <v>0</v>
      </c>
      <c r="GU265" s="4">
        <f t="shared" si="253"/>
        <v>0</v>
      </c>
      <c r="GV265" s="4">
        <f t="shared" si="253"/>
        <v>0</v>
      </c>
      <c r="GW265" s="4">
        <f t="shared" si="253"/>
        <v>0</v>
      </c>
      <c r="GX265" s="4">
        <f t="shared" si="253"/>
        <v>0</v>
      </c>
    </row>
    <row r="267" spans="1:255" x14ac:dyDescent="0.2">
      <c r="A267" s="2">
        <v>17</v>
      </c>
      <c r="B267" s="2">
        <v>1</v>
      </c>
      <c r="C267" s="2"/>
      <c r="D267" s="2">
        <f>ROW(EtalonRes!A977)</f>
        <v>977</v>
      </c>
      <c r="E267" s="2" t="s">
        <v>314</v>
      </c>
      <c r="F267" s="2" t="s">
        <v>315</v>
      </c>
      <c r="G267" s="2" t="s">
        <v>316</v>
      </c>
      <c r="H267" s="2" t="s">
        <v>317</v>
      </c>
      <c r="I267" s="2">
        <v>0</v>
      </c>
      <c r="J267" s="2">
        <v>0</v>
      </c>
      <c r="K267" s="2">
        <v>0</v>
      </c>
      <c r="L267" s="2"/>
      <c r="M267" s="2"/>
      <c r="N267" s="2"/>
      <c r="O267" s="2">
        <f t="shared" ref="O267:O300" si="254">ROUND(CP267,2)</f>
        <v>0</v>
      </c>
      <c r="P267" s="2">
        <f t="shared" ref="P267:P300" si="255">ROUND((ROUND((AC267*AW267*I267),2)*BC267),2)</f>
        <v>0</v>
      </c>
      <c r="Q267" s="2">
        <f t="shared" ref="Q267:Q274" si="256">(ROUND((ROUND((((ET267*1.1))*AV267*I267),2)*BB267),2)+ROUND((ROUND(((AE267-((EU267*1.1)))*AV267*I267),2)*BS267),2))</f>
        <v>0</v>
      </c>
      <c r="R267" s="2">
        <f t="shared" ref="R267:R300" si="257">ROUND((ROUND((AE267*AV267*I267),2)*BS267),2)</f>
        <v>0</v>
      </c>
      <c r="S267" s="2">
        <f t="shared" ref="S267:S300" si="258">ROUND((ROUND((AF267*AV267*I267),2)*BA267),2)</f>
        <v>0</v>
      </c>
      <c r="T267" s="2">
        <f t="shared" ref="T267:T300" si="259">ROUND(CU267*I267,2)</f>
        <v>0</v>
      </c>
      <c r="U267" s="2">
        <f t="shared" ref="U267:U300" si="260">CV267*I267</f>
        <v>0</v>
      </c>
      <c r="V267" s="2">
        <f t="shared" ref="V267:V300" si="261">CW267*I267</f>
        <v>0</v>
      </c>
      <c r="W267" s="2">
        <f t="shared" ref="W267:W300" si="262">ROUND(CX267*I267,2)</f>
        <v>0</v>
      </c>
      <c r="X267" s="2">
        <f t="shared" ref="X267:X300" si="263">ROUND(CY267,2)</f>
        <v>0</v>
      </c>
      <c r="Y267" s="2">
        <f t="shared" ref="Y267:Y300" si="264">ROUND(CZ267,2)</f>
        <v>0</v>
      </c>
      <c r="Z267" s="2"/>
      <c r="AA267" s="2">
        <v>56622586</v>
      </c>
      <c r="AB267" s="2">
        <f t="shared" ref="AB267:AB300" si="265">ROUND((AC267+AD267+AF267),6)</f>
        <v>3986.268</v>
      </c>
      <c r="AC267" s="2">
        <f t="shared" ref="AC267:AC300" si="266">ROUND((ES267),6)</f>
        <v>0</v>
      </c>
      <c r="AD267" s="2">
        <f t="shared" ref="AD267:AD274" si="267">ROUND(((((ET267*1.1))-((EU267*1.1)))+AE267),6)</f>
        <v>2129.5230000000001</v>
      </c>
      <c r="AE267" s="2">
        <f t="shared" ref="AE267:AF274" si="268">ROUND(((EU267*1.1)),6)</f>
        <v>553.28899999999999</v>
      </c>
      <c r="AF267" s="2">
        <f t="shared" si="268"/>
        <v>1856.7449999999999</v>
      </c>
      <c r="AG267" s="2">
        <f t="shared" ref="AG267:AG300" si="269">ROUND((AP267),6)</f>
        <v>0</v>
      </c>
      <c r="AH267" s="2">
        <f t="shared" ref="AH267:AI274" si="270">((EW267*1.1))</f>
        <v>170.5</v>
      </c>
      <c r="AI267" s="2">
        <f t="shared" si="270"/>
        <v>0</v>
      </c>
      <c r="AJ267" s="2">
        <f t="shared" ref="AJ267:AJ300" si="271">(AS267)</f>
        <v>0</v>
      </c>
      <c r="AK267" s="2">
        <v>3623.88</v>
      </c>
      <c r="AL267" s="2">
        <v>0</v>
      </c>
      <c r="AM267" s="2">
        <v>1935.93</v>
      </c>
      <c r="AN267" s="2">
        <v>502.99</v>
      </c>
      <c r="AO267" s="2">
        <v>1687.95</v>
      </c>
      <c r="AP267" s="2">
        <v>0</v>
      </c>
      <c r="AQ267" s="2">
        <v>155</v>
      </c>
      <c r="AR267" s="2">
        <v>0</v>
      </c>
      <c r="AS267" s="2">
        <v>0</v>
      </c>
      <c r="AT267" s="2">
        <v>80</v>
      </c>
      <c r="AU267" s="2">
        <v>55</v>
      </c>
      <c r="AV267" s="2">
        <v>1.0469999999999999</v>
      </c>
      <c r="AW267" s="2">
        <v>1</v>
      </c>
      <c r="AX267" s="2"/>
      <c r="AY267" s="2"/>
      <c r="AZ267" s="2">
        <v>1</v>
      </c>
      <c r="BA267" s="2">
        <v>1</v>
      </c>
      <c r="BB267" s="2">
        <v>1</v>
      </c>
      <c r="BC267" s="2">
        <v>1</v>
      </c>
      <c r="BD267" s="2" t="s">
        <v>3</v>
      </c>
      <c r="BE267" s="2" t="s">
        <v>3</v>
      </c>
      <c r="BF267" s="2" t="s">
        <v>3</v>
      </c>
      <c r="BG267" s="2" t="s">
        <v>3</v>
      </c>
      <c r="BH267" s="2">
        <v>0</v>
      </c>
      <c r="BI267" s="2">
        <v>1</v>
      </c>
      <c r="BJ267" s="2" t="s">
        <v>318</v>
      </c>
      <c r="BK267" s="2"/>
      <c r="BL267" s="2"/>
      <c r="BM267" s="2">
        <v>674</v>
      </c>
      <c r="BN267" s="2">
        <v>0</v>
      </c>
      <c r="BO267" s="2" t="s">
        <v>3</v>
      </c>
      <c r="BP267" s="2">
        <v>0</v>
      </c>
      <c r="BQ267" s="2">
        <v>60</v>
      </c>
      <c r="BR267" s="2">
        <v>0</v>
      </c>
      <c r="BS267" s="2">
        <v>1</v>
      </c>
      <c r="BT267" s="2">
        <v>1</v>
      </c>
      <c r="BU267" s="2">
        <v>1</v>
      </c>
      <c r="BV267" s="2">
        <v>1</v>
      </c>
      <c r="BW267" s="2">
        <v>1</v>
      </c>
      <c r="BX267" s="2">
        <v>1</v>
      </c>
      <c r="BY267" s="2" t="s">
        <v>3</v>
      </c>
      <c r="BZ267" s="2">
        <v>80</v>
      </c>
      <c r="CA267" s="2">
        <v>55</v>
      </c>
      <c r="CB267" s="2" t="s">
        <v>3</v>
      </c>
      <c r="CC267" s="2"/>
      <c r="CD267" s="2"/>
      <c r="CE267" s="2">
        <v>30</v>
      </c>
      <c r="CF267" s="2">
        <v>0</v>
      </c>
      <c r="CG267" s="2">
        <v>0</v>
      </c>
      <c r="CH267" s="2"/>
      <c r="CI267" s="2"/>
      <c r="CJ267" s="2"/>
      <c r="CK267" s="2"/>
      <c r="CL267" s="2"/>
      <c r="CM267" s="2">
        <v>0</v>
      </c>
      <c r="CN267" s="2" t="s">
        <v>671</v>
      </c>
      <c r="CO267" s="2">
        <v>0</v>
      </c>
      <c r="CP267" s="2">
        <f t="shared" ref="CP267:CP300" si="272">(P267+Q267+S267)</f>
        <v>0</v>
      </c>
      <c r="CQ267" s="2">
        <f t="shared" ref="CQ267:CQ300" si="273">ROUND((ROUND((AC267*AW267*1),2)*BC267),2)</f>
        <v>0</v>
      </c>
      <c r="CR267" s="2">
        <f t="shared" ref="CR267:CR274" si="274">(ROUND((ROUND((((ET267*1.1))*AV267*1),2)*BB267),2)+ROUND((ROUND(((AE267-((EU267*1.1)))*AV267*1),2)*BS267),2))</f>
        <v>2229.61</v>
      </c>
      <c r="CS267" s="2">
        <f t="shared" ref="CS267:CS300" si="275">ROUND((ROUND((AE267*AV267*1),2)*BS267),2)</f>
        <v>579.29</v>
      </c>
      <c r="CT267" s="2">
        <f t="shared" ref="CT267:CT300" si="276">ROUND((ROUND((AF267*AV267*1),2)*BA267),2)</f>
        <v>1944.01</v>
      </c>
      <c r="CU267" s="2">
        <f t="shared" ref="CU267:CU300" si="277">AG267</f>
        <v>0</v>
      </c>
      <c r="CV267" s="2">
        <f t="shared" ref="CV267:CV300" si="278">(AH267*AV267)</f>
        <v>178.51349999999999</v>
      </c>
      <c r="CW267" s="2">
        <f t="shared" ref="CW267:CW300" si="279">AI267</f>
        <v>0</v>
      </c>
      <c r="CX267" s="2">
        <f t="shared" ref="CX267:CX300" si="280">AJ267</f>
        <v>0</v>
      </c>
      <c r="CY267" s="2">
        <f>((S267*BZ267)/100)</f>
        <v>0</v>
      </c>
      <c r="CZ267" s="2">
        <f>((S267*CA267)/100)</f>
        <v>0</v>
      </c>
      <c r="DA267" s="2"/>
      <c r="DB267" s="2"/>
      <c r="DC267" s="2" t="s">
        <v>3</v>
      </c>
      <c r="DD267" s="2" t="s">
        <v>3</v>
      </c>
      <c r="DE267" s="2" t="s">
        <v>22</v>
      </c>
      <c r="DF267" s="2" t="s">
        <v>22</v>
      </c>
      <c r="DG267" s="2" t="s">
        <v>22</v>
      </c>
      <c r="DH267" s="2" t="s">
        <v>3</v>
      </c>
      <c r="DI267" s="2" t="s">
        <v>22</v>
      </c>
      <c r="DJ267" s="2" t="s">
        <v>22</v>
      </c>
      <c r="DK267" s="2" t="s">
        <v>3</v>
      </c>
      <c r="DL267" s="2" t="s">
        <v>3</v>
      </c>
      <c r="DM267" s="2" t="s">
        <v>3</v>
      </c>
      <c r="DN267" s="2">
        <v>0</v>
      </c>
      <c r="DO267" s="2">
        <v>0</v>
      </c>
      <c r="DP267" s="2">
        <v>1</v>
      </c>
      <c r="DQ267" s="2">
        <v>1</v>
      </c>
      <c r="DR267" s="2"/>
      <c r="DS267" s="2"/>
      <c r="DT267" s="2"/>
      <c r="DU267" s="2">
        <v>1007</v>
      </c>
      <c r="DV267" s="2" t="s">
        <v>317</v>
      </c>
      <c r="DW267" s="2" t="s">
        <v>317</v>
      </c>
      <c r="DX267" s="2">
        <v>100</v>
      </c>
      <c r="DY267" s="2"/>
      <c r="DZ267" s="2" t="s">
        <v>3</v>
      </c>
      <c r="EA267" s="2" t="s">
        <v>3</v>
      </c>
      <c r="EB267" s="2" t="s">
        <v>3</v>
      </c>
      <c r="EC267" s="2" t="s">
        <v>3</v>
      </c>
      <c r="ED267" s="2"/>
      <c r="EE267" s="2">
        <v>51696713</v>
      </c>
      <c r="EF267" s="2">
        <v>60</v>
      </c>
      <c r="EG267" s="2" t="s">
        <v>319</v>
      </c>
      <c r="EH267" s="2">
        <v>0</v>
      </c>
      <c r="EI267" s="2" t="s">
        <v>3</v>
      </c>
      <c r="EJ267" s="2">
        <v>1</v>
      </c>
      <c r="EK267" s="2">
        <v>674</v>
      </c>
      <c r="EL267" s="2" t="s">
        <v>320</v>
      </c>
      <c r="EM267" s="2" t="s">
        <v>321</v>
      </c>
      <c r="EN267" s="2"/>
      <c r="EO267" s="2" t="s">
        <v>25</v>
      </c>
      <c r="EP267" s="2"/>
      <c r="EQ267" s="2">
        <v>131072</v>
      </c>
      <c r="ER267" s="2">
        <v>3623.88</v>
      </c>
      <c r="ES267" s="2">
        <v>0</v>
      </c>
      <c r="ET267" s="2">
        <v>1935.93</v>
      </c>
      <c r="EU267" s="2">
        <v>502.99</v>
      </c>
      <c r="EV267" s="2">
        <v>1687.95</v>
      </c>
      <c r="EW267" s="2">
        <v>155</v>
      </c>
      <c r="EX267" s="2">
        <v>0</v>
      </c>
      <c r="EY267" s="2">
        <v>0</v>
      </c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>
        <v>0</v>
      </c>
      <c r="FR267" s="2">
        <v>0</v>
      </c>
      <c r="FS267" s="2">
        <v>0</v>
      </c>
      <c r="FT267" s="2"/>
      <c r="FU267" s="2"/>
      <c r="FV267" s="2"/>
      <c r="FW267" s="2"/>
      <c r="FX267" s="2">
        <v>80</v>
      </c>
      <c r="FY267" s="2">
        <v>55</v>
      </c>
      <c r="FZ267" s="2"/>
      <c r="GA267" s="2" t="s">
        <v>3</v>
      </c>
      <c r="GB267" s="2"/>
      <c r="GC267" s="2"/>
      <c r="GD267" s="2">
        <v>0</v>
      </c>
      <c r="GE267" s="2"/>
      <c r="GF267" s="2">
        <v>854491468</v>
      </c>
      <c r="GG267" s="2">
        <v>2</v>
      </c>
      <c r="GH267" s="2">
        <v>1</v>
      </c>
      <c r="GI267" s="2">
        <v>-2</v>
      </c>
      <c r="GJ267" s="2">
        <v>0</v>
      </c>
      <c r="GK267" s="2">
        <f>ROUND(R267*(R12)/100,2)</f>
        <v>0</v>
      </c>
      <c r="GL267" s="2">
        <f t="shared" ref="GL267:GL300" si="281">ROUND(IF(AND(BH267=3,BI267=3,FS267&lt;&gt;0),P267,0),2)</f>
        <v>0</v>
      </c>
      <c r="GM267" s="2">
        <f t="shared" ref="GM267:GM300" si="282">ROUND(O267+X267+Y267+GK267,2)+GX267</f>
        <v>0</v>
      </c>
      <c r="GN267" s="2">
        <f t="shared" ref="GN267:GN300" si="283">IF(OR(BI267=0,BI267=1),GM267-GX267,0)</f>
        <v>0</v>
      </c>
      <c r="GO267" s="2">
        <f t="shared" ref="GO267:GO300" si="284">IF(BI267=2,GM267-GX267,0)</f>
        <v>0</v>
      </c>
      <c r="GP267" s="2">
        <f t="shared" ref="GP267:GP300" si="285">IF(BI267=4,GM267-GX267,0)</f>
        <v>0</v>
      </c>
      <c r="GQ267" s="2"/>
      <c r="GR267" s="2">
        <v>0</v>
      </c>
      <c r="GS267" s="2">
        <v>0</v>
      </c>
      <c r="GT267" s="2">
        <v>0</v>
      </c>
      <c r="GU267" s="2" t="s">
        <v>3</v>
      </c>
      <c r="GV267" s="2">
        <f t="shared" ref="GV267:GV300" si="286">ROUND((GT267),6)</f>
        <v>0</v>
      </c>
      <c r="GW267" s="2">
        <v>1</v>
      </c>
      <c r="GX267" s="2">
        <f t="shared" ref="GX267:GX300" si="287">ROUND(HC267*I267,2)</f>
        <v>0</v>
      </c>
      <c r="GY267" s="2"/>
      <c r="GZ267" s="2"/>
      <c r="HA267" s="2">
        <v>0</v>
      </c>
      <c r="HB267" s="2">
        <v>0</v>
      </c>
      <c r="HC267" s="2">
        <f t="shared" ref="HC267:HC300" si="288">GV267*GW267</f>
        <v>0</v>
      </c>
      <c r="HD267" s="2"/>
      <c r="HE267" s="2" t="s">
        <v>3</v>
      </c>
      <c r="HF267" s="2" t="s">
        <v>3</v>
      </c>
      <c r="HG267" s="2"/>
      <c r="HH267" s="2"/>
      <c r="HI267" s="2"/>
      <c r="HJ267" s="2"/>
      <c r="HK267" s="2"/>
      <c r="HL267" s="2"/>
      <c r="HM267" s="2" t="s">
        <v>3</v>
      </c>
      <c r="HN267" s="2" t="s">
        <v>3</v>
      </c>
      <c r="HO267" s="2" t="s">
        <v>3</v>
      </c>
      <c r="HP267" s="2" t="s">
        <v>3</v>
      </c>
      <c r="HQ267" s="2" t="s">
        <v>3</v>
      </c>
      <c r="HR267" s="2"/>
      <c r="HS267" s="2">
        <v>0</v>
      </c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>
        <v>0</v>
      </c>
      <c r="IL267" s="2"/>
      <c r="IM267" s="2"/>
      <c r="IN267" s="2"/>
      <c r="IO267" s="2"/>
      <c r="IP267" s="2"/>
      <c r="IQ267" s="2"/>
      <c r="IR267" s="2"/>
      <c r="IS267" s="2"/>
      <c r="IT267" s="2"/>
      <c r="IU267" s="2"/>
    </row>
    <row r="268" spans="1:255" x14ac:dyDescent="0.2">
      <c r="A268">
        <v>17</v>
      </c>
      <c r="B268">
        <v>1</v>
      </c>
      <c r="D268">
        <f>ROW(EtalonRes!A982)</f>
        <v>982</v>
      </c>
      <c r="E268" t="s">
        <v>314</v>
      </c>
      <c r="F268" t="s">
        <v>315</v>
      </c>
      <c r="G268" t="s">
        <v>316</v>
      </c>
      <c r="H268" t="s">
        <v>317</v>
      </c>
      <c r="I268">
        <v>0</v>
      </c>
      <c r="J268">
        <v>0</v>
      </c>
      <c r="K268">
        <v>0</v>
      </c>
      <c r="O268">
        <f t="shared" si="254"/>
        <v>0</v>
      </c>
      <c r="P268">
        <f t="shared" si="255"/>
        <v>0</v>
      </c>
      <c r="Q268">
        <f t="shared" si="256"/>
        <v>0</v>
      </c>
      <c r="R268">
        <f t="shared" si="257"/>
        <v>0</v>
      </c>
      <c r="S268">
        <f t="shared" si="258"/>
        <v>0</v>
      </c>
      <c r="T268">
        <f t="shared" si="259"/>
        <v>0</v>
      </c>
      <c r="U268">
        <f t="shared" si="260"/>
        <v>0</v>
      </c>
      <c r="V268">
        <f t="shared" si="261"/>
        <v>0</v>
      </c>
      <c r="W268">
        <f t="shared" si="262"/>
        <v>0</v>
      </c>
      <c r="X268">
        <f t="shared" si="263"/>
        <v>0</v>
      </c>
      <c r="Y268">
        <f t="shared" si="264"/>
        <v>0</v>
      </c>
      <c r="AA268">
        <v>56616093</v>
      </c>
      <c r="AB268">
        <f t="shared" si="265"/>
        <v>3986.268</v>
      </c>
      <c r="AC268">
        <f t="shared" si="266"/>
        <v>0</v>
      </c>
      <c r="AD268">
        <f t="shared" si="267"/>
        <v>2129.5230000000001</v>
      </c>
      <c r="AE268">
        <f t="shared" si="268"/>
        <v>553.28899999999999</v>
      </c>
      <c r="AF268">
        <f t="shared" si="268"/>
        <v>1856.7449999999999</v>
      </c>
      <c r="AG268">
        <f t="shared" si="269"/>
        <v>0</v>
      </c>
      <c r="AH268">
        <f t="shared" si="270"/>
        <v>170.5</v>
      </c>
      <c r="AI268">
        <f t="shared" si="270"/>
        <v>0</v>
      </c>
      <c r="AJ268">
        <f t="shared" si="271"/>
        <v>0</v>
      </c>
      <c r="AK268">
        <v>3623.88</v>
      </c>
      <c r="AL268">
        <v>0</v>
      </c>
      <c r="AM268">
        <v>1935.93</v>
      </c>
      <c r="AN268">
        <v>502.99</v>
      </c>
      <c r="AO268">
        <v>1687.95</v>
      </c>
      <c r="AP268">
        <v>0</v>
      </c>
      <c r="AQ268">
        <v>155</v>
      </c>
      <c r="AR268">
        <v>0</v>
      </c>
      <c r="AS268">
        <v>0</v>
      </c>
      <c r="AT268">
        <v>70</v>
      </c>
      <c r="AU268">
        <v>41</v>
      </c>
      <c r="AV268">
        <v>1.0469999999999999</v>
      </c>
      <c r="AW268">
        <v>1</v>
      </c>
      <c r="AZ268">
        <v>1</v>
      </c>
      <c r="BA268">
        <v>34.51</v>
      </c>
      <c r="BB268">
        <v>16.46</v>
      </c>
      <c r="BC268">
        <v>1</v>
      </c>
      <c r="BD268" t="s">
        <v>3</v>
      </c>
      <c r="BE268" t="s">
        <v>3</v>
      </c>
      <c r="BF268" t="s">
        <v>3</v>
      </c>
      <c r="BG268" t="s">
        <v>3</v>
      </c>
      <c r="BH268">
        <v>0</v>
      </c>
      <c r="BI268">
        <v>1</v>
      </c>
      <c r="BJ268" t="s">
        <v>318</v>
      </c>
      <c r="BM268">
        <v>674</v>
      </c>
      <c r="BN268">
        <v>0</v>
      </c>
      <c r="BO268" t="s">
        <v>315</v>
      </c>
      <c r="BP268">
        <v>1</v>
      </c>
      <c r="BQ268">
        <v>60</v>
      </c>
      <c r="BR268">
        <v>0</v>
      </c>
      <c r="BS268">
        <v>34.51</v>
      </c>
      <c r="BT268">
        <v>1</v>
      </c>
      <c r="BU268">
        <v>1</v>
      </c>
      <c r="BV268">
        <v>1</v>
      </c>
      <c r="BW268">
        <v>1</v>
      </c>
      <c r="BX268">
        <v>1</v>
      </c>
      <c r="BY268" t="s">
        <v>3</v>
      </c>
      <c r="BZ268">
        <v>70</v>
      </c>
      <c r="CA268">
        <v>41</v>
      </c>
      <c r="CB268" t="s">
        <v>3</v>
      </c>
      <c r="CE268">
        <v>30</v>
      </c>
      <c r="CF268">
        <v>0</v>
      </c>
      <c r="CG268">
        <v>0</v>
      </c>
      <c r="CM268">
        <v>0</v>
      </c>
      <c r="CN268" t="s">
        <v>671</v>
      </c>
      <c r="CO268">
        <v>0</v>
      </c>
      <c r="CP268">
        <f t="shared" si="272"/>
        <v>0</v>
      </c>
      <c r="CQ268">
        <f t="shared" si="273"/>
        <v>0</v>
      </c>
      <c r="CR268">
        <f t="shared" si="274"/>
        <v>36699.379999999997</v>
      </c>
      <c r="CS268">
        <f t="shared" si="275"/>
        <v>19991.3</v>
      </c>
      <c r="CT268">
        <f t="shared" si="276"/>
        <v>67087.789999999994</v>
      </c>
      <c r="CU268">
        <f t="shared" si="277"/>
        <v>0</v>
      </c>
      <c r="CV268">
        <f t="shared" si="278"/>
        <v>178.51349999999999</v>
      </c>
      <c r="CW268">
        <f t="shared" si="279"/>
        <v>0</v>
      </c>
      <c r="CX268">
        <f t="shared" si="280"/>
        <v>0</v>
      </c>
      <c r="CY268">
        <f>S268*(BZ268/100)</f>
        <v>0</v>
      </c>
      <c r="CZ268">
        <f>S268*(CA268/100)</f>
        <v>0</v>
      </c>
      <c r="DC268" t="s">
        <v>3</v>
      </c>
      <c r="DD268" t="s">
        <v>3</v>
      </c>
      <c r="DE268" t="s">
        <v>22</v>
      </c>
      <c r="DF268" t="s">
        <v>22</v>
      </c>
      <c r="DG268" t="s">
        <v>22</v>
      </c>
      <c r="DH268" t="s">
        <v>3</v>
      </c>
      <c r="DI268" t="s">
        <v>22</v>
      </c>
      <c r="DJ268" t="s">
        <v>22</v>
      </c>
      <c r="DK268" t="s">
        <v>3</v>
      </c>
      <c r="DL268" t="s">
        <v>3</v>
      </c>
      <c r="DM268" t="s">
        <v>3</v>
      </c>
      <c r="DN268">
        <v>80</v>
      </c>
      <c r="DO268">
        <v>55</v>
      </c>
      <c r="DP268">
        <v>1.0469999999999999</v>
      </c>
      <c r="DQ268">
        <v>1</v>
      </c>
      <c r="DU268">
        <v>1007</v>
      </c>
      <c r="DV268" t="s">
        <v>317</v>
      </c>
      <c r="DW268" t="s">
        <v>317</v>
      </c>
      <c r="DX268">
        <v>100</v>
      </c>
      <c r="DZ268" t="s">
        <v>3</v>
      </c>
      <c r="EA268" t="s">
        <v>3</v>
      </c>
      <c r="EB268" t="s">
        <v>3</v>
      </c>
      <c r="EC268" t="s">
        <v>3</v>
      </c>
      <c r="EE268">
        <v>51696713</v>
      </c>
      <c r="EF268">
        <v>60</v>
      </c>
      <c r="EG268" t="s">
        <v>319</v>
      </c>
      <c r="EH268">
        <v>0</v>
      </c>
      <c r="EI268" t="s">
        <v>3</v>
      </c>
      <c r="EJ268">
        <v>1</v>
      </c>
      <c r="EK268">
        <v>674</v>
      </c>
      <c r="EL268" t="s">
        <v>320</v>
      </c>
      <c r="EM268" t="s">
        <v>321</v>
      </c>
      <c r="EO268" t="s">
        <v>25</v>
      </c>
      <c r="EQ268">
        <v>131072</v>
      </c>
      <c r="ER268">
        <v>3623.88</v>
      </c>
      <c r="ES268">
        <v>0</v>
      </c>
      <c r="ET268">
        <v>1935.93</v>
      </c>
      <c r="EU268">
        <v>502.99</v>
      </c>
      <c r="EV268">
        <v>1687.95</v>
      </c>
      <c r="EW268">
        <v>155</v>
      </c>
      <c r="EX268">
        <v>0</v>
      </c>
      <c r="EY268">
        <v>0</v>
      </c>
      <c r="FQ268">
        <v>0</v>
      </c>
      <c r="FR268">
        <v>0</v>
      </c>
      <c r="FS268">
        <v>0</v>
      </c>
      <c r="FX268">
        <v>80</v>
      </c>
      <c r="FY268">
        <v>55</v>
      </c>
      <c r="GA268" t="s">
        <v>3</v>
      </c>
      <c r="GD268">
        <v>0</v>
      </c>
      <c r="GF268">
        <v>854491468</v>
      </c>
      <c r="GG268">
        <v>2</v>
      </c>
      <c r="GH268">
        <v>1</v>
      </c>
      <c r="GI268">
        <v>2</v>
      </c>
      <c r="GJ268">
        <v>0</v>
      </c>
      <c r="GK268">
        <f>ROUND(R268*(S12)/100,2)</f>
        <v>0</v>
      </c>
      <c r="GL268">
        <f t="shared" si="281"/>
        <v>0</v>
      </c>
      <c r="GM268">
        <f t="shared" si="282"/>
        <v>0</v>
      </c>
      <c r="GN268">
        <f t="shared" si="283"/>
        <v>0</v>
      </c>
      <c r="GO268">
        <f t="shared" si="284"/>
        <v>0</v>
      </c>
      <c r="GP268">
        <f t="shared" si="285"/>
        <v>0</v>
      </c>
      <c r="GR268">
        <v>0</v>
      </c>
      <c r="GS268">
        <v>3</v>
      </c>
      <c r="GT268">
        <v>0</v>
      </c>
      <c r="GU268" t="s">
        <v>3</v>
      </c>
      <c r="GV268">
        <f t="shared" si="286"/>
        <v>0</v>
      </c>
      <c r="GW268">
        <v>1</v>
      </c>
      <c r="GX268">
        <f t="shared" si="287"/>
        <v>0</v>
      </c>
      <c r="HA268">
        <v>0</v>
      </c>
      <c r="HB268">
        <v>0</v>
      </c>
      <c r="HC268">
        <f t="shared" si="288"/>
        <v>0</v>
      </c>
      <c r="HE268" t="s">
        <v>3</v>
      </c>
      <c r="HF268" t="s">
        <v>3</v>
      </c>
      <c r="HM268" t="s">
        <v>3</v>
      </c>
      <c r="HN268" t="s">
        <v>3</v>
      </c>
      <c r="HO268" t="s">
        <v>3</v>
      </c>
      <c r="HP268" t="s">
        <v>3</v>
      </c>
      <c r="HQ268" t="s">
        <v>3</v>
      </c>
      <c r="HS268">
        <v>0</v>
      </c>
      <c r="IK268">
        <v>0</v>
      </c>
    </row>
    <row r="269" spans="1:255" x14ac:dyDescent="0.2">
      <c r="A269" s="2">
        <v>17</v>
      </c>
      <c r="B269" s="2">
        <v>1</v>
      </c>
      <c r="C269" s="2"/>
      <c r="D269" s="2">
        <f>ROW(EtalonRes!A986)</f>
        <v>986</v>
      </c>
      <c r="E269" s="2" t="s">
        <v>322</v>
      </c>
      <c r="F269" s="2" t="s">
        <v>323</v>
      </c>
      <c r="G269" s="2" t="s">
        <v>324</v>
      </c>
      <c r="H269" s="2" t="s">
        <v>317</v>
      </c>
      <c r="I269" s="2">
        <v>0</v>
      </c>
      <c r="J269" s="2">
        <v>0</v>
      </c>
      <c r="K269" s="2">
        <v>0</v>
      </c>
      <c r="L269" s="2"/>
      <c r="M269" s="2"/>
      <c r="N269" s="2"/>
      <c r="O269" s="2">
        <f t="shared" si="254"/>
        <v>0</v>
      </c>
      <c r="P269" s="2">
        <f t="shared" si="255"/>
        <v>0</v>
      </c>
      <c r="Q269" s="2">
        <f t="shared" si="256"/>
        <v>0</v>
      </c>
      <c r="R269" s="2">
        <f t="shared" si="257"/>
        <v>0</v>
      </c>
      <c r="S269" s="2">
        <f t="shared" si="258"/>
        <v>0</v>
      </c>
      <c r="T269" s="2">
        <f t="shared" si="259"/>
        <v>0</v>
      </c>
      <c r="U269" s="2">
        <f t="shared" si="260"/>
        <v>0</v>
      </c>
      <c r="V269" s="2">
        <f t="shared" si="261"/>
        <v>0</v>
      </c>
      <c r="W269" s="2">
        <f t="shared" si="262"/>
        <v>0</v>
      </c>
      <c r="X269" s="2">
        <f t="shared" si="263"/>
        <v>0</v>
      </c>
      <c r="Y269" s="2">
        <f t="shared" si="264"/>
        <v>0</v>
      </c>
      <c r="Z269" s="2"/>
      <c r="AA269" s="2">
        <v>56622586</v>
      </c>
      <c r="AB269" s="2">
        <f t="shared" si="265"/>
        <v>3277.703</v>
      </c>
      <c r="AC269" s="2">
        <f t="shared" si="266"/>
        <v>0</v>
      </c>
      <c r="AD269" s="2">
        <f t="shared" si="267"/>
        <v>2590.5439999999999</v>
      </c>
      <c r="AE269" s="2">
        <f t="shared" si="268"/>
        <v>193.63300000000001</v>
      </c>
      <c r="AF269" s="2">
        <f t="shared" si="268"/>
        <v>687.15899999999999</v>
      </c>
      <c r="AG269" s="2">
        <f t="shared" si="269"/>
        <v>0</v>
      </c>
      <c r="AH269" s="2">
        <f t="shared" si="270"/>
        <v>54.45</v>
      </c>
      <c r="AI269" s="2">
        <f t="shared" si="270"/>
        <v>0</v>
      </c>
      <c r="AJ269" s="2">
        <f t="shared" si="271"/>
        <v>0</v>
      </c>
      <c r="AK269" s="2">
        <v>2979.73</v>
      </c>
      <c r="AL269" s="2">
        <v>0</v>
      </c>
      <c r="AM269" s="2">
        <v>2355.04</v>
      </c>
      <c r="AN269" s="2">
        <v>176.03</v>
      </c>
      <c r="AO269" s="2">
        <v>624.69000000000005</v>
      </c>
      <c r="AP269" s="2">
        <v>0</v>
      </c>
      <c r="AQ269" s="2">
        <v>49.5</v>
      </c>
      <c r="AR269" s="2">
        <v>0</v>
      </c>
      <c r="AS269" s="2">
        <v>0</v>
      </c>
      <c r="AT269" s="2">
        <v>80</v>
      </c>
      <c r="AU269" s="2">
        <v>55</v>
      </c>
      <c r="AV269" s="2">
        <v>1.0469999999999999</v>
      </c>
      <c r="AW269" s="2">
        <v>1</v>
      </c>
      <c r="AX269" s="2"/>
      <c r="AY269" s="2"/>
      <c r="AZ269" s="2">
        <v>1</v>
      </c>
      <c r="BA269" s="2">
        <v>1</v>
      </c>
      <c r="BB269" s="2">
        <v>1</v>
      </c>
      <c r="BC269" s="2">
        <v>1</v>
      </c>
      <c r="BD269" s="2" t="s">
        <v>3</v>
      </c>
      <c r="BE269" s="2" t="s">
        <v>3</v>
      </c>
      <c r="BF269" s="2" t="s">
        <v>3</v>
      </c>
      <c r="BG269" s="2" t="s">
        <v>3</v>
      </c>
      <c r="BH269" s="2">
        <v>0</v>
      </c>
      <c r="BI269" s="2">
        <v>1</v>
      </c>
      <c r="BJ269" s="2" t="s">
        <v>325</v>
      </c>
      <c r="BK269" s="2"/>
      <c r="BL269" s="2"/>
      <c r="BM269" s="2">
        <v>674</v>
      </c>
      <c r="BN269" s="2">
        <v>0</v>
      </c>
      <c r="BO269" s="2" t="s">
        <v>3</v>
      </c>
      <c r="BP269" s="2">
        <v>0</v>
      </c>
      <c r="BQ269" s="2">
        <v>60</v>
      </c>
      <c r="BR269" s="2">
        <v>0</v>
      </c>
      <c r="BS269" s="2">
        <v>1</v>
      </c>
      <c r="BT269" s="2">
        <v>1</v>
      </c>
      <c r="BU269" s="2">
        <v>1</v>
      </c>
      <c r="BV269" s="2">
        <v>1</v>
      </c>
      <c r="BW269" s="2">
        <v>1</v>
      </c>
      <c r="BX269" s="2">
        <v>1</v>
      </c>
      <c r="BY269" s="2" t="s">
        <v>3</v>
      </c>
      <c r="BZ269" s="2">
        <v>80</v>
      </c>
      <c r="CA269" s="2">
        <v>55</v>
      </c>
      <c r="CB269" s="2" t="s">
        <v>3</v>
      </c>
      <c r="CC269" s="2"/>
      <c r="CD269" s="2"/>
      <c r="CE269" s="2">
        <v>30</v>
      </c>
      <c r="CF269" s="2">
        <v>0</v>
      </c>
      <c r="CG269" s="2">
        <v>0</v>
      </c>
      <c r="CH269" s="2"/>
      <c r="CI269" s="2"/>
      <c r="CJ269" s="2"/>
      <c r="CK269" s="2"/>
      <c r="CL269" s="2"/>
      <c r="CM269" s="2">
        <v>0</v>
      </c>
      <c r="CN269" s="2" t="s">
        <v>671</v>
      </c>
      <c r="CO269" s="2">
        <v>0</v>
      </c>
      <c r="CP269" s="2">
        <f t="shared" si="272"/>
        <v>0</v>
      </c>
      <c r="CQ269" s="2">
        <f t="shared" si="273"/>
        <v>0</v>
      </c>
      <c r="CR269" s="2">
        <f t="shared" si="274"/>
        <v>2712.3</v>
      </c>
      <c r="CS269" s="2">
        <f t="shared" si="275"/>
        <v>202.73</v>
      </c>
      <c r="CT269" s="2">
        <f t="shared" si="276"/>
        <v>719.46</v>
      </c>
      <c r="CU269" s="2">
        <f t="shared" si="277"/>
        <v>0</v>
      </c>
      <c r="CV269" s="2">
        <f t="shared" si="278"/>
        <v>57.009149999999998</v>
      </c>
      <c r="CW269" s="2">
        <f t="shared" si="279"/>
        <v>0</v>
      </c>
      <c r="CX269" s="2">
        <f t="shared" si="280"/>
        <v>0</v>
      </c>
      <c r="CY269" s="2">
        <f>((S269*BZ269)/100)</f>
        <v>0</v>
      </c>
      <c r="CZ269" s="2">
        <f>((S269*CA269)/100)</f>
        <v>0</v>
      </c>
      <c r="DA269" s="2"/>
      <c r="DB269" s="2"/>
      <c r="DC269" s="2" t="s">
        <v>3</v>
      </c>
      <c r="DD269" s="2" t="s">
        <v>3</v>
      </c>
      <c r="DE269" s="2" t="s">
        <v>22</v>
      </c>
      <c r="DF269" s="2" t="s">
        <v>22</v>
      </c>
      <c r="DG269" s="2" t="s">
        <v>22</v>
      </c>
      <c r="DH269" s="2" t="s">
        <v>3</v>
      </c>
      <c r="DI269" s="2" t="s">
        <v>22</v>
      </c>
      <c r="DJ269" s="2" t="s">
        <v>22</v>
      </c>
      <c r="DK269" s="2" t="s">
        <v>3</v>
      </c>
      <c r="DL269" s="2" t="s">
        <v>3</v>
      </c>
      <c r="DM269" s="2" t="s">
        <v>3</v>
      </c>
      <c r="DN269" s="2">
        <v>0</v>
      </c>
      <c r="DO269" s="2">
        <v>0</v>
      </c>
      <c r="DP269" s="2">
        <v>1</v>
      </c>
      <c r="DQ269" s="2">
        <v>1</v>
      </c>
      <c r="DR269" s="2"/>
      <c r="DS269" s="2"/>
      <c r="DT269" s="2"/>
      <c r="DU269" s="2">
        <v>1007</v>
      </c>
      <c r="DV269" s="2" t="s">
        <v>317</v>
      </c>
      <c r="DW269" s="2" t="s">
        <v>317</v>
      </c>
      <c r="DX269" s="2">
        <v>100</v>
      </c>
      <c r="DY269" s="2"/>
      <c r="DZ269" s="2" t="s">
        <v>3</v>
      </c>
      <c r="EA269" s="2" t="s">
        <v>3</v>
      </c>
      <c r="EB269" s="2" t="s">
        <v>3</v>
      </c>
      <c r="EC269" s="2" t="s">
        <v>3</v>
      </c>
      <c r="ED269" s="2"/>
      <c r="EE269" s="2">
        <v>51696713</v>
      </c>
      <c r="EF269" s="2">
        <v>60</v>
      </c>
      <c r="EG269" s="2" t="s">
        <v>319</v>
      </c>
      <c r="EH269" s="2">
        <v>0</v>
      </c>
      <c r="EI269" s="2" t="s">
        <v>3</v>
      </c>
      <c r="EJ269" s="2">
        <v>1</v>
      </c>
      <c r="EK269" s="2">
        <v>674</v>
      </c>
      <c r="EL269" s="2" t="s">
        <v>320</v>
      </c>
      <c r="EM269" s="2" t="s">
        <v>321</v>
      </c>
      <c r="EN269" s="2"/>
      <c r="EO269" s="2" t="s">
        <v>25</v>
      </c>
      <c r="EP269" s="2"/>
      <c r="EQ269" s="2">
        <v>131072</v>
      </c>
      <c r="ER269" s="2">
        <v>2979.73</v>
      </c>
      <c r="ES269" s="2">
        <v>0</v>
      </c>
      <c r="ET269" s="2">
        <v>2355.04</v>
      </c>
      <c r="EU269" s="2">
        <v>176.03</v>
      </c>
      <c r="EV269" s="2">
        <v>624.69000000000005</v>
      </c>
      <c r="EW269" s="2">
        <v>49.5</v>
      </c>
      <c r="EX269" s="2">
        <v>0</v>
      </c>
      <c r="EY269" s="2">
        <v>0</v>
      </c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>
        <v>0</v>
      </c>
      <c r="FR269" s="2">
        <v>0</v>
      </c>
      <c r="FS269" s="2">
        <v>0</v>
      </c>
      <c r="FT269" s="2"/>
      <c r="FU269" s="2"/>
      <c r="FV269" s="2"/>
      <c r="FW269" s="2"/>
      <c r="FX269" s="2">
        <v>80</v>
      </c>
      <c r="FY269" s="2">
        <v>55</v>
      </c>
      <c r="FZ269" s="2"/>
      <c r="GA269" s="2" t="s">
        <v>3</v>
      </c>
      <c r="GB269" s="2"/>
      <c r="GC269" s="2"/>
      <c r="GD269" s="2">
        <v>0</v>
      </c>
      <c r="GE269" s="2"/>
      <c r="GF269" s="2">
        <v>-103070583</v>
      </c>
      <c r="GG269" s="2">
        <v>2</v>
      </c>
      <c r="GH269" s="2">
        <v>1</v>
      </c>
      <c r="GI269" s="2">
        <v>-2</v>
      </c>
      <c r="GJ269" s="2">
        <v>0</v>
      </c>
      <c r="GK269" s="2">
        <f>ROUND(R269*(R12)/100,2)</f>
        <v>0</v>
      </c>
      <c r="GL269" s="2">
        <f t="shared" si="281"/>
        <v>0</v>
      </c>
      <c r="GM269" s="2">
        <f t="shared" si="282"/>
        <v>0</v>
      </c>
      <c r="GN269" s="2">
        <f t="shared" si="283"/>
        <v>0</v>
      </c>
      <c r="GO269" s="2">
        <f t="shared" si="284"/>
        <v>0</v>
      </c>
      <c r="GP269" s="2">
        <f t="shared" si="285"/>
        <v>0</v>
      </c>
      <c r="GQ269" s="2"/>
      <c r="GR269" s="2">
        <v>0</v>
      </c>
      <c r="GS269" s="2">
        <v>0</v>
      </c>
      <c r="GT269" s="2">
        <v>0</v>
      </c>
      <c r="GU269" s="2" t="s">
        <v>3</v>
      </c>
      <c r="GV269" s="2">
        <f t="shared" si="286"/>
        <v>0</v>
      </c>
      <c r="GW269" s="2">
        <v>1</v>
      </c>
      <c r="GX269" s="2">
        <f t="shared" si="287"/>
        <v>0</v>
      </c>
      <c r="GY269" s="2"/>
      <c r="GZ269" s="2"/>
      <c r="HA269" s="2">
        <v>0</v>
      </c>
      <c r="HB269" s="2">
        <v>0</v>
      </c>
      <c r="HC269" s="2">
        <f t="shared" si="288"/>
        <v>0</v>
      </c>
      <c r="HD269" s="2"/>
      <c r="HE269" s="2" t="s">
        <v>3</v>
      </c>
      <c r="HF269" s="2" t="s">
        <v>3</v>
      </c>
      <c r="HG269" s="2"/>
      <c r="HH269" s="2"/>
      <c r="HI269" s="2"/>
      <c r="HJ269" s="2"/>
      <c r="HK269" s="2"/>
      <c r="HL269" s="2"/>
      <c r="HM269" s="2" t="s">
        <v>3</v>
      </c>
      <c r="HN269" s="2" t="s">
        <v>3</v>
      </c>
      <c r="HO269" s="2" t="s">
        <v>3</v>
      </c>
      <c r="HP269" s="2" t="s">
        <v>3</v>
      </c>
      <c r="HQ269" s="2" t="s">
        <v>3</v>
      </c>
      <c r="HR269" s="2"/>
      <c r="HS269" s="2">
        <v>0</v>
      </c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>
        <v>0</v>
      </c>
      <c r="IL269" s="2"/>
      <c r="IM269" s="2"/>
      <c r="IN269" s="2"/>
      <c r="IO269" s="2"/>
      <c r="IP269" s="2"/>
      <c r="IQ269" s="2"/>
      <c r="IR269" s="2"/>
      <c r="IS269" s="2"/>
      <c r="IT269" s="2"/>
      <c r="IU269" s="2"/>
    </row>
    <row r="270" spans="1:255" x14ac:dyDescent="0.2">
      <c r="A270">
        <v>17</v>
      </c>
      <c r="B270">
        <v>1</v>
      </c>
      <c r="D270">
        <f>ROW(EtalonRes!A990)</f>
        <v>990</v>
      </c>
      <c r="E270" t="s">
        <v>322</v>
      </c>
      <c r="F270" t="s">
        <v>323</v>
      </c>
      <c r="G270" t="s">
        <v>324</v>
      </c>
      <c r="H270" t="s">
        <v>317</v>
      </c>
      <c r="I270">
        <v>0</v>
      </c>
      <c r="J270">
        <v>0</v>
      </c>
      <c r="K270">
        <v>0</v>
      </c>
      <c r="O270">
        <f t="shared" si="254"/>
        <v>0</v>
      </c>
      <c r="P270">
        <f t="shared" si="255"/>
        <v>0</v>
      </c>
      <c r="Q270">
        <f t="shared" si="256"/>
        <v>0</v>
      </c>
      <c r="R270">
        <f t="shared" si="257"/>
        <v>0</v>
      </c>
      <c r="S270">
        <f t="shared" si="258"/>
        <v>0</v>
      </c>
      <c r="T270">
        <f t="shared" si="259"/>
        <v>0</v>
      </c>
      <c r="U270">
        <f t="shared" si="260"/>
        <v>0</v>
      </c>
      <c r="V270">
        <f t="shared" si="261"/>
        <v>0</v>
      </c>
      <c r="W270">
        <f t="shared" si="262"/>
        <v>0</v>
      </c>
      <c r="X270">
        <f t="shared" si="263"/>
        <v>0</v>
      </c>
      <c r="Y270">
        <f t="shared" si="264"/>
        <v>0</v>
      </c>
      <c r="AA270">
        <v>56616093</v>
      </c>
      <c r="AB270">
        <f t="shared" si="265"/>
        <v>3277.703</v>
      </c>
      <c r="AC270">
        <f t="shared" si="266"/>
        <v>0</v>
      </c>
      <c r="AD270">
        <f t="shared" si="267"/>
        <v>2590.5439999999999</v>
      </c>
      <c r="AE270">
        <f t="shared" si="268"/>
        <v>193.63300000000001</v>
      </c>
      <c r="AF270">
        <f t="shared" si="268"/>
        <v>687.15899999999999</v>
      </c>
      <c r="AG270">
        <f t="shared" si="269"/>
        <v>0</v>
      </c>
      <c r="AH270">
        <f t="shared" si="270"/>
        <v>54.45</v>
      </c>
      <c r="AI270">
        <f t="shared" si="270"/>
        <v>0</v>
      </c>
      <c r="AJ270">
        <f t="shared" si="271"/>
        <v>0</v>
      </c>
      <c r="AK270">
        <v>2979.73</v>
      </c>
      <c r="AL270">
        <v>0</v>
      </c>
      <c r="AM270">
        <v>2355.04</v>
      </c>
      <c r="AN270">
        <v>176.03</v>
      </c>
      <c r="AO270">
        <v>624.69000000000005</v>
      </c>
      <c r="AP270">
        <v>0</v>
      </c>
      <c r="AQ270">
        <v>49.5</v>
      </c>
      <c r="AR270">
        <v>0</v>
      </c>
      <c r="AS270">
        <v>0</v>
      </c>
      <c r="AT270">
        <v>70</v>
      </c>
      <c r="AU270">
        <v>41</v>
      </c>
      <c r="AV270">
        <v>1.0469999999999999</v>
      </c>
      <c r="AW270">
        <v>1</v>
      </c>
      <c r="AZ270">
        <v>1</v>
      </c>
      <c r="BA270">
        <v>34.51</v>
      </c>
      <c r="BB270">
        <v>11.35</v>
      </c>
      <c r="BC270">
        <v>1</v>
      </c>
      <c r="BD270" t="s">
        <v>3</v>
      </c>
      <c r="BE270" t="s">
        <v>3</v>
      </c>
      <c r="BF270" t="s">
        <v>3</v>
      </c>
      <c r="BG270" t="s">
        <v>3</v>
      </c>
      <c r="BH270">
        <v>0</v>
      </c>
      <c r="BI270">
        <v>1</v>
      </c>
      <c r="BJ270" t="s">
        <v>325</v>
      </c>
      <c r="BM270">
        <v>674</v>
      </c>
      <c r="BN270">
        <v>0</v>
      </c>
      <c r="BO270" t="s">
        <v>323</v>
      </c>
      <c r="BP270">
        <v>1</v>
      </c>
      <c r="BQ270">
        <v>60</v>
      </c>
      <c r="BR270">
        <v>0</v>
      </c>
      <c r="BS270">
        <v>34.51</v>
      </c>
      <c r="BT270">
        <v>1</v>
      </c>
      <c r="BU270">
        <v>1</v>
      </c>
      <c r="BV270">
        <v>1</v>
      </c>
      <c r="BW270">
        <v>1</v>
      </c>
      <c r="BX270">
        <v>1</v>
      </c>
      <c r="BY270" t="s">
        <v>3</v>
      </c>
      <c r="BZ270">
        <v>70</v>
      </c>
      <c r="CA270">
        <v>41</v>
      </c>
      <c r="CB270" t="s">
        <v>3</v>
      </c>
      <c r="CE270">
        <v>30</v>
      </c>
      <c r="CF270">
        <v>0</v>
      </c>
      <c r="CG270">
        <v>0</v>
      </c>
      <c r="CM270">
        <v>0</v>
      </c>
      <c r="CN270" t="s">
        <v>671</v>
      </c>
      <c r="CO270">
        <v>0</v>
      </c>
      <c r="CP270">
        <f t="shared" si="272"/>
        <v>0</v>
      </c>
      <c r="CQ270">
        <f t="shared" si="273"/>
        <v>0</v>
      </c>
      <c r="CR270">
        <f t="shared" si="274"/>
        <v>30784.61</v>
      </c>
      <c r="CS270">
        <f t="shared" si="275"/>
        <v>6996.21</v>
      </c>
      <c r="CT270">
        <f t="shared" si="276"/>
        <v>24828.560000000001</v>
      </c>
      <c r="CU270">
        <f t="shared" si="277"/>
        <v>0</v>
      </c>
      <c r="CV270">
        <f t="shared" si="278"/>
        <v>57.009149999999998</v>
      </c>
      <c r="CW270">
        <f t="shared" si="279"/>
        <v>0</v>
      </c>
      <c r="CX270">
        <f t="shared" si="280"/>
        <v>0</v>
      </c>
      <c r="CY270">
        <f>S270*(BZ270/100)</f>
        <v>0</v>
      </c>
      <c r="CZ270">
        <f>S270*(CA270/100)</f>
        <v>0</v>
      </c>
      <c r="DC270" t="s">
        <v>3</v>
      </c>
      <c r="DD270" t="s">
        <v>3</v>
      </c>
      <c r="DE270" t="s">
        <v>22</v>
      </c>
      <c r="DF270" t="s">
        <v>22</v>
      </c>
      <c r="DG270" t="s">
        <v>22</v>
      </c>
      <c r="DH270" t="s">
        <v>3</v>
      </c>
      <c r="DI270" t="s">
        <v>22</v>
      </c>
      <c r="DJ270" t="s">
        <v>22</v>
      </c>
      <c r="DK270" t="s">
        <v>3</v>
      </c>
      <c r="DL270" t="s">
        <v>3</v>
      </c>
      <c r="DM270" t="s">
        <v>3</v>
      </c>
      <c r="DN270">
        <v>80</v>
      </c>
      <c r="DO270">
        <v>55</v>
      </c>
      <c r="DP270">
        <v>1.0469999999999999</v>
      </c>
      <c r="DQ270">
        <v>1</v>
      </c>
      <c r="DU270">
        <v>1007</v>
      </c>
      <c r="DV270" t="s">
        <v>317</v>
      </c>
      <c r="DW270" t="s">
        <v>317</v>
      </c>
      <c r="DX270">
        <v>100</v>
      </c>
      <c r="DZ270" t="s">
        <v>3</v>
      </c>
      <c r="EA270" t="s">
        <v>3</v>
      </c>
      <c r="EB270" t="s">
        <v>3</v>
      </c>
      <c r="EC270" t="s">
        <v>3</v>
      </c>
      <c r="EE270">
        <v>51696713</v>
      </c>
      <c r="EF270">
        <v>60</v>
      </c>
      <c r="EG270" t="s">
        <v>319</v>
      </c>
      <c r="EH270">
        <v>0</v>
      </c>
      <c r="EI270" t="s">
        <v>3</v>
      </c>
      <c r="EJ270">
        <v>1</v>
      </c>
      <c r="EK270">
        <v>674</v>
      </c>
      <c r="EL270" t="s">
        <v>320</v>
      </c>
      <c r="EM270" t="s">
        <v>321</v>
      </c>
      <c r="EO270" t="s">
        <v>25</v>
      </c>
      <c r="EQ270">
        <v>131072</v>
      </c>
      <c r="ER270">
        <v>2979.73</v>
      </c>
      <c r="ES270">
        <v>0</v>
      </c>
      <c r="ET270">
        <v>2355.04</v>
      </c>
      <c r="EU270">
        <v>176.03</v>
      </c>
      <c r="EV270">
        <v>624.69000000000005</v>
      </c>
      <c r="EW270">
        <v>49.5</v>
      </c>
      <c r="EX270">
        <v>0</v>
      </c>
      <c r="EY270">
        <v>0</v>
      </c>
      <c r="FQ270">
        <v>0</v>
      </c>
      <c r="FR270">
        <v>0</v>
      </c>
      <c r="FS270">
        <v>0</v>
      </c>
      <c r="FX270">
        <v>80</v>
      </c>
      <c r="FY270">
        <v>55</v>
      </c>
      <c r="GA270" t="s">
        <v>3</v>
      </c>
      <c r="GD270">
        <v>0</v>
      </c>
      <c r="GF270">
        <v>-103070583</v>
      </c>
      <c r="GG270">
        <v>2</v>
      </c>
      <c r="GH270">
        <v>1</v>
      </c>
      <c r="GI270">
        <v>2</v>
      </c>
      <c r="GJ270">
        <v>0</v>
      </c>
      <c r="GK270">
        <f>ROUND(R270*(S12)/100,2)</f>
        <v>0</v>
      </c>
      <c r="GL270">
        <f t="shared" si="281"/>
        <v>0</v>
      </c>
      <c r="GM270">
        <f t="shared" si="282"/>
        <v>0</v>
      </c>
      <c r="GN270">
        <f t="shared" si="283"/>
        <v>0</v>
      </c>
      <c r="GO270">
        <f t="shared" si="284"/>
        <v>0</v>
      </c>
      <c r="GP270">
        <f t="shared" si="285"/>
        <v>0</v>
      </c>
      <c r="GR270">
        <v>0</v>
      </c>
      <c r="GS270">
        <v>3</v>
      </c>
      <c r="GT270">
        <v>0</v>
      </c>
      <c r="GU270" t="s">
        <v>3</v>
      </c>
      <c r="GV270">
        <f t="shared" si="286"/>
        <v>0</v>
      </c>
      <c r="GW270">
        <v>1</v>
      </c>
      <c r="GX270">
        <f t="shared" si="287"/>
        <v>0</v>
      </c>
      <c r="HA270">
        <v>0</v>
      </c>
      <c r="HB270">
        <v>0</v>
      </c>
      <c r="HC270">
        <f t="shared" si="288"/>
        <v>0</v>
      </c>
      <c r="HE270" t="s">
        <v>3</v>
      </c>
      <c r="HF270" t="s">
        <v>3</v>
      </c>
      <c r="HM270" t="s">
        <v>3</v>
      </c>
      <c r="HN270" t="s">
        <v>3</v>
      </c>
      <c r="HO270" t="s">
        <v>3</v>
      </c>
      <c r="HP270" t="s">
        <v>3</v>
      </c>
      <c r="HQ270" t="s">
        <v>3</v>
      </c>
      <c r="HS270">
        <v>0</v>
      </c>
      <c r="IK270">
        <v>0</v>
      </c>
    </row>
    <row r="271" spans="1:255" x14ac:dyDescent="0.2">
      <c r="A271" s="2">
        <v>17</v>
      </c>
      <c r="B271" s="2">
        <v>1</v>
      </c>
      <c r="C271" s="2"/>
      <c r="D271" s="2">
        <f>ROW(EtalonRes!A991)</f>
        <v>991</v>
      </c>
      <c r="E271" s="2" t="s">
        <v>326</v>
      </c>
      <c r="F271" s="2" t="s">
        <v>327</v>
      </c>
      <c r="G271" s="2" t="s">
        <v>328</v>
      </c>
      <c r="H271" s="2" t="s">
        <v>329</v>
      </c>
      <c r="I271" s="2">
        <f>ROUND((I267*2.4+I269*2.2)*100,9)</f>
        <v>0</v>
      </c>
      <c r="J271" s="2">
        <v>0</v>
      </c>
      <c r="K271" s="2">
        <f>ROUND((I267*2.4+I269*2.2)*100,9)</f>
        <v>0</v>
      </c>
      <c r="L271" s="2"/>
      <c r="M271" s="2"/>
      <c r="N271" s="2"/>
      <c r="O271" s="2">
        <f t="shared" si="254"/>
        <v>0</v>
      </c>
      <c r="P271" s="2">
        <f t="shared" si="255"/>
        <v>0</v>
      </c>
      <c r="Q271" s="2">
        <f t="shared" si="256"/>
        <v>0</v>
      </c>
      <c r="R271" s="2">
        <f t="shared" si="257"/>
        <v>0</v>
      </c>
      <c r="S271" s="2">
        <f t="shared" si="258"/>
        <v>0</v>
      </c>
      <c r="T271" s="2">
        <f t="shared" si="259"/>
        <v>0</v>
      </c>
      <c r="U271" s="2">
        <f t="shared" si="260"/>
        <v>0</v>
      </c>
      <c r="V271" s="2">
        <f t="shared" si="261"/>
        <v>0</v>
      </c>
      <c r="W271" s="2">
        <f t="shared" si="262"/>
        <v>0</v>
      </c>
      <c r="X271" s="2">
        <f t="shared" si="263"/>
        <v>0</v>
      </c>
      <c r="Y271" s="2">
        <f t="shared" si="264"/>
        <v>0</v>
      </c>
      <c r="Z271" s="2"/>
      <c r="AA271" s="2">
        <v>56622586</v>
      </c>
      <c r="AB271" s="2">
        <f t="shared" si="265"/>
        <v>9.7460000000000004</v>
      </c>
      <c r="AC271" s="2">
        <f t="shared" si="266"/>
        <v>0</v>
      </c>
      <c r="AD271" s="2">
        <f t="shared" si="267"/>
        <v>9.7460000000000004</v>
      </c>
      <c r="AE271" s="2">
        <f t="shared" si="268"/>
        <v>1.6279999999999999</v>
      </c>
      <c r="AF271" s="2">
        <f t="shared" si="268"/>
        <v>0</v>
      </c>
      <c r="AG271" s="2">
        <f t="shared" si="269"/>
        <v>0</v>
      </c>
      <c r="AH271" s="2">
        <f t="shared" si="270"/>
        <v>0</v>
      </c>
      <c r="AI271" s="2">
        <f t="shared" si="270"/>
        <v>0</v>
      </c>
      <c r="AJ271" s="2">
        <f t="shared" si="271"/>
        <v>0</v>
      </c>
      <c r="AK271" s="2">
        <v>8.86</v>
      </c>
      <c r="AL271" s="2">
        <v>0</v>
      </c>
      <c r="AM271" s="2">
        <v>8.86</v>
      </c>
      <c r="AN271" s="2">
        <v>1.48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91</v>
      </c>
      <c r="AU271" s="2">
        <v>70</v>
      </c>
      <c r="AV271" s="2">
        <v>1.0469999999999999</v>
      </c>
      <c r="AW271" s="2">
        <v>1.002</v>
      </c>
      <c r="AX271" s="2"/>
      <c r="AY271" s="2"/>
      <c r="AZ271" s="2">
        <v>1</v>
      </c>
      <c r="BA271" s="2">
        <v>1</v>
      </c>
      <c r="BB271" s="2">
        <v>1</v>
      </c>
      <c r="BC271" s="2">
        <v>1</v>
      </c>
      <c r="BD271" s="2" t="s">
        <v>3</v>
      </c>
      <c r="BE271" s="2" t="s">
        <v>3</v>
      </c>
      <c r="BF271" s="2" t="s">
        <v>3</v>
      </c>
      <c r="BG271" s="2" t="s">
        <v>3</v>
      </c>
      <c r="BH271" s="2">
        <v>0</v>
      </c>
      <c r="BI271" s="2">
        <v>1</v>
      </c>
      <c r="BJ271" s="2" t="s">
        <v>330</v>
      </c>
      <c r="BK271" s="2"/>
      <c r="BL271" s="2"/>
      <c r="BM271" s="2">
        <v>658</v>
      </c>
      <c r="BN271" s="2">
        <v>0</v>
      </c>
      <c r="BO271" s="2" t="s">
        <v>3</v>
      </c>
      <c r="BP271" s="2">
        <v>0</v>
      </c>
      <c r="BQ271" s="2">
        <v>60</v>
      </c>
      <c r="BR271" s="2">
        <v>0</v>
      </c>
      <c r="BS271" s="2">
        <v>1</v>
      </c>
      <c r="BT271" s="2">
        <v>1</v>
      </c>
      <c r="BU271" s="2">
        <v>1</v>
      </c>
      <c r="BV271" s="2">
        <v>1</v>
      </c>
      <c r="BW271" s="2">
        <v>1</v>
      </c>
      <c r="BX271" s="2">
        <v>1</v>
      </c>
      <c r="BY271" s="2" t="s">
        <v>3</v>
      </c>
      <c r="BZ271" s="2">
        <v>91</v>
      </c>
      <c r="CA271" s="2">
        <v>70</v>
      </c>
      <c r="CB271" s="2" t="s">
        <v>3</v>
      </c>
      <c r="CC271" s="2"/>
      <c r="CD271" s="2"/>
      <c r="CE271" s="2">
        <v>30</v>
      </c>
      <c r="CF271" s="2">
        <v>0</v>
      </c>
      <c r="CG271" s="2">
        <v>0</v>
      </c>
      <c r="CH271" s="2"/>
      <c r="CI271" s="2"/>
      <c r="CJ271" s="2"/>
      <c r="CK271" s="2"/>
      <c r="CL271" s="2"/>
      <c r="CM271" s="2">
        <v>0</v>
      </c>
      <c r="CN271" s="2" t="s">
        <v>671</v>
      </c>
      <c r="CO271" s="2">
        <v>0</v>
      </c>
      <c r="CP271" s="2">
        <f t="shared" si="272"/>
        <v>0</v>
      </c>
      <c r="CQ271" s="2">
        <f t="shared" si="273"/>
        <v>0</v>
      </c>
      <c r="CR271" s="2">
        <f t="shared" si="274"/>
        <v>10.199999999999999</v>
      </c>
      <c r="CS271" s="2">
        <f t="shared" si="275"/>
        <v>1.7</v>
      </c>
      <c r="CT271" s="2">
        <f t="shared" si="276"/>
        <v>0</v>
      </c>
      <c r="CU271" s="2">
        <f t="shared" si="277"/>
        <v>0</v>
      </c>
      <c r="CV271" s="2">
        <f t="shared" si="278"/>
        <v>0</v>
      </c>
      <c r="CW271" s="2">
        <f t="shared" si="279"/>
        <v>0</v>
      </c>
      <c r="CX271" s="2">
        <f t="shared" si="280"/>
        <v>0</v>
      </c>
      <c r="CY271" s="2">
        <f>((S271*BZ271)/100)</f>
        <v>0</v>
      </c>
      <c r="CZ271" s="2">
        <f>((S271*CA271)/100)</f>
        <v>0</v>
      </c>
      <c r="DA271" s="2"/>
      <c r="DB271" s="2"/>
      <c r="DC271" s="2" t="s">
        <v>3</v>
      </c>
      <c r="DD271" s="2" t="s">
        <v>3</v>
      </c>
      <c r="DE271" s="2" t="s">
        <v>22</v>
      </c>
      <c r="DF271" s="2" t="s">
        <v>22</v>
      </c>
      <c r="DG271" s="2" t="s">
        <v>22</v>
      </c>
      <c r="DH271" s="2" t="s">
        <v>3</v>
      </c>
      <c r="DI271" s="2" t="s">
        <v>22</v>
      </c>
      <c r="DJ271" s="2" t="s">
        <v>22</v>
      </c>
      <c r="DK271" s="2" t="s">
        <v>3</v>
      </c>
      <c r="DL271" s="2" t="s">
        <v>3</v>
      </c>
      <c r="DM271" s="2" t="s">
        <v>3</v>
      </c>
      <c r="DN271" s="2">
        <v>0</v>
      </c>
      <c r="DO271" s="2">
        <v>0</v>
      </c>
      <c r="DP271" s="2">
        <v>1</v>
      </c>
      <c r="DQ271" s="2">
        <v>1</v>
      </c>
      <c r="DR271" s="2"/>
      <c r="DS271" s="2"/>
      <c r="DT271" s="2"/>
      <c r="DU271" s="2">
        <v>1013</v>
      </c>
      <c r="DV271" s="2" t="s">
        <v>329</v>
      </c>
      <c r="DW271" s="2" t="s">
        <v>329</v>
      </c>
      <c r="DX271" s="2">
        <v>1</v>
      </c>
      <c r="DY271" s="2"/>
      <c r="DZ271" s="2" t="s">
        <v>3</v>
      </c>
      <c r="EA271" s="2" t="s">
        <v>3</v>
      </c>
      <c r="EB271" s="2" t="s">
        <v>3</v>
      </c>
      <c r="EC271" s="2" t="s">
        <v>3</v>
      </c>
      <c r="ED271" s="2"/>
      <c r="EE271" s="2">
        <v>51696697</v>
      </c>
      <c r="EF271" s="2">
        <v>60</v>
      </c>
      <c r="EG271" s="2" t="s">
        <v>319</v>
      </c>
      <c r="EH271" s="2">
        <v>0</v>
      </c>
      <c r="EI271" s="2" t="s">
        <v>3</v>
      </c>
      <c r="EJ271" s="2">
        <v>1</v>
      </c>
      <c r="EK271" s="2">
        <v>658</v>
      </c>
      <c r="EL271" s="2" t="s">
        <v>331</v>
      </c>
      <c r="EM271" s="2" t="s">
        <v>332</v>
      </c>
      <c r="EN271" s="2"/>
      <c r="EO271" s="2" t="s">
        <v>25</v>
      </c>
      <c r="EP271" s="2"/>
      <c r="EQ271" s="2">
        <v>131072</v>
      </c>
      <c r="ER271" s="2">
        <v>8.86</v>
      </c>
      <c r="ES271" s="2">
        <v>0</v>
      </c>
      <c r="ET271" s="2">
        <v>8.86</v>
      </c>
      <c r="EU271" s="2">
        <v>1.48</v>
      </c>
      <c r="EV271" s="2">
        <v>0</v>
      </c>
      <c r="EW271" s="2">
        <v>0</v>
      </c>
      <c r="EX271" s="2">
        <v>0</v>
      </c>
      <c r="EY271" s="2">
        <v>0</v>
      </c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>
        <v>0</v>
      </c>
      <c r="FR271" s="2">
        <v>0</v>
      </c>
      <c r="FS271" s="2">
        <v>0</v>
      </c>
      <c r="FT271" s="2"/>
      <c r="FU271" s="2"/>
      <c r="FV271" s="2"/>
      <c r="FW271" s="2"/>
      <c r="FX271" s="2">
        <v>91</v>
      </c>
      <c r="FY271" s="2">
        <v>70</v>
      </c>
      <c r="FZ271" s="2"/>
      <c r="GA271" s="2" t="s">
        <v>3</v>
      </c>
      <c r="GB271" s="2"/>
      <c r="GC271" s="2"/>
      <c r="GD271" s="2">
        <v>0</v>
      </c>
      <c r="GE271" s="2"/>
      <c r="GF271" s="2">
        <v>-714011973</v>
      </c>
      <c r="GG271" s="2">
        <v>2</v>
      </c>
      <c r="GH271" s="2">
        <v>1</v>
      </c>
      <c r="GI271" s="2">
        <v>-2</v>
      </c>
      <c r="GJ271" s="2">
        <v>0</v>
      </c>
      <c r="GK271" s="2">
        <f>ROUND(R271*(R12)/100,2)</f>
        <v>0</v>
      </c>
      <c r="GL271" s="2">
        <f t="shared" si="281"/>
        <v>0</v>
      </c>
      <c r="GM271" s="2">
        <f t="shared" si="282"/>
        <v>0</v>
      </c>
      <c r="GN271" s="2">
        <f t="shared" si="283"/>
        <v>0</v>
      </c>
      <c r="GO271" s="2">
        <f t="shared" si="284"/>
        <v>0</v>
      </c>
      <c r="GP271" s="2">
        <f t="shared" si="285"/>
        <v>0</v>
      </c>
      <c r="GQ271" s="2"/>
      <c r="GR271" s="2">
        <v>0</v>
      </c>
      <c r="GS271" s="2">
        <v>0</v>
      </c>
      <c r="GT271" s="2">
        <v>0</v>
      </c>
      <c r="GU271" s="2" t="s">
        <v>3</v>
      </c>
      <c r="GV271" s="2">
        <f t="shared" si="286"/>
        <v>0</v>
      </c>
      <c r="GW271" s="2">
        <v>1</v>
      </c>
      <c r="GX271" s="2">
        <f t="shared" si="287"/>
        <v>0</v>
      </c>
      <c r="GY271" s="2"/>
      <c r="GZ271" s="2"/>
      <c r="HA271" s="2">
        <v>0</v>
      </c>
      <c r="HB271" s="2">
        <v>0</v>
      </c>
      <c r="HC271" s="2">
        <f t="shared" si="288"/>
        <v>0</v>
      </c>
      <c r="HD271" s="2"/>
      <c r="HE271" s="2" t="s">
        <v>3</v>
      </c>
      <c r="HF271" s="2" t="s">
        <v>3</v>
      </c>
      <c r="HG271" s="2"/>
      <c r="HH271" s="2"/>
      <c r="HI271" s="2"/>
      <c r="HJ271" s="2"/>
      <c r="HK271" s="2"/>
      <c r="HL271" s="2"/>
      <c r="HM271" s="2" t="s">
        <v>3</v>
      </c>
      <c r="HN271" s="2" t="s">
        <v>3</v>
      </c>
      <c r="HO271" s="2" t="s">
        <v>3</v>
      </c>
      <c r="HP271" s="2" t="s">
        <v>3</v>
      </c>
      <c r="HQ271" s="2" t="s">
        <v>3</v>
      </c>
      <c r="HR271" s="2"/>
      <c r="HS271" s="2">
        <v>0</v>
      </c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>
        <v>0</v>
      </c>
      <c r="IL271" s="2"/>
      <c r="IM271" s="2"/>
      <c r="IN271" s="2"/>
      <c r="IO271" s="2"/>
      <c r="IP271" s="2"/>
      <c r="IQ271" s="2"/>
      <c r="IR271" s="2"/>
      <c r="IS271" s="2"/>
      <c r="IT271" s="2"/>
      <c r="IU271" s="2"/>
    </row>
    <row r="272" spans="1:255" x14ac:dyDescent="0.2">
      <c r="A272">
        <v>17</v>
      </c>
      <c r="B272">
        <v>1</v>
      </c>
      <c r="D272">
        <f>ROW(EtalonRes!A992)</f>
        <v>992</v>
      </c>
      <c r="E272" t="s">
        <v>326</v>
      </c>
      <c r="F272" t="s">
        <v>327</v>
      </c>
      <c r="G272" t="s">
        <v>328</v>
      </c>
      <c r="H272" t="s">
        <v>329</v>
      </c>
      <c r="I272">
        <f>ROUND((I268*2.4+I270*2.2)*100,9)</f>
        <v>0</v>
      </c>
      <c r="J272">
        <v>0</v>
      </c>
      <c r="K272">
        <f>ROUND((I268*2.4+I270*2.2)*100,9)</f>
        <v>0</v>
      </c>
      <c r="O272">
        <f t="shared" si="254"/>
        <v>0</v>
      </c>
      <c r="P272">
        <f t="shared" si="255"/>
        <v>0</v>
      </c>
      <c r="Q272">
        <f t="shared" si="256"/>
        <v>0</v>
      </c>
      <c r="R272">
        <f t="shared" si="257"/>
        <v>0</v>
      </c>
      <c r="S272">
        <f t="shared" si="258"/>
        <v>0</v>
      </c>
      <c r="T272">
        <f t="shared" si="259"/>
        <v>0</v>
      </c>
      <c r="U272">
        <f t="shared" si="260"/>
        <v>0</v>
      </c>
      <c r="V272">
        <f t="shared" si="261"/>
        <v>0</v>
      </c>
      <c r="W272">
        <f t="shared" si="262"/>
        <v>0</v>
      </c>
      <c r="X272">
        <f t="shared" si="263"/>
        <v>0</v>
      </c>
      <c r="Y272">
        <f t="shared" si="264"/>
        <v>0</v>
      </c>
      <c r="AA272">
        <v>56616093</v>
      </c>
      <c r="AB272">
        <f t="shared" si="265"/>
        <v>9.7460000000000004</v>
      </c>
      <c r="AC272">
        <f t="shared" si="266"/>
        <v>0</v>
      </c>
      <c r="AD272">
        <f t="shared" si="267"/>
        <v>9.7460000000000004</v>
      </c>
      <c r="AE272">
        <f t="shared" si="268"/>
        <v>1.6279999999999999</v>
      </c>
      <c r="AF272">
        <f t="shared" si="268"/>
        <v>0</v>
      </c>
      <c r="AG272">
        <f t="shared" si="269"/>
        <v>0</v>
      </c>
      <c r="AH272">
        <f t="shared" si="270"/>
        <v>0</v>
      </c>
      <c r="AI272">
        <f t="shared" si="270"/>
        <v>0</v>
      </c>
      <c r="AJ272">
        <f t="shared" si="271"/>
        <v>0</v>
      </c>
      <c r="AK272">
        <v>8.86</v>
      </c>
      <c r="AL272">
        <v>0</v>
      </c>
      <c r="AM272">
        <v>8.86</v>
      </c>
      <c r="AN272">
        <v>1.48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75</v>
      </c>
      <c r="AU272">
        <v>41</v>
      </c>
      <c r="AV272">
        <v>1.0469999999999999</v>
      </c>
      <c r="AW272">
        <v>1.002</v>
      </c>
      <c r="AZ272">
        <v>1</v>
      </c>
      <c r="BA272">
        <v>34.51</v>
      </c>
      <c r="BB272">
        <v>13.53</v>
      </c>
      <c r="BC272">
        <v>1</v>
      </c>
      <c r="BD272" t="s">
        <v>3</v>
      </c>
      <c r="BE272" t="s">
        <v>3</v>
      </c>
      <c r="BF272" t="s">
        <v>3</v>
      </c>
      <c r="BG272" t="s">
        <v>3</v>
      </c>
      <c r="BH272">
        <v>0</v>
      </c>
      <c r="BI272">
        <v>1</v>
      </c>
      <c r="BJ272" t="s">
        <v>330</v>
      </c>
      <c r="BM272">
        <v>658</v>
      </c>
      <c r="BN272">
        <v>0</v>
      </c>
      <c r="BO272" t="s">
        <v>327</v>
      </c>
      <c r="BP272">
        <v>1</v>
      </c>
      <c r="BQ272">
        <v>60</v>
      </c>
      <c r="BR272">
        <v>0</v>
      </c>
      <c r="BS272">
        <v>34.51</v>
      </c>
      <c r="BT272">
        <v>1</v>
      </c>
      <c r="BU272">
        <v>1</v>
      </c>
      <c r="BV272">
        <v>1</v>
      </c>
      <c r="BW272">
        <v>1</v>
      </c>
      <c r="BX272">
        <v>1</v>
      </c>
      <c r="BY272" t="s">
        <v>3</v>
      </c>
      <c r="BZ272">
        <v>75</v>
      </c>
      <c r="CA272">
        <v>41</v>
      </c>
      <c r="CB272" t="s">
        <v>3</v>
      </c>
      <c r="CE272">
        <v>30</v>
      </c>
      <c r="CF272">
        <v>0</v>
      </c>
      <c r="CG272">
        <v>0</v>
      </c>
      <c r="CM272">
        <v>0</v>
      </c>
      <c r="CN272" t="s">
        <v>671</v>
      </c>
      <c r="CO272">
        <v>0</v>
      </c>
      <c r="CP272">
        <f t="shared" si="272"/>
        <v>0</v>
      </c>
      <c r="CQ272">
        <f t="shared" si="273"/>
        <v>0</v>
      </c>
      <c r="CR272">
        <f t="shared" si="274"/>
        <v>138.01</v>
      </c>
      <c r="CS272">
        <f t="shared" si="275"/>
        <v>58.67</v>
      </c>
      <c r="CT272">
        <f t="shared" si="276"/>
        <v>0</v>
      </c>
      <c r="CU272">
        <f t="shared" si="277"/>
        <v>0</v>
      </c>
      <c r="CV272">
        <f t="shared" si="278"/>
        <v>0</v>
      </c>
      <c r="CW272">
        <f t="shared" si="279"/>
        <v>0</v>
      </c>
      <c r="CX272">
        <f t="shared" si="280"/>
        <v>0</v>
      </c>
      <c r="CY272">
        <f>S272*(BZ272/100)</f>
        <v>0</v>
      </c>
      <c r="CZ272">
        <f>S272*(CA272/100)</f>
        <v>0</v>
      </c>
      <c r="DC272" t="s">
        <v>3</v>
      </c>
      <c r="DD272" t="s">
        <v>3</v>
      </c>
      <c r="DE272" t="s">
        <v>22</v>
      </c>
      <c r="DF272" t="s">
        <v>22</v>
      </c>
      <c r="DG272" t="s">
        <v>22</v>
      </c>
      <c r="DH272" t="s">
        <v>3</v>
      </c>
      <c r="DI272" t="s">
        <v>22</v>
      </c>
      <c r="DJ272" t="s">
        <v>22</v>
      </c>
      <c r="DK272" t="s">
        <v>3</v>
      </c>
      <c r="DL272" t="s">
        <v>3</v>
      </c>
      <c r="DM272" t="s">
        <v>3</v>
      </c>
      <c r="DN272">
        <v>91</v>
      </c>
      <c r="DO272">
        <v>70</v>
      </c>
      <c r="DP272">
        <v>1.0469999999999999</v>
      </c>
      <c r="DQ272">
        <v>1.002</v>
      </c>
      <c r="DU272">
        <v>1013</v>
      </c>
      <c r="DV272" t="s">
        <v>329</v>
      </c>
      <c r="DW272" t="s">
        <v>329</v>
      </c>
      <c r="DX272">
        <v>1</v>
      </c>
      <c r="DZ272" t="s">
        <v>3</v>
      </c>
      <c r="EA272" t="s">
        <v>3</v>
      </c>
      <c r="EB272" t="s">
        <v>3</v>
      </c>
      <c r="EC272" t="s">
        <v>3</v>
      </c>
      <c r="EE272">
        <v>51696697</v>
      </c>
      <c r="EF272">
        <v>60</v>
      </c>
      <c r="EG272" t="s">
        <v>319</v>
      </c>
      <c r="EH272">
        <v>0</v>
      </c>
      <c r="EI272" t="s">
        <v>3</v>
      </c>
      <c r="EJ272">
        <v>1</v>
      </c>
      <c r="EK272">
        <v>658</v>
      </c>
      <c r="EL272" t="s">
        <v>331</v>
      </c>
      <c r="EM272" t="s">
        <v>332</v>
      </c>
      <c r="EO272" t="s">
        <v>25</v>
      </c>
      <c r="EQ272">
        <v>131072</v>
      </c>
      <c r="ER272">
        <v>8.86</v>
      </c>
      <c r="ES272">
        <v>0</v>
      </c>
      <c r="ET272">
        <v>8.86</v>
      </c>
      <c r="EU272">
        <v>1.48</v>
      </c>
      <c r="EV272">
        <v>0</v>
      </c>
      <c r="EW272">
        <v>0</v>
      </c>
      <c r="EX272">
        <v>0</v>
      </c>
      <c r="EY272">
        <v>0</v>
      </c>
      <c r="FQ272">
        <v>0</v>
      </c>
      <c r="FR272">
        <v>0</v>
      </c>
      <c r="FS272">
        <v>0</v>
      </c>
      <c r="FX272">
        <v>91</v>
      </c>
      <c r="FY272">
        <v>70</v>
      </c>
      <c r="GA272" t="s">
        <v>3</v>
      </c>
      <c r="GD272">
        <v>0</v>
      </c>
      <c r="GF272">
        <v>-714011973</v>
      </c>
      <c r="GG272">
        <v>2</v>
      </c>
      <c r="GH272">
        <v>1</v>
      </c>
      <c r="GI272">
        <v>2</v>
      </c>
      <c r="GJ272">
        <v>0</v>
      </c>
      <c r="GK272">
        <f>ROUND(R272*(S12)/100,2)</f>
        <v>0</v>
      </c>
      <c r="GL272">
        <f t="shared" si="281"/>
        <v>0</v>
      </c>
      <c r="GM272">
        <f t="shared" si="282"/>
        <v>0</v>
      </c>
      <c r="GN272">
        <f t="shared" si="283"/>
        <v>0</v>
      </c>
      <c r="GO272">
        <f t="shared" si="284"/>
        <v>0</v>
      </c>
      <c r="GP272">
        <f t="shared" si="285"/>
        <v>0</v>
      </c>
      <c r="GR272">
        <v>0</v>
      </c>
      <c r="GS272">
        <v>3</v>
      </c>
      <c r="GT272">
        <v>0</v>
      </c>
      <c r="GU272" t="s">
        <v>3</v>
      </c>
      <c r="GV272">
        <f t="shared" si="286"/>
        <v>0</v>
      </c>
      <c r="GW272">
        <v>1</v>
      </c>
      <c r="GX272">
        <f t="shared" si="287"/>
        <v>0</v>
      </c>
      <c r="HA272">
        <v>0</v>
      </c>
      <c r="HB272">
        <v>0</v>
      </c>
      <c r="HC272">
        <f t="shared" si="288"/>
        <v>0</v>
      </c>
      <c r="HE272" t="s">
        <v>3</v>
      </c>
      <c r="HF272" t="s">
        <v>3</v>
      </c>
      <c r="HM272" t="s">
        <v>3</v>
      </c>
      <c r="HN272" t="s">
        <v>3</v>
      </c>
      <c r="HO272" t="s">
        <v>3</v>
      </c>
      <c r="HP272" t="s">
        <v>3</v>
      </c>
      <c r="HQ272" t="s">
        <v>3</v>
      </c>
      <c r="HS272">
        <v>0</v>
      </c>
      <c r="IK272">
        <v>0</v>
      </c>
    </row>
    <row r="273" spans="1:255" x14ac:dyDescent="0.2">
      <c r="A273" s="2">
        <v>17</v>
      </c>
      <c r="B273" s="2">
        <v>1</v>
      </c>
      <c r="C273" s="2">
        <f>ROW(SmtRes!A191)</f>
        <v>191</v>
      </c>
      <c r="D273" s="2">
        <f>ROW(EtalonRes!A1000)</f>
        <v>1000</v>
      </c>
      <c r="E273" s="2" t="s">
        <v>333</v>
      </c>
      <c r="F273" s="2" t="s">
        <v>334</v>
      </c>
      <c r="G273" s="2" t="s">
        <v>335</v>
      </c>
      <c r="H273" s="2" t="s">
        <v>336</v>
      </c>
      <c r="I273" s="2">
        <v>0</v>
      </c>
      <c r="J273" s="2">
        <v>0</v>
      </c>
      <c r="K273" s="2">
        <v>0</v>
      </c>
      <c r="L273" s="2"/>
      <c r="M273" s="2"/>
      <c r="N273" s="2"/>
      <c r="O273" s="2">
        <f t="shared" si="254"/>
        <v>0</v>
      </c>
      <c r="P273" s="2">
        <f t="shared" si="255"/>
        <v>0</v>
      </c>
      <c r="Q273" s="2">
        <f t="shared" si="256"/>
        <v>0</v>
      </c>
      <c r="R273" s="2">
        <f t="shared" si="257"/>
        <v>0</v>
      </c>
      <c r="S273" s="2">
        <f t="shared" si="258"/>
        <v>0</v>
      </c>
      <c r="T273" s="2">
        <f t="shared" si="259"/>
        <v>0</v>
      </c>
      <c r="U273" s="2">
        <f t="shared" si="260"/>
        <v>0</v>
      </c>
      <c r="V273" s="2">
        <f t="shared" si="261"/>
        <v>0</v>
      </c>
      <c r="W273" s="2">
        <f t="shared" si="262"/>
        <v>0</v>
      </c>
      <c r="X273" s="2">
        <f t="shared" si="263"/>
        <v>0</v>
      </c>
      <c r="Y273" s="2">
        <f t="shared" si="264"/>
        <v>0</v>
      </c>
      <c r="Z273" s="2"/>
      <c r="AA273" s="2">
        <v>56622586</v>
      </c>
      <c r="AB273" s="2">
        <f t="shared" si="265"/>
        <v>1513.2660000000001</v>
      </c>
      <c r="AC273" s="2">
        <f t="shared" si="266"/>
        <v>35.35</v>
      </c>
      <c r="AD273" s="2">
        <f t="shared" si="267"/>
        <v>1311.277</v>
      </c>
      <c r="AE273" s="2">
        <f t="shared" si="268"/>
        <v>104.41200000000001</v>
      </c>
      <c r="AF273" s="2">
        <f t="shared" si="268"/>
        <v>166.63900000000001</v>
      </c>
      <c r="AG273" s="2">
        <f t="shared" si="269"/>
        <v>0</v>
      </c>
      <c r="AH273" s="2">
        <f t="shared" si="270"/>
        <v>15.840000000000002</v>
      </c>
      <c r="AI273" s="2">
        <f t="shared" si="270"/>
        <v>0</v>
      </c>
      <c r="AJ273" s="2">
        <f t="shared" si="271"/>
        <v>0</v>
      </c>
      <c r="AK273" s="2">
        <v>1378.91</v>
      </c>
      <c r="AL273" s="2">
        <v>35.35</v>
      </c>
      <c r="AM273" s="2">
        <v>1192.07</v>
      </c>
      <c r="AN273" s="2">
        <v>94.92</v>
      </c>
      <c r="AO273" s="2">
        <v>151.49</v>
      </c>
      <c r="AP273" s="2">
        <v>0</v>
      </c>
      <c r="AQ273" s="2">
        <v>14.4</v>
      </c>
      <c r="AR273" s="2">
        <v>0</v>
      </c>
      <c r="AS273" s="2">
        <v>0</v>
      </c>
      <c r="AT273" s="2">
        <v>161</v>
      </c>
      <c r="AU273" s="2">
        <v>107</v>
      </c>
      <c r="AV273" s="2">
        <v>1.0469999999999999</v>
      </c>
      <c r="AW273" s="2">
        <v>1.002</v>
      </c>
      <c r="AX273" s="2"/>
      <c r="AY273" s="2"/>
      <c r="AZ273" s="2">
        <v>1</v>
      </c>
      <c r="BA273" s="2">
        <v>1</v>
      </c>
      <c r="BB273" s="2">
        <v>1</v>
      </c>
      <c r="BC273" s="2">
        <v>1</v>
      </c>
      <c r="BD273" s="2" t="s">
        <v>3</v>
      </c>
      <c r="BE273" s="2" t="s">
        <v>3</v>
      </c>
      <c r="BF273" s="2" t="s">
        <v>3</v>
      </c>
      <c r="BG273" s="2" t="s">
        <v>3</v>
      </c>
      <c r="BH273" s="2">
        <v>0</v>
      </c>
      <c r="BI273" s="2">
        <v>1</v>
      </c>
      <c r="BJ273" s="2" t="s">
        <v>337</v>
      </c>
      <c r="BK273" s="2"/>
      <c r="BL273" s="2"/>
      <c r="BM273" s="2">
        <v>146</v>
      </c>
      <c r="BN273" s="2">
        <v>0</v>
      </c>
      <c r="BO273" s="2" t="s">
        <v>3</v>
      </c>
      <c r="BP273" s="2">
        <v>0</v>
      </c>
      <c r="BQ273" s="2">
        <v>30</v>
      </c>
      <c r="BR273" s="2">
        <v>0</v>
      </c>
      <c r="BS273" s="2">
        <v>1</v>
      </c>
      <c r="BT273" s="2">
        <v>1</v>
      </c>
      <c r="BU273" s="2">
        <v>1</v>
      </c>
      <c r="BV273" s="2">
        <v>1</v>
      </c>
      <c r="BW273" s="2">
        <v>1</v>
      </c>
      <c r="BX273" s="2">
        <v>1</v>
      </c>
      <c r="BY273" s="2" t="s">
        <v>3</v>
      </c>
      <c r="BZ273" s="2">
        <v>161</v>
      </c>
      <c r="CA273" s="2">
        <v>107</v>
      </c>
      <c r="CB273" s="2" t="s">
        <v>3</v>
      </c>
      <c r="CC273" s="2"/>
      <c r="CD273" s="2"/>
      <c r="CE273" s="2">
        <v>30</v>
      </c>
      <c r="CF273" s="2">
        <v>0</v>
      </c>
      <c r="CG273" s="2">
        <v>0</v>
      </c>
      <c r="CH273" s="2"/>
      <c r="CI273" s="2"/>
      <c r="CJ273" s="2"/>
      <c r="CK273" s="2"/>
      <c r="CL273" s="2"/>
      <c r="CM273" s="2">
        <v>0</v>
      </c>
      <c r="CN273" s="2" t="s">
        <v>671</v>
      </c>
      <c r="CO273" s="2">
        <v>0</v>
      </c>
      <c r="CP273" s="2">
        <f t="shared" si="272"/>
        <v>0</v>
      </c>
      <c r="CQ273" s="2">
        <f t="shared" si="273"/>
        <v>35.42</v>
      </c>
      <c r="CR273" s="2">
        <f t="shared" si="274"/>
        <v>1372.91</v>
      </c>
      <c r="CS273" s="2">
        <f t="shared" si="275"/>
        <v>109.32</v>
      </c>
      <c r="CT273" s="2">
        <f t="shared" si="276"/>
        <v>174.47</v>
      </c>
      <c r="CU273" s="2">
        <f t="shared" si="277"/>
        <v>0</v>
      </c>
      <c r="CV273" s="2">
        <f t="shared" si="278"/>
        <v>16.584479999999999</v>
      </c>
      <c r="CW273" s="2">
        <f t="shared" si="279"/>
        <v>0</v>
      </c>
      <c r="CX273" s="2">
        <f t="shared" si="280"/>
        <v>0</v>
      </c>
      <c r="CY273" s="2">
        <f>((S273*BZ273)/100)</f>
        <v>0</v>
      </c>
      <c r="CZ273" s="2">
        <f>((S273*CA273)/100)</f>
        <v>0</v>
      </c>
      <c r="DA273" s="2"/>
      <c r="DB273" s="2"/>
      <c r="DC273" s="2" t="s">
        <v>3</v>
      </c>
      <c r="DD273" s="2" t="s">
        <v>3</v>
      </c>
      <c r="DE273" s="2" t="s">
        <v>22</v>
      </c>
      <c r="DF273" s="2" t="s">
        <v>22</v>
      </c>
      <c r="DG273" s="2" t="s">
        <v>22</v>
      </c>
      <c r="DH273" s="2" t="s">
        <v>3</v>
      </c>
      <c r="DI273" s="2" t="s">
        <v>22</v>
      </c>
      <c r="DJ273" s="2" t="s">
        <v>22</v>
      </c>
      <c r="DK273" s="2" t="s">
        <v>3</v>
      </c>
      <c r="DL273" s="2" t="s">
        <v>3</v>
      </c>
      <c r="DM273" s="2" t="s">
        <v>3</v>
      </c>
      <c r="DN273" s="2">
        <v>0</v>
      </c>
      <c r="DO273" s="2">
        <v>0</v>
      </c>
      <c r="DP273" s="2">
        <v>1</v>
      </c>
      <c r="DQ273" s="2">
        <v>1</v>
      </c>
      <c r="DR273" s="2"/>
      <c r="DS273" s="2"/>
      <c r="DT273" s="2"/>
      <c r="DU273" s="2">
        <v>1013</v>
      </c>
      <c r="DV273" s="2" t="s">
        <v>336</v>
      </c>
      <c r="DW273" s="2" t="s">
        <v>336</v>
      </c>
      <c r="DX273" s="2">
        <v>1</v>
      </c>
      <c r="DY273" s="2"/>
      <c r="DZ273" s="2" t="s">
        <v>3</v>
      </c>
      <c r="EA273" s="2" t="s">
        <v>3</v>
      </c>
      <c r="EB273" s="2" t="s">
        <v>3</v>
      </c>
      <c r="EC273" s="2" t="s">
        <v>3</v>
      </c>
      <c r="ED273" s="2"/>
      <c r="EE273" s="2">
        <v>51696185</v>
      </c>
      <c r="EF273" s="2">
        <v>30</v>
      </c>
      <c r="EG273" s="2" t="s">
        <v>16</v>
      </c>
      <c r="EH273" s="2">
        <v>0</v>
      </c>
      <c r="EI273" s="2" t="s">
        <v>3</v>
      </c>
      <c r="EJ273" s="2">
        <v>1</v>
      </c>
      <c r="EK273" s="2">
        <v>146</v>
      </c>
      <c r="EL273" s="2" t="s">
        <v>338</v>
      </c>
      <c r="EM273" s="2" t="s">
        <v>339</v>
      </c>
      <c r="EN273" s="2"/>
      <c r="EO273" s="2" t="s">
        <v>25</v>
      </c>
      <c r="EP273" s="2"/>
      <c r="EQ273" s="2">
        <v>131072</v>
      </c>
      <c r="ER273" s="2">
        <v>1378.91</v>
      </c>
      <c r="ES273" s="2">
        <v>35.35</v>
      </c>
      <c r="ET273" s="2">
        <v>1192.07</v>
      </c>
      <c r="EU273" s="2">
        <v>94.92</v>
      </c>
      <c r="EV273" s="2">
        <v>151.49</v>
      </c>
      <c r="EW273" s="2">
        <v>14.4</v>
      </c>
      <c r="EX273" s="2">
        <v>0</v>
      </c>
      <c r="EY273" s="2">
        <v>0</v>
      </c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>
        <v>0</v>
      </c>
      <c r="FR273" s="2">
        <v>0</v>
      </c>
      <c r="FS273" s="2">
        <v>0</v>
      </c>
      <c r="FT273" s="2"/>
      <c r="FU273" s="2"/>
      <c r="FV273" s="2"/>
      <c r="FW273" s="2"/>
      <c r="FX273" s="2">
        <v>161</v>
      </c>
      <c r="FY273" s="2">
        <v>107</v>
      </c>
      <c r="FZ273" s="2"/>
      <c r="GA273" s="2" t="s">
        <v>3</v>
      </c>
      <c r="GB273" s="2"/>
      <c r="GC273" s="2"/>
      <c r="GD273" s="2">
        <v>0</v>
      </c>
      <c r="GE273" s="2"/>
      <c r="GF273" s="2">
        <v>1372229329</v>
      </c>
      <c r="GG273" s="2">
        <v>2</v>
      </c>
      <c r="GH273" s="2">
        <v>1</v>
      </c>
      <c r="GI273" s="2">
        <v>-2</v>
      </c>
      <c r="GJ273" s="2">
        <v>0</v>
      </c>
      <c r="GK273" s="2">
        <f>ROUND(R273*(R12)/100,2)</f>
        <v>0</v>
      </c>
      <c r="GL273" s="2">
        <f t="shared" si="281"/>
        <v>0</v>
      </c>
      <c r="GM273" s="2">
        <f t="shared" si="282"/>
        <v>0</v>
      </c>
      <c r="GN273" s="2">
        <f t="shared" si="283"/>
        <v>0</v>
      </c>
      <c r="GO273" s="2">
        <f t="shared" si="284"/>
        <v>0</v>
      </c>
      <c r="GP273" s="2">
        <f t="shared" si="285"/>
        <v>0</v>
      </c>
      <c r="GQ273" s="2"/>
      <c r="GR273" s="2">
        <v>0</v>
      </c>
      <c r="GS273" s="2">
        <v>0</v>
      </c>
      <c r="GT273" s="2">
        <v>0</v>
      </c>
      <c r="GU273" s="2" t="s">
        <v>3</v>
      </c>
      <c r="GV273" s="2">
        <f t="shared" si="286"/>
        <v>0</v>
      </c>
      <c r="GW273" s="2">
        <v>1</v>
      </c>
      <c r="GX273" s="2">
        <f t="shared" si="287"/>
        <v>0</v>
      </c>
      <c r="GY273" s="2"/>
      <c r="GZ273" s="2"/>
      <c r="HA273" s="2">
        <v>0</v>
      </c>
      <c r="HB273" s="2">
        <v>0</v>
      </c>
      <c r="HC273" s="2">
        <f t="shared" si="288"/>
        <v>0</v>
      </c>
      <c r="HD273" s="2"/>
      <c r="HE273" s="2" t="s">
        <v>3</v>
      </c>
      <c r="HF273" s="2" t="s">
        <v>3</v>
      </c>
      <c r="HG273" s="2"/>
      <c r="HH273" s="2"/>
      <c r="HI273" s="2"/>
      <c r="HJ273" s="2"/>
      <c r="HK273" s="2"/>
      <c r="HL273" s="2"/>
      <c r="HM273" s="2" t="s">
        <v>3</v>
      </c>
      <c r="HN273" s="2" t="s">
        <v>3</v>
      </c>
      <c r="HO273" s="2" t="s">
        <v>3</v>
      </c>
      <c r="HP273" s="2" t="s">
        <v>3</v>
      </c>
      <c r="HQ273" s="2" t="s">
        <v>3</v>
      </c>
      <c r="HR273" s="2"/>
      <c r="HS273" s="2">
        <v>0</v>
      </c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>
        <v>0</v>
      </c>
      <c r="IL273" s="2"/>
      <c r="IM273" s="2"/>
      <c r="IN273" s="2"/>
      <c r="IO273" s="2"/>
      <c r="IP273" s="2"/>
      <c r="IQ273" s="2"/>
      <c r="IR273" s="2"/>
      <c r="IS273" s="2"/>
      <c r="IT273" s="2"/>
      <c r="IU273" s="2"/>
    </row>
    <row r="274" spans="1:255" x14ac:dyDescent="0.2">
      <c r="A274">
        <v>17</v>
      </c>
      <c r="B274">
        <v>1</v>
      </c>
      <c r="C274">
        <f>ROW(SmtRes!A192)</f>
        <v>192</v>
      </c>
      <c r="D274">
        <f>ROW(EtalonRes!A1008)</f>
        <v>1008</v>
      </c>
      <c r="E274" t="s">
        <v>333</v>
      </c>
      <c r="F274" t="s">
        <v>334</v>
      </c>
      <c r="G274" t="s">
        <v>335</v>
      </c>
      <c r="H274" t="s">
        <v>336</v>
      </c>
      <c r="I274">
        <v>0</v>
      </c>
      <c r="J274">
        <v>0</v>
      </c>
      <c r="K274">
        <v>0</v>
      </c>
      <c r="O274">
        <f t="shared" si="254"/>
        <v>0</v>
      </c>
      <c r="P274">
        <f t="shared" si="255"/>
        <v>0</v>
      </c>
      <c r="Q274">
        <f t="shared" si="256"/>
        <v>0</v>
      </c>
      <c r="R274">
        <f t="shared" si="257"/>
        <v>0</v>
      </c>
      <c r="S274">
        <f t="shared" si="258"/>
        <v>0</v>
      </c>
      <c r="T274">
        <f t="shared" si="259"/>
        <v>0</v>
      </c>
      <c r="U274">
        <f t="shared" si="260"/>
        <v>0</v>
      </c>
      <c r="V274">
        <f t="shared" si="261"/>
        <v>0</v>
      </c>
      <c r="W274">
        <f t="shared" si="262"/>
        <v>0</v>
      </c>
      <c r="X274">
        <f t="shared" si="263"/>
        <v>0</v>
      </c>
      <c r="Y274">
        <f t="shared" si="264"/>
        <v>0</v>
      </c>
      <c r="AA274">
        <v>56616093</v>
      </c>
      <c r="AB274">
        <f t="shared" si="265"/>
        <v>1513.2660000000001</v>
      </c>
      <c r="AC274">
        <f t="shared" si="266"/>
        <v>35.35</v>
      </c>
      <c r="AD274">
        <f t="shared" si="267"/>
        <v>1311.277</v>
      </c>
      <c r="AE274">
        <f t="shared" si="268"/>
        <v>104.41200000000001</v>
      </c>
      <c r="AF274">
        <f t="shared" si="268"/>
        <v>166.63900000000001</v>
      </c>
      <c r="AG274">
        <f t="shared" si="269"/>
        <v>0</v>
      </c>
      <c r="AH274">
        <f t="shared" si="270"/>
        <v>15.840000000000002</v>
      </c>
      <c r="AI274">
        <f t="shared" si="270"/>
        <v>0</v>
      </c>
      <c r="AJ274">
        <f t="shared" si="271"/>
        <v>0</v>
      </c>
      <c r="AK274">
        <v>1378.91</v>
      </c>
      <c r="AL274">
        <v>35.35</v>
      </c>
      <c r="AM274">
        <v>1192.07</v>
      </c>
      <c r="AN274">
        <v>94.92</v>
      </c>
      <c r="AO274">
        <v>151.49</v>
      </c>
      <c r="AP274">
        <v>0</v>
      </c>
      <c r="AQ274">
        <v>14.4</v>
      </c>
      <c r="AR274">
        <v>0</v>
      </c>
      <c r="AS274">
        <v>0</v>
      </c>
      <c r="AT274">
        <v>134</v>
      </c>
      <c r="AU274">
        <v>55</v>
      </c>
      <c r="AV274">
        <v>1.0469999999999999</v>
      </c>
      <c r="AW274">
        <v>1.002</v>
      </c>
      <c r="AZ274">
        <v>1</v>
      </c>
      <c r="BA274">
        <v>34.51</v>
      </c>
      <c r="BB274">
        <v>11.7</v>
      </c>
      <c r="BC274">
        <v>7.05</v>
      </c>
      <c r="BD274" t="s">
        <v>3</v>
      </c>
      <c r="BE274" t="s">
        <v>3</v>
      </c>
      <c r="BF274" t="s">
        <v>3</v>
      </c>
      <c r="BG274" t="s">
        <v>3</v>
      </c>
      <c r="BH274">
        <v>0</v>
      </c>
      <c r="BI274">
        <v>1</v>
      </c>
      <c r="BJ274" t="s">
        <v>337</v>
      </c>
      <c r="BM274">
        <v>146</v>
      </c>
      <c r="BN274">
        <v>0</v>
      </c>
      <c r="BO274" t="s">
        <v>334</v>
      </c>
      <c r="BP274">
        <v>1</v>
      </c>
      <c r="BQ274">
        <v>30</v>
      </c>
      <c r="BR274">
        <v>0</v>
      </c>
      <c r="BS274">
        <v>34.51</v>
      </c>
      <c r="BT274">
        <v>1</v>
      </c>
      <c r="BU274">
        <v>1</v>
      </c>
      <c r="BV274">
        <v>1</v>
      </c>
      <c r="BW274">
        <v>1</v>
      </c>
      <c r="BX274">
        <v>1</v>
      </c>
      <c r="BY274" t="s">
        <v>3</v>
      </c>
      <c r="BZ274">
        <v>134</v>
      </c>
      <c r="CA274">
        <v>55</v>
      </c>
      <c r="CB274" t="s">
        <v>3</v>
      </c>
      <c r="CE274">
        <v>30</v>
      </c>
      <c r="CF274">
        <v>0</v>
      </c>
      <c r="CG274">
        <v>0</v>
      </c>
      <c r="CM274">
        <v>0</v>
      </c>
      <c r="CN274" t="s">
        <v>671</v>
      </c>
      <c r="CO274">
        <v>0</v>
      </c>
      <c r="CP274">
        <f t="shared" si="272"/>
        <v>0</v>
      </c>
      <c r="CQ274">
        <f t="shared" si="273"/>
        <v>249.71</v>
      </c>
      <c r="CR274">
        <f t="shared" si="274"/>
        <v>16063.05</v>
      </c>
      <c r="CS274">
        <f t="shared" si="275"/>
        <v>3772.63</v>
      </c>
      <c r="CT274">
        <f t="shared" si="276"/>
        <v>6020.96</v>
      </c>
      <c r="CU274">
        <f t="shared" si="277"/>
        <v>0</v>
      </c>
      <c r="CV274">
        <f t="shared" si="278"/>
        <v>16.584479999999999</v>
      </c>
      <c r="CW274">
        <f t="shared" si="279"/>
        <v>0</v>
      </c>
      <c r="CX274">
        <f t="shared" si="280"/>
        <v>0</v>
      </c>
      <c r="CY274">
        <f>S274*(BZ274/100)</f>
        <v>0</v>
      </c>
      <c r="CZ274">
        <f>S274*(CA274/100)</f>
        <v>0</v>
      </c>
      <c r="DC274" t="s">
        <v>3</v>
      </c>
      <c r="DD274" t="s">
        <v>3</v>
      </c>
      <c r="DE274" t="s">
        <v>22</v>
      </c>
      <c r="DF274" t="s">
        <v>22</v>
      </c>
      <c r="DG274" t="s">
        <v>22</v>
      </c>
      <c r="DH274" t="s">
        <v>3</v>
      </c>
      <c r="DI274" t="s">
        <v>22</v>
      </c>
      <c r="DJ274" t="s">
        <v>22</v>
      </c>
      <c r="DK274" t="s">
        <v>3</v>
      </c>
      <c r="DL274" t="s">
        <v>3</v>
      </c>
      <c r="DM274" t="s">
        <v>3</v>
      </c>
      <c r="DN274">
        <v>161</v>
      </c>
      <c r="DO274">
        <v>107</v>
      </c>
      <c r="DP274">
        <v>1.0469999999999999</v>
      </c>
      <c r="DQ274">
        <v>1.002</v>
      </c>
      <c r="DU274">
        <v>1013</v>
      </c>
      <c r="DV274" t="s">
        <v>336</v>
      </c>
      <c r="DW274" t="s">
        <v>336</v>
      </c>
      <c r="DX274">
        <v>1</v>
      </c>
      <c r="DZ274" t="s">
        <v>3</v>
      </c>
      <c r="EA274" t="s">
        <v>3</v>
      </c>
      <c r="EB274" t="s">
        <v>3</v>
      </c>
      <c r="EC274" t="s">
        <v>3</v>
      </c>
      <c r="EE274">
        <v>51696185</v>
      </c>
      <c r="EF274">
        <v>30</v>
      </c>
      <c r="EG274" t="s">
        <v>16</v>
      </c>
      <c r="EH274">
        <v>0</v>
      </c>
      <c r="EI274" t="s">
        <v>3</v>
      </c>
      <c r="EJ274">
        <v>1</v>
      </c>
      <c r="EK274">
        <v>146</v>
      </c>
      <c r="EL274" t="s">
        <v>338</v>
      </c>
      <c r="EM274" t="s">
        <v>339</v>
      </c>
      <c r="EO274" t="s">
        <v>25</v>
      </c>
      <c r="EQ274">
        <v>131072</v>
      </c>
      <c r="ER274">
        <v>1378.91</v>
      </c>
      <c r="ES274">
        <v>35.35</v>
      </c>
      <c r="ET274">
        <v>1192.07</v>
      </c>
      <c r="EU274">
        <v>94.92</v>
      </c>
      <c r="EV274">
        <v>151.49</v>
      </c>
      <c r="EW274">
        <v>14.4</v>
      </c>
      <c r="EX274">
        <v>0</v>
      </c>
      <c r="EY274">
        <v>0</v>
      </c>
      <c r="FQ274">
        <v>0</v>
      </c>
      <c r="FR274">
        <v>0</v>
      </c>
      <c r="FS274">
        <v>0</v>
      </c>
      <c r="FX274">
        <v>161</v>
      </c>
      <c r="FY274">
        <v>107</v>
      </c>
      <c r="GA274" t="s">
        <v>3</v>
      </c>
      <c r="GD274">
        <v>0</v>
      </c>
      <c r="GF274">
        <v>1372229329</v>
      </c>
      <c r="GG274">
        <v>2</v>
      </c>
      <c r="GH274">
        <v>1</v>
      </c>
      <c r="GI274">
        <v>2</v>
      </c>
      <c r="GJ274">
        <v>0</v>
      </c>
      <c r="GK274">
        <f>ROUND(R274*(S12)/100,2)</f>
        <v>0</v>
      </c>
      <c r="GL274">
        <f t="shared" si="281"/>
        <v>0</v>
      </c>
      <c r="GM274">
        <f t="shared" si="282"/>
        <v>0</v>
      </c>
      <c r="GN274">
        <f t="shared" si="283"/>
        <v>0</v>
      </c>
      <c r="GO274">
        <f t="shared" si="284"/>
        <v>0</v>
      </c>
      <c r="GP274">
        <f t="shared" si="285"/>
        <v>0</v>
      </c>
      <c r="GR274">
        <v>0</v>
      </c>
      <c r="GS274">
        <v>3</v>
      </c>
      <c r="GT274">
        <v>0</v>
      </c>
      <c r="GU274" t="s">
        <v>3</v>
      </c>
      <c r="GV274">
        <f t="shared" si="286"/>
        <v>0</v>
      </c>
      <c r="GW274">
        <v>1</v>
      </c>
      <c r="GX274">
        <f t="shared" si="287"/>
        <v>0</v>
      </c>
      <c r="HA274">
        <v>0</v>
      </c>
      <c r="HB274">
        <v>0</v>
      </c>
      <c r="HC274">
        <f t="shared" si="288"/>
        <v>0</v>
      </c>
      <c r="HE274" t="s">
        <v>3</v>
      </c>
      <c r="HF274" t="s">
        <v>3</v>
      </c>
      <c r="HM274" t="s">
        <v>3</v>
      </c>
      <c r="HN274" t="s">
        <v>3</v>
      </c>
      <c r="HO274" t="s">
        <v>3</v>
      </c>
      <c r="HP274" t="s">
        <v>3</v>
      </c>
      <c r="HQ274" t="s">
        <v>3</v>
      </c>
      <c r="HS274">
        <v>0</v>
      </c>
      <c r="IK274">
        <v>0</v>
      </c>
    </row>
    <row r="275" spans="1:255" x14ac:dyDescent="0.2">
      <c r="A275" s="2">
        <v>18</v>
      </c>
      <c r="B275" s="2">
        <v>1</v>
      </c>
      <c r="C275" s="2">
        <v>191</v>
      </c>
      <c r="D275" s="2"/>
      <c r="E275" s="2" t="s">
        <v>340</v>
      </c>
      <c r="F275" s="2" t="s">
        <v>91</v>
      </c>
      <c r="G275" s="2" t="s">
        <v>341</v>
      </c>
      <c r="H275" s="2" t="s">
        <v>93</v>
      </c>
      <c r="I275" s="2">
        <f>I273*J275</f>
        <v>0</v>
      </c>
      <c r="J275" s="2">
        <v>110</v>
      </c>
      <c r="K275" s="2">
        <v>110</v>
      </c>
      <c r="L275" s="2"/>
      <c r="M275" s="2"/>
      <c r="N275" s="2"/>
      <c r="O275" s="2">
        <f t="shared" si="254"/>
        <v>0</v>
      </c>
      <c r="P275" s="2">
        <f t="shared" si="255"/>
        <v>0</v>
      </c>
      <c r="Q275" s="2">
        <f>(ROUND((ROUND(((ET275)*AV275*I275),2)*BB275),2)+ROUND((ROUND(((AE275-(EU275))*AV275*I275),2)*BS275),2))</f>
        <v>0</v>
      </c>
      <c r="R275" s="2">
        <f t="shared" si="257"/>
        <v>0</v>
      </c>
      <c r="S275" s="2">
        <f t="shared" si="258"/>
        <v>0</v>
      </c>
      <c r="T275" s="2">
        <f t="shared" si="259"/>
        <v>0</v>
      </c>
      <c r="U275" s="2">
        <f t="shared" si="260"/>
        <v>0</v>
      </c>
      <c r="V275" s="2">
        <f t="shared" si="261"/>
        <v>0</v>
      </c>
      <c r="W275" s="2">
        <f t="shared" si="262"/>
        <v>0</v>
      </c>
      <c r="X275" s="2">
        <f t="shared" si="263"/>
        <v>0</v>
      </c>
      <c r="Y275" s="2">
        <f t="shared" si="264"/>
        <v>0</v>
      </c>
      <c r="Z275" s="2"/>
      <c r="AA275" s="2">
        <v>56622586</v>
      </c>
      <c r="AB275" s="2">
        <f t="shared" si="265"/>
        <v>104.99</v>
      </c>
      <c r="AC275" s="2">
        <f t="shared" si="266"/>
        <v>104.99</v>
      </c>
      <c r="AD275" s="2">
        <f>ROUND((((ET275)-(EU275))+AE275),6)</f>
        <v>0</v>
      </c>
      <c r="AE275" s="2">
        <f>ROUND((EU275),6)</f>
        <v>0</v>
      </c>
      <c r="AF275" s="2">
        <f>ROUND((EV275),6)</f>
        <v>0</v>
      </c>
      <c r="AG275" s="2">
        <f t="shared" si="269"/>
        <v>0</v>
      </c>
      <c r="AH275" s="2">
        <f>(EW275)</f>
        <v>0</v>
      </c>
      <c r="AI275" s="2">
        <f>(EX275)</f>
        <v>0</v>
      </c>
      <c r="AJ275" s="2">
        <f t="shared" si="271"/>
        <v>0</v>
      </c>
      <c r="AK275" s="2">
        <v>104.99</v>
      </c>
      <c r="AL275" s="2">
        <v>104.99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161</v>
      </c>
      <c r="AU275" s="2">
        <v>107</v>
      </c>
      <c r="AV275" s="2">
        <v>1.0469999999999999</v>
      </c>
      <c r="AW275" s="2">
        <v>1.002</v>
      </c>
      <c r="AX275" s="2"/>
      <c r="AY275" s="2"/>
      <c r="AZ275" s="2">
        <v>1</v>
      </c>
      <c r="BA275" s="2">
        <v>1</v>
      </c>
      <c r="BB275" s="2">
        <v>1</v>
      </c>
      <c r="BC275" s="2">
        <v>1</v>
      </c>
      <c r="BD275" s="2" t="s">
        <v>3</v>
      </c>
      <c r="BE275" s="2" t="s">
        <v>3</v>
      </c>
      <c r="BF275" s="2" t="s">
        <v>3</v>
      </c>
      <c r="BG275" s="2" t="s">
        <v>3</v>
      </c>
      <c r="BH275" s="2">
        <v>3</v>
      </c>
      <c r="BI275" s="2">
        <v>1</v>
      </c>
      <c r="BJ275" s="2" t="s">
        <v>94</v>
      </c>
      <c r="BK275" s="2"/>
      <c r="BL275" s="2"/>
      <c r="BM275" s="2">
        <v>146</v>
      </c>
      <c r="BN275" s="2">
        <v>0</v>
      </c>
      <c r="BO275" s="2" t="s">
        <v>3</v>
      </c>
      <c r="BP275" s="2">
        <v>0</v>
      </c>
      <c r="BQ275" s="2">
        <v>30</v>
      </c>
      <c r="BR275" s="2">
        <v>0</v>
      </c>
      <c r="BS275" s="2">
        <v>1</v>
      </c>
      <c r="BT275" s="2">
        <v>1</v>
      </c>
      <c r="BU275" s="2">
        <v>1</v>
      </c>
      <c r="BV275" s="2">
        <v>1</v>
      </c>
      <c r="BW275" s="2">
        <v>1</v>
      </c>
      <c r="BX275" s="2">
        <v>1</v>
      </c>
      <c r="BY275" s="2" t="s">
        <v>3</v>
      </c>
      <c r="BZ275" s="2">
        <v>161</v>
      </c>
      <c r="CA275" s="2">
        <v>107</v>
      </c>
      <c r="CB275" s="2" t="s">
        <v>3</v>
      </c>
      <c r="CC275" s="2"/>
      <c r="CD275" s="2"/>
      <c r="CE275" s="2">
        <v>30</v>
      </c>
      <c r="CF275" s="2">
        <v>0</v>
      </c>
      <c r="CG275" s="2">
        <v>0</v>
      </c>
      <c r="CH275" s="2"/>
      <c r="CI275" s="2"/>
      <c r="CJ275" s="2"/>
      <c r="CK275" s="2"/>
      <c r="CL275" s="2"/>
      <c r="CM275" s="2">
        <v>0</v>
      </c>
      <c r="CN275" s="2" t="s">
        <v>3</v>
      </c>
      <c r="CO275" s="2">
        <v>0</v>
      </c>
      <c r="CP275" s="2">
        <f t="shared" si="272"/>
        <v>0</v>
      </c>
      <c r="CQ275" s="2">
        <f t="shared" si="273"/>
        <v>105.2</v>
      </c>
      <c r="CR275" s="2">
        <f>(ROUND((ROUND(((ET275)*AV275*1),2)*BB275),2)+ROUND((ROUND(((AE275-(EU275))*AV275*1),2)*BS275),2))</f>
        <v>0</v>
      </c>
      <c r="CS275" s="2">
        <f t="shared" si="275"/>
        <v>0</v>
      </c>
      <c r="CT275" s="2">
        <f t="shared" si="276"/>
        <v>0</v>
      </c>
      <c r="CU275" s="2">
        <f t="shared" si="277"/>
        <v>0</v>
      </c>
      <c r="CV275" s="2">
        <f t="shared" si="278"/>
        <v>0</v>
      </c>
      <c r="CW275" s="2">
        <f t="shared" si="279"/>
        <v>0</v>
      </c>
      <c r="CX275" s="2">
        <f t="shared" si="280"/>
        <v>0</v>
      </c>
      <c r="CY275" s="2">
        <f>((S275*BZ275)/100)</f>
        <v>0</v>
      </c>
      <c r="CZ275" s="2">
        <f>((S275*CA275)/100)</f>
        <v>0</v>
      </c>
      <c r="DA275" s="2"/>
      <c r="DB275" s="2"/>
      <c r="DC275" s="2" t="s">
        <v>3</v>
      </c>
      <c r="DD275" s="2" t="s">
        <v>3</v>
      </c>
      <c r="DE275" s="2" t="s">
        <v>3</v>
      </c>
      <c r="DF275" s="2" t="s">
        <v>3</v>
      </c>
      <c r="DG275" s="2" t="s">
        <v>3</v>
      </c>
      <c r="DH275" s="2" t="s">
        <v>3</v>
      </c>
      <c r="DI275" s="2" t="s">
        <v>3</v>
      </c>
      <c r="DJ275" s="2" t="s">
        <v>3</v>
      </c>
      <c r="DK275" s="2" t="s">
        <v>3</v>
      </c>
      <c r="DL275" s="2" t="s">
        <v>3</v>
      </c>
      <c r="DM275" s="2" t="s">
        <v>3</v>
      </c>
      <c r="DN275" s="2">
        <v>0</v>
      </c>
      <c r="DO275" s="2">
        <v>0</v>
      </c>
      <c r="DP275" s="2">
        <v>1</v>
      </c>
      <c r="DQ275" s="2">
        <v>1</v>
      </c>
      <c r="DR275" s="2"/>
      <c r="DS275" s="2"/>
      <c r="DT275" s="2"/>
      <c r="DU275" s="2">
        <v>1007</v>
      </c>
      <c r="DV275" s="2" t="s">
        <v>93</v>
      </c>
      <c r="DW275" s="2" t="s">
        <v>93</v>
      </c>
      <c r="DX275" s="2">
        <v>1</v>
      </c>
      <c r="DY275" s="2"/>
      <c r="DZ275" s="2" t="s">
        <v>3</v>
      </c>
      <c r="EA275" s="2" t="s">
        <v>3</v>
      </c>
      <c r="EB275" s="2" t="s">
        <v>3</v>
      </c>
      <c r="EC275" s="2" t="s">
        <v>3</v>
      </c>
      <c r="ED275" s="2"/>
      <c r="EE275" s="2">
        <v>51696185</v>
      </c>
      <c r="EF275" s="2">
        <v>30</v>
      </c>
      <c r="EG275" s="2" t="s">
        <v>16</v>
      </c>
      <c r="EH275" s="2">
        <v>0</v>
      </c>
      <c r="EI275" s="2" t="s">
        <v>3</v>
      </c>
      <c r="EJ275" s="2">
        <v>1</v>
      </c>
      <c r="EK275" s="2">
        <v>146</v>
      </c>
      <c r="EL275" s="2" t="s">
        <v>338</v>
      </c>
      <c r="EM275" s="2" t="s">
        <v>339</v>
      </c>
      <c r="EN275" s="2"/>
      <c r="EO275" s="2" t="s">
        <v>3</v>
      </c>
      <c r="EP275" s="2"/>
      <c r="EQ275" s="2">
        <v>0</v>
      </c>
      <c r="ER275" s="2">
        <v>104.99</v>
      </c>
      <c r="ES275" s="2">
        <v>104.99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>
        <v>0</v>
      </c>
      <c r="FR275" s="2">
        <v>0</v>
      </c>
      <c r="FS275" s="2">
        <v>0</v>
      </c>
      <c r="FT275" s="2"/>
      <c r="FU275" s="2"/>
      <c r="FV275" s="2"/>
      <c r="FW275" s="2"/>
      <c r="FX275" s="2">
        <v>161</v>
      </c>
      <c r="FY275" s="2">
        <v>107</v>
      </c>
      <c r="FZ275" s="2"/>
      <c r="GA275" s="2" t="s">
        <v>3</v>
      </c>
      <c r="GB275" s="2"/>
      <c r="GC275" s="2"/>
      <c r="GD275" s="2">
        <v>0</v>
      </c>
      <c r="GE275" s="2"/>
      <c r="GF275" s="2">
        <v>921520</v>
      </c>
      <c r="GG275" s="2">
        <v>2</v>
      </c>
      <c r="GH275" s="2">
        <v>1</v>
      </c>
      <c r="GI275" s="2">
        <v>-2</v>
      </c>
      <c r="GJ275" s="2">
        <v>0</v>
      </c>
      <c r="GK275" s="2">
        <f>ROUND(R275*(R12)/100,2)</f>
        <v>0</v>
      </c>
      <c r="GL275" s="2">
        <f t="shared" si="281"/>
        <v>0</v>
      </c>
      <c r="GM275" s="2">
        <f t="shared" si="282"/>
        <v>0</v>
      </c>
      <c r="GN275" s="2">
        <f t="shared" si="283"/>
        <v>0</v>
      </c>
      <c r="GO275" s="2">
        <f t="shared" si="284"/>
        <v>0</v>
      </c>
      <c r="GP275" s="2">
        <f t="shared" si="285"/>
        <v>0</v>
      </c>
      <c r="GQ275" s="2"/>
      <c r="GR275" s="2">
        <v>0</v>
      </c>
      <c r="GS275" s="2">
        <v>0</v>
      </c>
      <c r="GT275" s="2">
        <v>0</v>
      </c>
      <c r="GU275" s="2" t="s">
        <v>3</v>
      </c>
      <c r="GV275" s="2">
        <f t="shared" si="286"/>
        <v>0</v>
      </c>
      <c r="GW275" s="2">
        <v>1</v>
      </c>
      <c r="GX275" s="2">
        <f t="shared" si="287"/>
        <v>0</v>
      </c>
      <c r="GY275" s="2"/>
      <c r="GZ275" s="2"/>
      <c r="HA275" s="2">
        <v>0</v>
      </c>
      <c r="HB275" s="2">
        <v>0</v>
      </c>
      <c r="HC275" s="2">
        <f t="shared" si="288"/>
        <v>0</v>
      </c>
      <c r="HD275" s="2"/>
      <c r="HE275" s="2" t="s">
        <v>3</v>
      </c>
      <c r="HF275" s="2" t="s">
        <v>3</v>
      </c>
      <c r="HG275" s="2"/>
      <c r="HH275" s="2"/>
      <c r="HI275" s="2"/>
      <c r="HJ275" s="2"/>
      <c r="HK275" s="2"/>
      <c r="HL275" s="2"/>
      <c r="HM275" s="2" t="s">
        <v>3</v>
      </c>
      <c r="HN275" s="2" t="s">
        <v>3</v>
      </c>
      <c r="HO275" s="2" t="s">
        <v>3</v>
      </c>
      <c r="HP275" s="2" t="s">
        <v>3</v>
      </c>
      <c r="HQ275" s="2" t="s">
        <v>3</v>
      </c>
      <c r="HR275" s="2"/>
      <c r="HS275" s="2">
        <v>0</v>
      </c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>
        <v>0</v>
      </c>
      <c r="IL275" s="2"/>
      <c r="IM275" s="2"/>
      <c r="IN275" s="2"/>
      <c r="IO275" s="2"/>
      <c r="IP275" s="2"/>
      <c r="IQ275" s="2"/>
      <c r="IR275" s="2"/>
      <c r="IS275" s="2"/>
      <c r="IT275" s="2"/>
      <c r="IU275" s="2"/>
    </row>
    <row r="276" spans="1:255" x14ac:dyDescent="0.2">
      <c r="A276">
        <v>18</v>
      </c>
      <c r="B276">
        <v>1</v>
      </c>
      <c r="C276">
        <v>192</v>
      </c>
      <c r="E276" t="s">
        <v>340</v>
      </c>
      <c r="F276" t="s">
        <v>91</v>
      </c>
      <c r="G276" t="s">
        <v>341</v>
      </c>
      <c r="H276" t="s">
        <v>93</v>
      </c>
      <c r="I276">
        <f>I274*J276</f>
        <v>0</v>
      </c>
      <c r="J276">
        <v>110</v>
      </c>
      <c r="K276">
        <v>110</v>
      </c>
      <c r="O276">
        <f t="shared" si="254"/>
        <v>0</v>
      </c>
      <c r="P276">
        <f t="shared" si="255"/>
        <v>0</v>
      </c>
      <c r="Q276">
        <f>(ROUND((ROUND(((ET276)*AV276*I276),2)*BB276),2)+ROUND((ROUND(((AE276-(EU276))*AV276*I276),2)*BS276),2))</f>
        <v>0</v>
      </c>
      <c r="R276">
        <f t="shared" si="257"/>
        <v>0</v>
      </c>
      <c r="S276">
        <f t="shared" si="258"/>
        <v>0</v>
      </c>
      <c r="T276">
        <f t="shared" si="259"/>
        <v>0</v>
      </c>
      <c r="U276">
        <f t="shared" si="260"/>
        <v>0</v>
      </c>
      <c r="V276">
        <f t="shared" si="261"/>
        <v>0</v>
      </c>
      <c r="W276">
        <f t="shared" si="262"/>
        <v>0</v>
      </c>
      <c r="X276">
        <f t="shared" si="263"/>
        <v>0</v>
      </c>
      <c r="Y276">
        <f t="shared" si="264"/>
        <v>0</v>
      </c>
      <c r="AA276">
        <v>56616093</v>
      </c>
      <c r="AB276">
        <f t="shared" si="265"/>
        <v>104.99</v>
      </c>
      <c r="AC276">
        <f t="shared" si="266"/>
        <v>104.99</v>
      </c>
      <c r="AD276">
        <f>ROUND((((ET276)-(EU276))+AE276),6)</f>
        <v>0</v>
      </c>
      <c r="AE276">
        <f>ROUND((EU276),6)</f>
        <v>0</v>
      </c>
      <c r="AF276">
        <f>ROUND((EV276),6)</f>
        <v>0</v>
      </c>
      <c r="AG276">
        <f t="shared" si="269"/>
        <v>0</v>
      </c>
      <c r="AH276">
        <f>(EW276)</f>
        <v>0</v>
      </c>
      <c r="AI276">
        <f>(EX276)</f>
        <v>0</v>
      </c>
      <c r="AJ276">
        <f t="shared" si="271"/>
        <v>0</v>
      </c>
      <c r="AK276">
        <v>104.99</v>
      </c>
      <c r="AL276">
        <v>104.99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</v>
      </c>
      <c r="AW276">
        <v>1.002</v>
      </c>
      <c r="AZ276">
        <v>1</v>
      </c>
      <c r="BA276">
        <v>1</v>
      </c>
      <c r="BB276">
        <v>1</v>
      </c>
      <c r="BC276">
        <v>7.69</v>
      </c>
      <c r="BD276" t="s">
        <v>3</v>
      </c>
      <c r="BE276" t="s">
        <v>3</v>
      </c>
      <c r="BF276" t="s">
        <v>3</v>
      </c>
      <c r="BG276" t="s">
        <v>3</v>
      </c>
      <c r="BH276">
        <v>3</v>
      </c>
      <c r="BI276">
        <v>1</v>
      </c>
      <c r="BJ276" t="s">
        <v>94</v>
      </c>
      <c r="BM276">
        <v>146</v>
      </c>
      <c r="BN276">
        <v>0</v>
      </c>
      <c r="BO276" t="s">
        <v>91</v>
      </c>
      <c r="BP276">
        <v>1</v>
      </c>
      <c r="BQ276">
        <v>30</v>
      </c>
      <c r="BR276">
        <v>0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 t="s">
        <v>3</v>
      </c>
      <c r="BZ276">
        <v>0</v>
      </c>
      <c r="CA276">
        <v>0</v>
      </c>
      <c r="CB276" t="s">
        <v>3</v>
      </c>
      <c r="CE276">
        <v>30</v>
      </c>
      <c r="CF276">
        <v>0</v>
      </c>
      <c r="CG276">
        <v>0</v>
      </c>
      <c r="CM276">
        <v>0</v>
      </c>
      <c r="CN276" t="s">
        <v>3</v>
      </c>
      <c r="CO276">
        <v>0</v>
      </c>
      <c r="CP276">
        <f t="shared" si="272"/>
        <v>0</v>
      </c>
      <c r="CQ276">
        <f t="shared" si="273"/>
        <v>808.99</v>
      </c>
      <c r="CR276">
        <f>(ROUND((ROUND(((ET276)*AV276*1),2)*BB276),2)+ROUND((ROUND(((AE276-(EU276))*AV276*1),2)*BS276),2))</f>
        <v>0</v>
      </c>
      <c r="CS276">
        <f t="shared" si="275"/>
        <v>0</v>
      </c>
      <c r="CT276">
        <f t="shared" si="276"/>
        <v>0</v>
      </c>
      <c r="CU276">
        <f t="shared" si="277"/>
        <v>0</v>
      </c>
      <c r="CV276">
        <f t="shared" si="278"/>
        <v>0</v>
      </c>
      <c r="CW276">
        <f t="shared" si="279"/>
        <v>0</v>
      </c>
      <c r="CX276">
        <f t="shared" si="280"/>
        <v>0</v>
      </c>
      <c r="CY276">
        <f>S276*(BZ276/100)</f>
        <v>0</v>
      </c>
      <c r="CZ276">
        <f>S276*(CA276/100)</f>
        <v>0</v>
      </c>
      <c r="DC276" t="s">
        <v>3</v>
      </c>
      <c r="DD276" t="s">
        <v>3</v>
      </c>
      <c r="DE276" t="s">
        <v>3</v>
      </c>
      <c r="DF276" t="s">
        <v>3</v>
      </c>
      <c r="DG276" t="s">
        <v>3</v>
      </c>
      <c r="DH276" t="s">
        <v>3</v>
      </c>
      <c r="DI276" t="s">
        <v>3</v>
      </c>
      <c r="DJ276" t="s">
        <v>3</v>
      </c>
      <c r="DK276" t="s">
        <v>3</v>
      </c>
      <c r="DL276" t="s">
        <v>3</v>
      </c>
      <c r="DM276" t="s">
        <v>3</v>
      </c>
      <c r="DN276">
        <v>161</v>
      </c>
      <c r="DO276">
        <v>107</v>
      </c>
      <c r="DP276">
        <v>1.0469999999999999</v>
      </c>
      <c r="DQ276">
        <v>1.002</v>
      </c>
      <c r="DU276">
        <v>1007</v>
      </c>
      <c r="DV276" t="s">
        <v>93</v>
      </c>
      <c r="DW276" t="s">
        <v>93</v>
      </c>
      <c r="DX276">
        <v>1</v>
      </c>
      <c r="DZ276" t="s">
        <v>3</v>
      </c>
      <c r="EA276" t="s">
        <v>3</v>
      </c>
      <c r="EB276" t="s">
        <v>3</v>
      </c>
      <c r="EC276" t="s">
        <v>3</v>
      </c>
      <c r="EE276">
        <v>51696185</v>
      </c>
      <c r="EF276">
        <v>30</v>
      </c>
      <c r="EG276" t="s">
        <v>16</v>
      </c>
      <c r="EH276">
        <v>0</v>
      </c>
      <c r="EI276" t="s">
        <v>3</v>
      </c>
      <c r="EJ276">
        <v>1</v>
      </c>
      <c r="EK276">
        <v>146</v>
      </c>
      <c r="EL276" t="s">
        <v>338</v>
      </c>
      <c r="EM276" t="s">
        <v>339</v>
      </c>
      <c r="EO276" t="s">
        <v>3</v>
      </c>
      <c r="EQ276">
        <v>0</v>
      </c>
      <c r="ER276">
        <v>104.99</v>
      </c>
      <c r="ES276">
        <v>104.99</v>
      </c>
      <c r="ET276">
        <v>0</v>
      </c>
      <c r="EU276">
        <v>0</v>
      </c>
      <c r="EV276">
        <v>0</v>
      </c>
      <c r="EW276">
        <v>0</v>
      </c>
      <c r="EX276">
        <v>0</v>
      </c>
      <c r="FQ276">
        <v>0</v>
      </c>
      <c r="FR276">
        <v>0</v>
      </c>
      <c r="FS276">
        <v>0</v>
      </c>
      <c r="FX276">
        <v>161</v>
      </c>
      <c r="FY276">
        <v>107</v>
      </c>
      <c r="GA276" t="s">
        <v>3</v>
      </c>
      <c r="GD276">
        <v>0</v>
      </c>
      <c r="GF276">
        <v>921520</v>
      </c>
      <c r="GG276">
        <v>2</v>
      </c>
      <c r="GH276">
        <v>1</v>
      </c>
      <c r="GI276">
        <v>2</v>
      </c>
      <c r="GJ276">
        <v>0</v>
      </c>
      <c r="GK276">
        <f>ROUND(R276*(S12)/100,2)</f>
        <v>0</v>
      </c>
      <c r="GL276">
        <f t="shared" si="281"/>
        <v>0</v>
      </c>
      <c r="GM276">
        <f t="shared" si="282"/>
        <v>0</v>
      </c>
      <c r="GN276">
        <f t="shared" si="283"/>
        <v>0</v>
      </c>
      <c r="GO276">
        <f t="shared" si="284"/>
        <v>0</v>
      </c>
      <c r="GP276">
        <f t="shared" si="285"/>
        <v>0</v>
      </c>
      <c r="GR276">
        <v>0</v>
      </c>
      <c r="GS276">
        <v>3</v>
      </c>
      <c r="GT276">
        <v>0</v>
      </c>
      <c r="GU276" t="s">
        <v>3</v>
      </c>
      <c r="GV276">
        <f t="shared" si="286"/>
        <v>0</v>
      </c>
      <c r="GW276">
        <v>1</v>
      </c>
      <c r="GX276">
        <f t="shared" si="287"/>
        <v>0</v>
      </c>
      <c r="HA276">
        <v>0</v>
      </c>
      <c r="HB276">
        <v>0</v>
      </c>
      <c r="HC276">
        <f t="shared" si="288"/>
        <v>0</v>
      </c>
      <c r="HE276" t="s">
        <v>3</v>
      </c>
      <c r="HF276" t="s">
        <v>3</v>
      </c>
      <c r="HM276" t="s">
        <v>3</v>
      </c>
      <c r="HN276" t="s">
        <v>3</v>
      </c>
      <c r="HO276" t="s">
        <v>3</v>
      </c>
      <c r="HP276" t="s">
        <v>3</v>
      </c>
      <c r="HQ276" t="s">
        <v>3</v>
      </c>
      <c r="HS276">
        <v>0</v>
      </c>
      <c r="IK276">
        <v>0</v>
      </c>
    </row>
    <row r="277" spans="1:255" x14ac:dyDescent="0.2">
      <c r="A277" s="2">
        <v>17</v>
      </c>
      <c r="B277" s="2">
        <v>1</v>
      </c>
      <c r="C277" s="2">
        <f>ROW(SmtRes!A193)</f>
        <v>193</v>
      </c>
      <c r="D277" s="2">
        <f>ROW(EtalonRes!A1020)</f>
        <v>1020</v>
      </c>
      <c r="E277" s="2" t="s">
        <v>342</v>
      </c>
      <c r="F277" s="2" t="s">
        <v>343</v>
      </c>
      <c r="G277" s="2" t="s">
        <v>344</v>
      </c>
      <c r="H277" s="2" t="s">
        <v>345</v>
      </c>
      <c r="I277" s="2">
        <v>0</v>
      </c>
      <c r="J277" s="2">
        <v>0</v>
      </c>
      <c r="K277" s="2">
        <v>0</v>
      </c>
      <c r="L277" s="2"/>
      <c r="M277" s="2"/>
      <c r="N277" s="2"/>
      <c r="O277" s="2">
        <f t="shared" si="254"/>
        <v>0</v>
      </c>
      <c r="P277" s="2">
        <f t="shared" si="255"/>
        <v>0</v>
      </c>
      <c r="Q277" s="2">
        <f>(ROUND((ROUND((((ET277*1.1))*AV277*I277),2)*BB277),2)+ROUND((ROUND(((AE277-((EU277*1.1)))*AV277*I277),2)*BS277),2))</f>
        <v>0</v>
      </c>
      <c r="R277" s="2">
        <f t="shared" si="257"/>
        <v>0</v>
      </c>
      <c r="S277" s="2">
        <f t="shared" si="258"/>
        <v>0</v>
      </c>
      <c r="T277" s="2">
        <f t="shared" si="259"/>
        <v>0</v>
      </c>
      <c r="U277" s="2">
        <f t="shared" si="260"/>
        <v>0</v>
      </c>
      <c r="V277" s="2">
        <f t="shared" si="261"/>
        <v>0</v>
      </c>
      <c r="W277" s="2">
        <f t="shared" si="262"/>
        <v>0</v>
      </c>
      <c r="X277" s="2">
        <f t="shared" si="263"/>
        <v>0</v>
      </c>
      <c r="Y277" s="2">
        <f t="shared" si="264"/>
        <v>0</v>
      </c>
      <c r="Z277" s="2"/>
      <c r="AA277" s="2">
        <v>56622586</v>
      </c>
      <c r="AB277" s="2">
        <f t="shared" si="265"/>
        <v>12318.191999999999</v>
      </c>
      <c r="AC277" s="2">
        <f t="shared" si="266"/>
        <v>6742.82</v>
      </c>
      <c r="AD277" s="2">
        <f>ROUND(((((ET277*1.1))-((EU277*1.1)))+AE277),6)</f>
        <v>2206.6329999999998</v>
      </c>
      <c r="AE277" s="2">
        <f>ROUND(((EU277*1.1)),6)</f>
        <v>179.828</v>
      </c>
      <c r="AF277" s="2">
        <f>ROUND(((EV277*1.1)),6)</f>
        <v>3368.739</v>
      </c>
      <c r="AG277" s="2">
        <f t="shared" si="269"/>
        <v>0</v>
      </c>
      <c r="AH277" s="2">
        <f>((EW277*1.1))</f>
        <v>293.70000000000005</v>
      </c>
      <c r="AI277" s="2">
        <f>((EX277*1.1))</f>
        <v>0</v>
      </c>
      <c r="AJ277" s="2">
        <f t="shared" si="271"/>
        <v>0</v>
      </c>
      <c r="AK277" s="2">
        <v>11811.34</v>
      </c>
      <c r="AL277" s="2">
        <v>6742.82</v>
      </c>
      <c r="AM277" s="2">
        <v>2006.03</v>
      </c>
      <c r="AN277" s="2">
        <v>163.47999999999999</v>
      </c>
      <c r="AO277" s="2">
        <v>3062.49</v>
      </c>
      <c r="AP277" s="2">
        <v>0</v>
      </c>
      <c r="AQ277" s="2">
        <v>267</v>
      </c>
      <c r="AR277" s="2">
        <v>0</v>
      </c>
      <c r="AS277" s="2">
        <v>0</v>
      </c>
      <c r="AT277" s="2">
        <v>161</v>
      </c>
      <c r="AU277" s="2">
        <v>107</v>
      </c>
      <c r="AV277" s="2">
        <v>1.0469999999999999</v>
      </c>
      <c r="AW277" s="2">
        <v>1.002</v>
      </c>
      <c r="AX277" s="2"/>
      <c r="AY277" s="2"/>
      <c r="AZ277" s="2">
        <v>1</v>
      </c>
      <c r="BA277" s="2">
        <v>1</v>
      </c>
      <c r="BB277" s="2">
        <v>1</v>
      </c>
      <c r="BC277" s="2">
        <v>1</v>
      </c>
      <c r="BD277" s="2" t="s">
        <v>3</v>
      </c>
      <c r="BE277" s="2" t="s">
        <v>3</v>
      </c>
      <c r="BF277" s="2" t="s">
        <v>3</v>
      </c>
      <c r="BG277" s="2" t="s">
        <v>3</v>
      </c>
      <c r="BH277" s="2">
        <v>0</v>
      </c>
      <c r="BI277" s="2">
        <v>1</v>
      </c>
      <c r="BJ277" s="2" t="s">
        <v>346</v>
      </c>
      <c r="BK277" s="2"/>
      <c r="BL277" s="2"/>
      <c r="BM277" s="2">
        <v>152</v>
      </c>
      <c r="BN277" s="2">
        <v>0</v>
      </c>
      <c r="BO277" s="2" t="s">
        <v>3</v>
      </c>
      <c r="BP277" s="2">
        <v>0</v>
      </c>
      <c r="BQ277" s="2">
        <v>30</v>
      </c>
      <c r="BR277" s="2">
        <v>0</v>
      </c>
      <c r="BS277" s="2">
        <v>1</v>
      </c>
      <c r="BT277" s="2">
        <v>1</v>
      </c>
      <c r="BU277" s="2">
        <v>1</v>
      </c>
      <c r="BV277" s="2">
        <v>1</v>
      </c>
      <c r="BW277" s="2">
        <v>1</v>
      </c>
      <c r="BX277" s="2">
        <v>1</v>
      </c>
      <c r="BY277" s="2" t="s">
        <v>3</v>
      </c>
      <c r="BZ277" s="2">
        <v>161</v>
      </c>
      <c r="CA277" s="2">
        <v>107</v>
      </c>
      <c r="CB277" s="2" t="s">
        <v>3</v>
      </c>
      <c r="CC277" s="2"/>
      <c r="CD277" s="2"/>
      <c r="CE277" s="2">
        <v>30</v>
      </c>
      <c r="CF277" s="2">
        <v>0</v>
      </c>
      <c r="CG277" s="2">
        <v>0</v>
      </c>
      <c r="CH277" s="2"/>
      <c r="CI277" s="2"/>
      <c r="CJ277" s="2"/>
      <c r="CK277" s="2"/>
      <c r="CL277" s="2"/>
      <c r="CM277" s="2">
        <v>0</v>
      </c>
      <c r="CN277" s="2" t="s">
        <v>671</v>
      </c>
      <c r="CO277" s="2">
        <v>0</v>
      </c>
      <c r="CP277" s="2">
        <f t="shared" si="272"/>
        <v>0</v>
      </c>
      <c r="CQ277" s="2">
        <f t="shared" si="273"/>
        <v>6756.31</v>
      </c>
      <c r="CR277" s="2">
        <f>(ROUND((ROUND((((ET277*1.1))*AV277*1),2)*BB277),2)+ROUND((ROUND(((AE277-((EU277*1.1)))*AV277*1),2)*BS277),2))</f>
        <v>2310.34</v>
      </c>
      <c r="CS277" s="2">
        <f t="shared" si="275"/>
        <v>188.28</v>
      </c>
      <c r="CT277" s="2">
        <f t="shared" si="276"/>
        <v>3527.07</v>
      </c>
      <c r="CU277" s="2">
        <f t="shared" si="277"/>
        <v>0</v>
      </c>
      <c r="CV277" s="2">
        <f t="shared" si="278"/>
        <v>307.50390000000004</v>
      </c>
      <c r="CW277" s="2">
        <f t="shared" si="279"/>
        <v>0</v>
      </c>
      <c r="CX277" s="2">
        <f t="shared" si="280"/>
        <v>0</v>
      </c>
      <c r="CY277" s="2">
        <f>((S277*BZ277)/100)</f>
        <v>0</v>
      </c>
      <c r="CZ277" s="2">
        <f>((S277*CA277)/100)</f>
        <v>0</v>
      </c>
      <c r="DA277" s="2"/>
      <c r="DB277" s="2"/>
      <c r="DC277" s="2" t="s">
        <v>3</v>
      </c>
      <c r="DD277" s="2" t="s">
        <v>3</v>
      </c>
      <c r="DE277" s="2" t="s">
        <v>22</v>
      </c>
      <c r="DF277" s="2" t="s">
        <v>22</v>
      </c>
      <c r="DG277" s="2" t="s">
        <v>22</v>
      </c>
      <c r="DH277" s="2" t="s">
        <v>3</v>
      </c>
      <c r="DI277" s="2" t="s">
        <v>22</v>
      </c>
      <c r="DJ277" s="2" t="s">
        <v>22</v>
      </c>
      <c r="DK277" s="2" t="s">
        <v>3</v>
      </c>
      <c r="DL277" s="2" t="s">
        <v>3</v>
      </c>
      <c r="DM277" s="2" t="s">
        <v>3</v>
      </c>
      <c r="DN277" s="2">
        <v>0</v>
      </c>
      <c r="DO277" s="2">
        <v>0</v>
      </c>
      <c r="DP277" s="2">
        <v>1</v>
      </c>
      <c r="DQ277" s="2">
        <v>1</v>
      </c>
      <c r="DR277" s="2"/>
      <c r="DS277" s="2"/>
      <c r="DT277" s="2"/>
      <c r="DU277" s="2">
        <v>1013</v>
      </c>
      <c r="DV277" s="2" t="s">
        <v>345</v>
      </c>
      <c r="DW277" s="2" t="s">
        <v>345</v>
      </c>
      <c r="DX277" s="2">
        <v>1</v>
      </c>
      <c r="DY277" s="2"/>
      <c r="DZ277" s="2" t="s">
        <v>3</v>
      </c>
      <c r="EA277" s="2" t="s">
        <v>3</v>
      </c>
      <c r="EB277" s="2" t="s">
        <v>3</v>
      </c>
      <c r="EC277" s="2" t="s">
        <v>3</v>
      </c>
      <c r="ED277" s="2"/>
      <c r="EE277" s="2">
        <v>51696191</v>
      </c>
      <c r="EF277" s="2">
        <v>30</v>
      </c>
      <c r="EG277" s="2" t="s">
        <v>16</v>
      </c>
      <c r="EH277" s="2">
        <v>0</v>
      </c>
      <c r="EI277" s="2" t="s">
        <v>3</v>
      </c>
      <c r="EJ277" s="2">
        <v>1</v>
      </c>
      <c r="EK277" s="2">
        <v>152</v>
      </c>
      <c r="EL277" s="2" t="s">
        <v>347</v>
      </c>
      <c r="EM277" s="2" t="s">
        <v>348</v>
      </c>
      <c r="EN277" s="2"/>
      <c r="EO277" s="2" t="s">
        <v>25</v>
      </c>
      <c r="EP277" s="2"/>
      <c r="EQ277" s="2">
        <v>131072</v>
      </c>
      <c r="ER277" s="2">
        <v>11811.34</v>
      </c>
      <c r="ES277" s="2">
        <v>6742.82</v>
      </c>
      <c r="ET277" s="2">
        <v>2006.03</v>
      </c>
      <c r="EU277" s="2">
        <v>163.47999999999999</v>
      </c>
      <c r="EV277" s="2">
        <v>3062.49</v>
      </c>
      <c r="EW277" s="2">
        <v>267</v>
      </c>
      <c r="EX277" s="2">
        <v>0</v>
      </c>
      <c r="EY277" s="2">
        <v>0</v>
      </c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>
        <v>0</v>
      </c>
      <c r="FR277" s="2">
        <v>0</v>
      </c>
      <c r="FS277" s="2">
        <v>0</v>
      </c>
      <c r="FT277" s="2"/>
      <c r="FU277" s="2"/>
      <c r="FV277" s="2"/>
      <c r="FW277" s="2"/>
      <c r="FX277" s="2">
        <v>161</v>
      </c>
      <c r="FY277" s="2">
        <v>107</v>
      </c>
      <c r="FZ277" s="2"/>
      <c r="GA277" s="2" t="s">
        <v>3</v>
      </c>
      <c r="GB277" s="2"/>
      <c r="GC277" s="2"/>
      <c r="GD277" s="2">
        <v>0</v>
      </c>
      <c r="GE277" s="2"/>
      <c r="GF277" s="2">
        <v>-245766510</v>
      </c>
      <c r="GG277" s="2">
        <v>2</v>
      </c>
      <c r="GH277" s="2">
        <v>1</v>
      </c>
      <c r="GI277" s="2">
        <v>-2</v>
      </c>
      <c r="GJ277" s="2">
        <v>0</v>
      </c>
      <c r="GK277" s="2">
        <f>ROUND(R277*(R12)/100,2)</f>
        <v>0</v>
      </c>
      <c r="GL277" s="2">
        <f t="shared" si="281"/>
        <v>0</v>
      </c>
      <c r="GM277" s="2">
        <f t="shared" si="282"/>
        <v>0</v>
      </c>
      <c r="GN277" s="2">
        <f t="shared" si="283"/>
        <v>0</v>
      </c>
      <c r="GO277" s="2">
        <f t="shared" si="284"/>
        <v>0</v>
      </c>
      <c r="GP277" s="2">
        <f t="shared" si="285"/>
        <v>0</v>
      </c>
      <c r="GQ277" s="2"/>
      <c r="GR277" s="2">
        <v>0</v>
      </c>
      <c r="GS277" s="2">
        <v>0</v>
      </c>
      <c r="GT277" s="2">
        <v>0</v>
      </c>
      <c r="GU277" s="2" t="s">
        <v>3</v>
      </c>
      <c r="GV277" s="2">
        <f t="shared" si="286"/>
        <v>0</v>
      </c>
      <c r="GW277" s="2">
        <v>1</v>
      </c>
      <c r="GX277" s="2">
        <f t="shared" si="287"/>
        <v>0</v>
      </c>
      <c r="GY277" s="2"/>
      <c r="GZ277" s="2"/>
      <c r="HA277" s="2">
        <v>0</v>
      </c>
      <c r="HB277" s="2">
        <v>0</v>
      </c>
      <c r="HC277" s="2">
        <f t="shared" si="288"/>
        <v>0</v>
      </c>
      <c r="HD277" s="2"/>
      <c r="HE277" s="2" t="s">
        <v>3</v>
      </c>
      <c r="HF277" s="2" t="s">
        <v>3</v>
      </c>
      <c r="HG277" s="2"/>
      <c r="HH277" s="2"/>
      <c r="HI277" s="2"/>
      <c r="HJ277" s="2"/>
      <c r="HK277" s="2"/>
      <c r="HL277" s="2"/>
      <c r="HM277" s="2" t="s">
        <v>3</v>
      </c>
      <c r="HN277" s="2" t="s">
        <v>3</v>
      </c>
      <c r="HO277" s="2" t="s">
        <v>3</v>
      </c>
      <c r="HP277" s="2" t="s">
        <v>3</v>
      </c>
      <c r="HQ277" s="2" t="s">
        <v>3</v>
      </c>
      <c r="HR277" s="2"/>
      <c r="HS277" s="2">
        <v>0</v>
      </c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>
        <v>0</v>
      </c>
      <c r="IL277" s="2"/>
      <c r="IM277" s="2"/>
      <c r="IN277" s="2"/>
      <c r="IO277" s="2"/>
      <c r="IP277" s="2"/>
      <c r="IQ277" s="2"/>
      <c r="IR277" s="2"/>
      <c r="IS277" s="2"/>
      <c r="IT277" s="2"/>
      <c r="IU277" s="2"/>
    </row>
    <row r="278" spans="1:255" x14ac:dyDescent="0.2">
      <c r="A278">
        <v>17</v>
      </c>
      <c r="B278">
        <v>1</v>
      </c>
      <c r="C278">
        <f>ROW(SmtRes!A194)</f>
        <v>194</v>
      </c>
      <c r="D278">
        <f>ROW(EtalonRes!A1032)</f>
        <v>1032</v>
      </c>
      <c r="E278" t="s">
        <v>342</v>
      </c>
      <c r="F278" t="s">
        <v>343</v>
      </c>
      <c r="G278" t="s">
        <v>344</v>
      </c>
      <c r="H278" t="s">
        <v>345</v>
      </c>
      <c r="I278">
        <v>0</v>
      </c>
      <c r="J278">
        <v>0</v>
      </c>
      <c r="K278">
        <v>0</v>
      </c>
      <c r="O278">
        <f t="shared" si="254"/>
        <v>0</v>
      </c>
      <c r="P278">
        <f t="shared" si="255"/>
        <v>0</v>
      </c>
      <c r="Q278">
        <f>(ROUND((ROUND((((ET278*1.1))*AV278*I278),2)*BB278),2)+ROUND((ROUND(((AE278-((EU278*1.1)))*AV278*I278),2)*BS278),2))</f>
        <v>0</v>
      </c>
      <c r="R278">
        <f t="shared" si="257"/>
        <v>0</v>
      </c>
      <c r="S278">
        <f t="shared" si="258"/>
        <v>0</v>
      </c>
      <c r="T278">
        <f t="shared" si="259"/>
        <v>0</v>
      </c>
      <c r="U278">
        <f t="shared" si="260"/>
        <v>0</v>
      </c>
      <c r="V278">
        <f t="shared" si="261"/>
        <v>0</v>
      </c>
      <c r="W278">
        <f t="shared" si="262"/>
        <v>0</v>
      </c>
      <c r="X278">
        <f t="shared" si="263"/>
        <v>0</v>
      </c>
      <c r="Y278">
        <f t="shared" si="264"/>
        <v>0</v>
      </c>
      <c r="AA278">
        <v>56616093</v>
      </c>
      <c r="AB278">
        <f t="shared" si="265"/>
        <v>12318.191999999999</v>
      </c>
      <c r="AC278">
        <f t="shared" si="266"/>
        <v>6742.82</v>
      </c>
      <c r="AD278">
        <f>ROUND(((((ET278*1.1))-((EU278*1.1)))+AE278),6)</f>
        <v>2206.6329999999998</v>
      </c>
      <c r="AE278">
        <f>ROUND(((EU278*1.1)),6)</f>
        <v>179.828</v>
      </c>
      <c r="AF278">
        <f>ROUND(((EV278*1.1)),6)</f>
        <v>3368.739</v>
      </c>
      <c r="AG278">
        <f t="shared" si="269"/>
        <v>0</v>
      </c>
      <c r="AH278">
        <f>((EW278*1.1))</f>
        <v>293.70000000000005</v>
      </c>
      <c r="AI278">
        <f>((EX278*1.1))</f>
        <v>0</v>
      </c>
      <c r="AJ278">
        <f t="shared" si="271"/>
        <v>0</v>
      </c>
      <c r="AK278">
        <v>11811.34</v>
      </c>
      <c r="AL278">
        <v>6742.82</v>
      </c>
      <c r="AM278">
        <v>2006.03</v>
      </c>
      <c r="AN278">
        <v>163.47999999999999</v>
      </c>
      <c r="AO278">
        <v>3062.49</v>
      </c>
      <c r="AP278">
        <v>0</v>
      </c>
      <c r="AQ278">
        <v>267</v>
      </c>
      <c r="AR278">
        <v>0</v>
      </c>
      <c r="AS278">
        <v>0</v>
      </c>
      <c r="AT278">
        <v>134</v>
      </c>
      <c r="AU278">
        <v>55</v>
      </c>
      <c r="AV278">
        <v>1.0469999999999999</v>
      </c>
      <c r="AW278">
        <v>1.002</v>
      </c>
      <c r="AZ278">
        <v>1</v>
      </c>
      <c r="BA278">
        <v>34.51</v>
      </c>
      <c r="BB278">
        <v>11.5</v>
      </c>
      <c r="BC278">
        <v>7.13</v>
      </c>
      <c r="BD278" t="s">
        <v>3</v>
      </c>
      <c r="BE278" t="s">
        <v>3</v>
      </c>
      <c r="BF278" t="s">
        <v>3</v>
      </c>
      <c r="BG278" t="s">
        <v>3</v>
      </c>
      <c r="BH278">
        <v>0</v>
      </c>
      <c r="BI278">
        <v>1</v>
      </c>
      <c r="BJ278" t="s">
        <v>346</v>
      </c>
      <c r="BM278">
        <v>152</v>
      </c>
      <c r="BN278">
        <v>0</v>
      </c>
      <c r="BO278" t="s">
        <v>343</v>
      </c>
      <c r="BP278">
        <v>1</v>
      </c>
      <c r="BQ278">
        <v>30</v>
      </c>
      <c r="BR278">
        <v>0</v>
      </c>
      <c r="BS278">
        <v>34.51</v>
      </c>
      <c r="BT278">
        <v>1</v>
      </c>
      <c r="BU278">
        <v>1</v>
      </c>
      <c r="BV278">
        <v>1</v>
      </c>
      <c r="BW278">
        <v>1</v>
      </c>
      <c r="BX278">
        <v>1</v>
      </c>
      <c r="BY278" t="s">
        <v>3</v>
      </c>
      <c r="BZ278">
        <v>134</v>
      </c>
      <c r="CA278">
        <v>55</v>
      </c>
      <c r="CB278" t="s">
        <v>3</v>
      </c>
      <c r="CE278">
        <v>30</v>
      </c>
      <c r="CF278">
        <v>0</v>
      </c>
      <c r="CG278">
        <v>0</v>
      </c>
      <c r="CM278">
        <v>0</v>
      </c>
      <c r="CN278" t="s">
        <v>671</v>
      </c>
      <c r="CO278">
        <v>0</v>
      </c>
      <c r="CP278">
        <f t="shared" si="272"/>
        <v>0</v>
      </c>
      <c r="CQ278">
        <f t="shared" si="273"/>
        <v>48172.49</v>
      </c>
      <c r="CR278">
        <f>(ROUND((ROUND((((ET278*1.1))*AV278*1),2)*BB278),2)+ROUND((ROUND(((AE278-((EU278*1.1)))*AV278*1),2)*BS278),2))</f>
        <v>26568.91</v>
      </c>
      <c r="CS278">
        <f t="shared" si="275"/>
        <v>6497.54</v>
      </c>
      <c r="CT278">
        <f t="shared" si="276"/>
        <v>121719.19</v>
      </c>
      <c r="CU278">
        <f t="shared" si="277"/>
        <v>0</v>
      </c>
      <c r="CV278">
        <f t="shared" si="278"/>
        <v>307.50390000000004</v>
      </c>
      <c r="CW278">
        <f t="shared" si="279"/>
        <v>0</v>
      </c>
      <c r="CX278">
        <f t="shared" si="280"/>
        <v>0</v>
      </c>
      <c r="CY278">
        <f>S278*(BZ278/100)</f>
        <v>0</v>
      </c>
      <c r="CZ278">
        <f>S278*(CA278/100)</f>
        <v>0</v>
      </c>
      <c r="DC278" t="s">
        <v>3</v>
      </c>
      <c r="DD278" t="s">
        <v>3</v>
      </c>
      <c r="DE278" t="s">
        <v>22</v>
      </c>
      <c r="DF278" t="s">
        <v>22</v>
      </c>
      <c r="DG278" t="s">
        <v>22</v>
      </c>
      <c r="DH278" t="s">
        <v>3</v>
      </c>
      <c r="DI278" t="s">
        <v>22</v>
      </c>
      <c r="DJ278" t="s">
        <v>22</v>
      </c>
      <c r="DK278" t="s">
        <v>3</v>
      </c>
      <c r="DL278" t="s">
        <v>3</v>
      </c>
      <c r="DM278" t="s">
        <v>3</v>
      </c>
      <c r="DN278">
        <v>161</v>
      </c>
      <c r="DO278">
        <v>107</v>
      </c>
      <c r="DP278">
        <v>1.0469999999999999</v>
      </c>
      <c r="DQ278">
        <v>1.002</v>
      </c>
      <c r="DU278">
        <v>1013</v>
      </c>
      <c r="DV278" t="s">
        <v>345</v>
      </c>
      <c r="DW278" t="s">
        <v>345</v>
      </c>
      <c r="DX278">
        <v>1</v>
      </c>
      <c r="DZ278" t="s">
        <v>3</v>
      </c>
      <c r="EA278" t="s">
        <v>3</v>
      </c>
      <c r="EB278" t="s">
        <v>3</v>
      </c>
      <c r="EC278" t="s">
        <v>3</v>
      </c>
      <c r="EE278">
        <v>51696191</v>
      </c>
      <c r="EF278">
        <v>30</v>
      </c>
      <c r="EG278" t="s">
        <v>16</v>
      </c>
      <c r="EH278">
        <v>0</v>
      </c>
      <c r="EI278" t="s">
        <v>3</v>
      </c>
      <c r="EJ278">
        <v>1</v>
      </c>
      <c r="EK278">
        <v>152</v>
      </c>
      <c r="EL278" t="s">
        <v>347</v>
      </c>
      <c r="EM278" t="s">
        <v>348</v>
      </c>
      <c r="EO278" t="s">
        <v>25</v>
      </c>
      <c r="EQ278">
        <v>131072</v>
      </c>
      <c r="ER278">
        <v>11811.34</v>
      </c>
      <c r="ES278">
        <v>6742.82</v>
      </c>
      <c r="ET278">
        <v>2006.03</v>
      </c>
      <c r="EU278">
        <v>163.47999999999999</v>
      </c>
      <c r="EV278">
        <v>3062.49</v>
      </c>
      <c r="EW278">
        <v>267</v>
      </c>
      <c r="EX278">
        <v>0</v>
      </c>
      <c r="EY278">
        <v>0</v>
      </c>
      <c r="FQ278">
        <v>0</v>
      </c>
      <c r="FR278">
        <v>0</v>
      </c>
      <c r="FS278">
        <v>0</v>
      </c>
      <c r="FX278">
        <v>161</v>
      </c>
      <c r="FY278">
        <v>107</v>
      </c>
      <c r="GA278" t="s">
        <v>3</v>
      </c>
      <c r="GD278">
        <v>0</v>
      </c>
      <c r="GF278">
        <v>-245766510</v>
      </c>
      <c r="GG278">
        <v>2</v>
      </c>
      <c r="GH278">
        <v>1</v>
      </c>
      <c r="GI278">
        <v>2</v>
      </c>
      <c r="GJ278">
        <v>0</v>
      </c>
      <c r="GK278">
        <f>ROUND(R278*(S12)/100,2)</f>
        <v>0</v>
      </c>
      <c r="GL278">
        <f t="shared" si="281"/>
        <v>0</v>
      </c>
      <c r="GM278">
        <f t="shared" si="282"/>
        <v>0</v>
      </c>
      <c r="GN278">
        <f t="shared" si="283"/>
        <v>0</v>
      </c>
      <c r="GO278">
        <f t="shared" si="284"/>
        <v>0</v>
      </c>
      <c r="GP278">
        <f t="shared" si="285"/>
        <v>0</v>
      </c>
      <c r="GR278">
        <v>0</v>
      </c>
      <c r="GS278">
        <v>3</v>
      </c>
      <c r="GT278">
        <v>0</v>
      </c>
      <c r="GU278" t="s">
        <v>3</v>
      </c>
      <c r="GV278">
        <f t="shared" si="286"/>
        <v>0</v>
      </c>
      <c r="GW278">
        <v>1</v>
      </c>
      <c r="GX278">
        <f t="shared" si="287"/>
        <v>0</v>
      </c>
      <c r="HA278">
        <v>0</v>
      </c>
      <c r="HB278">
        <v>0</v>
      </c>
      <c r="HC278">
        <f t="shared" si="288"/>
        <v>0</v>
      </c>
      <c r="HE278" t="s">
        <v>3</v>
      </c>
      <c r="HF278" t="s">
        <v>3</v>
      </c>
      <c r="HM278" t="s">
        <v>3</v>
      </c>
      <c r="HN278" t="s">
        <v>3</v>
      </c>
      <c r="HO278" t="s">
        <v>3</v>
      </c>
      <c r="HP278" t="s">
        <v>3</v>
      </c>
      <c r="HQ278" t="s">
        <v>3</v>
      </c>
      <c r="HS278">
        <v>0</v>
      </c>
      <c r="IK278">
        <v>0</v>
      </c>
    </row>
    <row r="279" spans="1:255" x14ac:dyDescent="0.2">
      <c r="A279" s="2">
        <v>18</v>
      </c>
      <c r="B279" s="2">
        <v>1</v>
      </c>
      <c r="C279" s="2">
        <v>193</v>
      </c>
      <c r="D279" s="2"/>
      <c r="E279" s="2" t="s">
        <v>349</v>
      </c>
      <c r="F279" s="2" t="s">
        <v>350</v>
      </c>
      <c r="G279" s="2" t="s">
        <v>351</v>
      </c>
      <c r="H279" s="2" t="s">
        <v>93</v>
      </c>
      <c r="I279" s="2">
        <f>I277*J279</f>
        <v>0</v>
      </c>
      <c r="J279" s="2">
        <v>162</v>
      </c>
      <c r="K279" s="2">
        <v>162</v>
      </c>
      <c r="L279" s="2"/>
      <c r="M279" s="2"/>
      <c r="N279" s="2"/>
      <c r="O279" s="2">
        <f t="shared" si="254"/>
        <v>0</v>
      </c>
      <c r="P279" s="2">
        <f t="shared" si="255"/>
        <v>0</v>
      </c>
      <c r="Q279" s="2">
        <f>(ROUND((ROUND(((ET279)*AV279*I279),2)*BB279),2)+ROUND((ROUND(((AE279-(EU279))*AV279*I279),2)*BS279),2))</f>
        <v>0</v>
      </c>
      <c r="R279" s="2">
        <f t="shared" si="257"/>
        <v>0</v>
      </c>
      <c r="S279" s="2">
        <f t="shared" si="258"/>
        <v>0</v>
      </c>
      <c r="T279" s="2">
        <f t="shared" si="259"/>
        <v>0</v>
      </c>
      <c r="U279" s="2">
        <f t="shared" si="260"/>
        <v>0</v>
      </c>
      <c r="V279" s="2">
        <f t="shared" si="261"/>
        <v>0</v>
      </c>
      <c r="W279" s="2">
        <f t="shared" si="262"/>
        <v>0</v>
      </c>
      <c r="X279" s="2">
        <f t="shared" si="263"/>
        <v>0</v>
      </c>
      <c r="Y279" s="2">
        <f t="shared" si="264"/>
        <v>0</v>
      </c>
      <c r="Z279" s="2"/>
      <c r="AA279" s="2">
        <v>56622586</v>
      </c>
      <c r="AB279" s="2">
        <f t="shared" si="265"/>
        <v>517.14</v>
      </c>
      <c r="AC279" s="2">
        <f t="shared" si="266"/>
        <v>517.14</v>
      </c>
      <c r="AD279" s="2">
        <f>ROUND((((ET279)-(EU279))+AE279),6)</f>
        <v>0</v>
      </c>
      <c r="AE279" s="2">
        <f>ROUND((EU279),6)</f>
        <v>0</v>
      </c>
      <c r="AF279" s="2">
        <f>ROUND((EV279),6)</f>
        <v>0</v>
      </c>
      <c r="AG279" s="2">
        <f t="shared" si="269"/>
        <v>0</v>
      </c>
      <c r="AH279" s="2">
        <f>(EW279)</f>
        <v>0</v>
      </c>
      <c r="AI279" s="2">
        <f>(EX279)</f>
        <v>0</v>
      </c>
      <c r="AJ279" s="2">
        <f t="shared" si="271"/>
        <v>0</v>
      </c>
      <c r="AK279" s="2">
        <v>517.14</v>
      </c>
      <c r="AL279" s="2">
        <v>517.14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161</v>
      </c>
      <c r="AU279" s="2">
        <v>107</v>
      </c>
      <c r="AV279" s="2">
        <v>1.0469999999999999</v>
      </c>
      <c r="AW279" s="2">
        <v>1.002</v>
      </c>
      <c r="AX279" s="2"/>
      <c r="AY279" s="2"/>
      <c r="AZ279" s="2">
        <v>1</v>
      </c>
      <c r="BA279" s="2">
        <v>1</v>
      </c>
      <c r="BB279" s="2">
        <v>1</v>
      </c>
      <c r="BC279" s="2">
        <v>1</v>
      </c>
      <c r="BD279" s="2" t="s">
        <v>3</v>
      </c>
      <c r="BE279" s="2" t="s">
        <v>3</v>
      </c>
      <c r="BF279" s="2" t="s">
        <v>3</v>
      </c>
      <c r="BG279" s="2" t="s">
        <v>3</v>
      </c>
      <c r="BH279" s="2">
        <v>3</v>
      </c>
      <c r="BI279" s="2">
        <v>1</v>
      </c>
      <c r="BJ279" s="2" t="s">
        <v>352</v>
      </c>
      <c r="BK279" s="2"/>
      <c r="BL279" s="2"/>
      <c r="BM279" s="2">
        <v>152</v>
      </c>
      <c r="BN279" s="2">
        <v>0</v>
      </c>
      <c r="BO279" s="2" t="s">
        <v>3</v>
      </c>
      <c r="BP279" s="2">
        <v>0</v>
      </c>
      <c r="BQ279" s="2">
        <v>30</v>
      </c>
      <c r="BR279" s="2">
        <v>0</v>
      </c>
      <c r="BS279" s="2">
        <v>1</v>
      </c>
      <c r="BT279" s="2">
        <v>1</v>
      </c>
      <c r="BU279" s="2">
        <v>1</v>
      </c>
      <c r="BV279" s="2">
        <v>1</v>
      </c>
      <c r="BW279" s="2">
        <v>1</v>
      </c>
      <c r="BX279" s="2">
        <v>1</v>
      </c>
      <c r="BY279" s="2" t="s">
        <v>3</v>
      </c>
      <c r="BZ279" s="2">
        <v>161</v>
      </c>
      <c r="CA279" s="2">
        <v>107</v>
      </c>
      <c r="CB279" s="2" t="s">
        <v>3</v>
      </c>
      <c r="CC279" s="2"/>
      <c r="CD279" s="2"/>
      <c r="CE279" s="2">
        <v>30</v>
      </c>
      <c r="CF279" s="2">
        <v>0</v>
      </c>
      <c r="CG279" s="2">
        <v>0</v>
      </c>
      <c r="CH279" s="2"/>
      <c r="CI279" s="2"/>
      <c r="CJ279" s="2"/>
      <c r="CK279" s="2"/>
      <c r="CL279" s="2"/>
      <c r="CM279" s="2">
        <v>0</v>
      </c>
      <c r="CN279" s="2" t="s">
        <v>3</v>
      </c>
      <c r="CO279" s="2">
        <v>0</v>
      </c>
      <c r="CP279" s="2">
        <f t="shared" si="272"/>
        <v>0</v>
      </c>
      <c r="CQ279" s="2">
        <f t="shared" si="273"/>
        <v>518.16999999999996</v>
      </c>
      <c r="CR279" s="2">
        <f>(ROUND((ROUND(((ET279)*AV279*1),2)*BB279),2)+ROUND((ROUND(((AE279-(EU279))*AV279*1),2)*BS279),2))</f>
        <v>0</v>
      </c>
      <c r="CS279" s="2">
        <f t="shared" si="275"/>
        <v>0</v>
      </c>
      <c r="CT279" s="2">
        <f t="shared" si="276"/>
        <v>0</v>
      </c>
      <c r="CU279" s="2">
        <f t="shared" si="277"/>
        <v>0</v>
      </c>
      <c r="CV279" s="2">
        <f t="shared" si="278"/>
        <v>0</v>
      </c>
      <c r="CW279" s="2">
        <f t="shared" si="279"/>
        <v>0</v>
      </c>
      <c r="CX279" s="2">
        <f t="shared" si="280"/>
        <v>0</v>
      </c>
      <c r="CY279" s="2">
        <f>((S279*BZ279)/100)</f>
        <v>0</v>
      </c>
      <c r="CZ279" s="2">
        <f>((S279*CA279)/100)</f>
        <v>0</v>
      </c>
      <c r="DA279" s="2"/>
      <c r="DB279" s="2"/>
      <c r="DC279" s="2" t="s">
        <v>3</v>
      </c>
      <c r="DD279" s="2" t="s">
        <v>3</v>
      </c>
      <c r="DE279" s="2" t="s">
        <v>3</v>
      </c>
      <c r="DF279" s="2" t="s">
        <v>3</v>
      </c>
      <c r="DG279" s="2" t="s">
        <v>3</v>
      </c>
      <c r="DH279" s="2" t="s">
        <v>3</v>
      </c>
      <c r="DI279" s="2" t="s">
        <v>3</v>
      </c>
      <c r="DJ279" s="2" t="s">
        <v>3</v>
      </c>
      <c r="DK279" s="2" t="s">
        <v>3</v>
      </c>
      <c r="DL279" s="2" t="s">
        <v>3</v>
      </c>
      <c r="DM279" s="2" t="s">
        <v>3</v>
      </c>
      <c r="DN279" s="2">
        <v>0</v>
      </c>
      <c r="DO279" s="2">
        <v>0</v>
      </c>
      <c r="DP279" s="2">
        <v>1</v>
      </c>
      <c r="DQ279" s="2">
        <v>1</v>
      </c>
      <c r="DR279" s="2"/>
      <c r="DS279" s="2"/>
      <c r="DT279" s="2"/>
      <c r="DU279" s="2">
        <v>1007</v>
      </c>
      <c r="DV279" s="2" t="s">
        <v>93</v>
      </c>
      <c r="DW279" s="2" t="s">
        <v>93</v>
      </c>
      <c r="DX279" s="2">
        <v>1</v>
      </c>
      <c r="DY279" s="2"/>
      <c r="DZ279" s="2" t="s">
        <v>3</v>
      </c>
      <c r="EA279" s="2" t="s">
        <v>3</v>
      </c>
      <c r="EB279" s="2" t="s">
        <v>3</v>
      </c>
      <c r="EC279" s="2" t="s">
        <v>3</v>
      </c>
      <c r="ED279" s="2"/>
      <c r="EE279" s="2">
        <v>51696191</v>
      </c>
      <c r="EF279" s="2">
        <v>30</v>
      </c>
      <c r="EG279" s="2" t="s">
        <v>16</v>
      </c>
      <c r="EH279" s="2">
        <v>0</v>
      </c>
      <c r="EI279" s="2" t="s">
        <v>3</v>
      </c>
      <c r="EJ279" s="2">
        <v>1</v>
      </c>
      <c r="EK279" s="2">
        <v>152</v>
      </c>
      <c r="EL279" s="2" t="s">
        <v>347</v>
      </c>
      <c r="EM279" s="2" t="s">
        <v>348</v>
      </c>
      <c r="EN279" s="2"/>
      <c r="EO279" s="2" t="s">
        <v>3</v>
      </c>
      <c r="EP279" s="2"/>
      <c r="EQ279" s="2">
        <v>0</v>
      </c>
      <c r="ER279" s="2">
        <v>517.14</v>
      </c>
      <c r="ES279" s="2">
        <v>517.14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>
        <v>0</v>
      </c>
      <c r="FR279" s="2">
        <v>0</v>
      </c>
      <c r="FS279" s="2">
        <v>0</v>
      </c>
      <c r="FT279" s="2"/>
      <c r="FU279" s="2"/>
      <c r="FV279" s="2"/>
      <c r="FW279" s="2"/>
      <c r="FX279" s="2">
        <v>161</v>
      </c>
      <c r="FY279" s="2">
        <v>107</v>
      </c>
      <c r="FZ279" s="2"/>
      <c r="GA279" s="2" t="s">
        <v>3</v>
      </c>
      <c r="GB279" s="2"/>
      <c r="GC279" s="2"/>
      <c r="GD279" s="2">
        <v>0</v>
      </c>
      <c r="GE279" s="2"/>
      <c r="GF279" s="2">
        <v>-520181400</v>
      </c>
      <c r="GG279" s="2">
        <v>2</v>
      </c>
      <c r="GH279" s="2">
        <v>1</v>
      </c>
      <c r="GI279" s="2">
        <v>-2</v>
      </c>
      <c r="GJ279" s="2">
        <v>0</v>
      </c>
      <c r="GK279" s="2">
        <f>ROUND(R279*(R12)/100,2)</f>
        <v>0</v>
      </c>
      <c r="GL279" s="2">
        <f t="shared" si="281"/>
        <v>0</v>
      </c>
      <c r="GM279" s="2">
        <f t="shared" si="282"/>
        <v>0</v>
      </c>
      <c r="GN279" s="2">
        <f t="shared" si="283"/>
        <v>0</v>
      </c>
      <c r="GO279" s="2">
        <f t="shared" si="284"/>
        <v>0</v>
      </c>
      <c r="GP279" s="2">
        <f t="shared" si="285"/>
        <v>0</v>
      </c>
      <c r="GQ279" s="2"/>
      <c r="GR279" s="2">
        <v>0</v>
      </c>
      <c r="GS279" s="2">
        <v>0</v>
      </c>
      <c r="GT279" s="2">
        <v>0</v>
      </c>
      <c r="GU279" s="2" t="s">
        <v>3</v>
      </c>
      <c r="GV279" s="2">
        <f t="shared" si="286"/>
        <v>0</v>
      </c>
      <c r="GW279" s="2">
        <v>1</v>
      </c>
      <c r="GX279" s="2">
        <f t="shared" si="287"/>
        <v>0</v>
      </c>
      <c r="GY279" s="2"/>
      <c r="GZ279" s="2"/>
      <c r="HA279" s="2">
        <v>0</v>
      </c>
      <c r="HB279" s="2">
        <v>0</v>
      </c>
      <c r="HC279" s="2">
        <f t="shared" si="288"/>
        <v>0</v>
      </c>
      <c r="HD279" s="2"/>
      <c r="HE279" s="2" t="s">
        <v>3</v>
      </c>
      <c r="HF279" s="2" t="s">
        <v>3</v>
      </c>
      <c r="HG279" s="2"/>
      <c r="HH279" s="2"/>
      <c r="HI279" s="2"/>
      <c r="HJ279" s="2"/>
      <c r="HK279" s="2"/>
      <c r="HL279" s="2"/>
      <c r="HM279" s="2" t="s">
        <v>3</v>
      </c>
      <c r="HN279" s="2" t="s">
        <v>3</v>
      </c>
      <c r="HO279" s="2" t="s">
        <v>3</v>
      </c>
      <c r="HP279" s="2" t="s">
        <v>3</v>
      </c>
      <c r="HQ279" s="2" t="s">
        <v>3</v>
      </c>
      <c r="HR279" s="2"/>
      <c r="HS279" s="2">
        <v>0</v>
      </c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>
        <v>0</v>
      </c>
      <c r="IL279" s="2"/>
      <c r="IM279" s="2"/>
      <c r="IN279" s="2"/>
      <c r="IO279" s="2"/>
      <c r="IP279" s="2"/>
      <c r="IQ279" s="2"/>
      <c r="IR279" s="2"/>
      <c r="IS279" s="2"/>
      <c r="IT279" s="2"/>
      <c r="IU279" s="2"/>
    </row>
    <row r="280" spans="1:255" x14ac:dyDescent="0.2">
      <c r="A280">
        <v>18</v>
      </c>
      <c r="B280">
        <v>1</v>
      </c>
      <c r="C280">
        <v>194</v>
      </c>
      <c r="E280" t="s">
        <v>349</v>
      </c>
      <c r="F280" t="s">
        <v>350</v>
      </c>
      <c r="G280" t="s">
        <v>351</v>
      </c>
      <c r="H280" t="s">
        <v>93</v>
      </c>
      <c r="I280">
        <f>I278*J280</f>
        <v>0</v>
      </c>
      <c r="J280">
        <v>162</v>
      </c>
      <c r="K280">
        <v>162</v>
      </c>
      <c r="O280">
        <f t="shared" si="254"/>
        <v>0</v>
      </c>
      <c r="P280">
        <f t="shared" si="255"/>
        <v>0</v>
      </c>
      <c r="Q280">
        <f>(ROUND((ROUND(((ET280)*AV280*I280),2)*BB280),2)+ROUND((ROUND(((AE280-(EU280))*AV280*I280),2)*BS280),2))</f>
        <v>0</v>
      </c>
      <c r="R280">
        <f t="shared" si="257"/>
        <v>0</v>
      </c>
      <c r="S280">
        <f t="shared" si="258"/>
        <v>0</v>
      </c>
      <c r="T280">
        <f t="shared" si="259"/>
        <v>0</v>
      </c>
      <c r="U280">
        <f t="shared" si="260"/>
        <v>0</v>
      </c>
      <c r="V280">
        <f t="shared" si="261"/>
        <v>0</v>
      </c>
      <c r="W280">
        <f t="shared" si="262"/>
        <v>0</v>
      </c>
      <c r="X280">
        <f t="shared" si="263"/>
        <v>0</v>
      </c>
      <c r="Y280">
        <f t="shared" si="264"/>
        <v>0</v>
      </c>
      <c r="AA280">
        <v>56616093</v>
      </c>
      <c r="AB280">
        <f t="shared" si="265"/>
        <v>517.14</v>
      </c>
      <c r="AC280">
        <f t="shared" si="266"/>
        <v>517.14</v>
      </c>
      <c r="AD280">
        <f>ROUND((((ET280)-(EU280))+AE280),6)</f>
        <v>0</v>
      </c>
      <c r="AE280">
        <f>ROUND((EU280),6)</f>
        <v>0</v>
      </c>
      <c r="AF280">
        <f>ROUND((EV280),6)</f>
        <v>0</v>
      </c>
      <c r="AG280">
        <f t="shared" si="269"/>
        <v>0</v>
      </c>
      <c r="AH280">
        <f>(EW280)</f>
        <v>0</v>
      </c>
      <c r="AI280">
        <f>(EX280)</f>
        <v>0</v>
      </c>
      <c r="AJ280">
        <f t="shared" si="271"/>
        <v>0</v>
      </c>
      <c r="AK280">
        <v>517.14</v>
      </c>
      <c r="AL280">
        <v>517.14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</v>
      </c>
      <c r="AW280">
        <v>1.002</v>
      </c>
      <c r="AZ280">
        <v>1</v>
      </c>
      <c r="BA280">
        <v>1</v>
      </c>
      <c r="BB280">
        <v>1</v>
      </c>
      <c r="BC280">
        <v>11.03</v>
      </c>
      <c r="BD280" t="s">
        <v>3</v>
      </c>
      <c r="BE280" t="s">
        <v>3</v>
      </c>
      <c r="BF280" t="s">
        <v>3</v>
      </c>
      <c r="BG280" t="s">
        <v>3</v>
      </c>
      <c r="BH280">
        <v>3</v>
      </c>
      <c r="BI280">
        <v>1</v>
      </c>
      <c r="BJ280" t="s">
        <v>352</v>
      </c>
      <c r="BM280">
        <v>152</v>
      </c>
      <c r="BN280">
        <v>0</v>
      </c>
      <c r="BO280" t="s">
        <v>350</v>
      </c>
      <c r="BP280">
        <v>1</v>
      </c>
      <c r="BQ280">
        <v>30</v>
      </c>
      <c r="BR280">
        <v>0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 t="s">
        <v>3</v>
      </c>
      <c r="BZ280">
        <v>0</v>
      </c>
      <c r="CA280">
        <v>0</v>
      </c>
      <c r="CB280" t="s">
        <v>3</v>
      </c>
      <c r="CE280">
        <v>30</v>
      </c>
      <c r="CF280">
        <v>0</v>
      </c>
      <c r="CG280">
        <v>0</v>
      </c>
      <c r="CM280">
        <v>0</v>
      </c>
      <c r="CN280" t="s">
        <v>3</v>
      </c>
      <c r="CO280">
        <v>0</v>
      </c>
      <c r="CP280">
        <f t="shared" si="272"/>
        <v>0</v>
      </c>
      <c r="CQ280">
        <f t="shared" si="273"/>
        <v>5715.42</v>
      </c>
      <c r="CR280">
        <f>(ROUND((ROUND(((ET280)*AV280*1),2)*BB280),2)+ROUND((ROUND(((AE280-(EU280))*AV280*1),2)*BS280),2))</f>
        <v>0</v>
      </c>
      <c r="CS280">
        <f t="shared" si="275"/>
        <v>0</v>
      </c>
      <c r="CT280">
        <f t="shared" si="276"/>
        <v>0</v>
      </c>
      <c r="CU280">
        <f t="shared" si="277"/>
        <v>0</v>
      </c>
      <c r="CV280">
        <f t="shared" si="278"/>
        <v>0</v>
      </c>
      <c r="CW280">
        <f t="shared" si="279"/>
        <v>0</v>
      </c>
      <c r="CX280">
        <f t="shared" si="280"/>
        <v>0</v>
      </c>
      <c r="CY280">
        <f>S280*(BZ280/100)</f>
        <v>0</v>
      </c>
      <c r="CZ280">
        <f>S280*(CA280/100)</f>
        <v>0</v>
      </c>
      <c r="DC280" t="s">
        <v>3</v>
      </c>
      <c r="DD280" t="s">
        <v>3</v>
      </c>
      <c r="DE280" t="s">
        <v>3</v>
      </c>
      <c r="DF280" t="s">
        <v>3</v>
      </c>
      <c r="DG280" t="s">
        <v>3</v>
      </c>
      <c r="DH280" t="s">
        <v>3</v>
      </c>
      <c r="DI280" t="s">
        <v>3</v>
      </c>
      <c r="DJ280" t="s">
        <v>3</v>
      </c>
      <c r="DK280" t="s">
        <v>3</v>
      </c>
      <c r="DL280" t="s">
        <v>3</v>
      </c>
      <c r="DM280" t="s">
        <v>3</v>
      </c>
      <c r="DN280">
        <v>161</v>
      </c>
      <c r="DO280">
        <v>107</v>
      </c>
      <c r="DP280">
        <v>1.0469999999999999</v>
      </c>
      <c r="DQ280">
        <v>1.002</v>
      </c>
      <c r="DU280">
        <v>1007</v>
      </c>
      <c r="DV280" t="s">
        <v>93</v>
      </c>
      <c r="DW280" t="s">
        <v>93</v>
      </c>
      <c r="DX280">
        <v>1</v>
      </c>
      <c r="DZ280" t="s">
        <v>3</v>
      </c>
      <c r="EA280" t="s">
        <v>3</v>
      </c>
      <c r="EB280" t="s">
        <v>3</v>
      </c>
      <c r="EC280" t="s">
        <v>3</v>
      </c>
      <c r="EE280">
        <v>51696191</v>
      </c>
      <c r="EF280">
        <v>30</v>
      </c>
      <c r="EG280" t="s">
        <v>16</v>
      </c>
      <c r="EH280">
        <v>0</v>
      </c>
      <c r="EI280" t="s">
        <v>3</v>
      </c>
      <c r="EJ280">
        <v>1</v>
      </c>
      <c r="EK280">
        <v>152</v>
      </c>
      <c r="EL280" t="s">
        <v>347</v>
      </c>
      <c r="EM280" t="s">
        <v>348</v>
      </c>
      <c r="EO280" t="s">
        <v>3</v>
      </c>
      <c r="EQ280">
        <v>0</v>
      </c>
      <c r="ER280">
        <v>517.14</v>
      </c>
      <c r="ES280">
        <v>517.14</v>
      </c>
      <c r="ET280">
        <v>0</v>
      </c>
      <c r="EU280">
        <v>0</v>
      </c>
      <c r="EV280">
        <v>0</v>
      </c>
      <c r="EW280">
        <v>0</v>
      </c>
      <c r="EX280">
        <v>0</v>
      </c>
      <c r="FQ280">
        <v>0</v>
      </c>
      <c r="FR280">
        <v>0</v>
      </c>
      <c r="FS280">
        <v>0</v>
      </c>
      <c r="FX280">
        <v>161</v>
      </c>
      <c r="FY280">
        <v>107</v>
      </c>
      <c r="GA280" t="s">
        <v>3</v>
      </c>
      <c r="GD280">
        <v>0</v>
      </c>
      <c r="GF280">
        <v>-520181400</v>
      </c>
      <c r="GG280">
        <v>2</v>
      </c>
      <c r="GH280">
        <v>1</v>
      </c>
      <c r="GI280">
        <v>2</v>
      </c>
      <c r="GJ280">
        <v>0</v>
      </c>
      <c r="GK280">
        <f>ROUND(R280*(S12)/100,2)</f>
        <v>0</v>
      </c>
      <c r="GL280">
        <f t="shared" si="281"/>
        <v>0</v>
      </c>
      <c r="GM280">
        <f t="shared" si="282"/>
        <v>0</v>
      </c>
      <c r="GN280">
        <f t="shared" si="283"/>
        <v>0</v>
      </c>
      <c r="GO280">
        <f t="shared" si="284"/>
        <v>0</v>
      </c>
      <c r="GP280">
        <f t="shared" si="285"/>
        <v>0</v>
      </c>
      <c r="GR280">
        <v>0</v>
      </c>
      <c r="GS280">
        <v>3</v>
      </c>
      <c r="GT280">
        <v>0</v>
      </c>
      <c r="GU280" t="s">
        <v>3</v>
      </c>
      <c r="GV280">
        <f t="shared" si="286"/>
        <v>0</v>
      </c>
      <c r="GW280">
        <v>1</v>
      </c>
      <c r="GX280">
        <f t="shared" si="287"/>
        <v>0</v>
      </c>
      <c r="HA280">
        <v>0</v>
      </c>
      <c r="HB280">
        <v>0</v>
      </c>
      <c r="HC280">
        <f t="shared" si="288"/>
        <v>0</v>
      </c>
      <c r="HE280" t="s">
        <v>3</v>
      </c>
      <c r="HF280" t="s">
        <v>3</v>
      </c>
      <c r="HM280" t="s">
        <v>3</v>
      </c>
      <c r="HN280" t="s">
        <v>3</v>
      </c>
      <c r="HO280" t="s">
        <v>3</v>
      </c>
      <c r="HP280" t="s">
        <v>3</v>
      </c>
      <c r="HQ280" t="s">
        <v>3</v>
      </c>
      <c r="HS280">
        <v>0</v>
      </c>
      <c r="IK280">
        <v>0</v>
      </c>
    </row>
    <row r="281" spans="1:255" x14ac:dyDescent="0.2">
      <c r="A281" s="2">
        <v>17</v>
      </c>
      <c r="B281" s="2">
        <v>1</v>
      </c>
      <c r="C281" s="2">
        <f>ROW(SmtRes!A195)</f>
        <v>195</v>
      </c>
      <c r="D281" s="2">
        <f>ROW(EtalonRes!A1035)</f>
        <v>1035</v>
      </c>
      <c r="E281" s="2" t="s">
        <v>353</v>
      </c>
      <c r="F281" s="2" t="s">
        <v>354</v>
      </c>
      <c r="G281" s="2" t="s">
        <v>355</v>
      </c>
      <c r="H281" s="2" t="s">
        <v>345</v>
      </c>
      <c r="I281" s="2">
        <v>0</v>
      </c>
      <c r="J281" s="2">
        <v>0</v>
      </c>
      <c r="K281" s="2">
        <v>0</v>
      </c>
      <c r="L281" s="2"/>
      <c r="M281" s="2"/>
      <c r="N281" s="2"/>
      <c r="O281" s="2">
        <f t="shared" si="254"/>
        <v>0</v>
      </c>
      <c r="P281" s="2">
        <f t="shared" si="255"/>
        <v>0</v>
      </c>
      <c r="Q281" s="2">
        <f>(ROUND((ROUND((((ET281*1.1))*AV281*I281),2)*BB281),2)+ROUND((ROUND(((AE281-((EU281*1.1)))*AV281*I281),2)*BS281),2))</f>
        <v>0</v>
      </c>
      <c r="R281" s="2">
        <f t="shared" si="257"/>
        <v>0</v>
      </c>
      <c r="S281" s="2">
        <f t="shared" si="258"/>
        <v>0</v>
      </c>
      <c r="T281" s="2">
        <f t="shared" si="259"/>
        <v>0</v>
      </c>
      <c r="U281" s="2">
        <f t="shared" si="260"/>
        <v>0</v>
      </c>
      <c r="V281" s="2">
        <f t="shared" si="261"/>
        <v>0</v>
      </c>
      <c r="W281" s="2">
        <f t="shared" si="262"/>
        <v>0</v>
      </c>
      <c r="X281" s="2">
        <f t="shared" si="263"/>
        <v>0</v>
      </c>
      <c r="Y281" s="2">
        <f t="shared" si="264"/>
        <v>0</v>
      </c>
      <c r="Z281" s="2"/>
      <c r="AA281" s="2">
        <v>56622586</v>
      </c>
      <c r="AB281" s="2">
        <f t="shared" si="265"/>
        <v>123.83</v>
      </c>
      <c r="AC281" s="2">
        <f t="shared" si="266"/>
        <v>58.6</v>
      </c>
      <c r="AD281" s="2">
        <f>ROUND(((((ET281*1.1))-((EU281*1.1)))+AE281),6)</f>
        <v>0</v>
      </c>
      <c r="AE281" s="2">
        <f>ROUND(((EU281*1.1)),6)</f>
        <v>0</v>
      </c>
      <c r="AF281" s="2">
        <f>ROUND(((EV281*1.1)),6)</f>
        <v>65.23</v>
      </c>
      <c r="AG281" s="2">
        <f t="shared" si="269"/>
        <v>0</v>
      </c>
      <c r="AH281" s="2">
        <f>((EW281*1.1))</f>
        <v>5.6870000000000003</v>
      </c>
      <c r="AI281" s="2">
        <f>((EX281*1.1))</f>
        <v>0</v>
      </c>
      <c r="AJ281" s="2">
        <f t="shared" si="271"/>
        <v>0</v>
      </c>
      <c r="AK281" s="2">
        <v>117.9</v>
      </c>
      <c r="AL281" s="2">
        <v>58.6</v>
      </c>
      <c r="AM281" s="2">
        <v>0</v>
      </c>
      <c r="AN281" s="2">
        <v>0</v>
      </c>
      <c r="AO281" s="2">
        <v>59.3</v>
      </c>
      <c r="AP281" s="2">
        <v>0</v>
      </c>
      <c r="AQ281" s="2">
        <v>5.17</v>
      </c>
      <c r="AR281" s="2">
        <v>0</v>
      </c>
      <c r="AS281" s="2">
        <v>0</v>
      </c>
      <c r="AT281" s="2">
        <v>161</v>
      </c>
      <c r="AU281" s="2">
        <v>107</v>
      </c>
      <c r="AV281" s="2">
        <v>1.0469999999999999</v>
      </c>
      <c r="AW281" s="2">
        <v>1.002</v>
      </c>
      <c r="AX281" s="2"/>
      <c r="AY281" s="2"/>
      <c r="AZ281" s="2">
        <v>1</v>
      </c>
      <c r="BA281" s="2">
        <v>1</v>
      </c>
      <c r="BB281" s="2">
        <v>1</v>
      </c>
      <c r="BC281" s="2">
        <v>1</v>
      </c>
      <c r="BD281" s="2" t="s">
        <v>3</v>
      </c>
      <c r="BE281" s="2" t="s">
        <v>3</v>
      </c>
      <c r="BF281" s="2" t="s">
        <v>3</v>
      </c>
      <c r="BG281" s="2" t="s">
        <v>3</v>
      </c>
      <c r="BH281" s="2">
        <v>0</v>
      </c>
      <c r="BI281" s="2">
        <v>1</v>
      </c>
      <c r="BJ281" s="2" t="s">
        <v>356</v>
      </c>
      <c r="BK281" s="2"/>
      <c r="BL281" s="2"/>
      <c r="BM281" s="2">
        <v>152</v>
      </c>
      <c r="BN281" s="2">
        <v>0</v>
      </c>
      <c r="BO281" s="2" t="s">
        <v>3</v>
      </c>
      <c r="BP281" s="2">
        <v>0</v>
      </c>
      <c r="BQ281" s="2">
        <v>30</v>
      </c>
      <c r="BR281" s="2">
        <v>0</v>
      </c>
      <c r="BS281" s="2">
        <v>1</v>
      </c>
      <c r="BT281" s="2">
        <v>1</v>
      </c>
      <c r="BU281" s="2">
        <v>1</v>
      </c>
      <c r="BV281" s="2">
        <v>1</v>
      </c>
      <c r="BW281" s="2">
        <v>1</v>
      </c>
      <c r="BX281" s="2">
        <v>1</v>
      </c>
      <c r="BY281" s="2" t="s">
        <v>3</v>
      </c>
      <c r="BZ281" s="2">
        <v>161</v>
      </c>
      <c r="CA281" s="2">
        <v>107</v>
      </c>
      <c r="CB281" s="2" t="s">
        <v>3</v>
      </c>
      <c r="CC281" s="2"/>
      <c r="CD281" s="2"/>
      <c r="CE281" s="2">
        <v>30</v>
      </c>
      <c r="CF281" s="2">
        <v>0</v>
      </c>
      <c r="CG281" s="2">
        <v>0</v>
      </c>
      <c r="CH281" s="2"/>
      <c r="CI281" s="2"/>
      <c r="CJ281" s="2"/>
      <c r="CK281" s="2"/>
      <c r="CL281" s="2"/>
      <c r="CM281" s="2">
        <v>0</v>
      </c>
      <c r="CN281" s="2" t="s">
        <v>671</v>
      </c>
      <c r="CO281" s="2">
        <v>0</v>
      </c>
      <c r="CP281" s="2">
        <f t="shared" si="272"/>
        <v>0</v>
      </c>
      <c r="CQ281" s="2">
        <f t="shared" si="273"/>
        <v>58.72</v>
      </c>
      <c r="CR281" s="2">
        <f>(ROUND((ROUND((((ET281*1.1))*AV281*1),2)*BB281),2)+ROUND((ROUND(((AE281-((EU281*1.1)))*AV281*1),2)*BS281),2))</f>
        <v>0</v>
      </c>
      <c r="CS281" s="2">
        <f t="shared" si="275"/>
        <v>0</v>
      </c>
      <c r="CT281" s="2">
        <f t="shared" si="276"/>
        <v>68.3</v>
      </c>
      <c r="CU281" s="2">
        <f t="shared" si="277"/>
        <v>0</v>
      </c>
      <c r="CV281" s="2">
        <f t="shared" si="278"/>
        <v>5.9542890000000002</v>
      </c>
      <c r="CW281" s="2">
        <f t="shared" si="279"/>
        <v>0</v>
      </c>
      <c r="CX281" s="2">
        <f t="shared" si="280"/>
        <v>0</v>
      </c>
      <c r="CY281" s="2">
        <f>((S281*BZ281)/100)</f>
        <v>0</v>
      </c>
      <c r="CZ281" s="2">
        <f>((S281*CA281)/100)</f>
        <v>0</v>
      </c>
      <c r="DA281" s="2"/>
      <c r="DB281" s="2"/>
      <c r="DC281" s="2" t="s">
        <v>3</v>
      </c>
      <c r="DD281" s="2" t="s">
        <v>3</v>
      </c>
      <c r="DE281" s="2" t="s">
        <v>22</v>
      </c>
      <c r="DF281" s="2" t="s">
        <v>22</v>
      </c>
      <c r="DG281" s="2" t="s">
        <v>22</v>
      </c>
      <c r="DH281" s="2" t="s">
        <v>3</v>
      </c>
      <c r="DI281" s="2" t="s">
        <v>22</v>
      </c>
      <c r="DJ281" s="2" t="s">
        <v>22</v>
      </c>
      <c r="DK281" s="2" t="s">
        <v>3</v>
      </c>
      <c r="DL281" s="2" t="s">
        <v>3</v>
      </c>
      <c r="DM281" s="2" t="s">
        <v>3</v>
      </c>
      <c r="DN281" s="2">
        <v>0</v>
      </c>
      <c r="DO281" s="2">
        <v>0</v>
      </c>
      <c r="DP281" s="2">
        <v>1</v>
      </c>
      <c r="DQ281" s="2">
        <v>1</v>
      </c>
      <c r="DR281" s="2"/>
      <c r="DS281" s="2"/>
      <c r="DT281" s="2"/>
      <c r="DU281" s="2">
        <v>1013</v>
      </c>
      <c r="DV281" s="2" t="s">
        <v>345</v>
      </c>
      <c r="DW281" s="2" t="s">
        <v>345</v>
      </c>
      <c r="DX281" s="2">
        <v>1</v>
      </c>
      <c r="DY281" s="2"/>
      <c r="DZ281" s="2" t="s">
        <v>3</v>
      </c>
      <c r="EA281" s="2" t="s">
        <v>3</v>
      </c>
      <c r="EB281" s="2" t="s">
        <v>3</v>
      </c>
      <c r="EC281" s="2" t="s">
        <v>3</v>
      </c>
      <c r="ED281" s="2"/>
      <c r="EE281" s="2">
        <v>51696191</v>
      </c>
      <c r="EF281" s="2">
        <v>30</v>
      </c>
      <c r="EG281" s="2" t="s">
        <v>16</v>
      </c>
      <c r="EH281" s="2">
        <v>0</v>
      </c>
      <c r="EI281" s="2" t="s">
        <v>3</v>
      </c>
      <c r="EJ281" s="2">
        <v>1</v>
      </c>
      <c r="EK281" s="2">
        <v>152</v>
      </c>
      <c r="EL281" s="2" t="s">
        <v>347</v>
      </c>
      <c r="EM281" s="2" t="s">
        <v>348</v>
      </c>
      <c r="EN281" s="2"/>
      <c r="EO281" s="2" t="s">
        <v>25</v>
      </c>
      <c r="EP281" s="2"/>
      <c r="EQ281" s="2">
        <v>131072</v>
      </c>
      <c r="ER281" s="2">
        <v>117.9</v>
      </c>
      <c r="ES281" s="2">
        <v>58.6</v>
      </c>
      <c r="ET281" s="2">
        <v>0</v>
      </c>
      <c r="EU281" s="2">
        <v>0</v>
      </c>
      <c r="EV281" s="2">
        <v>59.3</v>
      </c>
      <c r="EW281" s="2">
        <v>5.17</v>
      </c>
      <c r="EX281" s="2">
        <v>0</v>
      </c>
      <c r="EY281" s="2">
        <v>0</v>
      </c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>
        <v>0</v>
      </c>
      <c r="FR281" s="2">
        <v>0</v>
      </c>
      <c r="FS281" s="2">
        <v>0</v>
      </c>
      <c r="FT281" s="2"/>
      <c r="FU281" s="2"/>
      <c r="FV281" s="2"/>
      <c r="FW281" s="2"/>
      <c r="FX281" s="2">
        <v>161</v>
      </c>
      <c r="FY281" s="2">
        <v>107</v>
      </c>
      <c r="FZ281" s="2"/>
      <c r="GA281" s="2" t="s">
        <v>3</v>
      </c>
      <c r="GB281" s="2"/>
      <c r="GC281" s="2"/>
      <c r="GD281" s="2">
        <v>0</v>
      </c>
      <c r="GE281" s="2"/>
      <c r="GF281" s="2">
        <v>36365599</v>
      </c>
      <c r="GG281" s="2">
        <v>2</v>
      </c>
      <c r="GH281" s="2">
        <v>1</v>
      </c>
      <c r="GI281" s="2">
        <v>-2</v>
      </c>
      <c r="GJ281" s="2">
        <v>0</v>
      </c>
      <c r="GK281" s="2">
        <f>ROUND(R281*(R12)/100,2)</f>
        <v>0</v>
      </c>
      <c r="GL281" s="2">
        <f t="shared" si="281"/>
        <v>0</v>
      </c>
      <c r="GM281" s="2">
        <f t="shared" si="282"/>
        <v>0</v>
      </c>
      <c r="GN281" s="2">
        <f t="shared" si="283"/>
        <v>0</v>
      </c>
      <c r="GO281" s="2">
        <f t="shared" si="284"/>
        <v>0</v>
      </c>
      <c r="GP281" s="2">
        <f t="shared" si="285"/>
        <v>0</v>
      </c>
      <c r="GQ281" s="2"/>
      <c r="GR281" s="2">
        <v>0</v>
      </c>
      <c r="GS281" s="2">
        <v>0</v>
      </c>
      <c r="GT281" s="2">
        <v>0</v>
      </c>
      <c r="GU281" s="2" t="s">
        <v>3</v>
      </c>
      <c r="GV281" s="2">
        <f t="shared" si="286"/>
        <v>0</v>
      </c>
      <c r="GW281" s="2">
        <v>1</v>
      </c>
      <c r="GX281" s="2">
        <f t="shared" si="287"/>
        <v>0</v>
      </c>
      <c r="GY281" s="2"/>
      <c r="GZ281" s="2"/>
      <c r="HA281" s="2">
        <v>0</v>
      </c>
      <c r="HB281" s="2">
        <v>0</v>
      </c>
      <c r="HC281" s="2">
        <f t="shared" si="288"/>
        <v>0</v>
      </c>
      <c r="HD281" s="2"/>
      <c r="HE281" s="2" t="s">
        <v>3</v>
      </c>
      <c r="HF281" s="2" t="s">
        <v>3</v>
      </c>
      <c r="HG281" s="2"/>
      <c r="HH281" s="2"/>
      <c r="HI281" s="2"/>
      <c r="HJ281" s="2"/>
      <c r="HK281" s="2"/>
      <c r="HL281" s="2"/>
      <c r="HM281" s="2" t="s">
        <v>3</v>
      </c>
      <c r="HN281" s="2" t="s">
        <v>3</v>
      </c>
      <c r="HO281" s="2" t="s">
        <v>3</v>
      </c>
      <c r="HP281" s="2" t="s">
        <v>3</v>
      </c>
      <c r="HQ281" s="2" t="s">
        <v>3</v>
      </c>
      <c r="HR281" s="2"/>
      <c r="HS281" s="2">
        <v>0</v>
      </c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>
        <v>0</v>
      </c>
      <c r="IL281" s="2"/>
      <c r="IM281" s="2"/>
      <c r="IN281" s="2"/>
      <c r="IO281" s="2"/>
      <c r="IP281" s="2"/>
      <c r="IQ281" s="2"/>
      <c r="IR281" s="2"/>
      <c r="IS281" s="2"/>
      <c r="IT281" s="2"/>
      <c r="IU281" s="2"/>
    </row>
    <row r="282" spans="1:255" x14ac:dyDescent="0.2">
      <c r="A282">
        <v>17</v>
      </c>
      <c r="B282">
        <v>1</v>
      </c>
      <c r="C282">
        <f>ROW(SmtRes!A196)</f>
        <v>196</v>
      </c>
      <c r="D282">
        <f>ROW(EtalonRes!A1038)</f>
        <v>1038</v>
      </c>
      <c r="E282" t="s">
        <v>353</v>
      </c>
      <c r="F282" t="s">
        <v>354</v>
      </c>
      <c r="G282" t="s">
        <v>355</v>
      </c>
      <c r="H282" t="s">
        <v>345</v>
      </c>
      <c r="I282">
        <v>0</v>
      </c>
      <c r="J282">
        <v>0</v>
      </c>
      <c r="K282">
        <v>0</v>
      </c>
      <c r="O282">
        <f t="shared" si="254"/>
        <v>0</v>
      </c>
      <c r="P282">
        <f t="shared" si="255"/>
        <v>0</v>
      </c>
      <c r="Q282">
        <f>(ROUND((ROUND((((ET282*1.1))*AV282*I282),2)*BB282),2)+ROUND((ROUND(((AE282-((EU282*1.1)))*AV282*I282),2)*BS282),2))</f>
        <v>0</v>
      </c>
      <c r="R282">
        <f t="shared" si="257"/>
        <v>0</v>
      </c>
      <c r="S282">
        <f t="shared" si="258"/>
        <v>0</v>
      </c>
      <c r="T282">
        <f t="shared" si="259"/>
        <v>0</v>
      </c>
      <c r="U282">
        <f t="shared" si="260"/>
        <v>0</v>
      </c>
      <c r="V282">
        <f t="shared" si="261"/>
        <v>0</v>
      </c>
      <c r="W282">
        <f t="shared" si="262"/>
        <v>0</v>
      </c>
      <c r="X282">
        <f t="shared" si="263"/>
        <v>0</v>
      </c>
      <c r="Y282">
        <f t="shared" si="264"/>
        <v>0</v>
      </c>
      <c r="AA282">
        <v>56616093</v>
      </c>
      <c r="AB282">
        <f t="shared" si="265"/>
        <v>123.83</v>
      </c>
      <c r="AC282">
        <f t="shared" si="266"/>
        <v>58.6</v>
      </c>
      <c r="AD282">
        <f>ROUND(((((ET282*1.1))-((EU282*1.1)))+AE282),6)</f>
        <v>0</v>
      </c>
      <c r="AE282">
        <f>ROUND(((EU282*1.1)),6)</f>
        <v>0</v>
      </c>
      <c r="AF282">
        <f>ROUND(((EV282*1.1)),6)</f>
        <v>65.23</v>
      </c>
      <c r="AG282">
        <f t="shared" si="269"/>
        <v>0</v>
      </c>
      <c r="AH282">
        <f>((EW282*1.1))</f>
        <v>5.6870000000000003</v>
      </c>
      <c r="AI282">
        <f>((EX282*1.1))</f>
        <v>0</v>
      </c>
      <c r="AJ282">
        <f t="shared" si="271"/>
        <v>0</v>
      </c>
      <c r="AK282">
        <v>117.9</v>
      </c>
      <c r="AL282">
        <v>58.6</v>
      </c>
      <c r="AM282">
        <v>0</v>
      </c>
      <c r="AN282">
        <v>0</v>
      </c>
      <c r="AO282">
        <v>59.3</v>
      </c>
      <c r="AP282">
        <v>0</v>
      </c>
      <c r="AQ282">
        <v>5.17</v>
      </c>
      <c r="AR282">
        <v>0</v>
      </c>
      <c r="AS282">
        <v>0</v>
      </c>
      <c r="AT282">
        <v>134</v>
      </c>
      <c r="AU282">
        <v>55</v>
      </c>
      <c r="AV282">
        <v>1.0469999999999999</v>
      </c>
      <c r="AW282">
        <v>1.002</v>
      </c>
      <c r="AZ282">
        <v>1</v>
      </c>
      <c r="BA282">
        <v>34.51</v>
      </c>
      <c r="BB282">
        <v>1</v>
      </c>
      <c r="BC282">
        <v>3.59</v>
      </c>
      <c r="BD282" t="s">
        <v>3</v>
      </c>
      <c r="BE282" t="s">
        <v>3</v>
      </c>
      <c r="BF282" t="s">
        <v>3</v>
      </c>
      <c r="BG282" t="s">
        <v>3</v>
      </c>
      <c r="BH282">
        <v>0</v>
      </c>
      <c r="BI282">
        <v>1</v>
      </c>
      <c r="BJ282" t="s">
        <v>356</v>
      </c>
      <c r="BM282">
        <v>152</v>
      </c>
      <c r="BN282">
        <v>0</v>
      </c>
      <c r="BO282" t="s">
        <v>354</v>
      </c>
      <c r="BP282">
        <v>1</v>
      </c>
      <c r="BQ282">
        <v>30</v>
      </c>
      <c r="BR282">
        <v>0</v>
      </c>
      <c r="BS282">
        <v>34.51</v>
      </c>
      <c r="BT282">
        <v>1</v>
      </c>
      <c r="BU282">
        <v>1</v>
      </c>
      <c r="BV282">
        <v>1</v>
      </c>
      <c r="BW282">
        <v>1</v>
      </c>
      <c r="BX282">
        <v>1</v>
      </c>
      <c r="BY282" t="s">
        <v>3</v>
      </c>
      <c r="BZ282">
        <v>134</v>
      </c>
      <c r="CA282">
        <v>55</v>
      </c>
      <c r="CB282" t="s">
        <v>3</v>
      </c>
      <c r="CE282">
        <v>30</v>
      </c>
      <c r="CF282">
        <v>0</v>
      </c>
      <c r="CG282">
        <v>0</v>
      </c>
      <c r="CM282">
        <v>0</v>
      </c>
      <c r="CN282" t="s">
        <v>671</v>
      </c>
      <c r="CO282">
        <v>0</v>
      </c>
      <c r="CP282">
        <f t="shared" si="272"/>
        <v>0</v>
      </c>
      <c r="CQ282">
        <f t="shared" si="273"/>
        <v>210.8</v>
      </c>
      <c r="CR282">
        <f>(ROUND((ROUND((((ET282*1.1))*AV282*1),2)*BB282),2)+ROUND((ROUND(((AE282-((EU282*1.1)))*AV282*1),2)*BS282),2))</f>
        <v>0</v>
      </c>
      <c r="CS282">
        <f t="shared" si="275"/>
        <v>0</v>
      </c>
      <c r="CT282">
        <f t="shared" si="276"/>
        <v>2357.0300000000002</v>
      </c>
      <c r="CU282">
        <f t="shared" si="277"/>
        <v>0</v>
      </c>
      <c r="CV282">
        <f t="shared" si="278"/>
        <v>5.9542890000000002</v>
      </c>
      <c r="CW282">
        <f t="shared" si="279"/>
        <v>0</v>
      </c>
      <c r="CX282">
        <f t="shared" si="280"/>
        <v>0</v>
      </c>
      <c r="CY282">
        <f>S282*(BZ282/100)</f>
        <v>0</v>
      </c>
      <c r="CZ282">
        <f>S282*(CA282/100)</f>
        <v>0</v>
      </c>
      <c r="DC282" t="s">
        <v>3</v>
      </c>
      <c r="DD282" t="s">
        <v>3</v>
      </c>
      <c r="DE282" t="s">
        <v>22</v>
      </c>
      <c r="DF282" t="s">
        <v>22</v>
      </c>
      <c r="DG282" t="s">
        <v>22</v>
      </c>
      <c r="DH282" t="s">
        <v>3</v>
      </c>
      <c r="DI282" t="s">
        <v>22</v>
      </c>
      <c r="DJ282" t="s">
        <v>22</v>
      </c>
      <c r="DK282" t="s">
        <v>3</v>
      </c>
      <c r="DL282" t="s">
        <v>3</v>
      </c>
      <c r="DM282" t="s">
        <v>3</v>
      </c>
      <c r="DN282">
        <v>161</v>
      </c>
      <c r="DO282">
        <v>107</v>
      </c>
      <c r="DP282">
        <v>1.0469999999999999</v>
      </c>
      <c r="DQ282">
        <v>1.002</v>
      </c>
      <c r="DU282">
        <v>1013</v>
      </c>
      <c r="DV282" t="s">
        <v>345</v>
      </c>
      <c r="DW282" t="s">
        <v>345</v>
      </c>
      <c r="DX282">
        <v>1</v>
      </c>
      <c r="DZ282" t="s">
        <v>3</v>
      </c>
      <c r="EA282" t="s">
        <v>3</v>
      </c>
      <c r="EB282" t="s">
        <v>3</v>
      </c>
      <c r="EC282" t="s">
        <v>3</v>
      </c>
      <c r="EE282">
        <v>51696191</v>
      </c>
      <c r="EF282">
        <v>30</v>
      </c>
      <c r="EG282" t="s">
        <v>16</v>
      </c>
      <c r="EH282">
        <v>0</v>
      </c>
      <c r="EI282" t="s">
        <v>3</v>
      </c>
      <c r="EJ282">
        <v>1</v>
      </c>
      <c r="EK282">
        <v>152</v>
      </c>
      <c r="EL282" t="s">
        <v>347</v>
      </c>
      <c r="EM282" t="s">
        <v>348</v>
      </c>
      <c r="EO282" t="s">
        <v>25</v>
      </c>
      <c r="EQ282">
        <v>131072</v>
      </c>
      <c r="ER282">
        <v>117.9</v>
      </c>
      <c r="ES282">
        <v>58.6</v>
      </c>
      <c r="ET282">
        <v>0</v>
      </c>
      <c r="EU282">
        <v>0</v>
      </c>
      <c r="EV282">
        <v>59.3</v>
      </c>
      <c r="EW282">
        <v>5.17</v>
      </c>
      <c r="EX282">
        <v>0</v>
      </c>
      <c r="EY282">
        <v>0</v>
      </c>
      <c r="FQ282">
        <v>0</v>
      </c>
      <c r="FR282">
        <v>0</v>
      </c>
      <c r="FS282">
        <v>0</v>
      </c>
      <c r="FX282">
        <v>161</v>
      </c>
      <c r="FY282">
        <v>107</v>
      </c>
      <c r="GA282" t="s">
        <v>3</v>
      </c>
      <c r="GD282">
        <v>0</v>
      </c>
      <c r="GF282">
        <v>36365599</v>
      </c>
      <c r="GG282">
        <v>2</v>
      </c>
      <c r="GH282">
        <v>1</v>
      </c>
      <c r="GI282">
        <v>2</v>
      </c>
      <c r="GJ282">
        <v>0</v>
      </c>
      <c r="GK282">
        <f>ROUND(R282*(S12)/100,2)</f>
        <v>0</v>
      </c>
      <c r="GL282">
        <f t="shared" si="281"/>
        <v>0</v>
      </c>
      <c r="GM282">
        <f t="shared" si="282"/>
        <v>0</v>
      </c>
      <c r="GN282">
        <f t="shared" si="283"/>
        <v>0</v>
      </c>
      <c r="GO282">
        <f t="shared" si="284"/>
        <v>0</v>
      </c>
      <c r="GP282">
        <f t="shared" si="285"/>
        <v>0</v>
      </c>
      <c r="GR282">
        <v>0</v>
      </c>
      <c r="GS282">
        <v>3</v>
      </c>
      <c r="GT282">
        <v>0</v>
      </c>
      <c r="GU282" t="s">
        <v>3</v>
      </c>
      <c r="GV282">
        <f t="shared" si="286"/>
        <v>0</v>
      </c>
      <c r="GW282">
        <v>1</v>
      </c>
      <c r="GX282">
        <f t="shared" si="287"/>
        <v>0</v>
      </c>
      <c r="HA282">
        <v>0</v>
      </c>
      <c r="HB282">
        <v>0</v>
      </c>
      <c r="HC282">
        <f t="shared" si="288"/>
        <v>0</v>
      </c>
      <c r="HE282" t="s">
        <v>3</v>
      </c>
      <c r="HF282" t="s">
        <v>3</v>
      </c>
      <c r="HM282" t="s">
        <v>3</v>
      </c>
      <c r="HN282" t="s">
        <v>3</v>
      </c>
      <c r="HO282" t="s">
        <v>3</v>
      </c>
      <c r="HP282" t="s">
        <v>3</v>
      </c>
      <c r="HQ282" t="s">
        <v>3</v>
      </c>
      <c r="HS282">
        <v>0</v>
      </c>
      <c r="IK282">
        <v>0</v>
      </c>
    </row>
    <row r="283" spans="1:255" x14ac:dyDescent="0.2">
      <c r="A283" s="2">
        <v>18</v>
      </c>
      <c r="B283" s="2">
        <v>1</v>
      </c>
      <c r="C283" s="2">
        <v>195</v>
      </c>
      <c r="D283" s="2"/>
      <c r="E283" s="2" t="s">
        <v>357</v>
      </c>
      <c r="F283" s="2" t="s">
        <v>350</v>
      </c>
      <c r="G283" s="2" t="s">
        <v>351</v>
      </c>
      <c r="H283" s="2" t="s">
        <v>93</v>
      </c>
      <c r="I283" s="2">
        <f>I281*J283</f>
        <v>0</v>
      </c>
      <c r="J283" s="2">
        <v>10.199999999999999</v>
      </c>
      <c r="K283" s="2">
        <v>10.199999999999999</v>
      </c>
      <c r="L283" s="2"/>
      <c r="M283" s="2"/>
      <c r="N283" s="2"/>
      <c r="O283" s="2">
        <f t="shared" si="254"/>
        <v>0</v>
      </c>
      <c r="P283" s="2">
        <f t="shared" si="255"/>
        <v>0</v>
      </c>
      <c r="Q283" s="2">
        <f>(ROUND((ROUND(((ET283)*AV283*I283),2)*BB283),2)+ROUND((ROUND(((AE283-(EU283))*AV283*I283),2)*BS283),2))</f>
        <v>0</v>
      </c>
      <c r="R283" s="2">
        <f t="shared" si="257"/>
        <v>0</v>
      </c>
      <c r="S283" s="2">
        <f t="shared" si="258"/>
        <v>0</v>
      </c>
      <c r="T283" s="2">
        <f t="shared" si="259"/>
        <v>0</v>
      </c>
      <c r="U283" s="2">
        <f t="shared" si="260"/>
        <v>0</v>
      </c>
      <c r="V283" s="2">
        <f t="shared" si="261"/>
        <v>0</v>
      </c>
      <c r="W283" s="2">
        <f t="shared" si="262"/>
        <v>0</v>
      </c>
      <c r="X283" s="2">
        <f t="shared" si="263"/>
        <v>0</v>
      </c>
      <c r="Y283" s="2">
        <f t="shared" si="264"/>
        <v>0</v>
      </c>
      <c r="Z283" s="2"/>
      <c r="AA283" s="2">
        <v>56622586</v>
      </c>
      <c r="AB283" s="2">
        <f t="shared" si="265"/>
        <v>517.14</v>
      </c>
      <c r="AC283" s="2">
        <f t="shared" si="266"/>
        <v>517.14</v>
      </c>
      <c r="AD283" s="2">
        <f>ROUND((((ET283)-(EU283))+AE283),6)</f>
        <v>0</v>
      </c>
      <c r="AE283" s="2">
        <f>ROUND((EU283),6)</f>
        <v>0</v>
      </c>
      <c r="AF283" s="2">
        <f>ROUND((EV283),6)</f>
        <v>0</v>
      </c>
      <c r="AG283" s="2">
        <f t="shared" si="269"/>
        <v>0</v>
      </c>
      <c r="AH283" s="2">
        <f>(EW283)</f>
        <v>0</v>
      </c>
      <c r="AI283" s="2">
        <f>(EX283)</f>
        <v>0</v>
      </c>
      <c r="AJ283" s="2">
        <f t="shared" si="271"/>
        <v>0</v>
      </c>
      <c r="AK283" s="2">
        <v>517.14</v>
      </c>
      <c r="AL283" s="2">
        <v>517.14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161</v>
      </c>
      <c r="AU283" s="2">
        <v>107</v>
      </c>
      <c r="AV283" s="2">
        <v>1.0469999999999999</v>
      </c>
      <c r="AW283" s="2">
        <v>1.002</v>
      </c>
      <c r="AX283" s="2"/>
      <c r="AY283" s="2"/>
      <c r="AZ283" s="2">
        <v>1</v>
      </c>
      <c r="BA283" s="2">
        <v>1</v>
      </c>
      <c r="BB283" s="2">
        <v>1</v>
      </c>
      <c r="BC283" s="2">
        <v>1</v>
      </c>
      <c r="BD283" s="2" t="s">
        <v>3</v>
      </c>
      <c r="BE283" s="2" t="s">
        <v>3</v>
      </c>
      <c r="BF283" s="2" t="s">
        <v>3</v>
      </c>
      <c r="BG283" s="2" t="s">
        <v>3</v>
      </c>
      <c r="BH283" s="2">
        <v>3</v>
      </c>
      <c r="BI283" s="2">
        <v>1</v>
      </c>
      <c r="BJ283" s="2" t="s">
        <v>352</v>
      </c>
      <c r="BK283" s="2"/>
      <c r="BL283" s="2"/>
      <c r="BM283" s="2">
        <v>152</v>
      </c>
      <c r="BN283" s="2">
        <v>0</v>
      </c>
      <c r="BO283" s="2" t="s">
        <v>3</v>
      </c>
      <c r="BP283" s="2">
        <v>0</v>
      </c>
      <c r="BQ283" s="2">
        <v>30</v>
      </c>
      <c r="BR283" s="2">
        <v>0</v>
      </c>
      <c r="BS283" s="2">
        <v>1</v>
      </c>
      <c r="BT283" s="2">
        <v>1</v>
      </c>
      <c r="BU283" s="2">
        <v>1</v>
      </c>
      <c r="BV283" s="2">
        <v>1</v>
      </c>
      <c r="BW283" s="2">
        <v>1</v>
      </c>
      <c r="BX283" s="2">
        <v>1</v>
      </c>
      <c r="BY283" s="2" t="s">
        <v>3</v>
      </c>
      <c r="BZ283" s="2">
        <v>161</v>
      </c>
      <c r="CA283" s="2">
        <v>107</v>
      </c>
      <c r="CB283" s="2" t="s">
        <v>3</v>
      </c>
      <c r="CC283" s="2"/>
      <c r="CD283" s="2"/>
      <c r="CE283" s="2">
        <v>30</v>
      </c>
      <c r="CF283" s="2">
        <v>0</v>
      </c>
      <c r="CG283" s="2">
        <v>0</v>
      </c>
      <c r="CH283" s="2"/>
      <c r="CI283" s="2"/>
      <c r="CJ283" s="2"/>
      <c r="CK283" s="2"/>
      <c r="CL283" s="2"/>
      <c r="CM283" s="2">
        <v>0</v>
      </c>
      <c r="CN283" s="2" t="s">
        <v>3</v>
      </c>
      <c r="CO283" s="2">
        <v>0</v>
      </c>
      <c r="CP283" s="2">
        <f t="shared" si="272"/>
        <v>0</v>
      </c>
      <c r="CQ283" s="2">
        <f t="shared" si="273"/>
        <v>518.16999999999996</v>
      </c>
      <c r="CR283" s="2">
        <f>(ROUND((ROUND(((ET283)*AV283*1),2)*BB283),2)+ROUND((ROUND(((AE283-(EU283))*AV283*1),2)*BS283),2))</f>
        <v>0</v>
      </c>
      <c r="CS283" s="2">
        <f t="shared" si="275"/>
        <v>0</v>
      </c>
      <c r="CT283" s="2">
        <f t="shared" si="276"/>
        <v>0</v>
      </c>
      <c r="CU283" s="2">
        <f t="shared" si="277"/>
        <v>0</v>
      </c>
      <c r="CV283" s="2">
        <f t="shared" si="278"/>
        <v>0</v>
      </c>
      <c r="CW283" s="2">
        <f t="shared" si="279"/>
        <v>0</v>
      </c>
      <c r="CX283" s="2">
        <f t="shared" si="280"/>
        <v>0</v>
      </c>
      <c r="CY283" s="2">
        <f>((S283*BZ283)/100)</f>
        <v>0</v>
      </c>
      <c r="CZ283" s="2">
        <f>((S283*CA283)/100)</f>
        <v>0</v>
      </c>
      <c r="DA283" s="2"/>
      <c r="DB283" s="2"/>
      <c r="DC283" s="2" t="s">
        <v>3</v>
      </c>
      <c r="DD283" s="2" t="s">
        <v>3</v>
      </c>
      <c r="DE283" s="2" t="s">
        <v>3</v>
      </c>
      <c r="DF283" s="2" t="s">
        <v>3</v>
      </c>
      <c r="DG283" s="2" t="s">
        <v>3</v>
      </c>
      <c r="DH283" s="2" t="s">
        <v>3</v>
      </c>
      <c r="DI283" s="2" t="s">
        <v>3</v>
      </c>
      <c r="DJ283" s="2" t="s">
        <v>3</v>
      </c>
      <c r="DK283" s="2" t="s">
        <v>3</v>
      </c>
      <c r="DL283" s="2" t="s">
        <v>3</v>
      </c>
      <c r="DM283" s="2" t="s">
        <v>3</v>
      </c>
      <c r="DN283" s="2">
        <v>0</v>
      </c>
      <c r="DO283" s="2">
        <v>0</v>
      </c>
      <c r="DP283" s="2">
        <v>1</v>
      </c>
      <c r="DQ283" s="2">
        <v>1</v>
      </c>
      <c r="DR283" s="2"/>
      <c r="DS283" s="2"/>
      <c r="DT283" s="2"/>
      <c r="DU283" s="2">
        <v>1007</v>
      </c>
      <c r="DV283" s="2" t="s">
        <v>93</v>
      </c>
      <c r="DW283" s="2" t="s">
        <v>93</v>
      </c>
      <c r="DX283" s="2">
        <v>1</v>
      </c>
      <c r="DY283" s="2"/>
      <c r="DZ283" s="2" t="s">
        <v>3</v>
      </c>
      <c r="EA283" s="2" t="s">
        <v>3</v>
      </c>
      <c r="EB283" s="2" t="s">
        <v>3</v>
      </c>
      <c r="EC283" s="2" t="s">
        <v>3</v>
      </c>
      <c r="ED283" s="2"/>
      <c r="EE283" s="2">
        <v>51696191</v>
      </c>
      <c r="EF283" s="2">
        <v>30</v>
      </c>
      <c r="EG283" s="2" t="s">
        <v>16</v>
      </c>
      <c r="EH283" s="2">
        <v>0</v>
      </c>
      <c r="EI283" s="2" t="s">
        <v>3</v>
      </c>
      <c r="EJ283" s="2">
        <v>1</v>
      </c>
      <c r="EK283" s="2">
        <v>152</v>
      </c>
      <c r="EL283" s="2" t="s">
        <v>347</v>
      </c>
      <c r="EM283" s="2" t="s">
        <v>348</v>
      </c>
      <c r="EN283" s="2"/>
      <c r="EO283" s="2" t="s">
        <v>3</v>
      </c>
      <c r="EP283" s="2"/>
      <c r="EQ283" s="2">
        <v>0</v>
      </c>
      <c r="ER283" s="2">
        <v>517.14</v>
      </c>
      <c r="ES283" s="2">
        <v>517.14</v>
      </c>
      <c r="ET283" s="2">
        <v>0</v>
      </c>
      <c r="EU283" s="2">
        <v>0</v>
      </c>
      <c r="EV283" s="2">
        <v>0</v>
      </c>
      <c r="EW283" s="2">
        <v>0</v>
      </c>
      <c r="EX283" s="2">
        <v>0</v>
      </c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>
        <v>0</v>
      </c>
      <c r="FR283" s="2">
        <v>0</v>
      </c>
      <c r="FS283" s="2">
        <v>0</v>
      </c>
      <c r="FT283" s="2"/>
      <c r="FU283" s="2"/>
      <c r="FV283" s="2"/>
      <c r="FW283" s="2"/>
      <c r="FX283" s="2">
        <v>161</v>
      </c>
      <c r="FY283" s="2">
        <v>107</v>
      </c>
      <c r="FZ283" s="2"/>
      <c r="GA283" s="2" t="s">
        <v>3</v>
      </c>
      <c r="GB283" s="2"/>
      <c r="GC283" s="2"/>
      <c r="GD283" s="2">
        <v>0</v>
      </c>
      <c r="GE283" s="2"/>
      <c r="GF283" s="2">
        <v>-520181400</v>
      </c>
      <c r="GG283" s="2">
        <v>2</v>
      </c>
      <c r="GH283" s="2">
        <v>1</v>
      </c>
      <c r="GI283" s="2">
        <v>-2</v>
      </c>
      <c r="GJ283" s="2">
        <v>0</v>
      </c>
      <c r="GK283" s="2">
        <f>ROUND(R283*(R12)/100,2)</f>
        <v>0</v>
      </c>
      <c r="GL283" s="2">
        <f t="shared" si="281"/>
        <v>0</v>
      </c>
      <c r="GM283" s="2">
        <f t="shared" si="282"/>
        <v>0</v>
      </c>
      <c r="GN283" s="2">
        <f t="shared" si="283"/>
        <v>0</v>
      </c>
      <c r="GO283" s="2">
        <f t="shared" si="284"/>
        <v>0</v>
      </c>
      <c r="GP283" s="2">
        <f t="shared" si="285"/>
        <v>0</v>
      </c>
      <c r="GQ283" s="2"/>
      <c r="GR283" s="2">
        <v>0</v>
      </c>
      <c r="GS283" s="2">
        <v>0</v>
      </c>
      <c r="GT283" s="2">
        <v>0</v>
      </c>
      <c r="GU283" s="2" t="s">
        <v>3</v>
      </c>
      <c r="GV283" s="2">
        <f t="shared" si="286"/>
        <v>0</v>
      </c>
      <c r="GW283" s="2">
        <v>1</v>
      </c>
      <c r="GX283" s="2">
        <f t="shared" si="287"/>
        <v>0</v>
      </c>
      <c r="GY283" s="2"/>
      <c r="GZ283" s="2"/>
      <c r="HA283" s="2">
        <v>0</v>
      </c>
      <c r="HB283" s="2">
        <v>0</v>
      </c>
      <c r="HC283" s="2">
        <f t="shared" si="288"/>
        <v>0</v>
      </c>
      <c r="HD283" s="2"/>
      <c r="HE283" s="2" t="s">
        <v>3</v>
      </c>
      <c r="HF283" s="2" t="s">
        <v>3</v>
      </c>
      <c r="HG283" s="2"/>
      <c r="HH283" s="2"/>
      <c r="HI283" s="2"/>
      <c r="HJ283" s="2"/>
      <c r="HK283" s="2"/>
      <c r="HL283" s="2"/>
      <c r="HM283" s="2" t="s">
        <v>3</v>
      </c>
      <c r="HN283" s="2" t="s">
        <v>3</v>
      </c>
      <c r="HO283" s="2" t="s">
        <v>3</v>
      </c>
      <c r="HP283" s="2" t="s">
        <v>3</v>
      </c>
      <c r="HQ283" s="2" t="s">
        <v>3</v>
      </c>
      <c r="HR283" s="2"/>
      <c r="HS283" s="2">
        <v>0</v>
      </c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>
        <v>0</v>
      </c>
      <c r="IL283" s="2"/>
      <c r="IM283" s="2"/>
      <c r="IN283" s="2"/>
      <c r="IO283" s="2"/>
      <c r="IP283" s="2"/>
      <c r="IQ283" s="2"/>
      <c r="IR283" s="2"/>
      <c r="IS283" s="2"/>
      <c r="IT283" s="2"/>
      <c r="IU283" s="2"/>
    </row>
    <row r="284" spans="1:255" x14ac:dyDescent="0.2">
      <c r="A284">
        <v>18</v>
      </c>
      <c r="B284">
        <v>1</v>
      </c>
      <c r="C284">
        <v>196</v>
      </c>
      <c r="E284" t="s">
        <v>357</v>
      </c>
      <c r="F284" t="s">
        <v>350</v>
      </c>
      <c r="G284" t="s">
        <v>351</v>
      </c>
      <c r="H284" t="s">
        <v>93</v>
      </c>
      <c r="I284">
        <f>I282*J284</f>
        <v>0</v>
      </c>
      <c r="J284">
        <v>10.199999999999999</v>
      </c>
      <c r="K284">
        <v>10.199999999999999</v>
      </c>
      <c r="O284">
        <f t="shared" si="254"/>
        <v>0</v>
      </c>
      <c r="P284">
        <f t="shared" si="255"/>
        <v>0</v>
      </c>
      <c r="Q284">
        <f>(ROUND((ROUND(((ET284)*AV284*I284),2)*BB284),2)+ROUND((ROUND(((AE284-(EU284))*AV284*I284),2)*BS284),2))</f>
        <v>0</v>
      </c>
      <c r="R284">
        <f t="shared" si="257"/>
        <v>0</v>
      </c>
      <c r="S284">
        <f t="shared" si="258"/>
        <v>0</v>
      </c>
      <c r="T284">
        <f t="shared" si="259"/>
        <v>0</v>
      </c>
      <c r="U284">
        <f t="shared" si="260"/>
        <v>0</v>
      </c>
      <c r="V284">
        <f t="shared" si="261"/>
        <v>0</v>
      </c>
      <c r="W284">
        <f t="shared" si="262"/>
        <v>0</v>
      </c>
      <c r="X284">
        <f t="shared" si="263"/>
        <v>0</v>
      </c>
      <c r="Y284">
        <f t="shared" si="264"/>
        <v>0</v>
      </c>
      <c r="AA284">
        <v>56616093</v>
      </c>
      <c r="AB284">
        <f t="shared" si="265"/>
        <v>517.14</v>
      </c>
      <c r="AC284">
        <f t="shared" si="266"/>
        <v>517.14</v>
      </c>
      <c r="AD284">
        <f>ROUND((((ET284)-(EU284))+AE284),6)</f>
        <v>0</v>
      </c>
      <c r="AE284">
        <f>ROUND((EU284),6)</f>
        <v>0</v>
      </c>
      <c r="AF284">
        <f>ROUND((EV284),6)</f>
        <v>0</v>
      </c>
      <c r="AG284">
        <f t="shared" si="269"/>
        <v>0</v>
      </c>
      <c r="AH284">
        <f>(EW284)</f>
        <v>0</v>
      </c>
      <c r="AI284">
        <f>(EX284)</f>
        <v>0</v>
      </c>
      <c r="AJ284">
        <f t="shared" si="271"/>
        <v>0</v>
      </c>
      <c r="AK284">
        <v>517.14</v>
      </c>
      <c r="AL284">
        <v>517.14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1</v>
      </c>
      <c r="AW284">
        <v>1.002</v>
      </c>
      <c r="AZ284">
        <v>1</v>
      </c>
      <c r="BA284">
        <v>1</v>
      </c>
      <c r="BB284">
        <v>1</v>
      </c>
      <c r="BC284">
        <v>11.03</v>
      </c>
      <c r="BD284" t="s">
        <v>3</v>
      </c>
      <c r="BE284" t="s">
        <v>3</v>
      </c>
      <c r="BF284" t="s">
        <v>3</v>
      </c>
      <c r="BG284" t="s">
        <v>3</v>
      </c>
      <c r="BH284">
        <v>3</v>
      </c>
      <c r="BI284">
        <v>1</v>
      </c>
      <c r="BJ284" t="s">
        <v>352</v>
      </c>
      <c r="BM284">
        <v>152</v>
      </c>
      <c r="BN284">
        <v>0</v>
      </c>
      <c r="BO284" t="s">
        <v>350</v>
      </c>
      <c r="BP284">
        <v>1</v>
      </c>
      <c r="BQ284">
        <v>30</v>
      </c>
      <c r="BR284">
        <v>0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 t="s">
        <v>3</v>
      </c>
      <c r="BZ284">
        <v>0</v>
      </c>
      <c r="CA284">
        <v>0</v>
      </c>
      <c r="CB284" t="s">
        <v>3</v>
      </c>
      <c r="CE284">
        <v>30</v>
      </c>
      <c r="CF284">
        <v>0</v>
      </c>
      <c r="CG284">
        <v>0</v>
      </c>
      <c r="CM284">
        <v>0</v>
      </c>
      <c r="CN284" t="s">
        <v>3</v>
      </c>
      <c r="CO284">
        <v>0</v>
      </c>
      <c r="CP284">
        <f t="shared" si="272"/>
        <v>0</v>
      </c>
      <c r="CQ284">
        <f t="shared" si="273"/>
        <v>5715.42</v>
      </c>
      <c r="CR284">
        <f>(ROUND((ROUND(((ET284)*AV284*1),2)*BB284),2)+ROUND((ROUND(((AE284-(EU284))*AV284*1),2)*BS284),2))</f>
        <v>0</v>
      </c>
      <c r="CS284">
        <f t="shared" si="275"/>
        <v>0</v>
      </c>
      <c r="CT284">
        <f t="shared" si="276"/>
        <v>0</v>
      </c>
      <c r="CU284">
        <f t="shared" si="277"/>
        <v>0</v>
      </c>
      <c r="CV284">
        <f t="shared" si="278"/>
        <v>0</v>
      </c>
      <c r="CW284">
        <f t="shared" si="279"/>
        <v>0</v>
      </c>
      <c r="CX284">
        <f t="shared" si="280"/>
        <v>0</v>
      </c>
      <c r="CY284">
        <f>S284*(BZ284/100)</f>
        <v>0</v>
      </c>
      <c r="CZ284">
        <f>S284*(CA284/100)</f>
        <v>0</v>
      </c>
      <c r="DC284" t="s">
        <v>3</v>
      </c>
      <c r="DD284" t="s">
        <v>3</v>
      </c>
      <c r="DE284" t="s">
        <v>3</v>
      </c>
      <c r="DF284" t="s">
        <v>3</v>
      </c>
      <c r="DG284" t="s">
        <v>3</v>
      </c>
      <c r="DH284" t="s">
        <v>3</v>
      </c>
      <c r="DI284" t="s">
        <v>3</v>
      </c>
      <c r="DJ284" t="s">
        <v>3</v>
      </c>
      <c r="DK284" t="s">
        <v>3</v>
      </c>
      <c r="DL284" t="s">
        <v>3</v>
      </c>
      <c r="DM284" t="s">
        <v>3</v>
      </c>
      <c r="DN284">
        <v>161</v>
      </c>
      <c r="DO284">
        <v>107</v>
      </c>
      <c r="DP284">
        <v>1.0469999999999999</v>
      </c>
      <c r="DQ284">
        <v>1.002</v>
      </c>
      <c r="DU284">
        <v>1007</v>
      </c>
      <c r="DV284" t="s">
        <v>93</v>
      </c>
      <c r="DW284" t="s">
        <v>93</v>
      </c>
      <c r="DX284">
        <v>1</v>
      </c>
      <c r="DZ284" t="s">
        <v>3</v>
      </c>
      <c r="EA284" t="s">
        <v>3</v>
      </c>
      <c r="EB284" t="s">
        <v>3</v>
      </c>
      <c r="EC284" t="s">
        <v>3</v>
      </c>
      <c r="EE284">
        <v>51696191</v>
      </c>
      <c r="EF284">
        <v>30</v>
      </c>
      <c r="EG284" t="s">
        <v>16</v>
      </c>
      <c r="EH284">
        <v>0</v>
      </c>
      <c r="EI284" t="s">
        <v>3</v>
      </c>
      <c r="EJ284">
        <v>1</v>
      </c>
      <c r="EK284">
        <v>152</v>
      </c>
      <c r="EL284" t="s">
        <v>347</v>
      </c>
      <c r="EM284" t="s">
        <v>348</v>
      </c>
      <c r="EO284" t="s">
        <v>3</v>
      </c>
      <c r="EQ284">
        <v>0</v>
      </c>
      <c r="ER284">
        <v>517.14</v>
      </c>
      <c r="ES284">
        <v>517.14</v>
      </c>
      <c r="ET284">
        <v>0</v>
      </c>
      <c r="EU284">
        <v>0</v>
      </c>
      <c r="EV284">
        <v>0</v>
      </c>
      <c r="EW284">
        <v>0</v>
      </c>
      <c r="EX284">
        <v>0</v>
      </c>
      <c r="FQ284">
        <v>0</v>
      </c>
      <c r="FR284">
        <v>0</v>
      </c>
      <c r="FS284">
        <v>0</v>
      </c>
      <c r="FX284">
        <v>161</v>
      </c>
      <c r="FY284">
        <v>107</v>
      </c>
      <c r="GA284" t="s">
        <v>3</v>
      </c>
      <c r="GD284">
        <v>0</v>
      </c>
      <c r="GF284">
        <v>-520181400</v>
      </c>
      <c r="GG284">
        <v>2</v>
      </c>
      <c r="GH284">
        <v>1</v>
      </c>
      <c r="GI284">
        <v>2</v>
      </c>
      <c r="GJ284">
        <v>0</v>
      </c>
      <c r="GK284">
        <f>ROUND(R284*(S12)/100,2)</f>
        <v>0</v>
      </c>
      <c r="GL284">
        <f t="shared" si="281"/>
        <v>0</v>
      </c>
      <c r="GM284">
        <f t="shared" si="282"/>
        <v>0</v>
      </c>
      <c r="GN284">
        <f t="shared" si="283"/>
        <v>0</v>
      </c>
      <c r="GO284">
        <f t="shared" si="284"/>
        <v>0</v>
      </c>
      <c r="GP284">
        <f t="shared" si="285"/>
        <v>0</v>
      </c>
      <c r="GR284">
        <v>0</v>
      </c>
      <c r="GS284">
        <v>3</v>
      </c>
      <c r="GT284">
        <v>0</v>
      </c>
      <c r="GU284" t="s">
        <v>3</v>
      </c>
      <c r="GV284">
        <f t="shared" si="286"/>
        <v>0</v>
      </c>
      <c r="GW284">
        <v>1</v>
      </c>
      <c r="GX284">
        <f t="shared" si="287"/>
        <v>0</v>
      </c>
      <c r="HA284">
        <v>0</v>
      </c>
      <c r="HB284">
        <v>0</v>
      </c>
      <c r="HC284">
        <f t="shared" si="288"/>
        <v>0</v>
      </c>
      <c r="HE284" t="s">
        <v>3</v>
      </c>
      <c r="HF284" t="s">
        <v>3</v>
      </c>
      <c r="HM284" t="s">
        <v>3</v>
      </c>
      <c r="HN284" t="s">
        <v>3</v>
      </c>
      <c r="HO284" t="s">
        <v>3</v>
      </c>
      <c r="HP284" t="s">
        <v>3</v>
      </c>
      <c r="HQ284" t="s">
        <v>3</v>
      </c>
      <c r="HS284">
        <v>0</v>
      </c>
      <c r="IK284">
        <v>0</v>
      </c>
    </row>
    <row r="285" spans="1:255" x14ac:dyDescent="0.2">
      <c r="A285" s="2">
        <v>17</v>
      </c>
      <c r="B285" s="2">
        <v>1</v>
      </c>
      <c r="C285" s="2">
        <f>ROW(SmtRes!A197)</f>
        <v>197</v>
      </c>
      <c r="D285" s="2">
        <f>ROW(EtalonRes!A1049)</f>
        <v>1049</v>
      </c>
      <c r="E285" s="2" t="s">
        <v>358</v>
      </c>
      <c r="F285" s="2" t="s">
        <v>359</v>
      </c>
      <c r="G285" s="2" t="s">
        <v>360</v>
      </c>
      <c r="H285" s="2" t="s">
        <v>98</v>
      </c>
      <c r="I285" s="2">
        <v>0</v>
      </c>
      <c r="J285" s="2">
        <v>0</v>
      </c>
      <c r="K285" s="2">
        <v>0</v>
      </c>
      <c r="L285" s="2"/>
      <c r="M285" s="2"/>
      <c r="N285" s="2"/>
      <c r="O285" s="2">
        <f t="shared" si="254"/>
        <v>0</v>
      </c>
      <c r="P285" s="2">
        <f t="shared" si="255"/>
        <v>0</v>
      </c>
      <c r="Q285" s="2">
        <f>(ROUND((ROUND((((ET285*1.1))*AV285*I285),2)*BB285),2)+ROUND((ROUND(((AE285-((EU285*1.1)))*AV285*I285),2)*BS285),2))</f>
        <v>0</v>
      </c>
      <c r="R285" s="2">
        <f t="shared" si="257"/>
        <v>0</v>
      </c>
      <c r="S285" s="2">
        <f t="shared" si="258"/>
        <v>0</v>
      </c>
      <c r="T285" s="2">
        <f t="shared" si="259"/>
        <v>0</v>
      </c>
      <c r="U285" s="2">
        <f t="shared" si="260"/>
        <v>0</v>
      </c>
      <c r="V285" s="2">
        <f t="shared" si="261"/>
        <v>0</v>
      </c>
      <c r="W285" s="2">
        <f t="shared" si="262"/>
        <v>0</v>
      </c>
      <c r="X285" s="2">
        <f t="shared" si="263"/>
        <v>0</v>
      </c>
      <c r="Y285" s="2">
        <f t="shared" si="264"/>
        <v>0</v>
      </c>
      <c r="Z285" s="2"/>
      <c r="AA285" s="2">
        <v>56622586</v>
      </c>
      <c r="AB285" s="2">
        <f t="shared" si="265"/>
        <v>700.80200000000002</v>
      </c>
      <c r="AC285" s="2">
        <f t="shared" si="266"/>
        <v>57.83</v>
      </c>
      <c r="AD285" s="2">
        <f>ROUND(((((ET285*1.1))-((EU285*1.1)))+AE285),6)</f>
        <v>585.58500000000004</v>
      </c>
      <c r="AE285" s="2">
        <f>ROUND(((EU285*1.1)),6)</f>
        <v>51.238</v>
      </c>
      <c r="AF285" s="2">
        <f>ROUND(((EV285*1.1)),6)</f>
        <v>57.387</v>
      </c>
      <c r="AG285" s="2">
        <f t="shared" si="269"/>
        <v>0</v>
      </c>
      <c r="AH285" s="2">
        <f>((EW285*1.1))</f>
        <v>4.7190000000000003</v>
      </c>
      <c r="AI285" s="2">
        <f>((EX285*1.1))</f>
        <v>0</v>
      </c>
      <c r="AJ285" s="2">
        <f t="shared" si="271"/>
        <v>0</v>
      </c>
      <c r="AK285" s="2">
        <v>642.35</v>
      </c>
      <c r="AL285" s="2">
        <v>57.83</v>
      </c>
      <c r="AM285" s="2">
        <v>532.35</v>
      </c>
      <c r="AN285" s="2">
        <v>46.58</v>
      </c>
      <c r="AO285" s="2">
        <v>52.17</v>
      </c>
      <c r="AP285" s="2">
        <v>0</v>
      </c>
      <c r="AQ285" s="2">
        <v>4.29</v>
      </c>
      <c r="AR285" s="2">
        <v>0</v>
      </c>
      <c r="AS285" s="2">
        <v>0</v>
      </c>
      <c r="AT285" s="2">
        <v>161</v>
      </c>
      <c r="AU285" s="2">
        <v>107</v>
      </c>
      <c r="AV285" s="2">
        <v>1.0469999999999999</v>
      </c>
      <c r="AW285" s="2">
        <v>1</v>
      </c>
      <c r="AX285" s="2"/>
      <c r="AY285" s="2"/>
      <c r="AZ285" s="2">
        <v>1</v>
      </c>
      <c r="BA285" s="2">
        <v>1</v>
      </c>
      <c r="BB285" s="2">
        <v>1</v>
      </c>
      <c r="BC285" s="2">
        <v>1</v>
      </c>
      <c r="BD285" s="2" t="s">
        <v>3</v>
      </c>
      <c r="BE285" s="2" t="s">
        <v>3</v>
      </c>
      <c r="BF285" s="2" t="s">
        <v>3</v>
      </c>
      <c r="BG285" s="2" t="s">
        <v>3</v>
      </c>
      <c r="BH285" s="2">
        <v>0</v>
      </c>
      <c r="BI285" s="2">
        <v>1</v>
      </c>
      <c r="BJ285" s="2" t="s">
        <v>361</v>
      </c>
      <c r="BK285" s="2"/>
      <c r="BL285" s="2"/>
      <c r="BM285" s="2">
        <v>158</v>
      </c>
      <c r="BN285" s="2">
        <v>0</v>
      </c>
      <c r="BO285" s="2" t="s">
        <v>3</v>
      </c>
      <c r="BP285" s="2">
        <v>0</v>
      </c>
      <c r="BQ285" s="2">
        <v>30</v>
      </c>
      <c r="BR285" s="2">
        <v>0</v>
      </c>
      <c r="BS285" s="2">
        <v>1</v>
      </c>
      <c r="BT285" s="2">
        <v>1</v>
      </c>
      <c r="BU285" s="2">
        <v>1</v>
      </c>
      <c r="BV285" s="2">
        <v>1</v>
      </c>
      <c r="BW285" s="2">
        <v>1</v>
      </c>
      <c r="BX285" s="2">
        <v>1</v>
      </c>
      <c r="BY285" s="2" t="s">
        <v>3</v>
      </c>
      <c r="BZ285" s="2">
        <v>161</v>
      </c>
      <c r="CA285" s="2">
        <v>107</v>
      </c>
      <c r="CB285" s="2" t="s">
        <v>3</v>
      </c>
      <c r="CC285" s="2"/>
      <c r="CD285" s="2"/>
      <c r="CE285" s="2">
        <v>30</v>
      </c>
      <c r="CF285" s="2">
        <v>0</v>
      </c>
      <c r="CG285" s="2">
        <v>0</v>
      </c>
      <c r="CH285" s="2"/>
      <c r="CI285" s="2"/>
      <c r="CJ285" s="2"/>
      <c r="CK285" s="2"/>
      <c r="CL285" s="2"/>
      <c r="CM285" s="2">
        <v>0</v>
      </c>
      <c r="CN285" s="2" t="s">
        <v>671</v>
      </c>
      <c r="CO285" s="2">
        <v>0</v>
      </c>
      <c r="CP285" s="2">
        <f t="shared" si="272"/>
        <v>0</v>
      </c>
      <c r="CQ285" s="2">
        <f t="shared" si="273"/>
        <v>57.83</v>
      </c>
      <c r="CR285" s="2">
        <f>(ROUND((ROUND((((ET285*1.1))*AV285*1),2)*BB285),2)+ROUND((ROUND(((AE285-((EU285*1.1)))*AV285*1),2)*BS285),2))</f>
        <v>613.11</v>
      </c>
      <c r="CS285" s="2">
        <f t="shared" si="275"/>
        <v>53.65</v>
      </c>
      <c r="CT285" s="2">
        <f t="shared" si="276"/>
        <v>60.08</v>
      </c>
      <c r="CU285" s="2">
        <f t="shared" si="277"/>
        <v>0</v>
      </c>
      <c r="CV285" s="2">
        <f t="shared" si="278"/>
        <v>4.9407930000000002</v>
      </c>
      <c r="CW285" s="2">
        <f t="shared" si="279"/>
        <v>0</v>
      </c>
      <c r="CX285" s="2">
        <f t="shared" si="280"/>
        <v>0</v>
      </c>
      <c r="CY285" s="2">
        <f>((S285*BZ285)/100)</f>
        <v>0</v>
      </c>
      <c r="CZ285" s="2">
        <f>((S285*CA285)/100)</f>
        <v>0</v>
      </c>
      <c r="DA285" s="2"/>
      <c r="DB285" s="2"/>
      <c r="DC285" s="2" t="s">
        <v>3</v>
      </c>
      <c r="DD285" s="2" t="s">
        <v>3</v>
      </c>
      <c r="DE285" s="2" t="s">
        <v>22</v>
      </c>
      <c r="DF285" s="2" t="s">
        <v>22</v>
      </c>
      <c r="DG285" s="2" t="s">
        <v>22</v>
      </c>
      <c r="DH285" s="2" t="s">
        <v>3</v>
      </c>
      <c r="DI285" s="2" t="s">
        <v>22</v>
      </c>
      <c r="DJ285" s="2" t="s">
        <v>22</v>
      </c>
      <c r="DK285" s="2" t="s">
        <v>3</v>
      </c>
      <c r="DL285" s="2" t="s">
        <v>3</v>
      </c>
      <c r="DM285" s="2" t="s">
        <v>3</v>
      </c>
      <c r="DN285" s="2">
        <v>0</v>
      </c>
      <c r="DO285" s="2">
        <v>0</v>
      </c>
      <c r="DP285" s="2">
        <v>1</v>
      </c>
      <c r="DQ285" s="2">
        <v>1</v>
      </c>
      <c r="DR285" s="2"/>
      <c r="DS285" s="2"/>
      <c r="DT285" s="2"/>
      <c r="DU285" s="2">
        <v>1013</v>
      </c>
      <c r="DV285" s="2" t="s">
        <v>98</v>
      </c>
      <c r="DW285" s="2" t="s">
        <v>98</v>
      </c>
      <c r="DX285" s="2">
        <v>1</v>
      </c>
      <c r="DY285" s="2"/>
      <c r="DZ285" s="2" t="s">
        <v>3</v>
      </c>
      <c r="EA285" s="2" t="s">
        <v>3</v>
      </c>
      <c r="EB285" s="2" t="s">
        <v>3</v>
      </c>
      <c r="EC285" s="2" t="s">
        <v>3</v>
      </c>
      <c r="ED285" s="2"/>
      <c r="EE285" s="2">
        <v>51696197</v>
      </c>
      <c r="EF285" s="2">
        <v>30</v>
      </c>
      <c r="EG285" s="2" t="s">
        <v>16</v>
      </c>
      <c r="EH285" s="2">
        <v>0</v>
      </c>
      <c r="EI285" s="2" t="s">
        <v>3</v>
      </c>
      <c r="EJ285" s="2">
        <v>1</v>
      </c>
      <c r="EK285" s="2">
        <v>158</v>
      </c>
      <c r="EL285" s="2" t="s">
        <v>362</v>
      </c>
      <c r="EM285" s="2" t="s">
        <v>363</v>
      </c>
      <c r="EN285" s="2"/>
      <c r="EO285" s="2" t="s">
        <v>25</v>
      </c>
      <c r="EP285" s="2"/>
      <c r="EQ285" s="2">
        <v>131072</v>
      </c>
      <c r="ER285" s="2">
        <v>642.35</v>
      </c>
      <c r="ES285" s="2">
        <v>57.83</v>
      </c>
      <c r="ET285" s="2">
        <v>532.35</v>
      </c>
      <c r="EU285" s="2">
        <v>46.58</v>
      </c>
      <c r="EV285" s="2">
        <v>52.17</v>
      </c>
      <c r="EW285" s="2">
        <v>4.29</v>
      </c>
      <c r="EX285" s="2">
        <v>0</v>
      </c>
      <c r="EY285" s="2">
        <v>0</v>
      </c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>
        <v>0</v>
      </c>
      <c r="FR285" s="2">
        <v>0</v>
      </c>
      <c r="FS285" s="2">
        <v>0</v>
      </c>
      <c r="FT285" s="2"/>
      <c r="FU285" s="2"/>
      <c r="FV285" s="2"/>
      <c r="FW285" s="2"/>
      <c r="FX285" s="2">
        <v>161</v>
      </c>
      <c r="FY285" s="2">
        <v>107</v>
      </c>
      <c r="FZ285" s="2"/>
      <c r="GA285" s="2" t="s">
        <v>3</v>
      </c>
      <c r="GB285" s="2"/>
      <c r="GC285" s="2"/>
      <c r="GD285" s="2">
        <v>0</v>
      </c>
      <c r="GE285" s="2"/>
      <c r="GF285" s="2">
        <v>-399398241</v>
      </c>
      <c r="GG285" s="2">
        <v>2</v>
      </c>
      <c r="GH285" s="2">
        <v>1</v>
      </c>
      <c r="GI285" s="2">
        <v>-2</v>
      </c>
      <c r="GJ285" s="2">
        <v>0</v>
      </c>
      <c r="GK285" s="2">
        <f>ROUND(R285*(R12)/100,2)</f>
        <v>0</v>
      </c>
      <c r="GL285" s="2">
        <f t="shared" si="281"/>
        <v>0</v>
      </c>
      <c r="GM285" s="2">
        <f t="shared" si="282"/>
        <v>0</v>
      </c>
      <c r="GN285" s="2">
        <f t="shared" si="283"/>
        <v>0</v>
      </c>
      <c r="GO285" s="2">
        <f t="shared" si="284"/>
        <v>0</v>
      </c>
      <c r="GP285" s="2">
        <f t="shared" si="285"/>
        <v>0</v>
      </c>
      <c r="GQ285" s="2"/>
      <c r="GR285" s="2">
        <v>0</v>
      </c>
      <c r="GS285" s="2">
        <v>0</v>
      </c>
      <c r="GT285" s="2">
        <v>0</v>
      </c>
      <c r="GU285" s="2" t="s">
        <v>3</v>
      </c>
      <c r="GV285" s="2">
        <f t="shared" si="286"/>
        <v>0</v>
      </c>
      <c r="GW285" s="2">
        <v>1</v>
      </c>
      <c r="GX285" s="2">
        <f t="shared" si="287"/>
        <v>0</v>
      </c>
      <c r="GY285" s="2"/>
      <c r="GZ285" s="2"/>
      <c r="HA285" s="2">
        <v>0</v>
      </c>
      <c r="HB285" s="2">
        <v>0</v>
      </c>
      <c r="HC285" s="2">
        <f t="shared" si="288"/>
        <v>0</v>
      </c>
      <c r="HD285" s="2"/>
      <c r="HE285" s="2" t="s">
        <v>3</v>
      </c>
      <c r="HF285" s="2" t="s">
        <v>3</v>
      </c>
      <c r="HG285" s="2"/>
      <c r="HH285" s="2"/>
      <c r="HI285" s="2"/>
      <c r="HJ285" s="2"/>
      <c r="HK285" s="2"/>
      <c r="HL285" s="2"/>
      <c r="HM285" s="2" t="s">
        <v>3</v>
      </c>
      <c r="HN285" s="2" t="s">
        <v>3</v>
      </c>
      <c r="HO285" s="2" t="s">
        <v>3</v>
      </c>
      <c r="HP285" s="2" t="s">
        <v>3</v>
      </c>
      <c r="HQ285" s="2" t="s">
        <v>3</v>
      </c>
      <c r="HR285" s="2"/>
      <c r="HS285" s="2">
        <v>0</v>
      </c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>
        <v>0</v>
      </c>
      <c r="IL285" s="2"/>
      <c r="IM285" s="2"/>
      <c r="IN285" s="2"/>
      <c r="IO285" s="2"/>
      <c r="IP285" s="2"/>
      <c r="IQ285" s="2"/>
      <c r="IR285" s="2"/>
      <c r="IS285" s="2"/>
      <c r="IT285" s="2"/>
      <c r="IU285" s="2"/>
    </row>
    <row r="286" spans="1:255" x14ac:dyDescent="0.2">
      <c r="A286">
        <v>17</v>
      </c>
      <c r="B286">
        <v>1</v>
      </c>
      <c r="C286">
        <f>ROW(SmtRes!A198)</f>
        <v>198</v>
      </c>
      <c r="D286">
        <f>ROW(EtalonRes!A1060)</f>
        <v>1060</v>
      </c>
      <c r="E286" t="s">
        <v>358</v>
      </c>
      <c r="F286" t="s">
        <v>359</v>
      </c>
      <c r="G286" t="s">
        <v>360</v>
      </c>
      <c r="H286" t="s">
        <v>98</v>
      </c>
      <c r="I286">
        <v>0</v>
      </c>
      <c r="J286">
        <v>0</v>
      </c>
      <c r="K286">
        <v>0</v>
      </c>
      <c r="O286">
        <f t="shared" si="254"/>
        <v>0</v>
      </c>
      <c r="P286">
        <f t="shared" si="255"/>
        <v>0</v>
      </c>
      <c r="Q286">
        <f>(ROUND((ROUND((((ET286*1.1))*AV286*I286),2)*BB286),2)+ROUND((ROUND(((AE286-((EU286*1.1)))*AV286*I286),2)*BS286),2))</f>
        <v>0</v>
      </c>
      <c r="R286">
        <f t="shared" si="257"/>
        <v>0</v>
      </c>
      <c r="S286">
        <f t="shared" si="258"/>
        <v>0</v>
      </c>
      <c r="T286">
        <f t="shared" si="259"/>
        <v>0</v>
      </c>
      <c r="U286">
        <f t="shared" si="260"/>
        <v>0</v>
      </c>
      <c r="V286">
        <f t="shared" si="261"/>
        <v>0</v>
      </c>
      <c r="W286">
        <f t="shared" si="262"/>
        <v>0</v>
      </c>
      <c r="X286">
        <f t="shared" si="263"/>
        <v>0</v>
      </c>
      <c r="Y286">
        <f t="shared" si="264"/>
        <v>0</v>
      </c>
      <c r="AA286">
        <v>56616093</v>
      </c>
      <c r="AB286">
        <f t="shared" si="265"/>
        <v>700.80200000000002</v>
      </c>
      <c r="AC286">
        <f t="shared" si="266"/>
        <v>57.83</v>
      </c>
      <c r="AD286">
        <f>ROUND(((((ET286*1.1))-((EU286*1.1)))+AE286),6)</f>
        <v>585.58500000000004</v>
      </c>
      <c r="AE286">
        <f>ROUND(((EU286*1.1)),6)</f>
        <v>51.238</v>
      </c>
      <c r="AF286">
        <f>ROUND(((EV286*1.1)),6)</f>
        <v>57.387</v>
      </c>
      <c r="AG286">
        <f t="shared" si="269"/>
        <v>0</v>
      </c>
      <c r="AH286">
        <f>((EW286*1.1))</f>
        <v>4.7190000000000003</v>
      </c>
      <c r="AI286">
        <f>((EX286*1.1))</f>
        <v>0</v>
      </c>
      <c r="AJ286">
        <f t="shared" si="271"/>
        <v>0</v>
      </c>
      <c r="AK286">
        <v>642.35</v>
      </c>
      <c r="AL286">
        <v>57.83</v>
      </c>
      <c r="AM286">
        <v>532.35</v>
      </c>
      <c r="AN286">
        <v>46.58</v>
      </c>
      <c r="AO286">
        <v>52.17</v>
      </c>
      <c r="AP286">
        <v>0</v>
      </c>
      <c r="AQ286">
        <v>4.29</v>
      </c>
      <c r="AR286">
        <v>0</v>
      </c>
      <c r="AS286">
        <v>0</v>
      </c>
      <c r="AT286">
        <v>134</v>
      </c>
      <c r="AU286">
        <v>55</v>
      </c>
      <c r="AV286">
        <v>1.0469999999999999</v>
      </c>
      <c r="AW286">
        <v>1</v>
      </c>
      <c r="AZ286">
        <v>1</v>
      </c>
      <c r="BA286">
        <v>34.51</v>
      </c>
      <c r="BB286">
        <v>11.94</v>
      </c>
      <c r="BC286">
        <v>16.47</v>
      </c>
      <c r="BD286" t="s">
        <v>3</v>
      </c>
      <c r="BE286" t="s">
        <v>3</v>
      </c>
      <c r="BF286" t="s">
        <v>3</v>
      </c>
      <c r="BG286" t="s">
        <v>3</v>
      </c>
      <c r="BH286">
        <v>0</v>
      </c>
      <c r="BI286">
        <v>1</v>
      </c>
      <c r="BJ286" t="s">
        <v>361</v>
      </c>
      <c r="BM286">
        <v>158</v>
      </c>
      <c r="BN286">
        <v>0</v>
      </c>
      <c r="BO286" t="s">
        <v>359</v>
      </c>
      <c r="BP286">
        <v>1</v>
      </c>
      <c r="BQ286">
        <v>30</v>
      </c>
      <c r="BR286">
        <v>0</v>
      </c>
      <c r="BS286">
        <v>34.51</v>
      </c>
      <c r="BT286">
        <v>1</v>
      </c>
      <c r="BU286">
        <v>1</v>
      </c>
      <c r="BV286">
        <v>1</v>
      </c>
      <c r="BW286">
        <v>1</v>
      </c>
      <c r="BX286">
        <v>1</v>
      </c>
      <c r="BY286" t="s">
        <v>3</v>
      </c>
      <c r="BZ286">
        <v>134</v>
      </c>
      <c r="CA286">
        <v>55</v>
      </c>
      <c r="CB286" t="s">
        <v>3</v>
      </c>
      <c r="CE286">
        <v>30</v>
      </c>
      <c r="CF286">
        <v>0</v>
      </c>
      <c r="CG286">
        <v>0</v>
      </c>
      <c r="CM286">
        <v>0</v>
      </c>
      <c r="CN286" t="s">
        <v>671</v>
      </c>
      <c r="CO286">
        <v>0</v>
      </c>
      <c r="CP286">
        <f t="shared" si="272"/>
        <v>0</v>
      </c>
      <c r="CQ286">
        <f t="shared" si="273"/>
        <v>952.46</v>
      </c>
      <c r="CR286">
        <f>(ROUND((ROUND((((ET286*1.1))*AV286*1),2)*BB286),2)+ROUND((ROUND(((AE286-((EU286*1.1)))*AV286*1),2)*BS286),2))</f>
        <v>7320.53</v>
      </c>
      <c r="CS286">
        <f t="shared" si="275"/>
        <v>1851.46</v>
      </c>
      <c r="CT286">
        <f t="shared" si="276"/>
        <v>2073.36</v>
      </c>
      <c r="CU286">
        <f t="shared" si="277"/>
        <v>0</v>
      </c>
      <c r="CV286">
        <f t="shared" si="278"/>
        <v>4.9407930000000002</v>
      </c>
      <c r="CW286">
        <f t="shared" si="279"/>
        <v>0</v>
      </c>
      <c r="CX286">
        <f t="shared" si="280"/>
        <v>0</v>
      </c>
      <c r="CY286">
        <f>S286*(BZ286/100)</f>
        <v>0</v>
      </c>
      <c r="CZ286">
        <f>S286*(CA286/100)</f>
        <v>0</v>
      </c>
      <c r="DC286" t="s">
        <v>3</v>
      </c>
      <c r="DD286" t="s">
        <v>3</v>
      </c>
      <c r="DE286" t="s">
        <v>22</v>
      </c>
      <c r="DF286" t="s">
        <v>22</v>
      </c>
      <c r="DG286" t="s">
        <v>22</v>
      </c>
      <c r="DH286" t="s">
        <v>3</v>
      </c>
      <c r="DI286" t="s">
        <v>22</v>
      </c>
      <c r="DJ286" t="s">
        <v>22</v>
      </c>
      <c r="DK286" t="s">
        <v>3</v>
      </c>
      <c r="DL286" t="s">
        <v>3</v>
      </c>
      <c r="DM286" t="s">
        <v>3</v>
      </c>
      <c r="DN286">
        <v>161</v>
      </c>
      <c r="DO286">
        <v>107</v>
      </c>
      <c r="DP286">
        <v>1.0469999999999999</v>
      </c>
      <c r="DQ286">
        <v>1</v>
      </c>
      <c r="DU286">
        <v>1013</v>
      </c>
      <c r="DV286" t="s">
        <v>98</v>
      </c>
      <c r="DW286" t="s">
        <v>98</v>
      </c>
      <c r="DX286">
        <v>1</v>
      </c>
      <c r="DZ286" t="s">
        <v>3</v>
      </c>
      <c r="EA286" t="s">
        <v>3</v>
      </c>
      <c r="EB286" t="s">
        <v>3</v>
      </c>
      <c r="EC286" t="s">
        <v>3</v>
      </c>
      <c r="EE286">
        <v>51696197</v>
      </c>
      <c r="EF286">
        <v>30</v>
      </c>
      <c r="EG286" t="s">
        <v>16</v>
      </c>
      <c r="EH286">
        <v>0</v>
      </c>
      <c r="EI286" t="s">
        <v>3</v>
      </c>
      <c r="EJ286">
        <v>1</v>
      </c>
      <c r="EK286">
        <v>158</v>
      </c>
      <c r="EL286" t="s">
        <v>362</v>
      </c>
      <c r="EM286" t="s">
        <v>363</v>
      </c>
      <c r="EO286" t="s">
        <v>25</v>
      </c>
      <c r="EQ286">
        <v>131072</v>
      </c>
      <c r="ER286">
        <v>642.35</v>
      </c>
      <c r="ES286">
        <v>57.83</v>
      </c>
      <c r="ET286">
        <v>532.35</v>
      </c>
      <c r="EU286">
        <v>46.58</v>
      </c>
      <c r="EV286">
        <v>52.17</v>
      </c>
      <c r="EW286">
        <v>4.29</v>
      </c>
      <c r="EX286">
        <v>0</v>
      </c>
      <c r="EY286">
        <v>0</v>
      </c>
      <c r="FQ286">
        <v>0</v>
      </c>
      <c r="FR286">
        <v>0</v>
      </c>
      <c r="FS286">
        <v>0</v>
      </c>
      <c r="FX286">
        <v>161</v>
      </c>
      <c r="FY286">
        <v>107</v>
      </c>
      <c r="GA286" t="s">
        <v>3</v>
      </c>
      <c r="GD286">
        <v>0</v>
      </c>
      <c r="GF286">
        <v>-399398241</v>
      </c>
      <c r="GG286">
        <v>2</v>
      </c>
      <c r="GH286">
        <v>1</v>
      </c>
      <c r="GI286">
        <v>2</v>
      </c>
      <c r="GJ286">
        <v>0</v>
      </c>
      <c r="GK286">
        <f>ROUND(R286*(S12)/100,2)</f>
        <v>0</v>
      </c>
      <c r="GL286">
        <f t="shared" si="281"/>
        <v>0</v>
      </c>
      <c r="GM286">
        <f t="shared" si="282"/>
        <v>0</v>
      </c>
      <c r="GN286">
        <f t="shared" si="283"/>
        <v>0</v>
      </c>
      <c r="GO286">
        <f t="shared" si="284"/>
        <v>0</v>
      </c>
      <c r="GP286">
        <f t="shared" si="285"/>
        <v>0</v>
      </c>
      <c r="GR286">
        <v>0</v>
      </c>
      <c r="GS286">
        <v>3</v>
      </c>
      <c r="GT286">
        <v>0</v>
      </c>
      <c r="GU286" t="s">
        <v>3</v>
      </c>
      <c r="GV286">
        <f t="shared" si="286"/>
        <v>0</v>
      </c>
      <c r="GW286">
        <v>1</v>
      </c>
      <c r="GX286">
        <f t="shared" si="287"/>
        <v>0</v>
      </c>
      <c r="HA286">
        <v>0</v>
      </c>
      <c r="HB286">
        <v>0</v>
      </c>
      <c r="HC286">
        <f t="shared" si="288"/>
        <v>0</v>
      </c>
      <c r="HE286" t="s">
        <v>3</v>
      </c>
      <c r="HF286" t="s">
        <v>3</v>
      </c>
      <c r="HM286" t="s">
        <v>3</v>
      </c>
      <c r="HN286" t="s">
        <v>3</v>
      </c>
      <c r="HO286" t="s">
        <v>3</v>
      </c>
      <c r="HP286" t="s">
        <v>3</v>
      </c>
      <c r="HQ286" t="s">
        <v>3</v>
      </c>
      <c r="HS286">
        <v>0</v>
      </c>
      <c r="IK286">
        <v>0</v>
      </c>
    </row>
    <row r="287" spans="1:255" x14ac:dyDescent="0.2">
      <c r="A287" s="2">
        <v>18</v>
      </c>
      <c r="B287" s="2">
        <v>1</v>
      </c>
      <c r="C287" s="2">
        <v>197</v>
      </c>
      <c r="D287" s="2"/>
      <c r="E287" s="2" t="s">
        <v>364</v>
      </c>
      <c r="F287" s="2" t="s">
        <v>365</v>
      </c>
      <c r="G287" s="2" t="s">
        <v>366</v>
      </c>
      <c r="H287" s="2" t="s">
        <v>367</v>
      </c>
      <c r="I287" s="2">
        <f>I285*J287</f>
        <v>0</v>
      </c>
      <c r="J287" s="2">
        <v>9.58</v>
      </c>
      <c r="K287" s="2">
        <v>9.58</v>
      </c>
      <c r="L287" s="2"/>
      <c r="M287" s="2"/>
      <c r="N287" s="2"/>
      <c r="O287" s="2">
        <f t="shared" si="254"/>
        <v>0</v>
      </c>
      <c r="P287" s="2">
        <f t="shared" si="255"/>
        <v>0</v>
      </c>
      <c r="Q287" s="2">
        <f>(ROUND((ROUND(((ET287)*AV287*I287),2)*BB287),2)+ROUND((ROUND(((AE287-(EU287))*AV287*I287),2)*BS287),2))</f>
        <v>0</v>
      </c>
      <c r="R287" s="2">
        <f t="shared" si="257"/>
        <v>0</v>
      </c>
      <c r="S287" s="2">
        <f t="shared" si="258"/>
        <v>0</v>
      </c>
      <c r="T287" s="2">
        <f t="shared" si="259"/>
        <v>0</v>
      </c>
      <c r="U287" s="2">
        <f t="shared" si="260"/>
        <v>0</v>
      </c>
      <c r="V287" s="2">
        <f t="shared" si="261"/>
        <v>0</v>
      </c>
      <c r="W287" s="2">
        <f t="shared" si="262"/>
        <v>0</v>
      </c>
      <c r="X287" s="2">
        <f t="shared" si="263"/>
        <v>0</v>
      </c>
      <c r="Y287" s="2">
        <f t="shared" si="264"/>
        <v>0</v>
      </c>
      <c r="Z287" s="2"/>
      <c r="AA287" s="2">
        <v>56622586</v>
      </c>
      <c r="AB287" s="2">
        <f t="shared" si="265"/>
        <v>296.7</v>
      </c>
      <c r="AC287" s="2">
        <f t="shared" si="266"/>
        <v>296.7</v>
      </c>
      <c r="AD287" s="2">
        <f>ROUND((((ET287)-(EU287))+AE287),6)</f>
        <v>0</v>
      </c>
      <c r="AE287" s="2">
        <f>ROUND((EU287),6)</f>
        <v>0</v>
      </c>
      <c r="AF287" s="2">
        <f>ROUND((EV287),6)</f>
        <v>0</v>
      </c>
      <c r="AG287" s="2">
        <f t="shared" si="269"/>
        <v>0</v>
      </c>
      <c r="AH287" s="2">
        <f>(EW287)</f>
        <v>0</v>
      </c>
      <c r="AI287" s="2">
        <f>(EX287)</f>
        <v>0</v>
      </c>
      <c r="AJ287" s="2">
        <f t="shared" si="271"/>
        <v>0</v>
      </c>
      <c r="AK287" s="2">
        <v>296.7</v>
      </c>
      <c r="AL287" s="2">
        <v>296.7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161</v>
      </c>
      <c r="AU287" s="2">
        <v>107</v>
      </c>
      <c r="AV287" s="2">
        <v>1.0469999999999999</v>
      </c>
      <c r="AW287" s="2">
        <v>1</v>
      </c>
      <c r="AX287" s="2"/>
      <c r="AY287" s="2"/>
      <c r="AZ287" s="2">
        <v>1</v>
      </c>
      <c r="BA287" s="2">
        <v>1</v>
      </c>
      <c r="BB287" s="2">
        <v>1</v>
      </c>
      <c r="BC287" s="2">
        <v>1</v>
      </c>
      <c r="BD287" s="2" t="s">
        <v>3</v>
      </c>
      <c r="BE287" s="2" t="s">
        <v>3</v>
      </c>
      <c r="BF287" s="2" t="s">
        <v>3</v>
      </c>
      <c r="BG287" s="2" t="s">
        <v>3</v>
      </c>
      <c r="BH287" s="2">
        <v>3</v>
      </c>
      <c r="BI287" s="2">
        <v>1</v>
      </c>
      <c r="BJ287" s="2" t="s">
        <v>368</v>
      </c>
      <c r="BK287" s="2"/>
      <c r="BL287" s="2"/>
      <c r="BM287" s="2">
        <v>158</v>
      </c>
      <c r="BN287" s="2">
        <v>0</v>
      </c>
      <c r="BO287" s="2" t="s">
        <v>3</v>
      </c>
      <c r="BP287" s="2">
        <v>0</v>
      </c>
      <c r="BQ287" s="2">
        <v>30</v>
      </c>
      <c r="BR287" s="2">
        <v>0</v>
      </c>
      <c r="BS287" s="2">
        <v>1</v>
      </c>
      <c r="BT287" s="2">
        <v>1</v>
      </c>
      <c r="BU287" s="2">
        <v>1</v>
      </c>
      <c r="BV287" s="2">
        <v>1</v>
      </c>
      <c r="BW287" s="2">
        <v>1</v>
      </c>
      <c r="BX287" s="2">
        <v>1</v>
      </c>
      <c r="BY287" s="2" t="s">
        <v>3</v>
      </c>
      <c r="BZ287" s="2">
        <v>161</v>
      </c>
      <c r="CA287" s="2">
        <v>107</v>
      </c>
      <c r="CB287" s="2" t="s">
        <v>3</v>
      </c>
      <c r="CC287" s="2"/>
      <c r="CD287" s="2"/>
      <c r="CE287" s="2">
        <v>30</v>
      </c>
      <c r="CF287" s="2">
        <v>0</v>
      </c>
      <c r="CG287" s="2">
        <v>0</v>
      </c>
      <c r="CH287" s="2"/>
      <c r="CI287" s="2"/>
      <c r="CJ287" s="2"/>
      <c r="CK287" s="2"/>
      <c r="CL287" s="2"/>
      <c r="CM287" s="2">
        <v>0</v>
      </c>
      <c r="CN287" s="2" t="s">
        <v>3</v>
      </c>
      <c r="CO287" s="2">
        <v>0</v>
      </c>
      <c r="CP287" s="2">
        <f t="shared" si="272"/>
        <v>0</v>
      </c>
      <c r="CQ287" s="2">
        <f t="shared" si="273"/>
        <v>296.7</v>
      </c>
      <c r="CR287" s="2">
        <f>(ROUND((ROUND(((ET287)*AV287*1),2)*BB287),2)+ROUND((ROUND(((AE287-(EU287))*AV287*1),2)*BS287),2))</f>
        <v>0</v>
      </c>
      <c r="CS287" s="2">
        <f t="shared" si="275"/>
        <v>0</v>
      </c>
      <c r="CT287" s="2">
        <f t="shared" si="276"/>
        <v>0</v>
      </c>
      <c r="CU287" s="2">
        <f t="shared" si="277"/>
        <v>0</v>
      </c>
      <c r="CV287" s="2">
        <f t="shared" si="278"/>
        <v>0</v>
      </c>
      <c r="CW287" s="2">
        <f t="shared" si="279"/>
        <v>0</v>
      </c>
      <c r="CX287" s="2">
        <f t="shared" si="280"/>
        <v>0</v>
      </c>
      <c r="CY287" s="2">
        <f>((S287*BZ287)/100)</f>
        <v>0</v>
      </c>
      <c r="CZ287" s="2">
        <f>((S287*CA287)/100)</f>
        <v>0</v>
      </c>
      <c r="DA287" s="2"/>
      <c r="DB287" s="2"/>
      <c r="DC287" s="2" t="s">
        <v>3</v>
      </c>
      <c r="DD287" s="2" t="s">
        <v>3</v>
      </c>
      <c r="DE287" s="2" t="s">
        <v>3</v>
      </c>
      <c r="DF287" s="2" t="s">
        <v>3</v>
      </c>
      <c r="DG287" s="2" t="s">
        <v>3</v>
      </c>
      <c r="DH287" s="2" t="s">
        <v>3</v>
      </c>
      <c r="DI287" s="2" t="s">
        <v>3</v>
      </c>
      <c r="DJ287" s="2" t="s">
        <v>3</v>
      </c>
      <c r="DK287" s="2" t="s">
        <v>3</v>
      </c>
      <c r="DL287" s="2" t="s">
        <v>3</v>
      </c>
      <c r="DM287" s="2" t="s">
        <v>3</v>
      </c>
      <c r="DN287" s="2">
        <v>0</v>
      </c>
      <c r="DO287" s="2">
        <v>0</v>
      </c>
      <c r="DP287" s="2">
        <v>1</v>
      </c>
      <c r="DQ287" s="2">
        <v>1</v>
      </c>
      <c r="DR287" s="2"/>
      <c r="DS287" s="2"/>
      <c r="DT287" s="2"/>
      <c r="DU287" s="2">
        <v>1009</v>
      </c>
      <c r="DV287" s="2" t="s">
        <v>367</v>
      </c>
      <c r="DW287" s="2" t="s">
        <v>367</v>
      </c>
      <c r="DX287" s="2">
        <v>1000</v>
      </c>
      <c r="DY287" s="2"/>
      <c r="DZ287" s="2" t="s">
        <v>3</v>
      </c>
      <c r="EA287" s="2" t="s">
        <v>3</v>
      </c>
      <c r="EB287" s="2" t="s">
        <v>3</v>
      </c>
      <c r="EC287" s="2" t="s">
        <v>3</v>
      </c>
      <c r="ED287" s="2"/>
      <c r="EE287" s="2">
        <v>51696197</v>
      </c>
      <c r="EF287" s="2">
        <v>30</v>
      </c>
      <c r="EG287" s="2" t="s">
        <v>16</v>
      </c>
      <c r="EH287" s="2">
        <v>0</v>
      </c>
      <c r="EI287" s="2" t="s">
        <v>3</v>
      </c>
      <c r="EJ287" s="2">
        <v>1</v>
      </c>
      <c r="EK287" s="2">
        <v>158</v>
      </c>
      <c r="EL287" s="2" t="s">
        <v>362</v>
      </c>
      <c r="EM287" s="2" t="s">
        <v>363</v>
      </c>
      <c r="EN287" s="2"/>
      <c r="EO287" s="2" t="s">
        <v>3</v>
      </c>
      <c r="EP287" s="2"/>
      <c r="EQ287" s="2">
        <v>0</v>
      </c>
      <c r="ER287" s="2">
        <v>296.7</v>
      </c>
      <c r="ES287" s="2">
        <v>296.7</v>
      </c>
      <c r="ET287" s="2">
        <v>0</v>
      </c>
      <c r="EU287" s="2">
        <v>0</v>
      </c>
      <c r="EV287" s="2">
        <v>0</v>
      </c>
      <c r="EW287" s="2">
        <v>0</v>
      </c>
      <c r="EX287" s="2">
        <v>0</v>
      </c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>
        <v>0</v>
      </c>
      <c r="FR287" s="2">
        <v>0</v>
      </c>
      <c r="FS287" s="2">
        <v>0</v>
      </c>
      <c r="FT287" s="2"/>
      <c r="FU287" s="2"/>
      <c r="FV287" s="2"/>
      <c r="FW287" s="2"/>
      <c r="FX287" s="2">
        <v>161</v>
      </c>
      <c r="FY287" s="2">
        <v>107</v>
      </c>
      <c r="FZ287" s="2"/>
      <c r="GA287" s="2" t="s">
        <v>3</v>
      </c>
      <c r="GB287" s="2"/>
      <c r="GC287" s="2"/>
      <c r="GD287" s="2">
        <v>0</v>
      </c>
      <c r="GE287" s="2"/>
      <c r="GF287" s="2">
        <v>1855215121</v>
      </c>
      <c r="GG287" s="2">
        <v>2</v>
      </c>
      <c r="GH287" s="2">
        <v>1</v>
      </c>
      <c r="GI287" s="2">
        <v>-2</v>
      </c>
      <c r="GJ287" s="2">
        <v>0</v>
      </c>
      <c r="GK287" s="2">
        <f>ROUND(R287*(R12)/100,2)</f>
        <v>0</v>
      </c>
      <c r="GL287" s="2">
        <f t="shared" si="281"/>
        <v>0</v>
      </c>
      <c r="GM287" s="2">
        <f t="shared" si="282"/>
        <v>0</v>
      </c>
      <c r="GN287" s="2">
        <f t="shared" si="283"/>
        <v>0</v>
      </c>
      <c r="GO287" s="2">
        <f t="shared" si="284"/>
        <v>0</v>
      </c>
      <c r="GP287" s="2">
        <f t="shared" si="285"/>
        <v>0</v>
      </c>
      <c r="GQ287" s="2"/>
      <c r="GR287" s="2">
        <v>0</v>
      </c>
      <c r="GS287" s="2">
        <v>0</v>
      </c>
      <c r="GT287" s="2">
        <v>0</v>
      </c>
      <c r="GU287" s="2" t="s">
        <v>3</v>
      </c>
      <c r="GV287" s="2">
        <f t="shared" si="286"/>
        <v>0</v>
      </c>
      <c r="GW287" s="2">
        <v>1</v>
      </c>
      <c r="GX287" s="2">
        <f t="shared" si="287"/>
        <v>0</v>
      </c>
      <c r="GY287" s="2"/>
      <c r="GZ287" s="2"/>
      <c r="HA287" s="2">
        <v>0</v>
      </c>
      <c r="HB287" s="2">
        <v>0</v>
      </c>
      <c r="HC287" s="2">
        <f t="shared" si="288"/>
        <v>0</v>
      </c>
      <c r="HD287" s="2"/>
      <c r="HE287" s="2" t="s">
        <v>3</v>
      </c>
      <c r="HF287" s="2" t="s">
        <v>3</v>
      </c>
      <c r="HG287" s="2"/>
      <c r="HH287" s="2"/>
      <c r="HI287" s="2"/>
      <c r="HJ287" s="2"/>
      <c r="HK287" s="2"/>
      <c r="HL287" s="2"/>
      <c r="HM287" s="2" t="s">
        <v>3</v>
      </c>
      <c r="HN287" s="2" t="s">
        <v>3</v>
      </c>
      <c r="HO287" s="2" t="s">
        <v>3</v>
      </c>
      <c r="HP287" s="2" t="s">
        <v>3</v>
      </c>
      <c r="HQ287" s="2" t="s">
        <v>3</v>
      </c>
      <c r="HR287" s="2"/>
      <c r="HS287" s="2">
        <v>0</v>
      </c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>
        <v>0</v>
      </c>
      <c r="IL287" s="2"/>
      <c r="IM287" s="2"/>
      <c r="IN287" s="2"/>
      <c r="IO287" s="2"/>
      <c r="IP287" s="2"/>
      <c r="IQ287" s="2"/>
      <c r="IR287" s="2"/>
      <c r="IS287" s="2"/>
      <c r="IT287" s="2"/>
      <c r="IU287" s="2"/>
    </row>
    <row r="288" spans="1:255" x14ac:dyDescent="0.2">
      <c r="A288">
        <v>18</v>
      </c>
      <c r="B288">
        <v>1</v>
      </c>
      <c r="C288">
        <v>198</v>
      </c>
      <c r="E288" t="s">
        <v>364</v>
      </c>
      <c r="F288" t="s">
        <v>365</v>
      </c>
      <c r="G288" t="s">
        <v>366</v>
      </c>
      <c r="H288" t="s">
        <v>367</v>
      </c>
      <c r="I288">
        <f>I286*J288</f>
        <v>0</v>
      </c>
      <c r="J288">
        <v>9.58</v>
      </c>
      <c r="K288">
        <v>9.58</v>
      </c>
      <c r="O288">
        <f t="shared" si="254"/>
        <v>0</v>
      </c>
      <c r="P288">
        <f t="shared" si="255"/>
        <v>0</v>
      </c>
      <c r="Q288">
        <f>(ROUND((ROUND(((ET288)*AV288*I288),2)*BB288),2)+ROUND((ROUND(((AE288-(EU288))*AV288*I288),2)*BS288),2))</f>
        <v>0</v>
      </c>
      <c r="R288">
        <f t="shared" si="257"/>
        <v>0</v>
      </c>
      <c r="S288">
        <f t="shared" si="258"/>
        <v>0</v>
      </c>
      <c r="T288">
        <f t="shared" si="259"/>
        <v>0</v>
      </c>
      <c r="U288">
        <f t="shared" si="260"/>
        <v>0</v>
      </c>
      <c r="V288">
        <f t="shared" si="261"/>
        <v>0</v>
      </c>
      <c r="W288">
        <f t="shared" si="262"/>
        <v>0</v>
      </c>
      <c r="X288">
        <f t="shared" si="263"/>
        <v>0</v>
      </c>
      <c r="Y288">
        <f t="shared" si="264"/>
        <v>0</v>
      </c>
      <c r="AA288">
        <v>56616093</v>
      </c>
      <c r="AB288">
        <f t="shared" si="265"/>
        <v>296.7</v>
      </c>
      <c r="AC288">
        <f t="shared" si="266"/>
        <v>296.7</v>
      </c>
      <c r="AD288">
        <f>ROUND((((ET288)-(EU288))+AE288),6)</f>
        <v>0</v>
      </c>
      <c r="AE288">
        <f>ROUND((EU288),6)</f>
        <v>0</v>
      </c>
      <c r="AF288">
        <f>ROUND((EV288),6)</f>
        <v>0</v>
      </c>
      <c r="AG288">
        <f t="shared" si="269"/>
        <v>0</v>
      </c>
      <c r="AH288">
        <f>(EW288)</f>
        <v>0</v>
      </c>
      <c r="AI288">
        <f>(EX288)</f>
        <v>0</v>
      </c>
      <c r="AJ288">
        <f t="shared" si="271"/>
        <v>0</v>
      </c>
      <c r="AK288">
        <v>296.7</v>
      </c>
      <c r="AL288">
        <v>296.7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</v>
      </c>
      <c r="AW288">
        <v>1</v>
      </c>
      <c r="AZ288">
        <v>1</v>
      </c>
      <c r="BA288">
        <v>1</v>
      </c>
      <c r="BB288">
        <v>1</v>
      </c>
      <c r="BC288">
        <v>15.39</v>
      </c>
      <c r="BD288" t="s">
        <v>3</v>
      </c>
      <c r="BE288" t="s">
        <v>3</v>
      </c>
      <c r="BF288" t="s">
        <v>3</v>
      </c>
      <c r="BG288" t="s">
        <v>3</v>
      </c>
      <c r="BH288">
        <v>3</v>
      </c>
      <c r="BI288">
        <v>1</v>
      </c>
      <c r="BJ288" t="s">
        <v>368</v>
      </c>
      <c r="BM288">
        <v>158</v>
      </c>
      <c r="BN288">
        <v>0</v>
      </c>
      <c r="BO288" t="s">
        <v>365</v>
      </c>
      <c r="BP288">
        <v>1</v>
      </c>
      <c r="BQ288">
        <v>30</v>
      </c>
      <c r="BR288">
        <v>0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 t="s">
        <v>3</v>
      </c>
      <c r="BZ288">
        <v>0</v>
      </c>
      <c r="CA288">
        <v>0</v>
      </c>
      <c r="CB288" t="s">
        <v>3</v>
      </c>
      <c r="CE288">
        <v>30</v>
      </c>
      <c r="CF288">
        <v>0</v>
      </c>
      <c r="CG288">
        <v>0</v>
      </c>
      <c r="CM288">
        <v>0</v>
      </c>
      <c r="CN288" t="s">
        <v>3</v>
      </c>
      <c r="CO288">
        <v>0</v>
      </c>
      <c r="CP288">
        <f t="shared" si="272"/>
        <v>0</v>
      </c>
      <c r="CQ288">
        <f t="shared" si="273"/>
        <v>4566.21</v>
      </c>
      <c r="CR288">
        <f>(ROUND((ROUND(((ET288)*AV288*1),2)*BB288),2)+ROUND((ROUND(((AE288-(EU288))*AV288*1),2)*BS288),2))</f>
        <v>0</v>
      </c>
      <c r="CS288">
        <f t="shared" si="275"/>
        <v>0</v>
      </c>
      <c r="CT288">
        <f t="shared" si="276"/>
        <v>0</v>
      </c>
      <c r="CU288">
        <f t="shared" si="277"/>
        <v>0</v>
      </c>
      <c r="CV288">
        <f t="shared" si="278"/>
        <v>0</v>
      </c>
      <c r="CW288">
        <f t="shared" si="279"/>
        <v>0</v>
      </c>
      <c r="CX288">
        <f t="shared" si="280"/>
        <v>0</v>
      </c>
      <c r="CY288">
        <f>S288*(BZ288/100)</f>
        <v>0</v>
      </c>
      <c r="CZ288">
        <f>S288*(CA288/100)</f>
        <v>0</v>
      </c>
      <c r="DC288" t="s">
        <v>3</v>
      </c>
      <c r="DD288" t="s">
        <v>3</v>
      </c>
      <c r="DE288" t="s">
        <v>3</v>
      </c>
      <c r="DF288" t="s">
        <v>3</v>
      </c>
      <c r="DG288" t="s">
        <v>3</v>
      </c>
      <c r="DH288" t="s">
        <v>3</v>
      </c>
      <c r="DI288" t="s">
        <v>3</v>
      </c>
      <c r="DJ288" t="s">
        <v>3</v>
      </c>
      <c r="DK288" t="s">
        <v>3</v>
      </c>
      <c r="DL288" t="s">
        <v>3</v>
      </c>
      <c r="DM288" t="s">
        <v>3</v>
      </c>
      <c r="DN288">
        <v>161</v>
      </c>
      <c r="DO288">
        <v>107</v>
      </c>
      <c r="DP288">
        <v>1.0469999999999999</v>
      </c>
      <c r="DQ288">
        <v>1</v>
      </c>
      <c r="DU288">
        <v>1009</v>
      </c>
      <c r="DV288" t="s">
        <v>367</v>
      </c>
      <c r="DW288" t="s">
        <v>367</v>
      </c>
      <c r="DX288">
        <v>1000</v>
      </c>
      <c r="DZ288" t="s">
        <v>3</v>
      </c>
      <c r="EA288" t="s">
        <v>3</v>
      </c>
      <c r="EB288" t="s">
        <v>3</v>
      </c>
      <c r="EC288" t="s">
        <v>3</v>
      </c>
      <c r="EE288">
        <v>51696197</v>
      </c>
      <c r="EF288">
        <v>30</v>
      </c>
      <c r="EG288" t="s">
        <v>16</v>
      </c>
      <c r="EH288">
        <v>0</v>
      </c>
      <c r="EI288" t="s">
        <v>3</v>
      </c>
      <c r="EJ288">
        <v>1</v>
      </c>
      <c r="EK288">
        <v>158</v>
      </c>
      <c r="EL288" t="s">
        <v>362</v>
      </c>
      <c r="EM288" t="s">
        <v>363</v>
      </c>
      <c r="EO288" t="s">
        <v>3</v>
      </c>
      <c r="EQ288">
        <v>0</v>
      </c>
      <c r="ER288">
        <v>296.7</v>
      </c>
      <c r="ES288">
        <v>296.7</v>
      </c>
      <c r="ET288">
        <v>0</v>
      </c>
      <c r="EU288">
        <v>0</v>
      </c>
      <c r="EV288">
        <v>0</v>
      </c>
      <c r="EW288">
        <v>0</v>
      </c>
      <c r="EX288">
        <v>0</v>
      </c>
      <c r="FQ288">
        <v>0</v>
      </c>
      <c r="FR288">
        <v>0</v>
      </c>
      <c r="FS288">
        <v>0</v>
      </c>
      <c r="FX288">
        <v>161</v>
      </c>
      <c r="FY288">
        <v>107</v>
      </c>
      <c r="GA288" t="s">
        <v>3</v>
      </c>
      <c r="GD288">
        <v>0</v>
      </c>
      <c r="GF288">
        <v>1855215121</v>
      </c>
      <c r="GG288">
        <v>2</v>
      </c>
      <c r="GH288">
        <v>1</v>
      </c>
      <c r="GI288">
        <v>2</v>
      </c>
      <c r="GJ288">
        <v>0</v>
      </c>
      <c r="GK288">
        <f>ROUND(R288*(S12)/100,2)</f>
        <v>0</v>
      </c>
      <c r="GL288">
        <f t="shared" si="281"/>
        <v>0</v>
      </c>
      <c r="GM288">
        <f t="shared" si="282"/>
        <v>0</v>
      </c>
      <c r="GN288">
        <f t="shared" si="283"/>
        <v>0</v>
      </c>
      <c r="GO288">
        <f t="shared" si="284"/>
        <v>0</v>
      </c>
      <c r="GP288">
        <f t="shared" si="285"/>
        <v>0</v>
      </c>
      <c r="GR288">
        <v>0</v>
      </c>
      <c r="GS288">
        <v>3</v>
      </c>
      <c r="GT288">
        <v>0</v>
      </c>
      <c r="GU288" t="s">
        <v>3</v>
      </c>
      <c r="GV288">
        <f t="shared" si="286"/>
        <v>0</v>
      </c>
      <c r="GW288">
        <v>1</v>
      </c>
      <c r="GX288">
        <f t="shared" si="287"/>
        <v>0</v>
      </c>
      <c r="HA288">
        <v>0</v>
      </c>
      <c r="HB288">
        <v>0</v>
      </c>
      <c r="HC288">
        <f t="shared" si="288"/>
        <v>0</v>
      </c>
      <c r="HE288" t="s">
        <v>3</v>
      </c>
      <c r="HF288" t="s">
        <v>3</v>
      </c>
      <c r="HM288" t="s">
        <v>3</v>
      </c>
      <c r="HN288" t="s">
        <v>3</v>
      </c>
      <c r="HO288" t="s">
        <v>3</v>
      </c>
      <c r="HP288" t="s">
        <v>3</v>
      </c>
      <c r="HQ288" t="s">
        <v>3</v>
      </c>
      <c r="HS288">
        <v>0</v>
      </c>
      <c r="IK288">
        <v>0</v>
      </c>
    </row>
    <row r="289" spans="1:255" x14ac:dyDescent="0.2">
      <c r="A289" s="2">
        <v>17</v>
      </c>
      <c r="B289" s="2">
        <v>1</v>
      </c>
      <c r="C289" s="2">
        <f>ROW(SmtRes!A199)</f>
        <v>199</v>
      </c>
      <c r="D289" s="2">
        <f>ROW(EtalonRes!A1071)</f>
        <v>1071</v>
      </c>
      <c r="E289" s="2" t="s">
        <v>369</v>
      </c>
      <c r="F289" s="2" t="s">
        <v>359</v>
      </c>
      <c r="G289" s="2" t="s">
        <v>360</v>
      </c>
      <c r="H289" s="2" t="s">
        <v>98</v>
      </c>
      <c r="I289" s="2">
        <v>0</v>
      </c>
      <c r="J289" s="2">
        <v>0</v>
      </c>
      <c r="K289" s="2">
        <v>0</v>
      </c>
      <c r="L289" s="2"/>
      <c r="M289" s="2"/>
      <c r="N289" s="2"/>
      <c r="O289" s="2">
        <f t="shared" si="254"/>
        <v>0</v>
      </c>
      <c r="P289" s="2">
        <f t="shared" si="255"/>
        <v>0</v>
      </c>
      <c r="Q289" s="2">
        <f>(ROUND((ROUND((((ET289*1.1))*AV289*I289),2)*BB289),2)+ROUND((ROUND(((AE289-((EU289*1.1)))*AV289*I289),2)*BS289),2))</f>
        <v>0</v>
      </c>
      <c r="R289" s="2">
        <f t="shared" si="257"/>
        <v>0</v>
      </c>
      <c r="S289" s="2">
        <f t="shared" si="258"/>
        <v>0</v>
      </c>
      <c r="T289" s="2">
        <f t="shared" si="259"/>
        <v>0</v>
      </c>
      <c r="U289" s="2">
        <f t="shared" si="260"/>
        <v>0</v>
      </c>
      <c r="V289" s="2">
        <f t="shared" si="261"/>
        <v>0</v>
      </c>
      <c r="W289" s="2">
        <f t="shared" si="262"/>
        <v>0</v>
      </c>
      <c r="X289" s="2">
        <f t="shared" si="263"/>
        <v>0</v>
      </c>
      <c r="Y289" s="2">
        <f t="shared" si="264"/>
        <v>0</v>
      </c>
      <c r="Z289" s="2"/>
      <c r="AA289" s="2">
        <v>56622586</v>
      </c>
      <c r="AB289" s="2">
        <f t="shared" si="265"/>
        <v>700.80200000000002</v>
      </c>
      <c r="AC289" s="2">
        <f t="shared" si="266"/>
        <v>57.83</v>
      </c>
      <c r="AD289" s="2">
        <f>ROUND(((((ET289*1.1))-((EU289*1.1)))+AE289),6)</f>
        <v>585.58500000000004</v>
      </c>
      <c r="AE289" s="2">
        <f>ROUND(((EU289*1.1)),6)</f>
        <v>51.238</v>
      </c>
      <c r="AF289" s="2">
        <f>ROUND(((EV289*1.1)),6)</f>
        <v>57.387</v>
      </c>
      <c r="AG289" s="2">
        <f t="shared" si="269"/>
        <v>0</v>
      </c>
      <c r="AH289" s="2">
        <f>((EW289*1.1))</f>
        <v>4.7190000000000003</v>
      </c>
      <c r="AI289" s="2">
        <f>((EX289*1.1))</f>
        <v>0</v>
      </c>
      <c r="AJ289" s="2">
        <f t="shared" si="271"/>
        <v>0</v>
      </c>
      <c r="AK289" s="2">
        <v>642.35</v>
      </c>
      <c r="AL289" s="2">
        <v>57.83</v>
      </c>
      <c r="AM289" s="2">
        <v>532.35</v>
      </c>
      <c r="AN289" s="2">
        <v>46.58</v>
      </c>
      <c r="AO289" s="2">
        <v>52.17</v>
      </c>
      <c r="AP289" s="2">
        <v>0</v>
      </c>
      <c r="AQ289" s="2">
        <v>4.29</v>
      </c>
      <c r="AR289" s="2">
        <v>0</v>
      </c>
      <c r="AS289" s="2">
        <v>0</v>
      </c>
      <c r="AT289" s="2">
        <v>161</v>
      </c>
      <c r="AU289" s="2">
        <v>107</v>
      </c>
      <c r="AV289" s="2">
        <v>1.0469999999999999</v>
      </c>
      <c r="AW289" s="2">
        <v>1</v>
      </c>
      <c r="AX289" s="2"/>
      <c r="AY289" s="2"/>
      <c r="AZ289" s="2">
        <v>1</v>
      </c>
      <c r="BA289" s="2">
        <v>1</v>
      </c>
      <c r="BB289" s="2">
        <v>1</v>
      </c>
      <c r="BC289" s="2">
        <v>1</v>
      </c>
      <c r="BD289" s="2" t="s">
        <v>3</v>
      </c>
      <c r="BE289" s="2" t="s">
        <v>3</v>
      </c>
      <c r="BF289" s="2" t="s">
        <v>3</v>
      </c>
      <c r="BG289" s="2" t="s">
        <v>3</v>
      </c>
      <c r="BH289" s="2">
        <v>0</v>
      </c>
      <c r="BI289" s="2">
        <v>1</v>
      </c>
      <c r="BJ289" s="2" t="s">
        <v>361</v>
      </c>
      <c r="BK289" s="2"/>
      <c r="BL289" s="2"/>
      <c r="BM289" s="2">
        <v>158</v>
      </c>
      <c r="BN289" s="2">
        <v>0</v>
      </c>
      <c r="BO289" s="2" t="s">
        <v>3</v>
      </c>
      <c r="BP289" s="2">
        <v>0</v>
      </c>
      <c r="BQ289" s="2">
        <v>30</v>
      </c>
      <c r="BR289" s="2">
        <v>0</v>
      </c>
      <c r="BS289" s="2">
        <v>1</v>
      </c>
      <c r="BT289" s="2">
        <v>1</v>
      </c>
      <c r="BU289" s="2">
        <v>1</v>
      </c>
      <c r="BV289" s="2">
        <v>1</v>
      </c>
      <c r="BW289" s="2">
        <v>1</v>
      </c>
      <c r="BX289" s="2">
        <v>1</v>
      </c>
      <c r="BY289" s="2" t="s">
        <v>3</v>
      </c>
      <c r="BZ289" s="2">
        <v>161</v>
      </c>
      <c r="CA289" s="2">
        <v>107</v>
      </c>
      <c r="CB289" s="2" t="s">
        <v>3</v>
      </c>
      <c r="CC289" s="2"/>
      <c r="CD289" s="2"/>
      <c r="CE289" s="2">
        <v>30</v>
      </c>
      <c r="CF289" s="2">
        <v>0</v>
      </c>
      <c r="CG289" s="2">
        <v>0</v>
      </c>
      <c r="CH289" s="2"/>
      <c r="CI289" s="2"/>
      <c r="CJ289" s="2"/>
      <c r="CK289" s="2"/>
      <c r="CL289" s="2"/>
      <c r="CM289" s="2">
        <v>0</v>
      </c>
      <c r="CN289" s="2" t="s">
        <v>671</v>
      </c>
      <c r="CO289" s="2">
        <v>0</v>
      </c>
      <c r="CP289" s="2">
        <f t="shared" si="272"/>
        <v>0</v>
      </c>
      <c r="CQ289" s="2">
        <f t="shared" si="273"/>
        <v>57.83</v>
      </c>
      <c r="CR289" s="2">
        <f>(ROUND((ROUND((((ET289*1.1))*AV289*1),2)*BB289),2)+ROUND((ROUND(((AE289-((EU289*1.1)))*AV289*1),2)*BS289),2))</f>
        <v>613.11</v>
      </c>
      <c r="CS289" s="2">
        <f t="shared" si="275"/>
        <v>53.65</v>
      </c>
      <c r="CT289" s="2">
        <f t="shared" si="276"/>
        <v>60.08</v>
      </c>
      <c r="CU289" s="2">
        <f t="shared" si="277"/>
        <v>0</v>
      </c>
      <c r="CV289" s="2">
        <f t="shared" si="278"/>
        <v>4.9407930000000002</v>
      </c>
      <c r="CW289" s="2">
        <f t="shared" si="279"/>
        <v>0</v>
      </c>
      <c r="CX289" s="2">
        <f t="shared" si="280"/>
        <v>0</v>
      </c>
      <c r="CY289" s="2">
        <f>((S289*BZ289)/100)</f>
        <v>0</v>
      </c>
      <c r="CZ289" s="2">
        <f>((S289*CA289)/100)</f>
        <v>0</v>
      </c>
      <c r="DA289" s="2"/>
      <c r="DB289" s="2"/>
      <c r="DC289" s="2" t="s">
        <v>3</v>
      </c>
      <c r="DD289" s="2" t="s">
        <v>3</v>
      </c>
      <c r="DE289" s="2" t="s">
        <v>22</v>
      </c>
      <c r="DF289" s="2" t="s">
        <v>22</v>
      </c>
      <c r="DG289" s="2" t="s">
        <v>22</v>
      </c>
      <c r="DH289" s="2" t="s">
        <v>3</v>
      </c>
      <c r="DI289" s="2" t="s">
        <v>22</v>
      </c>
      <c r="DJ289" s="2" t="s">
        <v>22</v>
      </c>
      <c r="DK289" s="2" t="s">
        <v>3</v>
      </c>
      <c r="DL289" s="2" t="s">
        <v>3</v>
      </c>
      <c r="DM289" s="2" t="s">
        <v>3</v>
      </c>
      <c r="DN289" s="2">
        <v>0</v>
      </c>
      <c r="DO289" s="2">
        <v>0</v>
      </c>
      <c r="DP289" s="2">
        <v>1</v>
      </c>
      <c r="DQ289" s="2">
        <v>1</v>
      </c>
      <c r="DR289" s="2"/>
      <c r="DS289" s="2"/>
      <c r="DT289" s="2"/>
      <c r="DU289" s="2">
        <v>1013</v>
      </c>
      <c r="DV289" s="2" t="s">
        <v>98</v>
      </c>
      <c r="DW289" s="2" t="s">
        <v>98</v>
      </c>
      <c r="DX289" s="2">
        <v>1</v>
      </c>
      <c r="DY289" s="2"/>
      <c r="DZ289" s="2" t="s">
        <v>3</v>
      </c>
      <c r="EA289" s="2" t="s">
        <v>3</v>
      </c>
      <c r="EB289" s="2" t="s">
        <v>3</v>
      </c>
      <c r="EC289" s="2" t="s">
        <v>3</v>
      </c>
      <c r="ED289" s="2"/>
      <c r="EE289" s="2">
        <v>51696197</v>
      </c>
      <c r="EF289" s="2">
        <v>30</v>
      </c>
      <c r="EG289" s="2" t="s">
        <v>16</v>
      </c>
      <c r="EH289" s="2">
        <v>0</v>
      </c>
      <c r="EI289" s="2" t="s">
        <v>3</v>
      </c>
      <c r="EJ289" s="2">
        <v>1</v>
      </c>
      <c r="EK289" s="2">
        <v>158</v>
      </c>
      <c r="EL289" s="2" t="s">
        <v>362</v>
      </c>
      <c r="EM289" s="2" t="s">
        <v>363</v>
      </c>
      <c r="EN289" s="2"/>
      <c r="EO289" s="2" t="s">
        <v>25</v>
      </c>
      <c r="EP289" s="2"/>
      <c r="EQ289" s="2">
        <v>131072</v>
      </c>
      <c r="ER289" s="2">
        <v>642.35</v>
      </c>
      <c r="ES289" s="2">
        <v>57.83</v>
      </c>
      <c r="ET289" s="2">
        <v>532.35</v>
      </c>
      <c r="EU289" s="2">
        <v>46.58</v>
      </c>
      <c r="EV289" s="2">
        <v>52.17</v>
      </c>
      <c r="EW289" s="2">
        <v>4.29</v>
      </c>
      <c r="EX289" s="2">
        <v>0</v>
      </c>
      <c r="EY289" s="2">
        <v>0</v>
      </c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>
        <v>0</v>
      </c>
      <c r="FR289" s="2">
        <v>0</v>
      </c>
      <c r="FS289" s="2">
        <v>0</v>
      </c>
      <c r="FT289" s="2"/>
      <c r="FU289" s="2"/>
      <c r="FV289" s="2"/>
      <c r="FW289" s="2"/>
      <c r="FX289" s="2">
        <v>161</v>
      </c>
      <c r="FY289" s="2">
        <v>107</v>
      </c>
      <c r="FZ289" s="2"/>
      <c r="GA289" s="2" t="s">
        <v>3</v>
      </c>
      <c r="GB289" s="2"/>
      <c r="GC289" s="2"/>
      <c r="GD289" s="2">
        <v>0</v>
      </c>
      <c r="GE289" s="2"/>
      <c r="GF289" s="2">
        <v>-399398241</v>
      </c>
      <c r="GG289" s="2">
        <v>2</v>
      </c>
      <c r="GH289" s="2">
        <v>1</v>
      </c>
      <c r="GI289" s="2">
        <v>-2</v>
      </c>
      <c r="GJ289" s="2">
        <v>0</v>
      </c>
      <c r="GK289" s="2">
        <f>ROUND(R289*(R12)/100,2)</f>
        <v>0</v>
      </c>
      <c r="GL289" s="2">
        <f t="shared" si="281"/>
        <v>0</v>
      </c>
      <c r="GM289" s="2">
        <f t="shared" si="282"/>
        <v>0</v>
      </c>
      <c r="GN289" s="2">
        <f t="shared" si="283"/>
        <v>0</v>
      </c>
      <c r="GO289" s="2">
        <f t="shared" si="284"/>
        <v>0</v>
      </c>
      <c r="GP289" s="2">
        <f t="shared" si="285"/>
        <v>0</v>
      </c>
      <c r="GQ289" s="2"/>
      <c r="GR289" s="2">
        <v>0</v>
      </c>
      <c r="GS289" s="2">
        <v>0</v>
      </c>
      <c r="GT289" s="2">
        <v>0</v>
      </c>
      <c r="GU289" s="2" t="s">
        <v>3</v>
      </c>
      <c r="GV289" s="2">
        <f t="shared" si="286"/>
        <v>0</v>
      </c>
      <c r="GW289" s="2">
        <v>1</v>
      </c>
      <c r="GX289" s="2">
        <f t="shared" si="287"/>
        <v>0</v>
      </c>
      <c r="GY289" s="2"/>
      <c r="GZ289" s="2"/>
      <c r="HA289" s="2">
        <v>0</v>
      </c>
      <c r="HB289" s="2">
        <v>0</v>
      </c>
      <c r="HC289" s="2">
        <f t="shared" si="288"/>
        <v>0</v>
      </c>
      <c r="HD289" s="2"/>
      <c r="HE289" s="2" t="s">
        <v>3</v>
      </c>
      <c r="HF289" s="2" t="s">
        <v>3</v>
      </c>
      <c r="HG289" s="2"/>
      <c r="HH289" s="2"/>
      <c r="HI289" s="2"/>
      <c r="HJ289" s="2"/>
      <c r="HK289" s="2"/>
      <c r="HL289" s="2"/>
      <c r="HM289" s="2" t="s">
        <v>3</v>
      </c>
      <c r="HN289" s="2" t="s">
        <v>3</v>
      </c>
      <c r="HO289" s="2" t="s">
        <v>3</v>
      </c>
      <c r="HP289" s="2" t="s">
        <v>3</v>
      </c>
      <c r="HQ289" s="2" t="s">
        <v>3</v>
      </c>
      <c r="HR289" s="2"/>
      <c r="HS289" s="2">
        <v>0</v>
      </c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>
        <v>0</v>
      </c>
      <c r="IL289" s="2"/>
      <c r="IM289" s="2"/>
      <c r="IN289" s="2"/>
      <c r="IO289" s="2"/>
      <c r="IP289" s="2"/>
      <c r="IQ289" s="2"/>
      <c r="IR289" s="2"/>
      <c r="IS289" s="2"/>
      <c r="IT289" s="2"/>
      <c r="IU289" s="2"/>
    </row>
    <row r="290" spans="1:255" x14ac:dyDescent="0.2">
      <c r="A290">
        <v>17</v>
      </c>
      <c r="B290">
        <v>1</v>
      </c>
      <c r="C290">
        <f>ROW(SmtRes!A200)</f>
        <v>200</v>
      </c>
      <c r="D290">
        <f>ROW(EtalonRes!A1082)</f>
        <v>1082</v>
      </c>
      <c r="E290" t="s">
        <v>369</v>
      </c>
      <c r="F290" t="s">
        <v>359</v>
      </c>
      <c r="G290" t="s">
        <v>360</v>
      </c>
      <c r="H290" t="s">
        <v>98</v>
      </c>
      <c r="I290">
        <v>0</v>
      </c>
      <c r="J290">
        <v>0</v>
      </c>
      <c r="K290">
        <v>0</v>
      </c>
      <c r="O290">
        <f t="shared" si="254"/>
        <v>0</v>
      </c>
      <c r="P290">
        <f t="shared" si="255"/>
        <v>0</v>
      </c>
      <c r="Q290">
        <f>(ROUND((ROUND((((ET290*1.1))*AV290*I290),2)*BB290),2)+ROUND((ROUND(((AE290-((EU290*1.1)))*AV290*I290),2)*BS290),2))</f>
        <v>0</v>
      </c>
      <c r="R290">
        <f t="shared" si="257"/>
        <v>0</v>
      </c>
      <c r="S290">
        <f t="shared" si="258"/>
        <v>0</v>
      </c>
      <c r="T290">
        <f t="shared" si="259"/>
        <v>0</v>
      </c>
      <c r="U290">
        <f t="shared" si="260"/>
        <v>0</v>
      </c>
      <c r="V290">
        <f t="shared" si="261"/>
        <v>0</v>
      </c>
      <c r="W290">
        <f t="shared" si="262"/>
        <v>0</v>
      </c>
      <c r="X290">
        <f t="shared" si="263"/>
        <v>0</v>
      </c>
      <c r="Y290">
        <f t="shared" si="264"/>
        <v>0</v>
      </c>
      <c r="AA290">
        <v>56616093</v>
      </c>
      <c r="AB290">
        <f t="shared" si="265"/>
        <v>700.80200000000002</v>
      </c>
      <c r="AC290">
        <f t="shared" si="266"/>
        <v>57.83</v>
      </c>
      <c r="AD290">
        <f>ROUND(((((ET290*1.1))-((EU290*1.1)))+AE290),6)</f>
        <v>585.58500000000004</v>
      </c>
      <c r="AE290">
        <f>ROUND(((EU290*1.1)),6)</f>
        <v>51.238</v>
      </c>
      <c r="AF290">
        <f>ROUND(((EV290*1.1)),6)</f>
        <v>57.387</v>
      </c>
      <c r="AG290">
        <f t="shared" si="269"/>
        <v>0</v>
      </c>
      <c r="AH290">
        <f>((EW290*1.1))</f>
        <v>4.7190000000000003</v>
      </c>
      <c r="AI290">
        <f>((EX290*1.1))</f>
        <v>0</v>
      </c>
      <c r="AJ290">
        <f t="shared" si="271"/>
        <v>0</v>
      </c>
      <c r="AK290">
        <v>642.35</v>
      </c>
      <c r="AL290">
        <v>57.83</v>
      </c>
      <c r="AM290">
        <v>532.35</v>
      </c>
      <c r="AN290">
        <v>46.58</v>
      </c>
      <c r="AO290">
        <v>52.17</v>
      </c>
      <c r="AP290">
        <v>0</v>
      </c>
      <c r="AQ290">
        <v>4.29</v>
      </c>
      <c r="AR290">
        <v>0</v>
      </c>
      <c r="AS290">
        <v>0</v>
      </c>
      <c r="AT290">
        <v>134</v>
      </c>
      <c r="AU290">
        <v>55</v>
      </c>
      <c r="AV290">
        <v>1.0469999999999999</v>
      </c>
      <c r="AW290">
        <v>1</v>
      </c>
      <c r="AZ290">
        <v>1</v>
      </c>
      <c r="BA290">
        <v>34.51</v>
      </c>
      <c r="BB290">
        <v>11.94</v>
      </c>
      <c r="BC290">
        <v>16.47</v>
      </c>
      <c r="BD290" t="s">
        <v>3</v>
      </c>
      <c r="BE290" t="s">
        <v>3</v>
      </c>
      <c r="BF290" t="s">
        <v>3</v>
      </c>
      <c r="BG290" t="s">
        <v>3</v>
      </c>
      <c r="BH290">
        <v>0</v>
      </c>
      <c r="BI290">
        <v>1</v>
      </c>
      <c r="BJ290" t="s">
        <v>361</v>
      </c>
      <c r="BM290">
        <v>158</v>
      </c>
      <c r="BN290">
        <v>0</v>
      </c>
      <c r="BO290" t="s">
        <v>359</v>
      </c>
      <c r="BP290">
        <v>1</v>
      </c>
      <c r="BQ290">
        <v>30</v>
      </c>
      <c r="BR290">
        <v>0</v>
      </c>
      <c r="BS290">
        <v>34.51</v>
      </c>
      <c r="BT290">
        <v>1</v>
      </c>
      <c r="BU290">
        <v>1</v>
      </c>
      <c r="BV290">
        <v>1</v>
      </c>
      <c r="BW290">
        <v>1</v>
      </c>
      <c r="BX290">
        <v>1</v>
      </c>
      <c r="BY290" t="s">
        <v>3</v>
      </c>
      <c r="BZ290">
        <v>134</v>
      </c>
      <c r="CA290">
        <v>55</v>
      </c>
      <c r="CB290" t="s">
        <v>3</v>
      </c>
      <c r="CE290">
        <v>30</v>
      </c>
      <c r="CF290">
        <v>0</v>
      </c>
      <c r="CG290">
        <v>0</v>
      </c>
      <c r="CM290">
        <v>0</v>
      </c>
      <c r="CN290" t="s">
        <v>671</v>
      </c>
      <c r="CO290">
        <v>0</v>
      </c>
      <c r="CP290">
        <f t="shared" si="272"/>
        <v>0</v>
      </c>
      <c r="CQ290">
        <f t="shared" si="273"/>
        <v>952.46</v>
      </c>
      <c r="CR290">
        <f>(ROUND((ROUND((((ET290*1.1))*AV290*1),2)*BB290),2)+ROUND((ROUND(((AE290-((EU290*1.1)))*AV290*1),2)*BS290),2))</f>
        <v>7320.53</v>
      </c>
      <c r="CS290">
        <f t="shared" si="275"/>
        <v>1851.46</v>
      </c>
      <c r="CT290">
        <f t="shared" si="276"/>
        <v>2073.36</v>
      </c>
      <c r="CU290">
        <f t="shared" si="277"/>
        <v>0</v>
      </c>
      <c r="CV290">
        <f t="shared" si="278"/>
        <v>4.9407930000000002</v>
      </c>
      <c r="CW290">
        <f t="shared" si="279"/>
        <v>0</v>
      </c>
      <c r="CX290">
        <f t="shared" si="280"/>
        <v>0</v>
      </c>
      <c r="CY290">
        <f>S290*(BZ290/100)</f>
        <v>0</v>
      </c>
      <c r="CZ290">
        <f>S290*(CA290/100)</f>
        <v>0</v>
      </c>
      <c r="DC290" t="s">
        <v>3</v>
      </c>
      <c r="DD290" t="s">
        <v>3</v>
      </c>
      <c r="DE290" t="s">
        <v>22</v>
      </c>
      <c r="DF290" t="s">
        <v>22</v>
      </c>
      <c r="DG290" t="s">
        <v>22</v>
      </c>
      <c r="DH290" t="s">
        <v>3</v>
      </c>
      <c r="DI290" t="s">
        <v>22</v>
      </c>
      <c r="DJ290" t="s">
        <v>22</v>
      </c>
      <c r="DK290" t="s">
        <v>3</v>
      </c>
      <c r="DL290" t="s">
        <v>3</v>
      </c>
      <c r="DM290" t="s">
        <v>3</v>
      </c>
      <c r="DN290">
        <v>161</v>
      </c>
      <c r="DO290">
        <v>107</v>
      </c>
      <c r="DP290">
        <v>1.0469999999999999</v>
      </c>
      <c r="DQ290">
        <v>1</v>
      </c>
      <c r="DU290">
        <v>1013</v>
      </c>
      <c r="DV290" t="s">
        <v>98</v>
      </c>
      <c r="DW290" t="s">
        <v>98</v>
      </c>
      <c r="DX290">
        <v>1</v>
      </c>
      <c r="DZ290" t="s">
        <v>3</v>
      </c>
      <c r="EA290" t="s">
        <v>3</v>
      </c>
      <c r="EB290" t="s">
        <v>3</v>
      </c>
      <c r="EC290" t="s">
        <v>3</v>
      </c>
      <c r="EE290">
        <v>51696197</v>
      </c>
      <c r="EF290">
        <v>30</v>
      </c>
      <c r="EG290" t="s">
        <v>16</v>
      </c>
      <c r="EH290">
        <v>0</v>
      </c>
      <c r="EI290" t="s">
        <v>3</v>
      </c>
      <c r="EJ290">
        <v>1</v>
      </c>
      <c r="EK290">
        <v>158</v>
      </c>
      <c r="EL290" t="s">
        <v>362</v>
      </c>
      <c r="EM290" t="s">
        <v>363</v>
      </c>
      <c r="EO290" t="s">
        <v>25</v>
      </c>
      <c r="EQ290">
        <v>131072</v>
      </c>
      <c r="ER290">
        <v>642.35</v>
      </c>
      <c r="ES290">
        <v>57.83</v>
      </c>
      <c r="ET290">
        <v>532.35</v>
      </c>
      <c r="EU290">
        <v>46.58</v>
      </c>
      <c r="EV290">
        <v>52.17</v>
      </c>
      <c r="EW290">
        <v>4.29</v>
      </c>
      <c r="EX290">
        <v>0</v>
      </c>
      <c r="EY290">
        <v>0</v>
      </c>
      <c r="FQ290">
        <v>0</v>
      </c>
      <c r="FR290">
        <v>0</v>
      </c>
      <c r="FS290">
        <v>0</v>
      </c>
      <c r="FX290">
        <v>161</v>
      </c>
      <c r="FY290">
        <v>107</v>
      </c>
      <c r="GA290" t="s">
        <v>3</v>
      </c>
      <c r="GD290">
        <v>0</v>
      </c>
      <c r="GF290">
        <v>-399398241</v>
      </c>
      <c r="GG290">
        <v>2</v>
      </c>
      <c r="GH290">
        <v>1</v>
      </c>
      <c r="GI290">
        <v>2</v>
      </c>
      <c r="GJ290">
        <v>0</v>
      </c>
      <c r="GK290">
        <f>ROUND(R290*(S12)/100,2)</f>
        <v>0</v>
      </c>
      <c r="GL290">
        <f t="shared" si="281"/>
        <v>0</v>
      </c>
      <c r="GM290">
        <f t="shared" si="282"/>
        <v>0</v>
      </c>
      <c r="GN290">
        <f t="shared" si="283"/>
        <v>0</v>
      </c>
      <c r="GO290">
        <f t="shared" si="284"/>
        <v>0</v>
      </c>
      <c r="GP290">
        <f t="shared" si="285"/>
        <v>0</v>
      </c>
      <c r="GR290">
        <v>0</v>
      </c>
      <c r="GS290">
        <v>3</v>
      </c>
      <c r="GT290">
        <v>0</v>
      </c>
      <c r="GU290" t="s">
        <v>3</v>
      </c>
      <c r="GV290">
        <f t="shared" si="286"/>
        <v>0</v>
      </c>
      <c r="GW290">
        <v>1</v>
      </c>
      <c r="GX290">
        <f t="shared" si="287"/>
        <v>0</v>
      </c>
      <c r="HA290">
        <v>0</v>
      </c>
      <c r="HB290">
        <v>0</v>
      </c>
      <c r="HC290">
        <f t="shared" si="288"/>
        <v>0</v>
      </c>
      <c r="HE290" t="s">
        <v>3</v>
      </c>
      <c r="HF290" t="s">
        <v>3</v>
      </c>
      <c r="HM290" t="s">
        <v>3</v>
      </c>
      <c r="HN290" t="s">
        <v>3</v>
      </c>
      <c r="HO290" t="s">
        <v>3</v>
      </c>
      <c r="HP290" t="s">
        <v>3</v>
      </c>
      <c r="HQ290" t="s">
        <v>3</v>
      </c>
      <c r="HS290">
        <v>0</v>
      </c>
      <c r="IK290">
        <v>0</v>
      </c>
    </row>
    <row r="291" spans="1:255" x14ac:dyDescent="0.2">
      <c r="A291" s="2">
        <v>18</v>
      </c>
      <c r="B291" s="2">
        <v>1</v>
      </c>
      <c r="C291" s="2">
        <v>199</v>
      </c>
      <c r="D291" s="2"/>
      <c r="E291" s="2" t="s">
        <v>370</v>
      </c>
      <c r="F291" s="2" t="s">
        <v>365</v>
      </c>
      <c r="G291" s="2" t="s">
        <v>366</v>
      </c>
      <c r="H291" s="2" t="s">
        <v>367</v>
      </c>
      <c r="I291" s="2">
        <f>I289*J291</f>
        <v>0</v>
      </c>
      <c r="J291" s="2">
        <v>9.58</v>
      </c>
      <c r="K291" s="2">
        <v>9.58</v>
      </c>
      <c r="L291" s="2"/>
      <c r="M291" s="2"/>
      <c r="N291" s="2"/>
      <c r="O291" s="2">
        <f t="shared" si="254"/>
        <v>0</v>
      </c>
      <c r="P291" s="2">
        <f t="shared" si="255"/>
        <v>0</v>
      </c>
      <c r="Q291" s="2">
        <f>(ROUND((ROUND(((ET291)*AV291*I291),2)*BB291),2)+ROUND((ROUND(((AE291-(EU291))*AV291*I291),2)*BS291),2))</f>
        <v>0</v>
      </c>
      <c r="R291" s="2">
        <f t="shared" si="257"/>
        <v>0</v>
      </c>
      <c r="S291" s="2">
        <f t="shared" si="258"/>
        <v>0</v>
      </c>
      <c r="T291" s="2">
        <f t="shared" si="259"/>
        <v>0</v>
      </c>
      <c r="U291" s="2">
        <f t="shared" si="260"/>
        <v>0</v>
      </c>
      <c r="V291" s="2">
        <f t="shared" si="261"/>
        <v>0</v>
      </c>
      <c r="W291" s="2">
        <f t="shared" si="262"/>
        <v>0</v>
      </c>
      <c r="X291" s="2">
        <f t="shared" si="263"/>
        <v>0</v>
      </c>
      <c r="Y291" s="2">
        <f t="shared" si="264"/>
        <v>0</v>
      </c>
      <c r="Z291" s="2"/>
      <c r="AA291" s="2">
        <v>56622586</v>
      </c>
      <c r="AB291" s="2">
        <f t="shared" si="265"/>
        <v>296.7</v>
      </c>
      <c r="AC291" s="2">
        <f t="shared" si="266"/>
        <v>296.7</v>
      </c>
      <c r="AD291" s="2">
        <f>ROUND((((ET291)-(EU291))+AE291),6)</f>
        <v>0</v>
      </c>
      <c r="AE291" s="2">
        <f>ROUND((EU291),6)</f>
        <v>0</v>
      </c>
      <c r="AF291" s="2">
        <f>ROUND((EV291),6)</f>
        <v>0</v>
      </c>
      <c r="AG291" s="2">
        <f t="shared" si="269"/>
        <v>0</v>
      </c>
      <c r="AH291" s="2">
        <f>(EW291)</f>
        <v>0</v>
      </c>
      <c r="AI291" s="2">
        <f>(EX291)</f>
        <v>0</v>
      </c>
      <c r="AJ291" s="2">
        <f t="shared" si="271"/>
        <v>0</v>
      </c>
      <c r="AK291" s="2">
        <v>296.7</v>
      </c>
      <c r="AL291" s="2">
        <v>296.7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161</v>
      </c>
      <c r="AU291" s="2">
        <v>107</v>
      </c>
      <c r="AV291" s="2">
        <v>1.0469999999999999</v>
      </c>
      <c r="AW291" s="2">
        <v>1</v>
      </c>
      <c r="AX291" s="2"/>
      <c r="AY291" s="2"/>
      <c r="AZ291" s="2">
        <v>1</v>
      </c>
      <c r="BA291" s="2">
        <v>1</v>
      </c>
      <c r="BB291" s="2">
        <v>1</v>
      </c>
      <c r="BC291" s="2">
        <v>1</v>
      </c>
      <c r="BD291" s="2" t="s">
        <v>3</v>
      </c>
      <c r="BE291" s="2" t="s">
        <v>3</v>
      </c>
      <c r="BF291" s="2" t="s">
        <v>3</v>
      </c>
      <c r="BG291" s="2" t="s">
        <v>3</v>
      </c>
      <c r="BH291" s="2">
        <v>3</v>
      </c>
      <c r="BI291" s="2">
        <v>1</v>
      </c>
      <c r="BJ291" s="2" t="s">
        <v>368</v>
      </c>
      <c r="BK291" s="2"/>
      <c r="BL291" s="2"/>
      <c r="BM291" s="2">
        <v>158</v>
      </c>
      <c r="BN291" s="2">
        <v>0</v>
      </c>
      <c r="BO291" s="2" t="s">
        <v>3</v>
      </c>
      <c r="BP291" s="2">
        <v>0</v>
      </c>
      <c r="BQ291" s="2">
        <v>30</v>
      </c>
      <c r="BR291" s="2">
        <v>0</v>
      </c>
      <c r="BS291" s="2">
        <v>1</v>
      </c>
      <c r="BT291" s="2">
        <v>1</v>
      </c>
      <c r="BU291" s="2">
        <v>1</v>
      </c>
      <c r="BV291" s="2">
        <v>1</v>
      </c>
      <c r="BW291" s="2">
        <v>1</v>
      </c>
      <c r="BX291" s="2">
        <v>1</v>
      </c>
      <c r="BY291" s="2" t="s">
        <v>3</v>
      </c>
      <c r="BZ291" s="2">
        <v>161</v>
      </c>
      <c r="CA291" s="2">
        <v>107</v>
      </c>
      <c r="CB291" s="2" t="s">
        <v>3</v>
      </c>
      <c r="CC291" s="2"/>
      <c r="CD291" s="2"/>
      <c r="CE291" s="2">
        <v>30</v>
      </c>
      <c r="CF291" s="2">
        <v>0</v>
      </c>
      <c r="CG291" s="2">
        <v>0</v>
      </c>
      <c r="CH291" s="2"/>
      <c r="CI291" s="2"/>
      <c r="CJ291" s="2"/>
      <c r="CK291" s="2"/>
      <c r="CL291" s="2"/>
      <c r="CM291" s="2">
        <v>0</v>
      </c>
      <c r="CN291" s="2" t="s">
        <v>3</v>
      </c>
      <c r="CO291" s="2">
        <v>0</v>
      </c>
      <c r="CP291" s="2">
        <f t="shared" si="272"/>
        <v>0</v>
      </c>
      <c r="CQ291" s="2">
        <f t="shared" si="273"/>
        <v>296.7</v>
      </c>
      <c r="CR291" s="2">
        <f>(ROUND((ROUND(((ET291)*AV291*1),2)*BB291),2)+ROUND((ROUND(((AE291-(EU291))*AV291*1),2)*BS291),2))</f>
        <v>0</v>
      </c>
      <c r="CS291" s="2">
        <f t="shared" si="275"/>
        <v>0</v>
      </c>
      <c r="CT291" s="2">
        <f t="shared" si="276"/>
        <v>0</v>
      </c>
      <c r="CU291" s="2">
        <f t="shared" si="277"/>
        <v>0</v>
      </c>
      <c r="CV291" s="2">
        <f t="shared" si="278"/>
        <v>0</v>
      </c>
      <c r="CW291" s="2">
        <f t="shared" si="279"/>
        <v>0</v>
      </c>
      <c r="CX291" s="2">
        <f t="shared" si="280"/>
        <v>0</v>
      </c>
      <c r="CY291" s="2">
        <f>((S291*BZ291)/100)</f>
        <v>0</v>
      </c>
      <c r="CZ291" s="2">
        <f>((S291*CA291)/100)</f>
        <v>0</v>
      </c>
      <c r="DA291" s="2"/>
      <c r="DB291" s="2"/>
      <c r="DC291" s="2" t="s">
        <v>3</v>
      </c>
      <c r="DD291" s="2" t="s">
        <v>3</v>
      </c>
      <c r="DE291" s="2" t="s">
        <v>3</v>
      </c>
      <c r="DF291" s="2" t="s">
        <v>3</v>
      </c>
      <c r="DG291" s="2" t="s">
        <v>3</v>
      </c>
      <c r="DH291" s="2" t="s">
        <v>3</v>
      </c>
      <c r="DI291" s="2" t="s">
        <v>3</v>
      </c>
      <c r="DJ291" s="2" t="s">
        <v>3</v>
      </c>
      <c r="DK291" s="2" t="s">
        <v>3</v>
      </c>
      <c r="DL291" s="2" t="s">
        <v>3</v>
      </c>
      <c r="DM291" s="2" t="s">
        <v>3</v>
      </c>
      <c r="DN291" s="2">
        <v>0</v>
      </c>
      <c r="DO291" s="2">
        <v>0</v>
      </c>
      <c r="DP291" s="2">
        <v>1</v>
      </c>
      <c r="DQ291" s="2">
        <v>1</v>
      </c>
      <c r="DR291" s="2"/>
      <c r="DS291" s="2"/>
      <c r="DT291" s="2"/>
      <c r="DU291" s="2">
        <v>1009</v>
      </c>
      <c r="DV291" s="2" t="s">
        <v>367</v>
      </c>
      <c r="DW291" s="2" t="s">
        <v>367</v>
      </c>
      <c r="DX291" s="2">
        <v>1000</v>
      </c>
      <c r="DY291" s="2"/>
      <c r="DZ291" s="2" t="s">
        <v>3</v>
      </c>
      <c r="EA291" s="2" t="s">
        <v>3</v>
      </c>
      <c r="EB291" s="2" t="s">
        <v>3</v>
      </c>
      <c r="EC291" s="2" t="s">
        <v>3</v>
      </c>
      <c r="ED291" s="2"/>
      <c r="EE291" s="2">
        <v>51696197</v>
      </c>
      <c r="EF291" s="2">
        <v>30</v>
      </c>
      <c r="EG291" s="2" t="s">
        <v>16</v>
      </c>
      <c r="EH291" s="2">
        <v>0</v>
      </c>
      <c r="EI291" s="2" t="s">
        <v>3</v>
      </c>
      <c r="EJ291" s="2">
        <v>1</v>
      </c>
      <c r="EK291" s="2">
        <v>158</v>
      </c>
      <c r="EL291" s="2" t="s">
        <v>362</v>
      </c>
      <c r="EM291" s="2" t="s">
        <v>363</v>
      </c>
      <c r="EN291" s="2"/>
      <c r="EO291" s="2" t="s">
        <v>3</v>
      </c>
      <c r="EP291" s="2"/>
      <c r="EQ291" s="2">
        <v>0</v>
      </c>
      <c r="ER291" s="2">
        <v>296.7</v>
      </c>
      <c r="ES291" s="2">
        <v>296.7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>
        <v>0</v>
      </c>
      <c r="FR291" s="2">
        <v>0</v>
      </c>
      <c r="FS291" s="2">
        <v>0</v>
      </c>
      <c r="FT291" s="2"/>
      <c r="FU291" s="2"/>
      <c r="FV291" s="2"/>
      <c r="FW291" s="2"/>
      <c r="FX291" s="2">
        <v>161</v>
      </c>
      <c r="FY291" s="2">
        <v>107</v>
      </c>
      <c r="FZ291" s="2"/>
      <c r="GA291" s="2" t="s">
        <v>3</v>
      </c>
      <c r="GB291" s="2"/>
      <c r="GC291" s="2"/>
      <c r="GD291" s="2">
        <v>0</v>
      </c>
      <c r="GE291" s="2"/>
      <c r="GF291" s="2">
        <v>1855215121</v>
      </c>
      <c r="GG291" s="2">
        <v>2</v>
      </c>
      <c r="GH291" s="2">
        <v>1</v>
      </c>
      <c r="GI291" s="2">
        <v>-2</v>
      </c>
      <c r="GJ291" s="2">
        <v>0</v>
      </c>
      <c r="GK291" s="2">
        <f>ROUND(R291*(R12)/100,2)</f>
        <v>0</v>
      </c>
      <c r="GL291" s="2">
        <f t="shared" si="281"/>
        <v>0</v>
      </c>
      <c r="GM291" s="2">
        <f t="shared" si="282"/>
        <v>0</v>
      </c>
      <c r="GN291" s="2">
        <f t="shared" si="283"/>
        <v>0</v>
      </c>
      <c r="GO291" s="2">
        <f t="shared" si="284"/>
        <v>0</v>
      </c>
      <c r="GP291" s="2">
        <f t="shared" si="285"/>
        <v>0</v>
      </c>
      <c r="GQ291" s="2"/>
      <c r="GR291" s="2">
        <v>0</v>
      </c>
      <c r="GS291" s="2">
        <v>0</v>
      </c>
      <c r="GT291" s="2">
        <v>0</v>
      </c>
      <c r="GU291" s="2" t="s">
        <v>3</v>
      </c>
      <c r="GV291" s="2">
        <f t="shared" si="286"/>
        <v>0</v>
      </c>
      <c r="GW291" s="2">
        <v>1</v>
      </c>
      <c r="GX291" s="2">
        <f t="shared" si="287"/>
        <v>0</v>
      </c>
      <c r="GY291" s="2"/>
      <c r="GZ291" s="2"/>
      <c r="HA291" s="2">
        <v>0</v>
      </c>
      <c r="HB291" s="2">
        <v>0</v>
      </c>
      <c r="HC291" s="2">
        <f t="shared" si="288"/>
        <v>0</v>
      </c>
      <c r="HD291" s="2"/>
      <c r="HE291" s="2" t="s">
        <v>3</v>
      </c>
      <c r="HF291" s="2" t="s">
        <v>3</v>
      </c>
      <c r="HG291" s="2"/>
      <c r="HH291" s="2"/>
      <c r="HI291" s="2"/>
      <c r="HJ291" s="2"/>
      <c r="HK291" s="2"/>
      <c r="HL291" s="2"/>
      <c r="HM291" s="2" t="s">
        <v>3</v>
      </c>
      <c r="HN291" s="2" t="s">
        <v>3</v>
      </c>
      <c r="HO291" s="2" t="s">
        <v>3</v>
      </c>
      <c r="HP291" s="2" t="s">
        <v>3</v>
      </c>
      <c r="HQ291" s="2" t="s">
        <v>3</v>
      </c>
      <c r="HR291" s="2"/>
      <c r="HS291" s="2">
        <v>0</v>
      </c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>
        <v>0</v>
      </c>
      <c r="IL291" s="2"/>
      <c r="IM291" s="2"/>
      <c r="IN291" s="2"/>
      <c r="IO291" s="2"/>
      <c r="IP291" s="2"/>
      <c r="IQ291" s="2"/>
      <c r="IR291" s="2"/>
      <c r="IS291" s="2"/>
      <c r="IT291" s="2"/>
      <c r="IU291" s="2"/>
    </row>
    <row r="292" spans="1:255" x14ac:dyDescent="0.2">
      <c r="A292">
        <v>18</v>
      </c>
      <c r="B292">
        <v>1</v>
      </c>
      <c r="C292">
        <v>200</v>
      </c>
      <c r="E292" t="s">
        <v>370</v>
      </c>
      <c r="F292" t="s">
        <v>365</v>
      </c>
      <c r="G292" t="s">
        <v>366</v>
      </c>
      <c r="H292" t="s">
        <v>367</v>
      </c>
      <c r="I292">
        <f>I290*J292</f>
        <v>0</v>
      </c>
      <c r="J292">
        <v>9.58</v>
      </c>
      <c r="K292">
        <v>9.58</v>
      </c>
      <c r="O292">
        <f t="shared" si="254"/>
        <v>0</v>
      </c>
      <c r="P292">
        <f t="shared" si="255"/>
        <v>0</v>
      </c>
      <c r="Q292">
        <f>(ROUND((ROUND(((ET292)*AV292*I292),2)*BB292),2)+ROUND((ROUND(((AE292-(EU292))*AV292*I292),2)*BS292),2))</f>
        <v>0</v>
      </c>
      <c r="R292">
        <f t="shared" si="257"/>
        <v>0</v>
      </c>
      <c r="S292">
        <f t="shared" si="258"/>
        <v>0</v>
      </c>
      <c r="T292">
        <f t="shared" si="259"/>
        <v>0</v>
      </c>
      <c r="U292">
        <f t="shared" si="260"/>
        <v>0</v>
      </c>
      <c r="V292">
        <f t="shared" si="261"/>
        <v>0</v>
      </c>
      <c r="W292">
        <f t="shared" si="262"/>
        <v>0</v>
      </c>
      <c r="X292">
        <f t="shared" si="263"/>
        <v>0</v>
      </c>
      <c r="Y292">
        <f t="shared" si="264"/>
        <v>0</v>
      </c>
      <c r="AA292">
        <v>56616093</v>
      </c>
      <c r="AB292">
        <f t="shared" si="265"/>
        <v>296.7</v>
      </c>
      <c r="AC292">
        <f t="shared" si="266"/>
        <v>296.7</v>
      </c>
      <c r="AD292">
        <f>ROUND((((ET292)-(EU292))+AE292),6)</f>
        <v>0</v>
      </c>
      <c r="AE292">
        <f>ROUND((EU292),6)</f>
        <v>0</v>
      </c>
      <c r="AF292">
        <f>ROUND((EV292),6)</f>
        <v>0</v>
      </c>
      <c r="AG292">
        <f t="shared" si="269"/>
        <v>0</v>
      </c>
      <c r="AH292">
        <f>(EW292)</f>
        <v>0</v>
      </c>
      <c r="AI292">
        <f>(EX292)</f>
        <v>0</v>
      </c>
      <c r="AJ292">
        <f t="shared" si="271"/>
        <v>0</v>
      </c>
      <c r="AK292">
        <v>296.7</v>
      </c>
      <c r="AL292">
        <v>296.7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1</v>
      </c>
      <c r="AZ292">
        <v>1</v>
      </c>
      <c r="BA292">
        <v>1</v>
      </c>
      <c r="BB292">
        <v>1</v>
      </c>
      <c r="BC292">
        <v>15.39</v>
      </c>
      <c r="BD292" t="s">
        <v>3</v>
      </c>
      <c r="BE292" t="s">
        <v>3</v>
      </c>
      <c r="BF292" t="s">
        <v>3</v>
      </c>
      <c r="BG292" t="s">
        <v>3</v>
      </c>
      <c r="BH292">
        <v>3</v>
      </c>
      <c r="BI292">
        <v>1</v>
      </c>
      <c r="BJ292" t="s">
        <v>368</v>
      </c>
      <c r="BM292">
        <v>158</v>
      </c>
      <c r="BN292">
        <v>0</v>
      </c>
      <c r="BO292" t="s">
        <v>365</v>
      </c>
      <c r="BP292">
        <v>1</v>
      </c>
      <c r="BQ292">
        <v>30</v>
      </c>
      <c r="BR292">
        <v>0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 t="s">
        <v>3</v>
      </c>
      <c r="BZ292">
        <v>0</v>
      </c>
      <c r="CA292">
        <v>0</v>
      </c>
      <c r="CB292" t="s">
        <v>3</v>
      </c>
      <c r="CE292">
        <v>30</v>
      </c>
      <c r="CF292">
        <v>0</v>
      </c>
      <c r="CG292">
        <v>0</v>
      </c>
      <c r="CM292">
        <v>0</v>
      </c>
      <c r="CN292" t="s">
        <v>3</v>
      </c>
      <c r="CO292">
        <v>0</v>
      </c>
      <c r="CP292">
        <f t="shared" si="272"/>
        <v>0</v>
      </c>
      <c r="CQ292">
        <f t="shared" si="273"/>
        <v>4566.21</v>
      </c>
      <c r="CR292">
        <f>(ROUND((ROUND(((ET292)*AV292*1),2)*BB292),2)+ROUND((ROUND(((AE292-(EU292))*AV292*1),2)*BS292),2))</f>
        <v>0</v>
      </c>
      <c r="CS292">
        <f t="shared" si="275"/>
        <v>0</v>
      </c>
      <c r="CT292">
        <f t="shared" si="276"/>
        <v>0</v>
      </c>
      <c r="CU292">
        <f t="shared" si="277"/>
        <v>0</v>
      </c>
      <c r="CV292">
        <f t="shared" si="278"/>
        <v>0</v>
      </c>
      <c r="CW292">
        <f t="shared" si="279"/>
        <v>0</v>
      </c>
      <c r="CX292">
        <f t="shared" si="280"/>
        <v>0</v>
      </c>
      <c r="CY292">
        <f>S292*(BZ292/100)</f>
        <v>0</v>
      </c>
      <c r="CZ292">
        <f>S292*(CA292/100)</f>
        <v>0</v>
      </c>
      <c r="DC292" t="s">
        <v>3</v>
      </c>
      <c r="DD292" t="s">
        <v>3</v>
      </c>
      <c r="DE292" t="s">
        <v>3</v>
      </c>
      <c r="DF292" t="s">
        <v>3</v>
      </c>
      <c r="DG292" t="s">
        <v>3</v>
      </c>
      <c r="DH292" t="s">
        <v>3</v>
      </c>
      <c r="DI292" t="s">
        <v>3</v>
      </c>
      <c r="DJ292" t="s">
        <v>3</v>
      </c>
      <c r="DK292" t="s">
        <v>3</v>
      </c>
      <c r="DL292" t="s">
        <v>3</v>
      </c>
      <c r="DM292" t="s">
        <v>3</v>
      </c>
      <c r="DN292">
        <v>161</v>
      </c>
      <c r="DO292">
        <v>107</v>
      </c>
      <c r="DP292">
        <v>1.0469999999999999</v>
      </c>
      <c r="DQ292">
        <v>1</v>
      </c>
      <c r="DU292">
        <v>1009</v>
      </c>
      <c r="DV292" t="s">
        <v>367</v>
      </c>
      <c r="DW292" t="s">
        <v>367</v>
      </c>
      <c r="DX292">
        <v>1000</v>
      </c>
      <c r="DZ292" t="s">
        <v>3</v>
      </c>
      <c r="EA292" t="s">
        <v>3</v>
      </c>
      <c r="EB292" t="s">
        <v>3</v>
      </c>
      <c r="EC292" t="s">
        <v>3</v>
      </c>
      <c r="EE292">
        <v>51696197</v>
      </c>
      <c r="EF292">
        <v>30</v>
      </c>
      <c r="EG292" t="s">
        <v>16</v>
      </c>
      <c r="EH292">
        <v>0</v>
      </c>
      <c r="EI292" t="s">
        <v>3</v>
      </c>
      <c r="EJ292">
        <v>1</v>
      </c>
      <c r="EK292">
        <v>158</v>
      </c>
      <c r="EL292" t="s">
        <v>362</v>
      </c>
      <c r="EM292" t="s">
        <v>363</v>
      </c>
      <c r="EO292" t="s">
        <v>3</v>
      </c>
      <c r="EQ292">
        <v>0</v>
      </c>
      <c r="ER292">
        <v>296.7</v>
      </c>
      <c r="ES292">
        <v>296.7</v>
      </c>
      <c r="ET292">
        <v>0</v>
      </c>
      <c r="EU292">
        <v>0</v>
      </c>
      <c r="EV292">
        <v>0</v>
      </c>
      <c r="EW292">
        <v>0</v>
      </c>
      <c r="EX292">
        <v>0</v>
      </c>
      <c r="FQ292">
        <v>0</v>
      </c>
      <c r="FR292">
        <v>0</v>
      </c>
      <c r="FS292">
        <v>0</v>
      </c>
      <c r="FX292">
        <v>161</v>
      </c>
      <c r="FY292">
        <v>107</v>
      </c>
      <c r="GA292" t="s">
        <v>3</v>
      </c>
      <c r="GD292">
        <v>0</v>
      </c>
      <c r="GF292">
        <v>1855215121</v>
      </c>
      <c r="GG292">
        <v>2</v>
      </c>
      <c r="GH292">
        <v>1</v>
      </c>
      <c r="GI292">
        <v>2</v>
      </c>
      <c r="GJ292">
        <v>0</v>
      </c>
      <c r="GK292">
        <f>ROUND(R292*(S12)/100,2)</f>
        <v>0</v>
      </c>
      <c r="GL292">
        <f t="shared" si="281"/>
        <v>0</v>
      </c>
      <c r="GM292">
        <f t="shared" si="282"/>
        <v>0</v>
      </c>
      <c r="GN292">
        <f t="shared" si="283"/>
        <v>0</v>
      </c>
      <c r="GO292">
        <f t="shared" si="284"/>
        <v>0</v>
      </c>
      <c r="GP292">
        <f t="shared" si="285"/>
        <v>0</v>
      </c>
      <c r="GR292">
        <v>0</v>
      </c>
      <c r="GS292">
        <v>3</v>
      </c>
      <c r="GT292">
        <v>0</v>
      </c>
      <c r="GU292" t="s">
        <v>3</v>
      </c>
      <c r="GV292">
        <f t="shared" si="286"/>
        <v>0</v>
      </c>
      <c r="GW292">
        <v>1</v>
      </c>
      <c r="GX292">
        <f t="shared" si="287"/>
        <v>0</v>
      </c>
      <c r="HA292">
        <v>0</v>
      </c>
      <c r="HB292">
        <v>0</v>
      </c>
      <c r="HC292">
        <f t="shared" si="288"/>
        <v>0</v>
      </c>
      <c r="HE292" t="s">
        <v>3</v>
      </c>
      <c r="HF292" t="s">
        <v>3</v>
      </c>
      <c r="HM292" t="s">
        <v>3</v>
      </c>
      <c r="HN292" t="s">
        <v>3</v>
      </c>
      <c r="HO292" t="s">
        <v>3</v>
      </c>
      <c r="HP292" t="s">
        <v>3</v>
      </c>
      <c r="HQ292" t="s">
        <v>3</v>
      </c>
      <c r="HS292">
        <v>0</v>
      </c>
      <c r="IK292">
        <v>0</v>
      </c>
    </row>
    <row r="293" spans="1:255" x14ac:dyDescent="0.2">
      <c r="A293" s="2">
        <v>17</v>
      </c>
      <c r="B293" s="2">
        <v>1</v>
      </c>
      <c r="C293" s="2">
        <f>ROW(SmtRes!A201)</f>
        <v>201</v>
      </c>
      <c r="D293" s="2">
        <f>ROW(EtalonRes!A1086)</f>
        <v>1086</v>
      </c>
      <c r="E293" s="2" t="s">
        <v>371</v>
      </c>
      <c r="F293" s="2" t="s">
        <v>372</v>
      </c>
      <c r="G293" s="2" t="s">
        <v>373</v>
      </c>
      <c r="H293" s="2" t="s">
        <v>98</v>
      </c>
      <c r="I293" s="2">
        <v>0</v>
      </c>
      <c r="J293" s="2">
        <v>0</v>
      </c>
      <c r="K293" s="2">
        <v>0</v>
      </c>
      <c r="L293" s="2"/>
      <c r="M293" s="2"/>
      <c r="N293" s="2"/>
      <c r="O293" s="2">
        <f t="shared" si="254"/>
        <v>0</v>
      </c>
      <c r="P293" s="2">
        <f t="shared" si="255"/>
        <v>0</v>
      </c>
      <c r="Q293" s="2">
        <f>(ROUND((ROUND((((ET293*1.1))*AV293*I293),2)*BB293),2)+ROUND((ROUND(((AE293-((EU293*1.1)))*AV293*I293),2)*BS293),2))</f>
        <v>0</v>
      </c>
      <c r="R293" s="2">
        <f t="shared" si="257"/>
        <v>0</v>
      </c>
      <c r="S293" s="2">
        <f t="shared" si="258"/>
        <v>0</v>
      </c>
      <c r="T293" s="2">
        <f t="shared" si="259"/>
        <v>0</v>
      </c>
      <c r="U293" s="2">
        <f t="shared" si="260"/>
        <v>0</v>
      </c>
      <c r="V293" s="2">
        <f t="shared" si="261"/>
        <v>0</v>
      </c>
      <c r="W293" s="2">
        <f t="shared" si="262"/>
        <v>0</v>
      </c>
      <c r="X293" s="2">
        <f t="shared" si="263"/>
        <v>0</v>
      </c>
      <c r="Y293" s="2">
        <f t="shared" si="264"/>
        <v>0</v>
      </c>
      <c r="Z293" s="2"/>
      <c r="AA293" s="2">
        <v>56622586</v>
      </c>
      <c r="AB293" s="2">
        <f t="shared" si="265"/>
        <v>43.747</v>
      </c>
      <c r="AC293" s="2">
        <f t="shared" si="266"/>
        <v>0</v>
      </c>
      <c r="AD293" s="2">
        <f>ROUND(((((ET293*1.1))-((EU293*1.1)))+AE293),6)</f>
        <v>36.124000000000002</v>
      </c>
      <c r="AE293" s="2">
        <f>ROUND(((EU293*1.1)),6)</f>
        <v>2.3980000000000001</v>
      </c>
      <c r="AF293" s="2">
        <f>ROUND(((EV293*1.1)),6)</f>
        <v>7.6230000000000002</v>
      </c>
      <c r="AG293" s="2">
        <f t="shared" si="269"/>
        <v>0</v>
      </c>
      <c r="AH293" s="2">
        <f>((EW293*1.1))</f>
        <v>0.58300000000000007</v>
      </c>
      <c r="AI293" s="2">
        <f>((EX293*1.1))</f>
        <v>0</v>
      </c>
      <c r="AJ293" s="2">
        <f t="shared" si="271"/>
        <v>0</v>
      </c>
      <c r="AK293" s="2">
        <v>39.770000000000003</v>
      </c>
      <c r="AL293" s="2">
        <v>0</v>
      </c>
      <c r="AM293" s="2">
        <v>32.840000000000003</v>
      </c>
      <c r="AN293" s="2">
        <v>2.1800000000000002</v>
      </c>
      <c r="AO293" s="2">
        <v>6.93</v>
      </c>
      <c r="AP293" s="2">
        <v>0</v>
      </c>
      <c r="AQ293" s="2">
        <v>0.53</v>
      </c>
      <c r="AR293" s="2">
        <v>0</v>
      </c>
      <c r="AS293" s="2">
        <v>0</v>
      </c>
      <c r="AT293" s="2">
        <v>161</v>
      </c>
      <c r="AU293" s="2">
        <v>107</v>
      </c>
      <c r="AV293" s="2">
        <v>1.0469999999999999</v>
      </c>
      <c r="AW293" s="2">
        <v>1</v>
      </c>
      <c r="AX293" s="2"/>
      <c r="AY293" s="2"/>
      <c r="AZ293" s="2">
        <v>1</v>
      </c>
      <c r="BA293" s="2">
        <v>1</v>
      </c>
      <c r="BB293" s="2">
        <v>1</v>
      </c>
      <c r="BC293" s="2">
        <v>1</v>
      </c>
      <c r="BD293" s="2" t="s">
        <v>3</v>
      </c>
      <c r="BE293" s="2" t="s">
        <v>3</v>
      </c>
      <c r="BF293" s="2" t="s">
        <v>3</v>
      </c>
      <c r="BG293" s="2" t="s">
        <v>3</v>
      </c>
      <c r="BH293" s="2">
        <v>0</v>
      </c>
      <c r="BI293" s="2">
        <v>1</v>
      </c>
      <c r="BJ293" s="2" t="s">
        <v>374</v>
      </c>
      <c r="BK293" s="2"/>
      <c r="BL293" s="2"/>
      <c r="BM293" s="2">
        <v>158</v>
      </c>
      <c r="BN293" s="2">
        <v>0</v>
      </c>
      <c r="BO293" s="2" t="s">
        <v>3</v>
      </c>
      <c r="BP293" s="2">
        <v>0</v>
      </c>
      <c r="BQ293" s="2">
        <v>30</v>
      </c>
      <c r="BR293" s="2">
        <v>0</v>
      </c>
      <c r="BS293" s="2">
        <v>1</v>
      </c>
      <c r="BT293" s="2">
        <v>1</v>
      </c>
      <c r="BU293" s="2">
        <v>1</v>
      </c>
      <c r="BV293" s="2">
        <v>1</v>
      </c>
      <c r="BW293" s="2">
        <v>1</v>
      </c>
      <c r="BX293" s="2">
        <v>1</v>
      </c>
      <c r="BY293" s="2" t="s">
        <v>3</v>
      </c>
      <c r="BZ293" s="2">
        <v>161</v>
      </c>
      <c r="CA293" s="2">
        <v>107</v>
      </c>
      <c r="CB293" s="2" t="s">
        <v>3</v>
      </c>
      <c r="CC293" s="2"/>
      <c r="CD293" s="2"/>
      <c r="CE293" s="2">
        <v>30</v>
      </c>
      <c r="CF293" s="2">
        <v>0</v>
      </c>
      <c r="CG293" s="2">
        <v>0</v>
      </c>
      <c r="CH293" s="2"/>
      <c r="CI293" s="2"/>
      <c r="CJ293" s="2"/>
      <c r="CK293" s="2"/>
      <c r="CL293" s="2"/>
      <c r="CM293" s="2">
        <v>0</v>
      </c>
      <c r="CN293" s="2" t="s">
        <v>671</v>
      </c>
      <c r="CO293" s="2">
        <v>0</v>
      </c>
      <c r="CP293" s="2">
        <f t="shared" si="272"/>
        <v>0</v>
      </c>
      <c r="CQ293" s="2">
        <f t="shared" si="273"/>
        <v>0</v>
      </c>
      <c r="CR293" s="2">
        <f>(ROUND((ROUND((((ET293*1.1))*AV293*1),2)*BB293),2)+ROUND((ROUND(((AE293-((EU293*1.1)))*AV293*1),2)*BS293),2))</f>
        <v>37.82</v>
      </c>
      <c r="CS293" s="2">
        <f t="shared" si="275"/>
        <v>2.5099999999999998</v>
      </c>
      <c r="CT293" s="2">
        <f t="shared" si="276"/>
        <v>7.98</v>
      </c>
      <c r="CU293" s="2">
        <f t="shared" si="277"/>
        <v>0</v>
      </c>
      <c r="CV293" s="2">
        <f t="shared" si="278"/>
        <v>0.61040100000000008</v>
      </c>
      <c r="CW293" s="2">
        <f t="shared" si="279"/>
        <v>0</v>
      </c>
      <c r="CX293" s="2">
        <f t="shared" si="280"/>
        <v>0</v>
      </c>
      <c r="CY293" s="2">
        <f>((S293*BZ293)/100)</f>
        <v>0</v>
      </c>
      <c r="CZ293" s="2">
        <f>((S293*CA293)/100)</f>
        <v>0</v>
      </c>
      <c r="DA293" s="2"/>
      <c r="DB293" s="2"/>
      <c r="DC293" s="2" t="s">
        <v>3</v>
      </c>
      <c r="DD293" s="2" t="s">
        <v>3</v>
      </c>
      <c r="DE293" s="2" t="s">
        <v>22</v>
      </c>
      <c r="DF293" s="2" t="s">
        <v>22</v>
      </c>
      <c r="DG293" s="2" t="s">
        <v>22</v>
      </c>
      <c r="DH293" s="2" t="s">
        <v>3</v>
      </c>
      <c r="DI293" s="2" t="s">
        <v>22</v>
      </c>
      <c r="DJ293" s="2" t="s">
        <v>22</v>
      </c>
      <c r="DK293" s="2" t="s">
        <v>3</v>
      </c>
      <c r="DL293" s="2" t="s">
        <v>3</v>
      </c>
      <c r="DM293" s="2" t="s">
        <v>3</v>
      </c>
      <c r="DN293" s="2">
        <v>0</v>
      </c>
      <c r="DO293" s="2">
        <v>0</v>
      </c>
      <c r="DP293" s="2">
        <v>1</v>
      </c>
      <c r="DQ293" s="2">
        <v>1</v>
      </c>
      <c r="DR293" s="2"/>
      <c r="DS293" s="2"/>
      <c r="DT293" s="2"/>
      <c r="DU293" s="2">
        <v>1013</v>
      </c>
      <c r="DV293" s="2" t="s">
        <v>98</v>
      </c>
      <c r="DW293" s="2" t="s">
        <v>98</v>
      </c>
      <c r="DX293" s="2">
        <v>1</v>
      </c>
      <c r="DY293" s="2"/>
      <c r="DZ293" s="2" t="s">
        <v>3</v>
      </c>
      <c r="EA293" s="2" t="s">
        <v>3</v>
      </c>
      <c r="EB293" s="2" t="s">
        <v>3</v>
      </c>
      <c r="EC293" s="2" t="s">
        <v>3</v>
      </c>
      <c r="ED293" s="2"/>
      <c r="EE293" s="2">
        <v>51696197</v>
      </c>
      <c r="EF293" s="2">
        <v>30</v>
      </c>
      <c r="EG293" s="2" t="s">
        <v>16</v>
      </c>
      <c r="EH293" s="2">
        <v>0</v>
      </c>
      <c r="EI293" s="2" t="s">
        <v>3</v>
      </c>
      <c r="EJ293" s="2">
        <v>1</v>
      </c>
      <c r="EK293" s="2">
        <v>158</v>
      </c>
      <c r="EL293" s="2" t="s">
        <v>362</v>
      </c>
      <c r="EM293" s="2" t="s">
        <v>363</v>
      </c>
      <c r="EN293" s="2"/>
      <c r="EO293" s="2" t="s">
        <v>25</v>
      </c>
      <c r="EP293" s="2"/>
      <c r="EQ293" s="2">
        <v>131072</v>
      </c>
      <c r="ER293" s="2">
        <v>39.770000000000003</v>
      </c>
      <c r="ES293" s="2">
        <v>0</v>
      </c>
      <c r="ET293" s="2">
        <v>32.840000000000003</v>
      </c>
      <c r="EU293" s="2">
        <v>2.1800000000000002</v>
      </c>
      <c r="EV293" s="2">
        <v>6.93</v>
      </c>
      <c r="EW293" s="2">
        <v>0.53</v>
      </c>
      <c r="EX293" s="2">
        <v>0</v>
      </c>
      <c r="EY293" s="2">
        <v>0</v>
      </c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>
        <v>0</v>
      </c>
      <c r="FR293" s="2">
        <v>0</v>
      </c>
      <c r="FS293" s="2">
        <v>0</v>
      </c>
      <c r="FT293" s="2"/>
      <c r="FU293" s="2"/>
      <c r="FV293" s="2"/>
      <c r="FW293" s="2"/>
      <c r="FX293" s="2">
        <v>161</v>
      </c>
      <c r="FY293" s="2">
        <v>107</v>
      </c>
      <c r="FZ293" s="2"/>
      <c r="GA293" s="2" t="s">
        <v>3</v>
      </c>
      <c r="GB293" s="2"/>
      <c r="GC293" s="2"/>
      <c r="GD293" s="2">
        <v>0</v>
      </c>
      <c r="GE293" s="2"/>
      <c r="GF293" s="2">
        <v>-1968364840</v>
      </c>
      <c r="GG293" s="2">
        <v>2</v>
      </c>
      <c r="GH293" s="2">
        <v>1</v>
      </c>
      <c r="GI293" s="2">
        <v>-2</v>
      </c>
      <c r="GJ293" s="2">
        <v>0</v>
      </c>
      <c r="GK293" s="2">
        <f>ROUND(R293*(R12)/100,2)</f>
        <v>0</v>
      </c>
      <c r="GL293" s="2">
        <f t="shared" si="281"/>
        <v>0</v>
      </c>
      <c r="GM293" s="2">
        <f t="shared" si="282"/>
        <v>0</v>
      </c>
      <c r="GN293" s="2">
        <f t="shared" si="283"/>
        <v>0</v>
      </c>
      <c r="GO293" s="2">
        <f t="shared" si="284"/>
        <v>0</v>
      </c>
      <c r="GP293" s="2">
        <f t="shared" si="285"/>
        <v>0</v>
      </c>
      <c r="GQ293" s="2"/>
      <c r="GR293" s="2">
        <v>0</v>
      </c>
      <c r="GS293" s="2">
        <v>0</v>
      </c>
      <c r="GT293" s="2">
        <v>0</v>
      </c>
      <c r="GU293" s="2" t="s">
        <v>3</v>
      </c>
      <c r="GV293" s="2">
        <f t="shared" si="286"/>
        <v>0</v>
      </c>
      <c r="GW293" s="2">
        <v>1</v>
      </c>
      <c r="GX293" s="2">
        <f t="shared" si="287"/>
        <v>0</v>
      </c>
      <c r="GY293" s="2"/>
      <c r="GZ293" s="2"/>
      <c r="HA293" s="2">
        <v>0</v>
      </c>
      <c r="HB293" s="2">
        <v>0</v>
      </c>
      <c r="HC293" s="2">
        <f t="shared" si="288"/>
        <v>0</v>
      </c>
      <c r="HD293" s="2"/>
      <c r="HE293" s="2" t="s">
        <v>3</v>
      </c>
      <c r="HF293" s="2" t="s">
        <v>3</v>
      </c>
      <c r="HG293" s="2"/>
      <c r="HH293" s="2"/>
      <c r="HI293" s="2"/>
      <c r="HJ293" s="2"/>
      <c r="HK293" s="2"/>
      <c r="HL293" s="2"/>
      <c r="HM293" s="2" t="s">
        <v>3</v>
      </c>
      <c r="HN293" s="2" t="s">
        <v>3</v>
      </c>
      <c r="HO293" s="2" t="s">
        <v>3</v>
      </c>
      <c r="HP293" s="2" t="s">
        <v>3</v>
      </c>
      <c r="HQ293" s="2" t="s">
        <v>3</v>
      </c>
      <c r="HR293" s="2"/>
      <c r="HS293" s="2">
        <v>0</v>
      </c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>
        <v>0</v>
      </c>
      <c r="IL293" s="2"/>
      <c r="IM293" s="2"/>
      <c r="IN293" s="2"/>
      <c r="IO293" s="2"/>
      <c r="IP293" s="2"/>
      <c r="IQ293" s="2"/>
      <c r="IR293" s="2"/>
      <c r="IS293" s="2"/>
      <c r="IT293" s="2"/>
      <c r="IU293" s="2"/>
    </row>
    <row r="294" spans="1:255" x14ac:dyDescent="0.2">
      <c r="A294">
        <v>17</v>
      </c>
      <c r="B294">
        <v>1</v>
      </c>
      <c r="C294">
        <f>ROW(SmtRes!A202)</f>
        <v>202</v>
      </c>
      <c r="D294">
        <f>ROW(EtalonRes!A1090)</f>
        <v>1090</v>
      </c>
      <c r="E294" t="s">
        <v>371</v>
      </c>
      <c r="F294" t="s">
        <v>372</v>
      </c>
      <c r="G294" t="s">
        <v>373</v>
      </c>
      <c r="H294" t="s">
        <v>98</v>
      </c>
      <c r="I294">
        <v>0</v>
      </c>
      <c r="J294">
        <v>0</v>
      </c>
      <c r="K294">
        <v>0</v>
      </c>
      <c r="O294">
        <f t="shared" si="254"/>
        <v>0</v>
      </c>
      <c r="P294">
        <f t="shared" si="255"/>
        <v>0</v>
      </c>
      <c r="Q294">
        <f>(ROUND((ROUND((((ET294*1.1))*AV294*I294),2)*BB294),2)+ROUND((ROUND(((AE294-((EU294*1.1)))*AV294*I294),2)*BS294),2))</f>
        <v>0</v>
      </c>
      <c r="R294">
        <f t="shared" si="257"/>
        <v>0</v>
      </c>
      <c r="S294">
        <f t="shared" si="258"/>
        <v>0</v>
      </c>
      <c r="T294">
        <f t="shared" si="259"/>
        <v>0</v>
      </c>
      <c r="U294">
        <f t="shared" si="260"/>
        <v>0</v>
      </c>
      <c r="V294">
        <f t="shared" si="261"/>
        <v>0</v>
      </c>
      <c r="W294">
        <f t="shared" si="262"/>
        <v>0</v>
      </c>
      <c r="X294">
        <f t="shared" si="263"/>
        <v>0</v>
      </c>
      <c r="Y294">
        <f t="shared" si="264"/>
        <v>0</v>
      </c>
      <c r="AA294">
        <v>56616093</v>
      </c>
      <c r="AB294">
        <f t="shared" si="265"/>
        <v>43.747</v>
      </c>
      <c r="AC294">
        <f t="shared" si="266"/>
        <v>0</v>
      </c>
      <c r="AD294">
        <f>ROUND(((((ET294*1.1))-((EU294*1.1)))+AE294),6)</f>
        <v>36.124000000000002</v>
      </c>
      <c r="AE294">
        <f>ROUND(((EU294*1.1)),6)</f>
        <v>2.3980000000000001</v>
      </c>
      <c r="AF294">
        <f>ROUND(((EV294*1.1)),6)</f>
        <v>7.6230000000000002</v>
      </c>
      <c r="AG294">
        <f t="shared" si="269"/>
        <v>0</v>
      </c>
      <c r="AH294">
        <f>((EW294*1.1))</f>
        <v>0.58300000000000007</v>
      </c>
      <c r="AI294">
        <f>((EX294*1.1))</f>
        <v>0</v>
      </c>
      <c r="AJ294">
        <f t="shared" si="271"/>
        <v>0</v>
      </c>
      <c r="AK294">
        <v>39.770000000000003</v>
      </c>
      <c r="AL294">
        <v>0</v>
      </c>
      <c r="AM294">
        <v>32.840000000000003</v>
      </c>
      <c r="AN294">
        <v>2.1800000000000002</v>
      </c>
      <c r="AO294">
        <v>6.93</v>
      </c>
      <c r="AP294">
        <v>0</v>
      </c>
      <c r="AQ294">
        <v>0.53</v>
      </c>
      <c r="AR294">
        <v>0</v>
      </c>
      <c r="AS294">
        <v>0</v>
      </c>
      <c r="AT294">
        <v>134</v>
      </c>
      <c r="AU294">
        <v>55</v>
      </c>
      <c r="AV294">
        <v>1.0469999999999999</v>
      </c>
      <c r="AW294">
        <v>1</v>
      </c>
      <c r="AZ294">
        <v>1</v>
      </c>
      <c r="BA294">
        <v>34.51</v>
      </c>
      <c r="BB294">
        <v>11.78</v>
      </c>
      <c r="BC294">
        <v>1</v>
      </c>
      <c r="BD294" t="s">
        <v>3</v>
      </c>
      <c r="BE294" t="s">
        <v>3</v>
      </c>
      <c r="BF294" t="s">
        <v>3</v>
      </c>
      <c r="BG294" t="s">
        <v>3</v>
      </c>
      <c r="BH294">
        <v>0</v>
      </c>
      <c r="BI294">
        <v>1</v>
      </c>
      <c r="BJ294" t="s">
        <v>374</v>
      </c>
      <c r="BM294">
        <v>158</v>
      </c>
      <c r="BN294">
        <v>0</v>
      </c>
      <c r="BO294" t="s">
        <v>372</v>
      </c>
      <c r="BP294">
        <v>1</v>
      </c>
      <c r="BQ294">
        <v>30</v>
      </c>
      <c r="BR294">
        <v>0</v>
      </c>
      <c r="BS294">
        <v>34.51</v>
      </c>
      <c r="BT294">
        <v>1</v>
      </c>
      <c r="BU294">
        <v>1</v>
      </c>
      <c r="BV294">
        <v>1</v>
      </c>
      <c r="BW294">
        <v>1</v>
      </c>
      <c r="BX294">
        <v>1</v>
      </c>
      <c r="BY294" t="s">
        <v>3</v>
      </c>
      <c r="BZ294">
        <v>134</v>
      </c>
      <c r="CA294">
        <v>55</v>
      </c>
      <c r="CB294" t="s">
        <v>3</v>
      </c>
      <c r="CE294">
        <v>30</v>
      </c>
      <c r="CF294">
        <v>0</v>
      </c>
      <c r="CG294">
        <v>0</v>
      </c>
      <c r="CM294">
        <v>0</v>
      </c>
      <c r="CN294" t="s">
        <v>671</v>
      </c>
      <c r="CO294">
        <v>0</v>
      </c>
      <c r="CP294">
        <f t="shared" si="272"/>
        <v>0</v>
      </c>
      <c r="CQ294">
        <f t="shared" si="273"/>
        <v>0</v>
      </c>
      <c r="CR294">
        <f>(ROUND((ROUND((((ET294*1.1))*AV294*1),2)*BB294),2)+ROUND((ROUND(((AE294-((EU294*1.1)))*AV294*1),2)*BS294),2))</f>
        <v>445.52</v>
      </c>
      <c r="CS294">
        <f t="shared" si="275"/>
        <v>86.62</v>
      </c>
      <c r="CT294">
        <f t="shared" si="276"/>
        <v>275.39</v>
      </c>
      <c r="CU294">
        <f t="shared" si="277"/>
        <v>0</v>
      </c>
      <c r="CV294">
        <f t="shared" si="278"/>
        <v>0.61040100000000008</v>
      </c>
      <c r="CW294">
        <f t="shared" si="279"/>
        <v>0</v>
      </c>
      <c r="CX294">
        <f t="shared" si="280"/>
        <v>0</v>
      </c>
      <c r="CY294">
        <f>S294*(BZ294/100)</f>
        <v>0</v>
      </c>
      <c r="CZ294">
        <f>S294*(CA294/100)</f>
        <v>0</v>
      </c>
      <c r="DC294" t="s">
        <v>3</v>
      </c>
      <c r="DD294" t="s">
        <v>3</v>
      </c>
      <c r="DE294" t="s">
        <v>22</v>
      </c>
      <c r="DF294" t="s">
        <v>22</v>
      </c>
      <c r="DG294" t="s">
        <v>22</v>
      </c>
      <c r="DH294" t="s">
        <v>3</v>
      </c>
      <c r="DI294" t="s">
        <v>22</v>
      </c>
      <c r="DJ294" t="s">
        <v>22</v>
      </c>
      <c r="DK294" t="s">
        <v>3</v>
      </c>
      <c r="DL294" t="s">
        <v>3</v>
      </c>
      <c r="DM294" t="s">
        <v>3</v>
      </c>
      <c r="DN294">
        <v>161</v>
      </c>
      <c r="DO294">
        <v>107</v>
      </c>
      <c r="DP294">
        <v>1.0469999999999999</v>
      </c>
      <c r="DQ294">
        <v>1</v>
      </c>
      <c r="DU294">
        <v>1013</v>
      </c>
      <c r="DV294" t="s">
        <v>98</v>
      </c>
      <c r="DW294" t="s">
        <v>98</v>
      </c>
      <c r="DX294">
        <v>1</v>
      </c>
      <c r="DZ294" t="s">
        <v>3</v>
      </c>
      <c r="EA294" t="s">
        <v>3</v>
      </c>
      <c r="EB294" t="s">
        <v>3</v>
      </c>
      <c r="EC294" t="s">
        <v>3</v>
      </c>
      <c r="EE294">
        <v>51696197</v>
      </c>
      <c r="EF294">
        <v>30</v>
      </c>
      <c r="EG294" t="s">
        <v>16</v>
      </c>
      <c r="EH294">
        <v>0</v>
      </c>
      <c r="EI294" t="s">
        <v>3</v>
      </c>
      <c r="EJ294">
        <v>1</v>
      </c>
      <c r="EK294">
        <v>158</v>
      </c>
      <c r="EL294" t="s">
        <v>362</v>
      </c>
      <c r="EM294" t="s">
        <v>363</v>
      </c>
      <c r="EO294" t="s">
        <v>25</v>
      </c>
      <c r="EQ294">
        <v>131072</v>
      </c>
      <c r="ER294">
        <v>39.770000000000003</v>
      </c>
      <c r="ES294">
        <v>0</v>
      </c>
      <c r="ET294">
        <v>32.840000000000003</v>
      </c>
      <c r="EU294">
        <v>2.1800000000000002</v>
      </c>
      <c r="EV294">
        <v>6.93</v>
      </c>
      <c r="EW294">
        <v>0.53</v>
      </c>
      <c r="EX294">
        <v>0</v>
      </c>
      <c r="EY294">
        <v>0</v>
      </c>
      <c r="FQ294">
        <v>0</v>
      </c>
      <c r="FR294">
        <v>0</v>
      </c>
      <c r="FS294">
        <v>0</v>
      </c>
      <c r="FX294">
        <v>161</v>
      </c>
      <c r="FY294">
        <v>107</v>
      </c>
      <c r="GA294" t="s">
        <v>3</v>
      </c>
      <c r="GD294">
        <v>0</v>
      </c>
      <c r="GF294">
        <v>-1968364840</v>
      </c>
      <c r="GG294">
        <v>2</v>
      </c>
      <c r="GH294">
        <v>1</v>
      </c>
      <c r="GI294">
        <v>2</v>
      </c>
      <c r="GJ294">
        <v>0</v>
      </c>
      <c r="GK294">
        <f>ROUND(R294*(S12)/100,2)</f>
        <v>0</v>
      </c>
      <c r="GL294">
        <f t="shared" si="281"/>
        <v>0</v>
      </c>
      <c r="GM294">
        <f t="shared" si="282"/>
        <v>0</v>
      </c>
      <c r="GN294">
        <f t="shared" si="283"/>
        <v>0</v>
      </c>
      <c r="GO294">
        <f t="shared" si="284"/>
        <v>0</v>
      </c>
      <c r="GP294">
        <f t="shared" si="285"/>
        <v>0</v>
      </c>
      <c r="GR294">
        <v>0</v>
      </c>
      <c r="GS294">
        <v>3</v>
      </c>
      <c r="GT294">
        <v>0</v>
      </c>
      <c r="GU294" t="s">
        <v>3</v>
      </c>
      <c r="GV294">
        <f t="shared" si="286"/>
        <v>0</v>
      </c>
      <c r="GW294">
        <v>1</v>
      </c>
      <c r="GX294">
        <f t="shared" si="287"/>
        <v>0</v>
      </c>
      <c r="HA294">
        <v>0</v>
      </c>
      <c r="HB294">
        <v>0</v>
      </c>
      <c r="HC294">
        <f t="shared" si="288"/>
        <v>0</v>
      </c>
      <c r="HE294" t="s">
        <v>3</v>
      </c>
      <c r="HF294" t="s">
        <v>3</v>
      </c>
      <c r="HM294" t="s">
        <v>3</v>
      </c>
      <c r="HN294" t="s">
        <v>3</v>
      </c>
      <c r="HO294" t="s">
        <v>3</v>
      </c>
      <c r="HP294" t="s">
        <v>3</v>
      </c>
      <c r="HQ294" t="s">
        <v>3</v>
      </c>
      <c r="HS294">
        <v>0</v>
      </c>
      <c r="IK294">
        <v>0</v>
      </c>
    </row>
    <row r="295" spans="1:255" x14ac:dyDescent="0.2">
      <c r="A295" s="2">
        <v>18</v>
      </c>
      <c r="B295" s="2">
        <v>1</v>
      </c>
      <c r="C295" s="2">
        <v>201</v>
      </c>
      <c r="D295" s="2"/>
      <c r="E295" s="2" t="s">
        <v>375</v>
      </c>
      <c r="F295" s="2" t="s">
        <v>365</v>
      </c>
      <c r="G295" s="2" t="s">
        <v>366</v>
      </c>
      <c r="H295" s="2" t="s">
        <v>367</v>
      </c>
      <c r="I295" s="2">
        <f>I293*J295</f>
        <v>0</v>
      </c>
      <c r="J295" s="2">
        <v>2.4</v>
      </c>
      <c r="K295" s="2">
        <v>2.4</v>
      </c>
      <c r="L295" s="2"/>
      <c r="M295" s="2"/>
      <c r="N295" s="2"/>
      <c r="O295" s="2">
        <f t="shared" si="254"/>
        <v>0</v>
      </c>
      <c r="P295" s="2">
        <f t="shared" si="255"/>
        <v>0</v>
      </c>
      <c r="Q295" s="2">
        <f>(ROUND((ROUND(((ET295)*AV295*I295),2)*BB295),2)+ROUND((ROUND(((AE295-(EU295))*AV295*I295),2)*BS295),2))</f>
        <v>0</v>
      </c>
      <c r="R295" s="2">
        <f t="shared" si="257"/>
        <v>0</v>
      </c>
      <c r="S295" s="2">
        <f t="shared" si="258"/>
        <v>0</v>
      </c>
      <c r="T295" s="2">
        <f t="shared" si="259"/>
        <v>0</v>
      </c>
      <c r="U295" s="2">
        <f t="shared" si="260"/>
        <v>0</v>
      </c>
      <c r="V295" s="2">
        <f t="shared" si="261"/>
        <v>0</v>
      </c>
      <c r="W295" s="2">
        <f t="shared" si="262"/>
        <v>0</v>
      </c>
      <c r="X295" s="2">
        <f t="shared" si="263"/>
        <v>0</v>
      </c>
      <c r="Y295" s="2">
        <f t="shared" si="264"/>
        <v>0</v>
      </c>
      <c r="Z295" s="2"/>
      <c r="AA295" s="2">
        <v>56622586</v>
      </c>
      <c r="AB295" s="2">
        <f t="shared" si="265"/>
        <v>296.7</v>
      </c>
      <c r="AC295" s="2">
        <f t="shared" si="266"/>
        <v>296.7</v>
      </c>
      <c r="AD295" s="2">
        <f>ROUND((((ET295)-(EU295))+AE295),6)</f>
        <v>0</v>
      </c>
      <c r="AE295" s="2">
        <f>ROUND((EU295),6)</f>
        <v>0</v>
      </c>
      <c r="AF295" s="2">
        <f>ROUND((EV295),6)</f>
        <v>0</v>
      </c>
      <c r="AG295" s="2">
        <f t="shared" si="269"/>
        <v>0</v>
      </c>
      <c r="AH295" s="2">
        <f>(EW295)</f>
        <v>0</v>
      </c>
      <c r="AI295" s="2">
        <f>(EX295)</f>
        <v>0</v>
      </c>
      <c r="AJ295" s="2">
        <f t="shared" si="271"/>
        <v>0</v>
      </c>
      <c r="AK295" s="2">
        <v>296.7</v>
      </c>
      <c r="AL295" s="2">
        <v>296.7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161</v>
      </c>
      <c r="AU295" s="2">
        <v>107</v>
      </c>
      <c r="AV295" s="2">
        <v>1.0469999999999999</v>
      </c>
      <c r="AW295" s="2">
        <v>1</v>
      </c>
      <c r="AX295" s="2"/>
      <c r="AY295" s="2"/>
      <c r="AZ295" s="2">
        <v>1</v>
      </c>
      <c r="BA295" s="2">
        <v>1</v>
      </c>
      <c r="BB295" s="2">
        <v>1</v>
      </c>
      <c r="BC295" s="2">
        <v>1</v>
      </c>
      <c r="BD295" s="2" t="s">
        <v>3</v>
      </c>
      <c r="BE295" s="2" t="s">
        <v>3</v>
      </c>
      <c r="BF295" s="2" t="s">
        <v>3</v>
      </c>
      <c r="BG295" s="2" t="s">
        <v>3</v>
      </c>
      <c r="BH295" s="2">
        <v>3</v>
      </c>
      <c r="BI295" s="2">
        <v>1</v>
      </c>
      <c r="BJ295" s="2" t="s">
        <v>368</v>
      </c>
      <c r="BK295" s="2"/>
      <c r="BL295" s="2"/>
      <c r="BM295" s="2">
        <v>158</v>
      </c>
      <c r="BN295" s="2">
        <v>0</v>
      </c>
      <c r="BO295" s="2" t="s">
        <v>3</v>
      </c>
      <c r="BP295" s="2">
        <v>0</v>
      </c>
      <c r="BQ295" s="2">
        <v>30</v>
      </c>
      <c r="BR295" s="2">
        <v>0</v>
      </c>
      <c r="BS295" s="2">
        <v>1</v>
      </c>
      <c r="BT295" s="2">
        <v>1</v>
      </c>
      <c r="BU295" s="2">
        <v>1</v>
      </c>
      <c r="BV295" s="2">
        <v>1</v>
      </c>
      <c r="BW295" s="2">
        <v>1</v>
      </c>
      <c r="BX295" s="2">
        <v>1</v>
      </c>
      <c r="BY295" s="2" t="s">
        <v>3</v>
      </c>
      <c r="BZ295" s="2">
        <v>161</v>
      </c>
      <c r="CA295" s="2">
        <v>107</v>
      </c>
      <c r="CB295" s="2" t="s">
        <v>3</v>
      </c>
      <c r="CC295" s="2"/>
      <c r="CD295" s="2"/>
      <c r="CE295" s="2">
        <v>30</v>
      </c>
      <c r="CF295" s="2">
        <v>0</v>
      </c>
      <c r="CG295" s="2">
        <v>0</v>
      </c>
      <c r="CH295" s="2"/>
      <c r="CI295" s="2"/>
      <c r="CJ295" s="2"/>
      <c r="CK295" s="2"/>
      <c r="CL295" s="2"/>
      <c r="CM295" s="2">
        <v>0</v>
      </c>
      <c r="CN295" s="2" t="s">
        <v>3</v>
      </c>
      <c r="CO295" s="2">
        <v>0</v>
      </c>
      <c r="CP295" s="2">
        <f t="shared" si="272"/>
        <v>0</v>
      </c>
      <c r="CQ295" s="2">
        <f t="shared" si="273"/>
        <v>296.7</v>
      </c>
      <c r="CR295" s="2">
        <f>(ROUND((ROUND(((ET295)*AV295*1),2)*BB295),2)+ROUND((ROUND(((AE295-(EU295))*AV295*1),2)*BS295),2))</f>
        <v>0</v>
      </c>
      <c r="CS295" s="2">
        <f t="shared" si="275"/>
        <v>0</v>
      </c>
      <c r="CT295" s="2">
        <f t="shared" si="276"/>
        <v>0</v>
      </c>
      <c r="CU295" s="2">
        <f t="shared" si="277"/>
        <v>0</v>
      </c>
      <c r="CV295" s="2">
        <f t="shared" si="278"/>
        <v>0</v>
      </c>
      <c r="CW295" s="2">
        <f t="shared" si="279"/>
        <v>0</v>
      </c>
      <c r="CX295" s="2">
        <f t="shared" si="280"/>
        <v>0</v>
      </c>
      <c r="CY295" s="2">
        <f>((S295*BZ295)/100)</f>
        <v>0</v>
      </c>
      <c r="CZ295" s="2">
        <f>((S295*CA295)/100)</f>
        <v>0</v>
      </c>
      <c r="DA295" s="2"/>
      <c r="DB295" s="2"/>
      <c r="DC295" s="2" t="s">
        <v>3</v>
      </c>
      <c r="DD295" s="2" t="s">
        <v>3</v>
      </c>
      <c r="DE295" s="2" t="s">
        <v>3</v>
      </c>
      <c r="DF295" s="2" t="s">
        <v>3</v>
      </c>
      <c r="DG295" s="2" t="s">
        <v>3</v>
      </c>
      <c r="DH295" s="2" t="s">
        <v>3</v>
      </c>
      <c r="DI295" s="2" t="s">
        <v>3</v>
      </c>
      <c r="DJ295" s="2" t="s">
        <v>3</v>
      </c>
      <c r="DK295" s="2" t="s">
        <v>3</v>
      </c>
      <c r="DL295" s="2" t="s">
        <v>3</v>
      </c>
      <c r="DM295" s="2" t="s">
        <v>3</v>
      </c>
      <c r="DN295" s="2">
        <v>0</v>
      </c>
      <c r="DO295" s="2">
        <v>0</v>
      </c>
      <c r="DP295" s="2">
        <v>1</v>
      </c>
      <c r="DQ295" s="2">
        <v>1</v>
      </c>
      <c r="DR295" s="2"/>
      <c r="DS295" s="2"/>
      <c r="DT295" s="2"/>
      <c r="DU295" s="2">
        <v>1009</v>
      </c>
      <c r="DV295" s="2" t="s">
        <v>367</v>
      </c>
      <c r="DW295" s="2" t="s">
        <v>367</v>
      </c>
      <c r="DX295" s="2">
        <v>1000</v>
      </c>
      <c r="DY295" s="2"/>
      <c r="DZ295" s="2" t="s">
        <v>3</v>
      </c>
      <c r="EA295" s="2" t="s">
        <v>3</v>
      </c>
      <c r="EB295" s="2" t="s">
        <v>3</v>
      </c>
      <c r="EC295" s="2" t="s">
        <v>3</v>
      </c>
      <c r="ED295" s="2"/>
      <c r="EE295" s="2">
        <v>51696197</v>
      </c>
      <c r="EF295" s="2">
        <v>30</v>
      </c>
      <c r="EG295" s="2" t="s">
        <v>16</v>
      </c>
      <c r="EH295" s="2">
        <v>0</v>
      </c>
      <c r="EI295" s="2" t="s">
        <v>3</v>
      </c>
      <c r="EJ295" s="2">
        <v>1</v>
      </c>
      <c r="EK295" s="2">
        <v>158</v>
      </c>
      <c r="EL295" s="2" t="s">
        <v>362</v>
      </c>
      <c r="EM295" s="2" t="s">
        <v>363</v>
      </c>
      <c r="EN295" s="2"/>
      <c r="EO295" s="2" t="s">
        <v>3</v>
      </c>
      <c r="EP295" s="2"/>
      <c r="EQ295" s="2">
        <v>0</v>
      </c>
      <c r="ER295" s="2">
        <v>296.7</v>
      </c>
      <c r="ES295" s="2">
        <v>296.7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>
        <v>0</v>
      </c>
      <c r="FR295" s="2">
        <v>0</v>
      </c>
      <c r="FS295" s="2">
        <v>0</v>
      </c>
      <c r="FT295" s="2"/>
      <c r="FU295" s="2"/>
      <c r="FV295" s="2"/>
      <c r="FW295" s="2"/>
      <c r="FX295" s="2">
        <v>161</v>
      </c>
      <c r="FY295" s="2">
        <v>107</v>
      </c>
      <c r="FZ295" s="2"/>
      <c r="GA295" s="2" t="s">
        <v>3</v>
      </c>
      <c r="GB295" s="2"/>
      <c r="GC295" s="2"/>
      <c r="GD295" s="2">
        <v>0</v>
      </c>
      <c r="GE295" s="2"/>
      <c r="GF295" s="2">
        <v>1855215121</v>
      </c>
      <c r="GG295" s="2">
        <v>2</v>
      </c>
      <c r="GH295" s="2">
        <v>1</v>
      </c>
      <c r="GI295" s="2">
        <v>-2</v>
      </c>
      <c r="GJ295" s="2">
        <v>0</v>
      </c>
      <c r="GK295" s="2">
        <f>ROUND(R295*(R12)/100,2)</f>
        <v>0</v>
      </c>
      <c r="GL295" s="2">
        <f t="shared" si="281"/>
        <v>0</v>
      </c>
      <c r="GM295" s="2">
        <f t="shared" si="282"/>
        <v>0</v>
      </c>
      <c r="GN295" s="2">
        <f t="shared" si="283"/>
        <v>0</v>
      </c>
      <c r="GO295" s="2">
        <f t="shared" si="284"/>
        <v>0</v>
      </c>
      <c r="GP295" s="2">
        <f t="shared" si="285"/>
        <v>0</v>
      </c>
      <c r="GQ295" s="2"/>
      <c r="GR295" s="2">
        <v>0</v>
      </c>
      <c r="GS295" s="2">
        <v>0</v>
      </c>
      <c r="GT295" s="2">
        <v>0</v>
      </c>
      <c r="GU295" s="2" t="s">
        <v>3</v>
      </c>
      <c r="GV295" s="2">
        <f t="shared" si="286"/>
        <v>0</v>
      </c>
      <c r="GW295" s="2">
        <v>1</v>
      </c>
      <c r="GX295" s="2">
        <f t="shared" si="287"/>
        <v>0</v>
      </c>
      <c r="GY295" s="2"/>
      <c r="GZ295" s="2"/>
      <c r="HA295" s="2">
        <v>0</v>
      </c>
      <c r="HB295" s="2">
        <v>0</v>
      </c>
      <c r="HC295" s="2">
        <f t="shared" si="288"/>
        <v>0</v>
      </c>
      <c r="HD295" s="2"/>
      <c r="HE295" s="2" t="s">
        <v>3</v>
      </c>
      <c r="HF295" s="2" t="s">
        <v>3</v>
      </c>
      <c r="HG295" s="2"/>
      <c r="HH295" s="2"/>
      <c r="HI295" s="2"/>
      <c r="HJ295" s="2"/>
      <c r="HK295" s="2"/>
      <c r="HL295" s="2"/>
      <c r="HM295" s="2" t="s">
        <v>3</v>
      </c>
      <c r="HN295" s="2" t="s">
        <v>3</v>
      </c>
      <c r="HO295" s="2" t="s">
        <v>3</v>
      </c>
      <c r="HP295" s="2" t="s">
        <v>3</v>
      </c>
      <c r="HQ295" s="2" t="s">
        <v>3</v>
      </c>
      <c r="HR295" s="2"/>
      <c r="HS295" s="2">
        <v>0</v>
      </c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>
        <v>0</v>
      </c>
      <c r="IL295" s="2"/>
      <c r="IM295" s="2"/>
      <c r="IN295" s="2"/>
      <c r="IO295" s="2"/>
      <c r="IP295" s="2"/>
      <c r="IQ295" s="2"/>
      <c r="IR295" s="2"/>
      <c r="IS295" s="2"/>
      <c r="IT295" s="2"/>
      <c r="IU295" s="2"/>
    </row>
    <row r="296" spans="1:255" x14ac:dyDescent="0.2">
      <c r="A296">
        <v>18</v>
      </c>
      <c r="B296">
        <v>1</v>
      </c>
      <c r="C296">
        <v>202</v>
      </c>
      <c r="E296" t="s">
        <v>375</v>
      </c>
      <c r="F296" t="s">
        <v>365</v>
      </c>
      <c r="G296" t="s">
        <v>366</v>
      </c>
      <c r="H296" t="s">
        <v>367</v>
      </c>
      <c r="I296">
        <f>I294*J296</f>
        <v>0</v>
      </c>
      <c r="J296">
        <v>2.4</v>
      </c>
      <c r="K296">
        <v>2.4</v>
      </c>
      <c r="O296">
        <f t="shared" si="254"/>
        <v>0</v>
      </c>
      <c r="P296">
        <f t="shared" si="255"/>
        <v>0</v>
      </c>
      <c r="Q296">
        <f>(ROUND((ROUND(((ET296)*AV296*I296),2)*BB296),2)+ROUND((ROUND(((AE296-(EU296))*AV296*I296),2)*BS296),2))</f>
        <v>0</v>
      </c>
      <c r="R296">
        <f t="shared" si="257"/>
        <v>0</v>
      </c>
      <c r="S296">
        <f t="shared" si="258"/>
        <v>0</v>
      </c>
      <c r="T296">
        <f t="shared" si="259"/>
        <v>0</v>
      </c>
      <c r="U296">
        <f t="shared" si="260"/>
        <v>0</v>
      </c>
      <c r="V296">
        <f t="shared" si="261"/>
        <v>0</v>
      </c>
      <c r="W296">
        <f t="shared" si="262"/>
        <v>0</v>
      </c>
      <c r="X296">
        <f t="shared" si="263"/>
        <v>0</v>
      </c>
      <c r="Y296">
        <f t="shared" si="264"/>
        <v>0</v>
      </c>
      <c r="AA296">
        <v>56616093</v>
      </c>
      <c r="AB296">
        <f t="shared" si="265"/>
        <v>296.7</v>
      </c>
      <c r="AC296">
        <f t="shared" si="266"/>
        <v>296.7</v>
      </c>
      <c r="AD296">
        <f>ROUND((((ET296)-(EU296))+AE296),6)</f>
        <v>0</v>
      </c>
      <c r="AE296">
        <f>ROUND((EU296),6)</f>
        <v>0</v>
      </c>
      <c r="AF296">
        <f>ROUND((EV296),6)</f>
        <v>0</v>
      </c>
      <c r="AG296">
        <f t="shared" si="269"/>
        <v>0</v>
      </c>
      <c r="AH296">
        <f>(EW296)</f>
        <v>0</v>
      </c>
      <c r="AI296">
        <f>(EX296)</f>
        <v>0</v>
      </c>
      <c r="AJ296">
        <f t="shared" si="271"/>
        <v>0</v>
      </c>
      <c r="AK296">
        <v>296.7</v>
      </c>
      <c r="AL296">
        <v>296.7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</v>
      </c>
      <c r="AW296">
        <v>1</v>
      </c>
      <c r="AZ296">
        <v>1</v>
      </c>
      <c r="BA296">
        <v>1</v>
      </c>
      <c r="BB296">
        <v>1</v>
      </c>
      <c r="BC296">
        <v>15.39</v>
      </c>
      <c r="BD296" t="s">
        <v>3</v>
      </c>
      <c r="BE296" t="s">
        <v>3</v>
      </c>
      <c r="BF296" t="s">
        <v>3</v>
      </c>
      <c r="BG296" t="s">
        <v>3</v>
      </c>
      <c r="BH296">
        <v>3</v>
      </c>
      <c r="BI296">
        <v>1</v>
      </c>
      <c r="BJ296" t="s">
        <v>368</v>
      </c>
      <c r="BM296">
        <v>158</v>
      </c>
      <c r="BN296">
        <v>0</v>
      </c>
      <c r="BO296" t="s">
        <v>365</v>
      </c>
      <c r="BP296">
        <v>1</v>
      </c>
      <c r="BQ296">
        <v>30</v>
      </c>
      <c r="BR296">
        <v>0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 t="s">
        <v>3</v>
      </c>
      <c r="BZ296">
        <v>0</v>
      </c>
      <c r="CA296">
        <v>0</v>
      </c>
      <c r="CB296" t="s">
        <v>3</v>
      </c>
      <c r="CE296">
        <v>30</v>
      </c>
      <c r="CF296">
        <v>0</v>
      </c>
      <c r="CG296">
        <v>0</v>
      </c>
      <c r="CM296">
        <v>0</v>
      </c>
      <c r="CN296" t="s">
        <v>3</v>
      </c>
      <c r="CO296">
        <v>0</v>
      </c>
      <c r="CP296">
        <f t="shared" si="272"/>
        <v>0</v>
      </c>
      <c r="CQ296">
        <f t="shared" si="273"/>
        <v>4566.21</v>
      </c>
      <c r="CR296">
        <f>(ROUND((ROUND(((ET296)*AV296*1),2)*BB296),2)+ROUND((ROUND(((AE296-(EU296))*AV296*1),2)*BS296),2))</f>
        <v>0</v>
      </c>
      <c r="CS296">
        <f t="shared" si="275"/>
        <v>0</v>
      </c>
      <c r="CT296">
        <f t="shared" si="276"/>
        <v>0</v>
      </c>
      <c r="CU296">
        <f t="shared" si="277"/>
        <v>0</v>
      </c>
      <c r="CV296">
        <f t="shared" si="278"/>
        <v>0</v>
      </c>
      <c r="CW296">
        <f t="shared" si="279"/>
        <v>0</v>
      </c>
      <c r="CX296">
        <f t="shared" si="280"/>
        <v>0</v>
      </c>
      <c r="CY296">
        <f>S296*(BZ296/100)</f>
        <v>0</v>
      </c>
      <c r="CZ296">
        <f>S296*(CA296/100)</f>
        <v>0</v>
      </c>
      <c r="DC296" t="s">
        <v>3</v>
      </c>
      <c r="DD296" t="s">
        <v>3</v>
      </c>
      <c r="DE296" t="s">
        <v>3</v>
      </c>
      <c r="DF296" t="s">
        <v>3</v>
      </c>
      <c r="DG296" t="s">
        <v>3</v>
      </c>
      <c r="DH296" t="s">
        <v>3</v>
      </c>
      <c r="DI296" t="s">
        <v>3</v>
      </c>
      <c r="DJ296" t="s">
        <v>3</v>
      </c>
      <c r="DK296" t="s">
        <v>3</v>
      </c>
      <c r="DL296" t="s">
        <v>3</v>
      </c>
      <c r="DM296" t="s">
        <v>3</v>
      </c>
      <c r="DN296">
        <v>161</v>
      </c>
      <c r="DO296">
        <v>107</v>
      </c>
      <c r="DP296">
        <v>1.0469999999999999</v>
      </c>
      <c r="DQ296">
        <v>1</v>
      </c>
      <c r="DU296">
        <v>1009</v>
      </c>
      <c r="DV296" t="s">
        <v>367</v>
      </c>
      <c r="DW296" t="s">
        <v>367</v>
      </c>
      <c r="DX296">
        <v>1000</v>
      </c>
      <c r="DZ296" t="s">
        <v>3</v>
      </c>
      <c r="EA296" t="s">
        <v>3</v>
      </c>
      <c r="EB296" t="s">
        <v>3</v>
      </c>
      <c r="EC296" t="s">
        <v>3</v>
      </c>
      <c r="EE296">
        <v>51696197</v>
      </c>
      <c r="EF296">
        <v>30</v>
      </c>
      <c r="EG296" t="s">
        <v>16</v>
      </c>
      <c r="EH296">
        <v>0</v>
      </c>
      <c r="EI296" t="s">
        <v>3</v>
      </c>
      <c r="EJ296">
        <v>1</v>
      </c>
      <c r="EK296">
        <v>158</v>
      </c>
      <c r="EL296" t="s">
        <v>362</v>
      </c>
      <c r="EM296" t="s">
        <v>363</v>
      </c>
      <c r="EO296" t="s">
        <v>3</v>
      </c>
      <c r="EQ296">
        <v>0</v>
      </c>
      <c r="ER296">
        <v>296.7</v>
      </c>
      <c r="ES296">
        <v>296.7</v>
      </c>
      <c r="ET296">
        <v>0</v>
      </c>
      <c r="EU296">
        <v>0</v>
      </c>
      <c r="EV296">
        <v>0</v>
      </c>
      <c r="EW296">
        <v>0</v>
      </c>
      <c r="EX296">
        <v>0</v>
      </c>
      <c r="FQ296">
        <v>0</v>
      </c>
      <c r="FR296">
        <v>0</v>
      </c>
      <c r="FS296">
        <v>0</v>
      </c>
      <c r="FX296">
        <v>161</v>
      </c>
      <c r="FY296">
        <v>107</v>
      </c>
      <c r="GA296" t="s">
        <v>3</v>
      </c>
      <c r="GD296">
        <v>0</v>
      </c>
      <c r="GF296">
        <v>1855215121</v>
      </c>
      <c r="GG296">
        <v>2</v>
      </c>
      <c r="GH296">
        <v>1</v>
      </c>
      <c r="GI296">
        <v>2</v>
      </c>
      <c r="GJ296">
        <v>0</v>
      </c>
      <c r="GK296">
        <f>ROUND(R296*(S12)/100,2)</f>
        <v>0</v>
      </c>
      <c r="GL296">
        <f t="shared" si="281"/>
        <v>0</v>
      </c>
      <c r="GM296">
        <f t="shared" si="282"/>
        <v>0</v>
      </c>
      <c r="GN296">
        <f t="shared" si="283"/>
        <v>0</v>
      </c>
      <c r="GO296">
        <f t="shared" si="284"/>
        <v>0</v>
      </c>
      <c r="GP296">
        <f t="shared" si="285"/>
        <v>0</v>
      </c>
      <c r="GR296">
        <v>0</v>
      </c>
      <c r="GS296">
        <v>3</v>
      </c>
      <c r="GT296">
        <v>0</v>
      </c>
      <c r="GU296" t="s">
        <v>3</v>
      </c>
      <c r="GV296">
        <f t="shared" si="286"/>
        <v>0</v>
      </c>
      <c r="GW296">
        <v>1</v>
      </c>
      <c r="GX296">
        <f t="shared" si="287"/>
        <v>0</v>
      </c>
      <c r="HA296">
        <v>0</v>
      </c>
      <c r="HB296">
        <v>0</v>
      </c>
      <c r="HC296">
        <f t="shared" si="288"/>
        <v>0</v>
      </c>
      <c r="HE296" t="s">
        <v>3</v>
      </c>
      <c r="HF296" t="s">
        <v>3</v>
      </c>
      <c r="HM296" t="s">
        <v>3</v>
      </c>
      <c r="HN296" t="s">
        <v>3</v>
      </c>
      <c r="HO296" t="s">
        <v>3</v>
      </c>
      <c r="HP296" t="s">
        <v>3</v>
      </c>
      <c r="HQ296" t="s">
        <v>3</v>
      </c>
      <c r="HS296">
        <v>0</v>
      </c>
      <c r="IK296">
        <v>0</v>
      </c>
    </row>
    <row r="297" spans="1:255" x14ac:dyDescent="0.2">
      <c r="A297" s="2">
        <v>17</v>
      </c>
      <c r="B297" s="2">
        <v>1</v>
      </c>
      <c r="C297" s="2">
        <f>ROW(SmtRes!A203)</f>
        <v>203</v>
      </c>
      <c r="D297" s="2">
        <f>ROW(EtalonRes!A1101)</f>
        <v>1101</v>
      </c>
      <c r="E297" s="2" t="s">
        <v>376</v>
      </c>
      <c r="F297" s="2" t="s">
        <v>359</v>
      </c>
      <c r="G297" s="2" t="s">
        <v>360</v>
      </c>
      <c r="H297" s="2" t="s">
        <v>98</v>
      </c>
      <c r="I297" s="2">
        <v>0</v>
      </c>
      <c r="J297" s="2">
        <v>0</v>
      </c>
      <c r="K297" s="2">
        <v>0</v>
      </c>
      <c r="L297" s="2"/>
      <c r="M297" s="2"/>
      <c r="N297" s="2"/>
      <c r="O297" s="2">
        <f t="shared" si="254"/>
        <v>0</v>
      </c>
      <c r="P297" s="2">
        <f t="shared" si="255"/>
        <v>0</v>
      </c>
      <c r="Q297" s="2">
        <f>(ROUND((ROUND((((ET297*1.1))*AV297*I297),2)*BB297),2)+ROUND((ROUND(((AE297-((EU297*1.1)))*AV297*I297),2)*BS297),2))</f>
        <v>0</v>
      </c>
      <c r="R297" s="2">
        <f t="shared" si="257"/>
        <v>0</v>
      </c>
      <c r="S297" s="2">
        <f t="shared" si="258"/>
        <v>0</v>
      </c>
      <c r="T297" s="2">
        <f t="shared" si="259"/>
        <v>0</v>
      </c>
      <c r="U297" s="2">
        <f t="shared" si="260"/>
        <v>0</v>
      </c>
      <c r="V297" s="2">
        <f t="shared" si="261"/>
        <v>0</v>
      </c>
      <c r="W297" s="2">
        <f t="shared" si="262"/>
        <v>0</v>
      </c>
      <c r="X297" s="2">
        <f t="shared" si="263"/>
        <v>0</v>
      </c>
      <c r="Y297" s="2">
        <f t="shared" si="264"/>
        <v>0</v>
      </c>
      <c r="Z297" s="2"/>
      <c r="AA297" s="2">
        <v>56622586</v>
      </c>
      <c r="AB297" s="2">
        <f t="shared" si="265"/>
        <v>700.80200000000002</v>
      </c>
      <c r="AC297" s="2">
        <f t="shared" si="266"/>
        <v>57.83</v>
      </c>
      <c r="AD297" s="2">
        <f>ROUND(((((ET297*1.1))-((EU297*1.1)))+AE297),6)</f>
        <v>585.58500000000004</v>
      </c>
      <c r="AE297" s="2">
        <f>ROUND(((EU297*1.1)),6)</f>
        <v>51.238</v>
      </c>
      <c r="AF297" s="2">
        <f>ROUND(((EV297*1.1)),6)</f>
        <v>57.387</v>
      </c>
      <c r="AG297" s="2">
        <f t="shared" si="269"/>
        <v>0</v>
      </c>
      <c r="AH297" s="2">
        <f>((EW297*1.1))</f>
        <v>4.7190000000000003</v>
      </c>
      <c r="AI297" s="2">
        <f>((EX297*1.1))</f>
        <v>0</v>
      </c>
      <c r="AJ297" s="2">
        <f t="shared" si="271"/>
        <v>0</v>
      </c>
      <c r="AK297" s="2">
        <v>642.35</v>
      </c>
      <c r="AL297" s="2">
        <v>57.83</v>
      </c>
      <c r="AM297" s="2">
        <v>532.35</v>
      </c>
      <c r="AN297" s="2">
        <v>46.58</v>
      </c>
      <c r="AO297" s="2">
        <v>52.17</v>
      </c>
      <c r="AP297" s="2">
        <v>0</v>
      </c>
      <c r="AQ297" s="2">
        <v>4.29</v>
      </c>
      <c r="AR297" s="2">
        <v>0</v>
      </c>
      <c r="AS297" s="2">
        <v>0</v>
      </c>
      <c r="AT297" s="2">
        <v>161</v>
      </c>
      <c r="AU297" s="2">
        <v>107</v>
      </c>
      <c r="AV297" s="2">
        <v>1.0469999999999999</v>
      </c>
      <c r="AW297" s="2">
        <v>1</v>
      </c>
      <c r="AX297" s="2"/>
      <c r="AY297" s="2"/>
      <c r="AZ297" s="2">
        <v>1</v>
      </c>
      <c r="BA297" s="2">
        <v>1</v>
      </c>
      <c r="BB297" s="2">
        <v>1</v>
      </c>
      <c r="BC297" s="2">
        <v>1</v>
      </c>
      <c r="BD297" s="2" t="s">
        <v>3</v>
      </c>
      <c r="BE297" s="2" t="s">
        <v>3</v>
      </c>
      <c r="BF297" s="2" t="s">
        <v>3</v>
      </c>
      <c r="BG297" s="2" t="s">
        <v>3</v>
      </c>
      <c r="BH297" s="2">
        <v>0</v>
      </c>
      <c r="BI297" s="2">
        <v>1</v>
      </c>
      <c r="BJ297" s="2" t="s">
        <v>361</v>
      </c>
      <c r="BK297" s="2"/>
      <c r="BL297" s="2"/>
      <c r="BM297" s="2">
        <v>158</v>
      </c>
      <c r="BN297" s="2">
        <v>0</v>
      </c>
      <c r="BO297" s="2" t="s">
        <v>3</v>
      </c>
      <c r="BP297" s="2">
        <v>0</v>
      </c>
      <c r="BQ297" s="2">
        <v>30</v>
      </c>
      <c r="BR297" s="2">
        <v>0</v>
      </c>
      <c r="BS297" s="2">
        <v>1</v>
      </c>
      <c r="BT297" s="2">
        <v>1</v>
      </c>
      <c r="BU297" s="2">
        <v>1</v>
      </c>
      <c r="BV297" s="2">
        <v>1</v>
      </c>
      <c r="BW297" s="2">
        <v>1</v>
      </c>
      <c r="BX297" s="2">
        <v>1</v>
      </c>
      <c r="BY297" s="2" t="s">
        <v>3</v>
      </c>
      <c r="BZ297" s="2">
        <v>161</v>
      </c>
      <c r="CA297" s="2">
        <v>107</v>
      </c>
      <c r="CB297" s="2" t="s">
        <v>3</v>
      </c>
      <c r="CC297" s="2"/>
      <c r="CD297" s="2"/>
      <c r="CE297" s="2">
        <v>30</v>
      </c>
      <c r="CF297" s="2">
        <v>0</v>
      </c>
      <c r="CG297" s="2">
        <v>0</v>
      </c>
      <c r="CH297" s="2"/>
      <c r="CI297" s="2"/>
      <c r="CJ297" s="2"/>
      <c r="CK297" s="2"/>
      <c r="CL297" s="2"/>
      <c r="CM297" s="2">
        <v>0</v>
      </c>
      <c r="CN297" s="2" t="s">
        <v>671</v>
      </c>
      <c r="CO297" s="2">
        <v>0</v>
      </c>
      <c r="CP297" s="2">
        <f t="shared" si="272"/>
        <v>0</v>
      </c>
      <c r="CQ297" s="2">
        <f t="shared" si="273"/>
        <v>57.83</v>
      </c>
      <c r="CR297" s="2">
        <f>(ROUND((ROUND((((ET297*1.1))*AV297*1),2)*BB297),2)+ROUND((ROUND(((AE297-((EU297*1.1)))*AV297*1),2)*BS297),2))</f>
        <v>613.11</v>
      </c>
      <c r="CS297" s="2">
        <f t="shared" si="275"/>
        <v>53.65</v>
      </c>
      <c r="CT297" s="2">
        <f t="shared" si="276"/>
        <v>60.08</v>
      </c>
      <c r="CU297" s="2">
        <f t="shared" si="277"/>
        <v>0</v>
      </c>
      <c r="CV297" s="2">
        <f t="shared" si="278"/>
        <v>4.9407930000000002</v>
      </c>
      <c r="CW297" s="2">
        <f t="shared" si="279"/>
        <v>0</v>
      </c>
      <c r="CX297" s="2">
        <f t="shared" si="280"/>
        <v>0</v>
      </c>
      <c r="CY297" s="2">
        <f>((S297*BZ297)/100)</f>
        <v>0</v>
      </c>
      <c r="CZ297" s="2">
        <f>((S297*CA297)/100)</f>
        <v>0</v>
      </c>
      <c r="DA297" s="2"/>
      <c r="DB297" s="2"/>
      <c r="DC297" s="2" t="s">
        <v>3</v>
      </c>
      <c r="DD297" s="2" t="s">
        <v>3</v>
      </c>
      <c r="DE297" s="2" t="s">
        <v>22</v>
      </c>
      <c r="DF297" s="2" t="s">
        <v>22</v>
      </c>
      <c r="DG297" s="2" t="s">
        <v>22</v>
      </c>
      <c r="DH297" s="2" t="s">
        <v>3</v>
      </c>
      <c r="DI297" s="2" t="s">
        <v>22</v>
      </c>
      <c r="DJ297" s="2" t="s">
        <v>22</v>
      </c>
      <c r="DK297" s="2" t="s">
        <v>3</v>
      </c>
      <c r="DL297" s="2" t="s">
        <v>3</v>
      </c>
      <c r="DM297" s="2" t="s">
        <v>3</v>
      </c>
      <c r="DN297" s="2">
        <v>0</v>
      </c>
      <c r="DO297" s="2">
        <v>0</v>
      </c>
      <c r="DP297" s="2">
        <v>1</v>
      </c>
      <c r="DQ297" s="2">
        <v>1</v>
      </c>
      <c r="DR297" s="2"/>
      <c r="DS297" s="2"/>
      <c r="DT297" s="2"/>
      <c r="DU297" s="2">
        <v>1013</v>
      </c>
      <c r="DV297" s="2" t="s">
        <v>98</v>
      </c>
      <c r="DW297" s="2" t="s">
        <v>98</v>
      </c>
      <c r="DX297" s="2">
        <v>1</v>
      </c>
      <c r="DY297" s="2"/>
      <c r="DZ297" s="2" t="s">
        <v>3</v>
      </c>
      <c r="EA297" s="2" t="s">
        <v>3</v>
      </c>
      <c r="EB297" s="2" t="s">
        <v>3</v>
      </c>
      <c r="EC297" s="2" t="s">
        <v>3</v>
      </c>
      <c r="ED297" s="2"/>
      <c r="EE297" s="2">
        <v>51696197</v>
      </c>
      <c r="EF297" s="2">
        <v>30</v>
      </c>
      <c r="EG297" s="2" t="s">
        <v>16</v>
      </c>
      <c r="EH297" s="2">
        <v>0</v>
      </c>
      <c r="EI297" s="2" t="s">
        <v>3</v>
      </c>
      <c r="EJ297" s="2">
        <v>1</v>
      </c>
      <c r="EK297" s="2">
        <v>158</v>
      </c>
      <c r="EL297" s="2" t="s">
        <v>362</v>
      </c>
      <c r="EM297" s="2" t="s">
        <v>363</v>
      </c>
      <c r="EN297" s="2"/>
      <c r="EO297" s="2" t="s">
        <v>25</v>
      </c>
      <c r="EP297" s="2"/>
      <c r="EQ297" s="2">
        <v>131072</v>
      </c>
      <c r="ER297" s="2">
        <v>642.35</v>
      </c>
      <c r="ES297" s="2">
        <v>57.83</v>
      </c>
      <c r="ET297" s="2">
        <v>532.35</v>
      </c>
      <c r="EU297" s="2">
        <v>46.58</v>
      </c>
      <c r="EV297" s="2">
        <v>52.17</v>
      </c>
      <c r="EW297" s="2">
        <v>4.29</v>
      </c>
      <c r="EX297" s="2">
        <v>0</v>
      </c>
      <c r="EY297" s="2">
        <v>0</v>
      </c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>
        <v>0</v>
      </c>
      <c r="FR297" s="2">
        <v>0</v>
      </c>
      <c r="FS297" s="2">
        <v>0</v>
      </c>
      <c r="FT297" s="2"/>
      <c r="FU297" s="2"/>
      <c r="FV297" s="2"/>
      <c r="FW297" s="2"/>
      <c r="FX297" s="2">
        <v>161</v>
      </c>
      <c r="FY297" s="2">
        <v>107</v>
      </c>
      <c r="FZ297" s="2"/>
      <c r="GA297" s="2" t="s">
        <v>3</v>
      </c>
      <c r="GB297" s="2"/>
      <c r="GC297" s="2"/>
      <c r="GD297" s="2">
        <v>0</v>
      </c>
      <c r="GE297" s="2"/>
      <c r="GF297" s="2">
        <v>-399398241</v>
      </c>
      <c r="GG297" s="2">
        <v>2</v>
      </c>
      <c r="GH297" s="2">
        <v>1</v>
      </c>
      <c r="GI297" s="2">
        <v>-2</v>
      </c>
      <c r="GJ297" s="2">
        <v>0</v>
      </c>
      <c r="GK297" s="2">
        <f>ROUND(R297*(R12)/100,2)</f>
        <v>0</v>
      </c>
      <c r="GL297" s="2">
        <f t="shared" si="281"/>
        <v>0</v>
      </c>
      <c r="GM297" s="2">
        <f t="shared" si="282"/>
        <v>0</v>
      </c>
      <c r="GN297" s="2">
        <f t="shared" si="283"/>
        <v>0</v>
      </c>
      <c r="GO297" s="2">
        <f t="shared" si="284"/>
        <v>0</v>
      </c>
      <c r="GP297" s="2">
        <f t="shared" si="285"/>
        <v>0</v>
      </c>
      <c r="GQ297" s="2"/>
      <c r="GR297" s="2">
        <v>0</v>
      </c>
      <c r="GS297" s="2">
        <v>0</v>
      </c>
      <c r="GT297" s="2">
        <v>0</v>
      </c>
      <c r="GU297" s="2" t="s">
        <v>3</v>
      </c>
      <c r="GV297" s="2">
        <f t="shared" si="286"/>
        <v>0</v>
      </c>
      <c r="GW297" s="2">
        <v>1</v>
      </c>
      <c r="GX297" s="2">
        <f t="shared" si="287"/>
        <v>0</v>
      </c>
      <c r="GY297" s="2"/>
      <c r="GZ297" s="2"/>
      <c r="HA297" s="2">
        <v>0</v>
      </c>
      <c r="HB297" s="2">
        <v>0</v>
      </c>
      <c r="HC297" s="2">
        <f t="shared" si="288"/>
        <v>0</v>
      </c>
      <c r="HD297" s="2"/>
      <c r="HE297" s="2" t="s">
        <v>3</v>
      </c>
      <c r="HF297" s="2" t="s">
        <v>3</v>
      </c>
      <c r="HG297" s="2"/>
      <c r="HH297" s="2"/>
      <c r="HI297" s="2"/>
      <c r="HJ297" s="2"/>
      <c r="HK297" s="2"/>
      <c r="HL297" s="2"/>
      <c r="HM297" s="2" t="s">
        <v>3</v>
      </c>
      <c r="HN297" s="2" t="s">
        <v>3</v>
      </c>
      <c r="HO297" s="2" t="s">
        <v>3</v>
      </c>
      <c r="HP297" s="2" t="s">
        <v>3</v>
      </c>
      <c r="HQ297" s="2" t="s">
        <v>3</v>
      </c>
      <c r="HR297" s="2"/>
      <c r="HS297" s="2">
        <v>0</v>
      </c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>
        <v>0</v>
      </c>
      <c r="IL297" s="2"/>
      <c r="IM297" s="2"/>
      <c r="IN297" s="2"/>
      <c r="IO297" s="2"/>
      <c r="IP297" s="2"/>
      <c r="IQ297" s="2"/>
      <c r="IR297" s="2"/>
      <c r="IS297" s="2"/>
      <c r="IT297" s="2"/>
      <c r="IU297" s="2"/>
    </row>
    <row r="298" spans="1:255" x14ac:dyDescent="0.2">
      <c r="A298">
        <v>17</v>
      </c>
      <c r="B298">
        <v>1</v>
      </c>
      <c r="C298">
        <f>ROW(SmtRes!A204)</f>
        <v>204</v>
      </c>
      <c r="D298">
        <f>ROW(EtalonRes!A1112)</f>
        <v>1112</v>
      </c>
      <c r="E298" t="s">
        <v>376</v>
      </c>
      <c r="F298" t="s">
        <v>359</v>
      </c>
      <c r="G298" t="s">
        <v>360</v>
      </c>
      <c r="H298" t="s">
        <v>98</v>
      </c>
      <c r="I298">
        <v>0</v>
      </c>
      <c r="J298">
        <v>0</v>
      </c>
      <c r="K298">
        <v>0</v>
      </c>
      <c r="O298">
        <f t="shared" si="254"/>
        <v>0</v>
      </c>
      <c r="P298">
        <f t="shared" si="255"/>
        <v>0</v>
      </c>
      <c r="Q298">
        <f>(ROUND((ROUND((((ET298*1.1))*AV298*I298),2)*BB298),2)+ROUND((ROUND(((AE298-((EU298*1.1)))*AV298*I298),2)*BS298),2))</f>
        <v>0</v>
      </c>
      <c r="R298">
        <f t="shared" si="257"/>
        <v>0</v>
      </c>
      <c r="S298">
        <f t="shared" si="258"/>
        <v>0</v>
      </c>
      <c r="T298">
        <f t="shared" si="259"/>
        <v>0</v>
      </c>
      <c r="U298">
        <f t="shared" si="260"/>
        <v>0</v>
      </c>
      <c r="V298">
        <f t="shared" si="261"/>
        <v>0</v>
      </c>
      <c r="W298">
        <f t="shared" si="262"/>
        <v>0</v>
      </c>
      <c r="X298">
        <f t="shared" si="263"/>
        <v>0</v>
      </c>
      <c r="Y298">
        <f t="shared" si="264"/>
        <v>0</v>
      </c>
      <c r="AA298">
        <v>56616093</v>
      </c>
      <c r="AB298">
        <f t="shared" si="265"/>
        <v>700.80200000000002</v>
      </c>
      <c r="AC298">
        <f t="shared" si="266"/>
        <v>57.83</v>
      </c>
      <c r="AD298">
        <f>ROUND(((((ET298*1.1))-((EU298*1.1)))+AE298),6)</f>
        <v>585.58500000000004</v>
      </c>
      <c r="AE298">
        <f>ROUND(((EU298*1.1)),6)</f>
        <v>51.238</v>
      </c>
      <c r="AF298">
        <f>ROUND(((EV298*1.1)),6)</f>
        <v>57.387</v>
      </c>
      <c r="AG298">
        <f t="shared" si="269"/>
        <v>0</v>
      </c>
      <c r="AH298">
        <f>((EW298*1.1))</f>
        <v>4.7190000000000003</v>
      </c>
      <c r="AI298">
        <f>((EX298*1.1))</f>
        <v>0</v>
      </c>
      <c r="AJ298">
        <f t="shared" si="271"/>
        <v>0</v>
      </c>
      <c r="AK298">
        <v>642.35</v>
      </c>
      <c r="AL298">
        <v>57.83</v>
      </c>
      <c r="AM298">
        <v>532.35</v>
      </c>
      <c r="AN298">
        <v>46.58</v>
      </c>
      <c r="AO298">
        <v>52.17</v>
      </c>
      <c r="AP298">
        <v>0</v>
      </c>
      <c r="AQ298">
        <v>4.29</v>
      </c>
      <c r="AR298">
        <v>0</v>
      </c>
      <c r="AS298">
        <v>0</v>
      </c>
      <c r="AT298">
        <v>134</v>
      </c>
      <c r="AU298">
        <v>55</v>
      </c>
      <c r="AV298">
        <v>1.0469999999999999</v>
      </c>
      <c r="AW298">
        <v>1</v>
      </c>
      <c r="AZ298">
        <v>1</v>
      </c>
      <c r="BA298">
        <v>34.51</v>
      </c>
      <c r="BB298">
        <v>11.94</v>
      </c>
      <c r="BC298">
        <v>16.47</v>
      </c>
      <c r="BD298" t="s">
        <v>3</v>
      </c>
      <c r="BE298" t="s">
        <v>3</v>
      </c>
      <c r="BF298" t="s">
        <v>3</v>
      </c>
      <c r="BG298" t="s">
        <v>3</v>
      </c>
      <c r="BH298">
        <v>0</v>
      </c>
      <c r="BI298">
        <v>1</v>
      </c>
      <c r="BJ298" t="s">
        <v>361</v>
      </c>
      <c r="BM298">
        <v>158</v>
      </c>
      <c r="BN298">
        <v>0</v>
      </c>
      <c r="BO298" t="s">
        <v>359</v>
      </c>
      <c r="BP298">
        <v>1</v>
      </c>
      <c r="BQ298">
        <v>30</v>
      </c>
      <c r="BR298">
        <v>0</v>
      </c>
      <c r="BS298">
        <v>34.51</v>
      </c>
      <c r="BT298">
        <v>1</v>
      </c>
      <c r="BU298">
        <v>1</v>
      </c>
      <c r="BV298">
        <v>1</v>
      </c>
      <c r="BW298">
        <v>1</v>
      </c>
      <c r="BX298">
        <v>1</v>
      </c>
      <c r="BY298" t="s">
        <v>3</v>
      </c>
      <c r="BZ298">
        <v>134</v>
      </c>
      <c r="CA298">
        <v>55</v>
      </c>
      <c r="CB298" t="s">
        <v>3</v>
      </c>
      <c r="CE298">
        <v>30</v>
      </c>
      <c r="CF298">
        <v>0</v>
      </c>
      <c r="CG298">
        <v>0</v>
      </c>
      <c r="CM298">
        <v>0</v>
      </c>
      <c r="CN298" t="s">
        <v>671</v>
      </c>
      <c r="CO298">
        <v>0</v>
      </c>
      <c r="CP298">
        <f t="shared" si="272"/>
        <v>0</v>
      </c>
      <c r="CQ298">
        <f t="shared" si="273"/>
        <v>952.46</v>
      </c>
      <c r="CR298">
        <f>(ROUND((ROUND((((ET298*1.1))*AV298*1),2)*BB298),2)+ROUND((ROUND(((AE298-((EU298*1.1)))*AV298*1),2)*BS298),2))</f>
        <v>7320.53</v>
      </c>
      <c r="CS298">
        <f t="shared" si="275"/>
        <v>1851.46</v>
      </c>
      <c r="CT298">
        <f t="shared" si="276"/>
        <v>2073.36</v>
      </c>
      <c r="CU298">
        <f t="shared" si="277"/>
        <v>0</v>
      </c>
      <c r="CV298">
        <f t="shared" si="278"/>
        <v>4.9407930000000002</v>
      </c>
      <c r="CW298">
        <f t="shared" si="279"/>
        <v>0</v>
      </c>
      <c r="CX298">
        <f t="shared" si="280"/>
        <v>0</v>
      </c>
      <c r="CY298">
        <f>S298*(BZ298/100)</f>
        <v>0</v>
      </c>
      <c r="CZ298">
        <f>S298*(CA298/100)</f>
        <v>0</v>
      </c>
      <c r="DC298" t="s">
        <v>3</v>
      </c>
      <c r="DD298" t="s">
        <v>3</v>
      </c>
      <c r="DE298" t="s">
        <v>22</v>
      </c>
      <c r="DF298" t="s">
        <v>22</v>
      </c>
      <c r="DG298" t="s">
        <v>22</v>
      </c>
      <c r="DH298" t="s">
        <v>3</v>
      </c>
      <c r="DI298" t="s">
        <v>22</v>
      </c>
      <c r="DJ298" t="s">
        <v>22</v>
      </c>
      <c r="DK298" t="s">
        <v>3</v>
      </c>
      <c r="DL298" t="s">
        <v>3</v>
      </c>
      <c r="DM298" t="s">
        <v>3</v>
      </c>
      <c r="DN298">
        <v>161</v>
      </c>
      <c r="DO298">
        <v>107</v>
      </c>
      <c r="DP298">
        <v>1.0469999999999999</v>
      </c>
      <c r="DQ298">
        <v>1</v>
      </c>
      <c r="DU298">
        <v>1013</v>
      </c>
      <c r="DV298" t="s">
        <v>98</v>
      </c>
      <c r="DW298" t="s">
        <v>98</v>
      </c>
      <c r="DX298">
        <v>1</v>
      </c>
      <c r="DZ298" t="s">
        <v>3</v>
      </c>
      <c r="EA298" t="s">
        <v>3</v>
      </c>
      <c r="EB298" t="s">
        <v>3</v>
      </c>
      <c r="EC298" t="s">
        <v>3</v>
      </c>
      <c r="EE298">
        <v>51696197</v>
      </c>
      <c r="EF298">
        <v>30</v>
      </c>
      <c r="EG298" t="s">
        <v>16</v>
      </c>
      <c r="EH298">
        <v>0</v>
      </c>
      <c r="EI298" t="s">
        <v>3</v>
      </c>
      <c r="EJ298">
        <v>1</v>
      </c>
      <c r="EK298">
        <v>158</v>
      </c>
      <c r="EL298" t="s">
        <v>362</v>
      </c>
      <c r="EM298" t="s">
        <v>363</v>
      </c>
      <c r="EO298" t="s">
        <v>25</v>
      </c>
      <c r="EQ298">
        <v>131072</v>
      </c>
      <c r="ER298">
        <v>642.35</v>
      </c>
      <c r="ES298">
        <v>57.83</v>
      </c>
      <c r="ET298">
        <v>532.35</v>
      </c>
      <c r="EU298">
        <v>46.58</v>
      </c>
      <c r="EV298">
        <v>52.17</v>
      </c>
      <c r="EW298">
        <v>4.29</v>
      </c>
      <c r="EX298">
        <v>0</v>
      </c>
      <c r="EY298">
        <v>0</v>
      </c>
      <c r="FQ298">
        <v>0</v>
      </c>
      <c r="FR298">
        <v>0</v>
      </c>
      <c r="FS298">
        <v>0</v>
      </c>
      <c r="FX298">
        <v>161</v>
      </c>
      <c r="FY298">
        <v>107</v>
      </c>
      <c r="GA298" t="s">
        <v>3</v>
      </c>
      <c r="GD298">
        <v>0</v>
      </c>
      <c r="GF298">
        <v>-399398241</v>
      </c>
      <c r="GG298">
        <v>2</v>
      </c>
      <c r="GH298">
        <v>1</v>
      </c>
      <c r="GI298">
        <v>2</v>
      </c>
      <c r="GJ298">
        <v>0</v>
      </c>
      <c r="GK298">
        <f>ROUND(R298*(S12)/100,2)</f>
        <v>0</v>
      </c>
      <c r="GL298">
        <f t="shared" si="281"/>
        <v>0</v>
      </c>
      <c r="GM298">
        <f t="shared" si="282"/>
        <v>0</v>
      </c>
      <c r="GN298">
        <f t="shared" si="283"/>
        <v>0</v>
      </c>
      <c r="GO298">
        <f t="shared" si="284"/>
        <v>0</v>
      </c>
      <c r="GP298">
        <f t="shared" si="285"/>
        <v>0</v>
      </c>
      <c r="GR298">
        <v>0</v>
      </c>
      <c r="GS298">
        <v>3</v>
      </c>
      <c r="GT298">
        <v>0</v>
      </c>
      <c r="GU298" t="s">
        <v>3</v>
      </c>
      <c r="GV298">
        <f t="shared" si="286"/>
        <v>0</v>
      </c>
      <c r="GW298">
        <v>1</v>
      </c>
      <c r="GX298">
        <f t="shared" si="287"/>
        <v>0</v>
      </c>
      <c r="HA298">
        <v>0</v>
      </c>
      <c r="HB298">
        <v>0</v>
      </c>
      <c r="HC298">
        <f t="shared" si="288"/>
        <v>0</v>
      </c>
      <c r="HE298" t="s">
        <v>3</v>
      </c>
      <c r="HF298" t="s">
        <v>3</v>
      </c>
      <c r="HM298" t="s">
        <v>3</v>
      </c>
      <c r="HN298" t="s">
        <v>3</v>
      </c>
      <c r="HO298" t="s">
        <v>3</v>
      </c>
      <c r="HP298" t="s">
        <v>3</v>
      </c>
      <c r="HQ298" t="s">
        <v>3</v>
      </c>
      <c r="HS298">
        <v>0</v>
      </c>
      <c r="IK298">
        <v>0</v>
      </c>
    </row>
    <row r="299" spans="1:255" x14ac:dyDescent="0.2">
      <c r="A299" s="2">
        <v>18</v>
      </c>
      <c r="B299" s="2">
        <v>1</v>
      </c>
      <c r="C299" s="2">
        <v>203</v>
      </c>
      <c r="D299" s="2"/>
      <c r="E299" s="2" t="s">
        <v>377</v>
      </c>
      <c r="F299" s="2" t="s">
        <v>378</v>
      </c>
      <c r="G299" s="2" t="s">
        <v>379</v>
      </c>
      <c r="H299" s="2" t="s">
        <v>367</v>
      </c>
      <c r="I299" s="2">
        <f>I297*J299</f>
        <v>0</v>
      </c>
      <c r="J299" s="2">
        <v>9.66</v>
      </c>
      <c r="K299" s="2">
        <v>9.66</v>
      </c>
      <c r="L299" s="2"/>
      <c r="M299" s="2"/>
      <c r="N299" s="2"/>
      <c r="O299" s="2">
        <f t="shared" si="254"/>
        <v>0</v>
      </c>
      <c r="P299" s="2">
        <f t="shared" si="255"/>
        <v>0</v>
      </c>
      <c r="Q299" s="2">
        <f>(ROUND((ROUND(((ET299)*AV299*I299),2)*BB299),2)+ROUND((ROUND(((AE299-(EU299))*AV299*I299),2)*BS299),2))</f>
        <v>0</v>
      </c>
      <c r="R299" s="2">
        <f t="shared" si="257"/>
        <v>0</v>
      </c>
      <c r="S299" s="2">
        <f t="shared" si="258"/>
        <v>0</v>
      </c>
      <c r="T299" s="2">
        <f t="shared" si="259"/>
        <v>0</v>
      </c>
      <c r="U299" s="2">
        <f t="shared" si="260"/>
        <v>0</v>
      </c>
      <c r="V299" s="2">
        <f t="shared" si="261"/>
        <v>0</v>
      </c>
      <c r="W299" s="2">
        <f t="shared" si="262"/>
        <v>0</v>
      </c>
      <c r="X299" s="2">
        <f t="shared" si="263"/>
        <v>0</v>
      </c>
      <c r="Y299" s="2">
        <f t="shared" si="264"/>
        <v>0</v>
      </c>
      <c r="Z299" s="2"/>
      <c r="AA299" s="2">
        <v>56622586</v>
      </c>
      <c r="AB299" s="2">
        <f t="shared" si="265"/>
        <v>307.58999999999997</v>
      </c>
      <c r="AC299" s="2">
        <f t="shared" si="266"/>
        <v>307.58999999999997</v>
      </c>
      <c r="AD299" s="2">
        <f>ROUND((((ET299)-(EU299))+AE299),6)</f>
        <v>0</v>
      </c>
      <c r="AE299" s="2">
        <f>ROUND((EU299),6)</f>
        <v>0</v>
      </c>
      <c r="AF299" s="2">
        <f>ROUND((EV299),6)</f>
        <v>0</v>
      </c>
      <c r="AG299" s="2">
        <f t="shared" si="269"/>
        <v>0</v>
      </c>
      <c r="AH299" s="2">
        <f>(EW299)</f>
        <v>0</v>
      </c>
      <c r="AI299" s="2">
        <f>(EX299)</f>
        <v>0</v>
      </c>
      <c r="AJ299" s="2">
        <f t="shared" si="271"/>
        <v>0</v>
      </c>
      <c r="AK299" s="2">
        <v>307.58999999999997</v>
      </c>
      <c r="AL299" s="2">
        <v>307.58999999999997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161</v>
      </c>
      <c r="AU299" s="2">
        <v>107</v>
      </c>
      <c r="AV299" s="2">
        <v>1.0469999999999999</v>
      </c>
      <c r="AW299" s="2">
        <v>1</v>
      </c>
      <c r="AX299" s="2"/>
      <c r="AY299" s="2"/>
      <c r="AZ299" s="2">
        <v>1</v>
      </c>
      <c r="BA299" s="2">
        <v>1</v>
      </c>
      <c r="BB299" s="2">
        <v>1</v>
      </c>
      <c r="BC299" s="2">
        <v>1</v>
      </c>
      <c r="BD299" s="2" t="s">
        <v>3</v>
      </c>
      <c r="BE299" s="2" t="s">
        <v>3</v>
      </c>
      <c r="BF299" s="2" t="s">
        <v>3</v>
      </c>
      <c r="BG299" s="2" t="s">
        <v>3</v>
      </c>
      <c r="BH299" s="2">
        <v>3</v>
      </c>
      <c r="BI299" s="2">
        <v>1</v>
      </c>
      <c r="BJ299" s="2" t="s">
        <v>380</v>
      </c>
      <c r="BK299" s="2"/>
      <c r="BL299" s="2"/>
      <c r="BM299" s="2">
        <v>158</v>
      </c>
      <c r="BN299" s="2">
        <v>0</v>
      </c>
      <c r="BO299" s="2" t="s">
        <v>3</v>
      </c>
      <c r="BP299" s="2">
        <v>0</v>
      </c>
      <c r="BQ299" s="2">
        <v>30</v>
      </c>
      <c r="BR299" s="2">
        <v>0</v>
      </c>
      <c r="BS299" s="2">
        <v>1</v>
      </c>
      <c r="BT299" s="2">
        <v>1</v>
      </c>
      <c r="BU299" s="2">
        <v>1</v>
      </c>
      <c r="BV299" s="2">
        <v>1</v>
      </c>
      <c r="BW299" s="2">
        <v>1</v>
      </c>
      <c r="BX299" s="2">
        <v>1</v>
      </c>
      <c r="BY299" s="2" t="s">
        <v>3</v>
      </c>
      <c r="BZ299" s="2">
        <v>161</v>
      </c>
      <c r="CA299" s="2">
        <v>107</v>
      </c>
      <c r="CB299" s="2" t="s">
        <v>3</v>
      </c>
      <c r="CC299" s="2"/>
      <c r="CD299" s="2"/>
      <c r="CE299" s="2">
        <v>30</v>
      </c>
      <c r="CF299" s="2">
        <v>0</v>
      </c>
      <c r="CG299" s="2">
        <v>0</v>
      </c>
      <c r="CH299" s="2"/>
      <c r="CI299" s="2"/>
      <c r="CJ299" s="2"/>
      <c r="CK299" s="2"/>
      <c r="CL299" s="2"/>
      <c r="CM299" s="2">
        <v>0</v>
      </c>
      <c r="CN299" s="2" t="s">
        <v>3</v>
      </c>
      <c r="CO299" s="2">
        <v>0</v>
      </c>
      <c r="CP299" s="2">
        <f t="shared" si="272"/>
        <v>0</v>
      </c>
      <c r="CQ299" s="2">
        <f t="shared" si="273"/>
        <v>307.58999999999997</v>
      </c>
      <c r="CR299" s="2">
        <f>(ROUND((ROUND(((ET299)*AV299*1),2)*BB299),2)+ROUND((ROUND(((AE299-(EU299))*AV299*1),2)*BS299),2))</f>
        <v>0</v>
      </c>
      <c r="CS299" s="2">
        <f t="shared" si="275"/>
        <v>0</v>
      </c>
      <c r="CT299" s="2">
        <f t="shared" si="276"/>
        <v>0</v>
      </c>
      <c r="CU299" s="2">
        <f t="shared" si="277"/>
        <v>0</v>
      </c>
      <c r="CV299" s="2">
        <f t="shared" si="278"/>
        <v>0</v>
      </c>
      <c r="CW299" s="2">
        <f t="shared" si="279"/>
        <v>0</v>
      </c>
      <c r="CX299" s="2">
        <f t="shared" si="280"/>
        <v>0</v>
      </c>
      <c r="CY299" s="2">
        <f>((S299*BZ299)/100)</f>
        <v>0</v>
      </c>
      <c r="CZ299" s="2">
        <f>((S299*CA299)/100)</f>
        <v>0</v>
      </c>
      <c r="DA299" s="2"/>
      <c r="DB299" s="2"/>
      <c r="DC299" s="2" t="s">
        <v>3</v>
      </c>
      <c r="DD299" s="2" t="s">
        <v>3</v>
      </c>
      <c r="DE299" s="2" t="s">
        <v>3</v>
      </c>
      <c r="DF299" s="2" t="s">
        <v>3</v>
      </c>
      <c r="DG299" s="2" t="s">
        <v>3</v>
      </c>
      <c r="DH299" s="2" t="s">
        <v>3</v>
      </c>
      <c r="DI299" s="2" t="s">
        <v>3</v>
      </c>
      <c r="DJ299" s="2" t="s">
        <v>3</v>
      </c>
      <c r="DK299" s="2" t="s">
        <v>3</v>
      </c>
      <c r="DL299" s="2" t="s">
        <v>3</v>
      </c>
      <c r="DM299" s="2" t="s">
        <v>3</v>
      </c>
      <c r="DN299" s="2">
        <v>0</v>
      </c>
      <c r="DO299" s="2">
        <v>0</v>
      </c>
      <c r="DP299" s="2">
        <v>1</v>
      </c>
      <c r="DQ299" s="2">
        <v>1</v>
      </c>
      <c r="DR299" s="2"/>
      <c r="DS299" s="2"/>
      <c r="DT299" s="2"/>
      <c r="DU299" s="2">
        <v>1009</v>
      </c>
      <c r="DV299" s="2" t="s">
        <v>367</v>
      </c>
      <c r="DW299" s="2" t="s">
        <v>367</v>
      </c>
      <c r="DX299" s="2">
        <v>1000</v>
      </c>
      <c r="DY299" s="2"/>
      <c r="DZ299" s="2" t="s">
        <v>3</v>
      </c>
      <c r="EA299" s="2" t="s">
        <v>3</v>
      </c>
      <c r="EB299" s="2" t="s">
        <v>3</v>
      </c>
      <c r="EC299" s="2" t="s">
        <v>3</v>
      </c>
      <c r="ED299" s="2"/>
      <c r="EE299" s="2">
        <v>51696197</v>
      </c>
      <c r="EF299" s="2">
        <v>30</v>
      </c>
      <c r="EG299" s="2" t="s">
        <v>16</v>
      </c>
      <c r="EH299" s="2">
        <v>0</v>
      </c>
      <c r="EI299" s="2" t="s">
        <v>3</v>
      </c>
      <c r="EJ299" s="2">
        <v>1</v>
      </c>
      <c r="EK299" s="2">
        <v>158</v>
      </c>
      <c r="EL299" s="2" t="s">
        <v>362</v>
      </c>
      <c r="EM299" s="2" t="s">
        <v>363</v>
      </c>
      <c r="EN299" s="2"/>
      <c r="EO299" s="2" t="s">
        <v>3</v>
      </c>
      <c r="EP299" s="2"/>
      <c r="EQ299" s="2">
        <v>0</v>
      </c>
      <c r="ER299" s="2">
        <v>307.58999999999997</v>
      </c>
      <c r="ES299" s="2">
        <v>307.58999999999997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>
        <v>0</v>
      </c>
      <c r="FR299" s="2">
        <v>0</v>
      </c>
      <c r="FS299" s="2">
        <v>0</v>
      </c>
      <c r="FT299" s="2"/>
      <c r="FU299" s="2"/>
      <c r="FV299" s="2"/>
      <c r="FW299" s="2"/>
      <c r="FX299" s="2">
        <v>161</v>
      </c>
      <c r="FY299" s="2">
        <v>107</v>
      </c>
      <c r="FZ299" s="2"/>
      <c r="GA299" s="2" t="s">
        <v>3</v>
      </c>
      <c r="GB299" s="2"/>
      <c r="GC299" s="2"/>
      <c r="GD299" s="2">
        <v>0</v>
      </c>
      <c r="GE299" s="2"/>
      <c r="GF299" s="2">
        <v>-1899420918</v>
      </c>
      <c r="GG299" s="2">
        <v>2</v>
      </c>
      <c r="GH299" s="2">
        <v>1</v>
      </c>
      <c r="GI299" s="2">
        <v>-2</v>
      </c>
      <c r="GJ299" s="2">
        <v>0</v>
      </c>
      <c r="GK299" s="2">
        <f>ROUND(R299*(R12)/100,2)</f>
        <v>0</v>
      </c>
      <c r="GL299" s="2">
        <f t="shared" si="281"/>
        <v>0</v>
      </c>
      <c r="GM299" s="2">
        <f t="shared" si="282"/>
        <v>0</v>
      </c>
      <c r="GN299" s="2">
        <f t="shared" si="283"/>
        <v>0</v>
      </c>
      <c r="GO299" s="2">
        <f t="shared" si="284"/>
        <v>0</v>
      </c>
      <c r="GP299" s="2">
        <f t="shared" si="285"/>
        <v>0</v>
      </c>
      <c r="GQ299" s="2"/>
      <c r="GR299" s="2">
        <v>0</v>
      </c>
      <c r="GS299" s="2">
        <v>0</v>
      </c>
      <c r="GT299" s="2">
        <v>0</v>
      </c>
      <c r="GU299" s="2" t="s">
        <v>3</v>
      </c>
      <c r="GV299" s="2">
        <f t="shared" si="286"/>
        <v>0</v>
      </c>
      <c r="GW299" s="2">
        <v>1</v>
      </c>
      <c r="GX299" s="2">
        <f t="shared" si="287"/>
        <v>0</v>
      </c>
      <c r="GY299" s="2"/>
      <c r="GZ299" s="2"/>
      <c r="HA299" s="2">
        <v>0</v>
      </c>
      <c r="HB299" s="2">
        <v>0</v>
      </c>
      <c r="HC299" s="2">
        <f t="shared" si="288"/>
        <v>0</v>
      </c>
      <c r="HD299" s="2"/>
      <c r="HE299" s="2" t="s">
        <v>3</v>
      </c>
      <c r="HF299" s="2" t="s">
        <v>3</v>
      </c>
      <c r="HG299" s="2"/>
      <c r="HH299" s="2"/>
      <c r="HI299" s="2"/>
      <c r="HJ299" s="2"/>
      <c r="HK299" s="2"/>
      <c r="HL299" s="2"/>
      <c r="HM299" s="2" t="s">
        <v>3</v>
      </c>
      <c r="HN299" s="2" t="s">
        <v>3</v>
      </c>
      <c r="HO299" s="2" t="s">
        <v>3</v>
      </c>
      <c r="HP299" s="2" t="s">
        <v>3</v>
      </c>
      <c r="HQ299" s="2" t="s">
        <v>3</v>
      </c>
      <c r="HR299" s="2"/>
      <c r="HS299" s="2">
        <v>0</v>
      </c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>
        <v>0</v>
      </c>
      <c r="IL299" s="2"/>
      <c r="IM299" s="2"/>
      <c r="IN299" s="2"/>
      <c r="IO299" s="2"/>
      <c r="IP299" s="2"/>
      <c r="IQ299" s="2"/>
      <c r="IR299" s="2"/>
      <c r="IS299" s="2"/>
      <c r="IT299" s="2"/>
      <c r="IU299" s="2"/>
    </row>
    <row r="300" spans="1:255" x14ac:dyDescent="0.2">
      <c r="A300">
        <v>18</v>
      </c>
      <c r="B300">
        <v>1</v>
      </c>
      <c r="C300">
        <v>204</v>
      </c>
      <c r="E300" t="s">
        <v>377</v>
      </c>
      <c r="F300" t="s">
        <v>378</v>
      </c>
      <c r="G300" t="s">
        <v>379</v>
      </c>
      <c r="H300" t="s">
        <v>367</v>
      </c>
      <c r="I300">
        <f>I298*J300</f>
        <v>0</v>
      </c>
      <c r="J300">
        <v>9.66</v>
      </c>
      <c r="K300">
        <v>9.66</v>
      </c>
      <c r="O300">
        <f t="shared" si="254"/>
        <v>0</v>
      </c>
      <c r="P300">
        <f t="shared" si="255"/>
        <v>0</v>
      </c>
      <c r="Q300">
        <f>(ROUND((ROUND(((ET300)*AV300*I300),2)*BB300),2)+ROUND((ROUND(((AE300-(EU300))*AV300*I300),2)*BS300),2))</f>
        <v>0</v>
      </c>
      <c r="R300">
        <f t="shared" si="257"/>
        <v>0</v>
      </c>
      <c r="S300">
        <f t="shared" si="258"/>
        <v>0</v>
      </c>
      <c r="T300">
        <f t="shared" si="259"/>
        <v>0</v>
      </c>
      <c r="U300">
        <f t="shared" si="260"/>
        <v>0</v>
      </c>
      <c r="V300">
        <f t="shared" si="261"/>
        <v>0</v>
      </c>
      <c r="W300">
        <f t="shared" si="262"/>
        <v>0</v>
      </c>
      <c r="X300">
        <f t="shared" si="263"/>
        <v>0</v>
      </c>
      <c r="Y300">
        <f t="shared" si="264"/>
        <v>0</v>
      </c>
      <c r="AA300">
        <v>56616093</v>
      </c>
      <c r="AB300">
        <f t="shared" si="265"/>
        <v>307.58999999999997</v>
      </c>
      <c r="AC300">
        <f t="shared" si="266"/>
        <v>307.58999999999997</v>
      </c>
      <c r="AD300">
        <f>ROUND((((ET300)-(EU300))+AE300),6)</f>
        <v>0</v>
      </c>
      <c r="AE300">
        <f>ROUND((EU300),6)</f>
        <v>0</v>
      </c>
      <c r="AF300">
        <f>ROUND((EV300),6)</f>
        <v>0</v>
      </c>
      <c r="AG300">
        <f t="shared" si="269"/>
        <v>0</v>
      </c>
      <c r="AH300">
        <f>(EW300)</f>
        <v>0</v>
      </c>
      <c r="AI300">
        <f>(EX300)</f>
        <v>0</v>
      </c>
      <c r="AJ300">
        <f t="shared" si="271"/>
        <v>0</v>
      </c>
      <c r="AK300">
        <v>307.58999999999997</v>
      </c>
      <c r="AL300">
        <v>307.58999999999997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1</v>
      </c>
      <c r="AZ300">
        <v>1</v>
      </c>
      <c r="BA300">
        <v>1</v>
      </c>
      <c r="BB300">
        <v>1</v>
      </c>
      <c r="BC300">
        <v>15.32</v>
      </c>
      <c r="BD300" t="s">
        <v>3</v>
      </c>
      <c r="BE300" t="s">
        <v>3</v>
      </c>
      <c r="BF300" t="s">
        <v>3</v>
      </c>
      <c r="BG300" t="s">
        <v>3</v>
      </c>
      <c r="BH300">
        <v>3</v>
      </c>
      <c r="BI300">
        <v>1</v>
      </c>
      <c r="BJ300" t="s">
        <v>380</v>
      </c>
      <c r="BM300">
        <v>158</v>
      </c>
      <c r="BN300">
        <v>0</v>
      </c>
      <c r="BO300" t="s">
        <v>378</v>
      </c>
      <c r="BP300">
        <v>1</v>
      </c>
      <c r="BQ300">
        <v>30</v>
      </c>
      <c r="BR300">
        <v>0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 t="s">
        <v>3</v>
      </c>
      <c r="BZ300">
        <v>0</v>
      </c>
      <c r="CA300">
        <v>0</v>
      </c>
      <c r="CB300" t="s">
        <v>3</v>
      </c>
      <c r="CE300">
        <v>30</v>
      </c>
      <c r="CF300">
        <v>0</v>
      </c>
      <c r="CG300">
        <v>0</v>
      </c>
      <c r="CM300">
        <v>0</v>
      </c>
      <c r="CN300" t="s">
        <v>3</v>
      </c>
      <c r="CO300">
        <v>0</v>
      </c>
      <c r="CP300">
        <f t="shared" si="272"/>
        <v>0</v>
      </c>
      <c r="CQ300">
        <f t="shared" si="273"/>
        <v>4712.28</v>
      </c>
      <c r="CR300">
        <f>(ROUND((ROUND(((ET300)*AV300*1),2)*BB300),2)+ROUND((ROUND(((AE300-(EU300))*AV300*1),2)*BS300),2))</f>
        <v>0</v>
      </c>
      <c r="CS300">
        <f t="shared" si="275"/>
        <v>0</v>
      </c>
      <c r="CT300">
        <f t="shared" si="276"/>
        <v>0</v>
      </c>
      <c r="CU300">
        <f t="shared" si="277"/>
        <v>0</v>
      </c>
      <c r="CV300">
        <f t="shared" si="278"/>
        <v>0</v>
      </c>
      <c r="CW300">
        <f t="shared" si="279"/>
        <v>0</v>
      </c>
      <c r="CX300">
        <f t="shared" si="280"/>
        <v>0</v>
      </c>
      <c r="CY300">
        <f>S300*(BZ300/100)</f>
        <v>0</v>
      </c>
      <c r="CZ300">
        <f>S300*(CA300/100)</f>
        <v>0</v>
      </c>
      <c r="DC300" t="s">
        <v>3</v>
      </c>
      <c r="DD300" t="s">
        <v>3</v>
      </c>
      <c r="DE300" t="s">
        <v>3</v>
      </c>
      <c r="DF300" t="s">
        <v>3</v>
      </c>
      <c r="DG300" t="s">
        <v>3</v>
      </c>
      <c r="DH300" t="s">
        <v>3</v>
      </c>
      <c r="DI300" t="s">
        <v>3</v>
      </c>
      <c r="DJ300" t="s">
        <v>3</v>
      </c>
      <c r="DK300" t="s">
        <v>3</v>
      </c>
      <c r="DL300" t="s">
        <v>3</v>
      </c>
      <c r="DM300" t="s">
        <v>3</v>
      </c>
      <c r="DN300">
        <v>161</v>
      </c>
      <c r="DO300">
        <v>107</v>
      </c>
      <c r="DP300">
        <v>1.0469999999999999</v>
      </c>
      <c r="DQ300">
        <v>1</v>
      </c>
      <c r="DU300">
        <v>1009</v>
      </c>
      <c r="DV300" t="s">
        <v>367</v>
      </c>
      <c r="DW300" t="s">
        <v>367</v>
      </c>
      <c r="DX300">
        <v>1000</v>
      </c>
      <c r="DZ300" t="s">
        <v>3</v>
      </c>
      <c r="EA300" t="s">
        <v>3</v>
      </c>
      <c r="EB300" t="s">
        <v>3</v>
      </c>
      <c r="EC300" t="s">
        <v>3</v>
      </c>
      <c r="EE300">
        <v>51696197</v>
      </c>
      <c r="EF300">
        <v>30</v>
      </c>
      <c r="EG300" t="s">
        <v>16</v>
      </c>
      <c r="EH300">
        <v>0</v>
      </c>
      <c r="EI300" t="s">
        <v>3</v>
      </c>
      <c r="EJ300">
        <v>1</v>
      </c>
      <c r="EK300">
        <v>158</v>
      </c>
      <c r="EL300" t="s">
        <v>362</v>
      </c>
      <c r="EM300" t="s">
        <v>363</v>
      </c>
      <c r="EO300" t="s">
        <v>3</v>
      </c>
      <c r="EQ300">
        <v>0</v>
      </c>
      <c r="ER300">
        <v>307.58999999999997</v>
      </c>
      <c r="ES300">
        <v>307.58999999999997</v>
      </c>
      <c r="ET300">
        <v>0</v>
      </c>
      <c r="EU300">
        <v>0</v>
      </c>
      <c r="EV300">
        <v>0</v>
      </c>
      <c r="EW300">
        <v>0</v>
      </c>
      <c r="EX300">
        <v>0</v>
      </c>
      <c r="FQ300">
        <v>0</v>
      </c>
      <c r="FR300">
        <v>0</v>
      </c>
      <c r="FS300">
        <v>0</v>
      </c>
      <c r="FX300">
        <v>161</v>
      </c>
      <c r="FY300">
        <v>107</v>
      </c>
      <c r="GA300" t="s">
        <v>3</v>
      </c>
      <c r="GD300">
        <v>0</v>
      </c>
      <c r="GF300">
        <v>-1899420918</v>
      </c>
      <c r="GG300">
        <v>2</v>
      </c>
      <c r="GH300">
        <v>1</v>
      </c>
      <c r="GI300">
        <v>2</v>
      </c>
      <c r="GJ300">
        <v>0</v>
      </c>
      <c r="GK300">
        <f>ROUND(R300*(S12)/100,2)</f>
        <v>0</v>
      </c>
      <c r="GL300">
        <f t="shared" si="281"/>
        <v>0</v>
      </c>
      <c r="GM300">
        <f t="shared" si="282"/>
        <v>0</v>
      </c>
      <c r="GN300">
        <f t="shared" si="283"/>
        <v>0</v>
      </c>
      <c r="GO300">
        <f t="shared" si="284"/>
        <v>0</v>
      </c>
      <c r="GP300">
        <f t="shared" si="285"/>
        <v>0</v>
      </c>
      <c r="GR300">
        <v>0</v>
      </c>
      <c r="GS300">
        <v>3</v>
      </c>
      <c r="GT300">
        <v>0</v>
      </c>
      <c r="GU300" t="s">
        <v>3</v>
      </c>
      <c r="GV300">
        <f t="shared" si="286"/>
        <v>0</v>
      </c>
      <c r="GW300">
        <v>1</v>
      </c>
      <c r="GX300">
        <f t="shared" si="287"/>
        <v>0</v>
      </c>
      <c r="HA300">
        <v>0</v>
      </c>
      <c r="HB300">
        <v>0</v>
      </c>
      <c r="HC300">
        <f t="shared" si="288"/>
        <v>0</v>
      </c>
      <c r="HE300" t="s">
        <v>3</v>
      </c>
      <c r="HF300" t="s">
        <v>3</v>
      </c>
      <c r="HM300" t="s">
        <v>3</v>
      </c>
      <c r="HN300" t="s">
        <v>3</v>
      </c>
      <c r="HO300" t="s">
        <v>3</v>
      </c>
      <c r="HP300" t="s">
        <v>3</v>
      </c>
      <c r="HQ300" t="s">
        <v>3</v>
      </c>
      <c r="HS300">
        <v>0</v>
      </c>
      <c r="IK300">
        <v>0</v>
      </c>
    </row>
    <row r="302" spans="1:255" x14ac:dyDescent="0.2">
      <c r="A302" s="3">
        <v>51</v>
      </c>
      <c r="B302" s="3">
        <f>B263</f>
        <v>1</v>
      </c>
      <c r="C302" s="3">
        <f>A263</f>
        <v>5</v>
      </c>
      <c r="D302" s="3">
        <f>ROW(A263)</f>
        <v>263</v>
      </c>
      <c r="E302" s="3"/>
      <c r="F302" s="3" t="str">
        <f>IF(F263&lt;&gt;"",F263,"")</f>
        <v>Новый подраздел</v>
      </c>
      <c r="G302" s="3" t="str">
        <f>IF(G263&lt;&gt;"",G263,"")</f>
        <v>Дорога</v>
      </c>
      <c r="H302" s="3">
        <v>0</v>
      </c>
      <c r="I302" s="3"/>
      <c r="J302" s="3"/>
      <c r="K302" s="3"/>
      <c r="L302" s="3"/>
      <c r="M302" s="3"/>
      <c r="N302" s="3"/>
      <c r="O302" s="3">
        <f t="shared" ref="O302:T302" si="289">ROUND(AB302,2)</f>
        <v>0</v>
      </c>
      <c r="P302" s="3">
        <f t="shared" si="289"/>
        <v>0</v>
      </c>
      <c r="Q302" s="3">
        <f t="shared" si="289"/>
        <v>0</v>
      </c>
      <c r="R302" s="3">
        <f t="shared" si="289"/>
        <v>0</v>
      </c>
      <c r="S302" s="3">
        <f t="shared" si="289"/>
        <v>0</v>
      </c>
      <c r="T302" s="3">
        <f t="shared" si="289"/>
        <v>0</v>
      </c>
      <c r="U302" s="3">
        <f>AH302</f>
        <v>0</v>
      </c>
      <c r="V302" s="3">
        <f>AI302</f>
        <v>0</v>
      </c>
      <c r="W302" s="3">
        <f>ROUND(AJ302,2)</f>
        <v>0</v>
      </c>
      <c r="X302" s="3">
        <f>ROUND(AK302,2)</f>
        <v>0</v>
      </c>
      <c r="Y302" s="3">
        <f>ROUND(AL302,2)</f>
        <v>0</v>
      </c>
      <c r="Z302" s="3"/>
      <c r="AA302" s="3"/>
      <c r="AB302" s="3">
        <f>ROUND(SUMIF(AA267:AA300,"=56622586",O267:O300),2)</f>
        <v>0</v>
      </c>
      <c r="AC302" s="3">
        <f>ROUND(SUMIF(AA267:AA300,"=56622586",P267:P300),2)</f>
        <v>0</v>
      </c>
      <c r="AD302" s="3">
        <f>ROUND(SUMIF(AA267:AA300,"=56622586",Q267:Q300),2)</f>
        <v>0</v>
      </c>
      <c r="AE302" s="3">
        <f>ROUND(SUMIF(AA267:AA300,"=56622586",R267:R300),2)</f>
        <v>0</v>
      </c>
      <c r="AF302" s="3">
        <f>ROUND(SUMIF(AA267:AA300,"=56622586",S267:S300),2)</f>
        <v>0</v>
      </c>
      <c r="AG302" s="3">
        <f>ROUND(SUMIF(AA267:AA300,"=56622586",T267:T300),2)</f>
        <v>0</v>
      </c>
      <c r="AH302" s="3">
        <f>SUMIF(AA267:AA300,"=56622586",U267:U300)</f>
        <v>0</v>
      </c>
      <c r="AI302" s="3">
        <f>SUMIF(AA267:AA300,"=56622586",V267:V300)</f>
        <v>0</v>
      </c>
      <c r="AJ302" s="3">
        <f>ROUND(SUMIF(AA267:AA300,"=56622586",W267:W300),2)</f>
        <v>0</v>
      </c>
      <c r="AK302" s="3">
        <f>ROUND(SUMIF(AA267:AA300,"=56622586",X267:X300),2)</f>
        <v>0</v>
      </c>
      <c r="AL302" s="3">
        <f>ROUND(SUMIF(AA267:AA300,"=56622586",Y267:Y300),2)</f>
        <v>0</v>
      </c>
      <c r="AM302" s="3"/>
      <c r="AN302" s="3"/>
      <c r="AO302" s="3">
        <f t="shared" ref="AO302:BD302" si="290">ROUND(BX302,2)</f>
        <v>0</v>
      </c>
      <c r="AP302" s="3">
        <f t="shared" si="290"/>
        <v>0</v>
      </c>
      <c r="AQ302" s="3">
        <f t="shared" si="290"/>
        <v>0</v>
      </c>
      <c r="AR302" s="3">
        <f t="shared" si="290"/>
        <v>0</v>
      </c>
      <c r="AS302" s="3">
        <f t="shared" si="290"/>
        <v>0</v>
      </c>
      <c r="AT302" s="3">
        <f t="shared" si="290"/>
        <v>0</v>
      </c>
      <c r="AU302" s="3">
        <f t="shared" si="290"/>
        <v>0</v>
      </c>
      <c r="AV302" s="3">
        <f t="shared" si="290"/>
        <v>0</v>
      </c>
      <c r="AW302" s="3">
        <f t="shared" si="290"/>
        <v>0</v>
      </c>
      <c r="AX302" s="3">
        <f t="shared" si="290"/>
        <v>0</v>
      </c>
      <c r="AY302" s="3">
        <f t="shared" si="290"/>
        <v>0</v>
      </c>
      <c r="AZ302" s="3">
        <f t="shared" si="290"/>
        <v>0</v>
      </c>
      <c r="BA302" s="3">
        <f t="shared" si="290"/>
        <v>0</v>
      </c>
      <c r="BB302" s="3">
        <f t="shared" si="290"/>
        <v>0</v>
      </c>
      <c r="BC302" s="3">
        <f t="shared" si="290"/>
        <v>0</v>
      </c>
      <c r="BD302" s="3">
        <f t="shared" si="290"/>
        <v>0</v>
      </c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>
        <f>ROUND(SUMIF(AA267:AA300,"=56622586",FQ267:FQ300),2)</f>
        <v>0</v>
      </c>
      <c r="BY302" s="3">
        <f>ROUND(SUMIF(AA267:AA300,"=56622586",FR267:FR300),2)</f>
        <v>0</v>
      </c>
      <c r="BZ302" s="3">
        <f>ROUND(SUMIF(AA267:AA300,"=56622586",GL267:GL300),2)</f>
        <v>0</v>
      </c>
      <c r="CA302" s="3">
        <f>ROUND(SUMIF(AA267:AA300,"=56622586",GM267:GM300),2)</f>
        <v>0</v>
      </c>
      <c r="CB302" s="3">
        <f>ROUND(SUMIF(AA267:AA300,"=56622586",GN267:GN300),2)</f>
        <v>0</v>
      </c>
      <c r="CC302" s="3">
        <f>ROUND(SUMIF(AA267:AA300,"=56622586",GO267:GO300),2)</f>
        <v>0</v>
      </c>
      <c r="CD302" s="3">
        <f>ROUND(SUMIF(AA267:AA300,"=56622586",GP267:GP300),2)</f>
        <v>0</v>
      </c>
      <c r="CE302" s="3">
        <f>AC302-BX302</f>
        <v>0</v>
      </c>
      <c r="CF302" s="3">
        <f>AC302-BY302</f>
        <v>0</v>
      </c>
      <c r="CG302" s="3">
        <f>BX302-BZ302</f>
        <v>0</v>
      </c>
      <c r="CH302" s="3">
        <f>AC302-BX302-BY302+BZ302</f>
        <v>0</v>
      </c>
      <c r="CI302" s="3">
        <f>BY302-BZ302</f>
        <v>0</v>
      </c>
      <c r="CJ302" s="3">
        <f>ROUND(SUMIF(AA267:AA300,"=56622586",GX267:GX300),2)</f>
        <v>0</v>
      </c>
      <c r="CK302" s="3">
        <f>ROUND(SUMIF(AA267:AA300,"=56622586",GY267:GY300),2)</f>
        <v>0</v>
      </c>
      <c r="CL302" s="3">
        <f>ROUND(SUMIF(AA267:AA300,"=56622586",GZ267:GZ300),2)</f>
        <v>0</v>
      </c>
      <c r="CM302" s="3">
        <f>ROUND(SUMIF(AA267:AA300,"=56622586",HD267:HD300),2)</f>
        <v>0</v>
      </c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4">
        <f t="shared" ref="DG302:DL302" si="291">ROUND(DT302,2)</f>
        <v>0</v>
      </c>
      <c r="DH302" s="4">
        <f t="shared" si="291"/>
        <v>0</v>
      </c>
      <c r="DI302" s="4">
        <f t="shared" si="291"/>
        <v>0</v>
      </c>
      <c r="DJ302" s="4">
        <f t="shared" si="291"/>
        <v>0</v>
      </c>
      <c r="DK302" s="4">
        <f t="shared" si="291"/>
        <v>0</v>
      </c>
      <c r="DL302" s="4">
        <f t="shared" si="291"/>
        <v>0</v>
      </c>
      <c r="DM302" s="4">
        <f>DZ302</f>
        <v>0</v>
      </c>
      <c r="DN302" s="4">
        <f>EA302</f>
        <v>0</v>
      </c>
      <c r="DO302" s="4">
        <f>ROUND(EB302,2)</f>
        <v>0</v>
      </c>
      <c r="DP302" s="4">
        <f>ROUND(EC302,2)</f>
        <v>0</v>
      </c>
      <c r="DQ302" s="4">
        <f>ROUND(ED302,2)</f>
        <v>0</v>
      </c>
      <c r="DR302" s="4"/>
      <c r="DS302" s="4"/>
      <c r="DT302" s="4">
        <f>ROUND(SUMIF(AA267:AA300,"=56616093",O267:O300),2)</f>
        <v>0</v>
      </c>
      <c r="DU302" s="4">
        <f>ROUND(SUMIF(AA267:AA300,"=56616093",P267:P300),2)</f>
        <v>0</v>
      </c>
      <c r="DV302" s="4">
        <f>ROUND(SUMIF(AA267:AA300,"=56616093",Q267:Q300),2)</f>
        <v>0</v>
      </c>
      <c r="DW302" s="4">
        <f>ROUND(SUMIF(AA267:AA300,"=56616093",R267:R300),2)</f>
        <v>0</v>
      </c>
      <c r="DX302" s="4">
        <f>ROUND(SUMIF(AA267:AA300,"=56616093",S267:S300),2)</f>
        <v>0</v>
      </c>
      <c r="DY302" s="4">
        <f>ROUND(SUMIF(AA267:AA300,"=56616093",T267:T300),2)</f>
        <v>0</v>
      </c>
      <c r="DZ302" s="4">
        <f>SUMIF(AA267:AA300,"=56616093",U267:U300)</f>
        <v>0</v>
      </c>
      <c r="EA302" s="4">
        <f>SUMIF(AA267:AA300,"=56616093",V267:V300)</f>
        <v>0</v>
      </c>
      <c r="EB302" s="4">
        <f>ROUND(SUMIF(AA267:AA300,"=56616093",W267:W300),2)</f>
        <v>0</v>
      </c>
      <c r="EC302" s="4">
        <f>ROUND(SUMIF(AA267:AA300,"=56616093",X267:X300),2)</f>
        <v>0</v>
      </c>
      <c r="ED302" s="4">
        <f>ROUND(SUMIF(AA267:AA300,"=56616093",Y267:Y300),2)</f>
        <v>0</v>
      </c>
      <c r="EE302" s="4"/>
      <c r="EF302" s="4"/>
      <c r="EG302" s="4">
        <f t="shared" ref="EG302:EV302" si="292">ROUND(FP302,2)</f>
        <v>0</v>
      </c>
      <c r="EH302" s="4">
        <f t="shared" si="292"/>
        <v>0</v>
      </c>
      <c r="EI302" s="4">
        <f t="shared" si="292"/>
        <v>0</v>
      </c>
      <c r="EJ302" s="4">
        <f t="shared" si="292"/>
        <v>0</v>
      </c>
      <c r="EK302" s="4">
        <f t="shared" si="292"/>
        <v>0</v>
      </c>
      <c r="EL302" s="4">
        <f t="shared" si="292"/>
        <v>0</v>
      </c>
      <c r="EM302" s="4">
        <f t="shared" si="292"/>
        <v>0</v>
      </c>
      <c r="EN302" s="4">
        <f t="shared" si="292"/>
        <v>0</v>
      </c>
      <c r="EO302" s="4">
        <f t="shared" si="292"/>
        <v>0</v>
      </c>
      <c r="EP302" s="4">
        <f t="shared" si="292"/>
        <v>0</v>
      </c>
      <c r="EQ302" s="4">
        <f t="shared" si="292"/>
        <v>0</v>
      </c>
      <c r="ER302" s="4">
        <f t="shared" si="292"/>
        <v>0</v>
      </c>
      <c r="ES302" s="4">
        <f t="shared" si="292"/>
        <v>0</v>
      </c>
      <c r="ET302" s="4">
        <f t="shared" si="292"/>
        <v>0</v>
      </c>
      <c r="EU302" s="4">
        <f t="shared" si="292"/>
        <v>0</v>
      </c>
      <c r="EV302" s="4">
        <f t="shared" si="292"/>
        <v>0</v>
      </c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>
        <f>ROUND(SUMIF(AA267:AA300,"=56616093",FQ267:FQ300),2)</f>
        <v>0</v>
      </c>
      <c r="FQ302" s="4">
        <f>ROUND(SUMIF(AA267:AA300,"=56616093",FR267:FR300),2)</f>
        <v>0</v>
      </c>
      <c r="FR302" s="4">
        <f>ROUND(SUMIF(AA267:AA300,"=56616093",GL267:GL300),2)</f>
        <v>0</v>
      </c>
      <c r="FS302" s="4">
        <f>ROUND(SUMIF(AA267:AA300,"=56616093",GM267:GM300),2)</f>
        <v>0</v>
      </c>
      <c r="FT302" s="4">
        <f>ROUND(SUMIF(AA267:AA300,"=56616093",GN267:GN300),2)</f>
        <v>0</v>
      </c>
      <c r="FU302" s="4">
        <f>ROUND(SUMIF(AA267:AA300,"=56616093",GO267:GO300),2)</f>
        <v>0</v>
      </c>
      <c r="FV302" s="4">
        <f>ROUND(SUMIF(AA267:AA300,"=56616093",GP267:GP300),2)</f>
        <v>0</v>
      </c>
      <c r="FW302" s="4">
        <f>DU302-FP302</f>
        <v>0</v>
      </c>
      <c r="FX302" s="4">
        <f>DU302-FQ302</f>
        <v>0</v>
      </c>
      <c r="FY302" s="4">
        <f>FP302-FR302</f>
        <v>0</v>
      </c>
      <c r="FZ302" s="4">
        <f>DU302-FP302-FQ302+FR302</f>
        <v>0</v>
      </c>
      <c r="GA302" s="4">
        <f>FQ302-FR302</f>
        <v>0</v>
      </c>
      <c r="GB302" s="4">
        <f>ROUND(SUMIF(AA267:AA300,"=56616093",GX267:GX300),2)</f>
        <v>0</v>
      </c>
      <c r="GC302" s="4">
        <f>ROUND(SUMIF(AA267:AA300,"=56616093",GY267:GY300),2)</f>
        <v>0</v>
      </c>
      <c r="GD302" s="4">
        <f>ROUND(SUMIF(AA267:AA300,"=56616093",GZ267:GZ300),2)</f>
        <v>0</v>
      </c>
      <c r="GE302" s="4">
        <f>ROUND(SUMIF(AA267:AA300,"=56616093",HD267:HD300),2)</f>
        <v>0</v>
      </c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>
        <v>0</v>
      </c>
    </row>
    <row r="304" spans="1:255" x14ac:dyDescent="0.2">
      <c r="A304" s="5">
        <v>50</v>
      </c>
      <c r="B304" s="5">
        <v>0</v>
      </c>
      <c r="C304" s="5">
        <v>0</v>
      </c>
      <c r="D304" s="5">
        <v>1</v>
      </c>
      <c r="E304" s="5">
        <v>201</v>
      </c>
      <c r="F304" s="5">
        <f>ROUND(Source!O302,O304)</f>
        <v>0</v>
      </c>
      <c r="G304" s="5" t="s">
        <v>106</v>
      </c>
      <c r="H304" s="5" t="s">
        <v>107</v>
      </c>
      <c r="I304" s="5"/>
      <c r="J304" s="5"/>
      <c r="K304" s="5">
        <v>201</v>
      </c>
      <c r="L304" s="5">
        <v>1</v>
      </c>
      <c r="M304" s="5">
        <v>3</v>
      </c>
      <c r="N304" s="5" t="s">
        <v>3</v>
      </c>
      <c r="O304" s="5">
        <v>2</v>
      </c>
      <c r="P304" s="5">
        <f>ROUND(Source!DG302,O304)</f>
        <v>0</v>
      </c>
      <c r="Q304" s="5"/>
      <c r="R304" s="5"/>
      <c r="S304" s="5"/>
      <c r="T304" s="5"/>
      <c r="U304" s="5"/>
      <c r="V304" s="5"/>
      <c r="W304" s="5">
        <v>0</v>
      </c>
      <c r="X304" s="5">
        <v>1</v>
      </c>
      <c r="Y304" s="5">
        <v>0</v>
      </c>
      <c r="Z304" s="5">
        <v>0</v>
      </c>
      <c r="AA304" s="5">
        <v>1</v>
      </c>
      <c r="AB304" s="5">
        <v>0</v>
      </c>
    </row>
    <row r="305" spans="1:28" x14ac:dyDescent="0.2">
      <c r="A305" s="5">
        <v>50</v>
      </c>
      <c r="B305" s="5">
        <v>0</v>
      </c>
      <c r="C305" s="5">
        <v>0</v>
      </c>
      <c r="D305" s="5">
        <v>1</v>
      </c>
      <c r="E305" s="5">
        <v>202</v>
      </c>
      <c r="F305" s="5">
        <f>ROUND(Source!P302,O305)</f>
        <v>0</v>
      </c>
      <c r="G305" s="5" t="s">
        <v>108</v>
      </c>
      <c r="H305" s="5" t="s">
        <v>109</v>
      </c>
      <c r="I305" s="5"/>
      <c r="J305" s="5"/>
      <c r="K305" s="5">
        <v>202</v>
      </c>
      <c r="L305" s="5">
        <v>2</v>
      </c>
      <c r="M305" s="5">
        <v>3</v>
      </c>
      <c r="N305" s="5" t="s">
        <v>3</v>
      </c>
      <c r="O305" s="5">
        <v>2</v>
      </c>
      <c r="P305" s="5">
        <f>ROUND(Source!DH302,O305)</f>
        <v>0</v>
      </c>
      <c r="Q305" s="5"/>
      <c r="R305" s="5"/>
      <c r="S305" s="5"/>
      <c r="T305" s="5"/>
      <c r="U305" s="5"/>
      <c r="V305" s="5"/>
      <c r="W305" s="5">
        <v>0</v>
      </c>
      <c r="X305" s="5">
        <v>1</v>
      </c>
      <c r="Y305" s="5">
        <v>0</v>
      </c>
      <c r="Z305" s="5">
        <v>0</v>
      </c>
      <c r="AA305" s="5">
        <v>1</v>
      </c>
      <c r="AB305" s="5">
        <v>0</v>
      </c>
    </row>
    <row r="306" spans="1:28" x14ac:dyDescent="0.2">
      <c r="A306" s="5">
        <v>50</v>
      </c>
      <c r="B306" s="5">
        <v>0</v>
      </c>
      <c r="C306" s="5">
        <v>0</v>
      </c>
      <c r="D306" s="5">
        <v>1</v>
      </c>
      <c r="E306" s="5">
        <v>222</v>
      </c>
      <c r="F306" s="5">
        <f>ROUND(Source!AO302,O306)</f>
        <v>0</v>
      </c>
      <c r="G306" s="5" t="s">
        <v>110</v>
      </c>
      <c r="H306" s="5" t="s">
        <v>111</v>
      </c>
      <c r="I306" s="5"/>
      <c r="J306" s="5"/>
      <c r="K306" s="5">
        <v>222</v>
      </c>
      <c r="L306" s="5">
        <v>3</v>
      </c>
      <c r="M306" s="5">
        <v>3</v>
      </c>
      <c r="N306" s="5" t="s">
        <v>3</v>
      </c>
      <c r="O306" s="5">
        <v>2</v>
      </c>
      <c r="P306" s="5">
        <f>ROUND(Source!EG302,O306)</f>
        <v>0</v>
      </c>
      <c r="Q306" s="5"/>
      <c r="R306" s="5"/>
      <c r="S306" s="5"/>
      <c r="T306" s="5"/>
      <c r="U306" s="5"/>
      <c r="V306" s="5"/>
      <c r="W306" s="5">
        <v>0</v>
      </c>
      <c r="X306" s="5">
        <v>1</v>
      </c>
      <c r="Y306" s="5">
        <v>0</v>
      </c>
      <c r="Z306" s="5">
        <v>0</v>
      </c>
      <c r="AA306" s="5">
        <v>1</v>
      </c>
      <c r="AB306" s="5">
        <v>0</v>
      </c>
    </row>
    <row r="307" spans="1:28" x14ac:dyDescent="0.2">
      <c r="A307" s="5">
        <v>50</v>
      </c>
      <c r="B307" s="5">
        <v>0</v>
      </c>
      <c r="C307" s="5">
        <v>0</v>
      </c>
      <c r="D307" s="5">
        <v>1</v>
      </c>
      <c r="E307" s="5">
        <v>225</v>
      </c>
      <c r="F307" s="5">
        <f>ROUND(Source!AV302,O307)</f>
        <v>0</v>
      </c>
      <c r="G307" s="5" t="s">
        <v>112</v>
      </c>
      <c r="H307" s="5" t="s">
        <v>113</v>
      </c>
      <c r="I307" s="5"/>
      <c r="J307" s="5"/>
      <c r="K307" s="5">
        <v>225</v>
      </c>
      <c r="L307" s="5">
        <v>4</v>
      </c>
      <c r="M307" s="5">
        <v>3</v>
      </c>
      <c r="N307" s="5" t="s">
        <v>3</v>
      </c>
      <c r="O307" s="5">
        <v>2</v>
      </c>
      <c r="P307" s="5">
        <f>ROUND(Source!EN302,O307)</f>
        <v>0</v>
      </c>
      <c r="Q307" s="5"/>
      <c r="R307" s="5"/>
      <c r="S307" s="5"/>
      <c r="T307" s="5"/>
      <c r="U307" s="5"/>
      <c r="V307" s="5"/>
      <c r="W307" s="5">
        <v>0</v>
      </c>
      <c r="X307" s="5">
        <v>1</v>
      </c>
      <c r="Y307" s="5">
        <v>0</v>
      </c>
      <c r="Z307" s="5">
        <v>0</v>
      </c>
      <c r="AA307" s="5">
        <v>1</v>
      </c>
      <c r="AB307" s="5">
        <v>0</v>
      </c>
    </row>
    <row r="308" spans="1:28" x14ac:dyDescent="0.2">
      <c r="A308" s="5">
        <v>50</v>
      </c>
      <c r="B308" s="5">
        <v>0</v>
      </c>
      <c r="C308" s="5">
        <v>0</v>
      </c>
      <c r="D308" s="5">
        <v>1</v>
      </c>
      <c r="E308" s="5">
        <v>226</v>
      </c>
      <c r="F308" s="5">
        <f>ROUND(Source!AW302,O308)</f>
        <v>0</v>
      </c>
      <c r="G308" s="5" t="s">
        <v>114</v>
      </c>
      <c r="H308" s="5" t="s">
        <v>115</v>
      </c>
      <c r="I308" s="5"/>
      <c r="J308" s="5"/>
      <c r="K308" s="5">
        <v>226</v>
      </c>
      <c r="L308" s="5">
        <v>5</v>
      </c>
      <c r="M308" s="5">
        <v>3</v>
      </c>
      <c r="N308" s="5" t="s">
        <v>3</v>
      </c>
      <c r="O308" s="5">
        <v>2</v>
      </c>
      <c r="P308" s="5">
        <f>ROUND(Source!EO302,O308)</f>
        <v>0</v>
      </c>
      <c r="Q308" s="5"/>
      <c r="R308" s="5"/>
      <c r="S308" s="5"/>
      <c r="T308" s="5"/>
      <c r="U308" s="5"/>
      <c r="V308" s="5"/>
      <c r="W308" s="5">
        <v>0</v>
      </c>
      <c r="X308" s="5">
        <v>1</v>
      </c>
      <c r="Y308" s="5">
        <v>0</v>
      </c>
      <c r="Z308" s="5">
        <v>0</v>
      </c>
      <c r="AA308" s="5">
        <v>1</v>
      </c>
      <c r="AB308" s="5">
        <v>0</v>
      </c>
    </row>
    <row r="309" spans="1:28" x14ac:dyDescent="0.2">
      <c r="A309" s="5">
        <v>50</v>
      </c>
      <c r="B309" s="5">
        <v>0</v>
      </c>
      <c r="C309" s="5">
        <v>0</v>
      </c>
      <c r="D309" s="5">
        <v>1</v>
      </c>
      <c r="E309" s="5">
        <v>227</v>
      </c>
      <c r="F309" s="5">
        <f>ROUND(Source!AX302,O309)</f>
        <v>0</v>
      </c>
      <c r="G309" s="5" t="s">
        <v>116</v>
      </c>
      <c r="H309" s="5" t="s">
        <v>117</v>
      </c>
      <c r="I309" s="5"/>
      <c r="J309" s="5"/>
      <c r="K309" s="5">
        <v>227</v>
      </c>
      <c r="L309" s="5">
        <v>6</v>
      </c>
      <c r="M309" s="5">
        <v>3</v>
      </c>
      <c r="N309" s="5" t="s">
        <v>3</v>
      </c>
      <c r="O309" s="5">
        <v>2</v>
      </c>
      <c r="P309" s="5">
        <f>ROUND(Source!EP302,O309)</f>
        <v>0</v>
      </c>
      <c r="Q309" s="5"/>
      <c r="R309" s="5"/>
      <c r="S309" s="5"/>
      <c r="T309" s="5"/>
      <c r="U309" s="5"/>
      <c r="V309" s="5"/>
      <c r="W309" s="5">
        <v>0</v>
      </c>
      <c r="X309" s="5">
        <v>1</v>
      </c>
      <c r="Y309" s="5">
        <v>0</v>
      </c>
      <c r="Z309" s="5">
        <v>0</v>
      </c>
      <c r="AA309" s="5">
        <v>1</v>
      </c>
      <c r="AB309" s="5">
        <v>0</v>
      </c>
    </row>
    <row r="310" spans="1:28" x14ac:dyDescent="0.2">
      <c r="A310" s="5">
        <v>50</v>
      </c>
      <c r="B310" s="5">
        <v>0</v>
      </c>
      <c r="C310" s="5">
        <v>0</v>
      </c>
      <c r="D310" s="5">
        <v>1</v>
      </c>
      <c r="E310" s="5">
        <v>228</v>
      </c>
      <c r="F310" s="5">
        <f>ROUND(Source!AY302,O310)</f>
        <v>0</v>
      </c>
      <c r="G310" s="5" t="s">
        <v>118</v>
      </c>
      <c r="H310" s="5" t="s">
        <v>119</v>
      </c>
      <c r="I310" s="5"/>
      <c r="J310" s="5"/>
      <c r="K310" s="5">
        <v>228</v>
      </c>
      <c r="L310" s="5">
        <v>7</v>
      </c>
      <c r="M310" s="5">
        <v>3</v>
      </c>
      <c r="N310" s="5" t="s">
        <v>3</v>
      </c>
      <c r="O310" s="5">
        <v>2</v>
      </c>
      <c r="P310" s="5">
        <f>ROUND(Source!EQ302,O310)</f>
        <v>0</v>
      </c>
      <c r="Q310" s="5"/>
      <c r="R310" s="5"/>
      <c r="S310" s="5"/>
      <c r="T310" s="5"/>
      <c r="U310" s="5"/>
      <c r="V310" s="5"/>
      <c r="W310" s="5">
        <v>0</v>
      </c>
      <c r="X310" s="5">
        <v>1</v>
      </c>
      <c r="Y310" s="5">
        <v>0</v>
      </c>
      <c r="Z310" s="5">
        <v>0</v>
      </c>
      <c r="AA310" s="5">
        <v>1</v>
      </c>
      <c r="AB310" s="5">
        <v>0</v>
      </c>
    </row>
    <row r="311" spans="1:28" x14ac:dyDescent="0.2">
      <c r="A311" s="5">
        <v>50</v>
      </c>
      <c r="B311" s="5">
        <v>0</v>
      </c>
      <c r="C311" s="5">
        <v>0</v>
      </c>
      <c r="D311" s="5">
        <v>1</v>
      </c>
      <c r="E311" s="5">
        <v>216</v>
      </c>
      <c r="F311" s="5">
        <f>ROUND(Source!AP302,O311)</f>
        <v>0</v>
      </c>
      <c r="G311" s="5" t="s">
        <v>120</v>
      </c>
      <c r="H311" s="5" t="s">
        <v>121</v>
      </c>
      <c r="I311" s="5"/>
      <c r="J311" s="5"/>
      <c r="K311" s="5">
        <v>216</v>
      </c>
      <c r="L311" s="5">
        <v>8</v>
      </c>
      <c r="M311" s="5">
        <v>3</v>
      </c>
      <c r="N311" s="5" t="s">
        <v>3</v>
      </c>
      <c r="O311" s="5">
        <v>2</v>
      </c>
      <c r="P311" s="5">
        <f>ROUND(Source!EH302,O311)</f>
        <v>0</v>
      </c>
      <c r="Q311" s="5"/>
      <c r="R311" s="5"/>
      <c r="S311" s="5"/>
      <c r="T311" s="5"/>
      <c r="U311" s="5"/>
      <c r="V311" s="5"/>
      <c r="W311" s="5">
        <v>0</v>
      </c>
      <c r="X311" s="5">
        <v>1</v>
      </c>
      <c r="Y311" s="5">
        <v>0</v>
      </c>
      <c r="Z311" s="5">
        <v>0</v>
      </c>
      <c r="AA311" s="5">
        <v>1</v>
      </c>
      <c r="AB311" s="5">
        <v>0</v>
      </c>
    </row>
    <row r="312" spans="1:28" x14ac:dyDescent="0.2">
      <c r="A312" s="5">
        <v>50</v>
      </c>
      <c r="B312" s="5">
        <v>0</v>
      </c>
      <c r="C312" s="5">
        <v>0</v>
      </c>
      <c r="D312" s="5">
        <v>1</v>
      </c>
      <c r="E312" s="5">
        <v>223</v>
      </c>
      <c r="F312" s="5">
        <f>ROUND(Source!AQ302,O312)</f>
        <v>0</v>
      </c>
      <c r="G312" s="5" t="s">
        <v>122</v>
      </c>
      <c r="H312" s="5" t="s">
        <v>123</v>
      </c>
      <c r="I312" s="5"/>
      <c r="J312" s="5"/>
      <c r="K312" s="5">
        <v>223</v>
      </c>
      <c r="L312" s="5">
        <v>9</v>
      </c>
      <c r="M312" s="5">
        <v>3</v>
      </c>
      <c r="N312" s="5" t="s">
        <v>3</v>
      </c>
      <c r="O312" s="5">
        <v>2</v>
      </c>
      <c r="P312" s="5">
        <f>ROUND(Source!EI302,O312)</f>
        <v>0</v>
      </c>
      <c r="Q312" s="5"/>
      <c r="R312" s="5"/>
      <c r="S312" s="5"/>
      <c r="T312" s="5"/>
      <c r="U312" s="5"/>
      <c r="V312" s="5"/>
      <c r="W312" s="5">
        <v>0</v>
      </c>
      <c r="X312" s="5">
        <v>1</v>
      </c>
      <c r="Y312" s="5">
        <v>0</v>
      </c>
      <c r="Z312" s="5">
        <v>0</v>
      </c>
      <c r="AA312" s="5">
        <v>1</v>
      </c>
      <c r="AB312" s="5">
        <v>0</v>
      </c>
    </row>
    <row r="313" spans="1:28" x14ac:dyDescent="0.2">
      <c r="A313" s="5">
        <v>50</v>
      </c>
      <c r="B313" s="5">
        <v>0</v>
      </c>
      <c r="C313" s="5">
        <v>0</v>
      </c>
      <c r="D313" s="5">
        <v>1</v>
      </c>
      <c r="E313" s="5">
        <v>229</v>
      </c>
      <c r="F313" s="5">
        <f>ROUND(Source!AZ302,O313)</f>
        <v>0</v>
      </c>
      <c r="G313" s="5" t="s">
        <v>124</v>
      </c>
      <c r="H313" s="5" t="s">
        <v>125</v>
      </c>
      <c r="I313" s="5"/>
      <c r="J313" s="5"/>
      <c r="K313" s="5">
        <v>229</v>
      </c>
      <c r="L313" s="5">
        <v>10</v>
      </c>
      <c r="M313" s="5">
        <v>3</v>
      </c>
      <c r="N313" s="5" t="s">
        <v>3</v>
      </c>
      <c r="O313" s="5">
        <v>2</v>
      </c>
      <c r="P313" s="5">
        <f>ROUND(Source!ER302,O313)</f>
        <v>0</v>
      </c>
      <c r="Q313" s="5"/>
      <c r="R313" s="5"/>
      <c r="S313" s="5"/>
      <c r="T313" s="5"/>
      <c r="U313" s="5"/>
      <c r="V313" s="5"/>
      <c r="W313" s="5">
        <v>0</v>
      </c>
      <c r="X313" s="5">
        <v>1</v>
      </c>
      <c r="Y313" s="5">
        <v>0</v>
      </c>
      <c r="Z313" s="5">
        <v>0</v>
      </c>
      <c r="AA313" s="5">
        <v>1</v>
      </c>
      <c r="AB313" s="5">
        <v>0</v>
      </c>
    </row>
    <row r="314" spans="1:28" x14ac:dyDescent="0.2">
      <c r="A314" s="5">
        <v>50</v>
      </c>
      <c r="B314" s="5">
        <v>0</v>
      </c>
      <c r="C314" s="5">
        <v>0</v>
      </c>
      <c r="D314" s="5">
        <v>1</v>
      </c>
      <c r="E314" s="5">
        <v>203</v>
      </c>
      <c r="F314" s="5">
        <f>ROUND(Source!Q302,O314)</f>
        <v>0</v>
      </c>
      <c r="G314" s="5" t="s">
        <v>126</v>
      </c>
      <c r="H314" s="5" t="s">
        <v>127</v>
      </c>
      <c r="I314" s="5"/>
      <c r="J314" s="5"/>
      <c r="K314" s="5">
        <v>203</v>
      </c>
      <c r="L314" s="5">
        <v>11</v>
      </c>
      <c r="M314" s="5">
        <v>3</v>
      </c>
      <c r="N314" s="5" t="s">
        <v>3</v>
      </c>
      <c r="O314" s="5">
        <v>2</v>
      </c>
      <c r="P314" s="5">
        <f>ROUND(Source!DI302,O314)</f>
        <v>0</v>
      </c>
      <c r="Q314" s="5"/>
      <c r="R314" s="5"/>
      <c r="S314" s="5"/>
      <c r="T314" s="5"/>
      <c r="U314" s="5"/>
      <c r="V314" s="5"/>
      <c r="W314" s="5">
        <v>0</v>
      </c>
      <c r="X314" s="5">
        <v>1</v>
      </c>
      <c r="Y314" s="5">
        <v>0</v>
      </c>
      <c r="Z314" s="5">
        <v>0</v>
      </c>
      <c r="AA314" s="5">
        <v>1</v>
      </c>
      <c r="AB314" s="5">
        <v>0</v>
      </c>
    </row>
    <row r="315" spans="1:28" x14ac:dyDescent="0.2">
      <c r="A315" s="5">
        <v>50</v>
      </c>
      <c r="B315" s="5">
        <v>0</v>
      </c>
      <c r="C315" s="5">
        <v>0</v>
      </c>
      <c r="D315" s="5">
        <v>1</v>
      </c>
      <c r="E315" s="5">
        <v>231</v>
      </c>
      <c r="F315" s="5">
        <f>ROUND(Source!BB302,O315)</f>
        <v>0</v>
      </c>
      <c r="G315" s="5" t="s">
        <v>128</v>
      </c>
      <c r="H315" s="5" t="s">
        <v>129</v>
      </c>
      <c r="I315" s="5"/>
      <c r="J315" s="5"/>
      <c r="K315" s="5">
        <v>231</v>
      </c>
      <c r="L315" s="5">
        <v>12</v>
      </c>
      <c r="M315" s="5">
        <v>3</v>
      </c>
      <c r="N315" s="5" t="s">
        <v>3</v>
      </c>
      <c r="O315" s="5">
        <v>2</v>
      </c>
      <c r="P315" s="5">
        <f>ROUND(Source!ET302,O315)</f>
        <v>0</v>
      </c>
      <c r="Q315" s="5"/>
      <c r="R315" s="5"/>
      <c r="S315" s="5"/>
      <c r="T315" s="5"/>
      <c r="U315" s="5"/>
      <c r="V315" s="5"/>
      <c r="W315" s="5">
        <v>0</v>
      </c>
      <c r="X315" s="5">
        <v>1</v>
      </c>
      <c r="Y315" s="5">
        <v>0</v>
      </c>
      <c r="Z315" s="5">
        <v>0</v>
      </c>
      <c r="AA315" s="5">
        <v>1</v>
      </c>
      <c r="AB315" s="5">
        <v>0</v>
      </c>
    </row>
    <row r="316" spans="1:28" x14ac:dyDescent="0.2">
      <c r="A316" s="5">
        <v>50</v>
      </c>
      <c r="B316" s="5">
        <v>0</v>
      </c>
      <c r="C316" s="5">
        <v>0</v>
      </c>
      <c r="D316" s="5">
        <v>1</v>
      </c>
      <c r="E316" s="5">
        <v>204</v>
      </c>
      <c r="F316" s="5">
        <f>ROUND(Source!R302,O316)</f>
        <v>0</v>
      </c>
      <c r="G316" s="5" t="s">
        <v>130</v>
      </c>
      <c r="H316" s="5" t="s">
        <v>131</v>
      </c>
      <c r="I316" s="5"/>
      <c r="J316" s="5"/>
      <c r="K316" s="5">
        <v>204</v>
      </c>
      <c r="L316" s="5">
        <v>13</v>
      </c>
      <c r="M316" s="5">
        <v>3</v>
      </c>
      <c r="N316" s="5" t="s">
        <v>3</v>
      </c>
      <c r="O316" s="5">
        <v>2</v>
      </c>
      <c r="P316" s="5">
        <f>ROUND(Source!DJ302,O316)</f>
        <v>0</v>
      </c>
      <c r="Q316" s="5"/>
      <c r="R316" s="5"/>
      <c r="S316" s="5"/>
      <c r="T316" s="5"/>
      <c r="U316" s="5"/>
      <c r="V316" s="5"/>
      <c r="W316" s="5">
        <v>0</v>
      </c>
      <c r="X316" s="5">
        <v>1</v>
      </c>
      <c r="Y316" s="5">
        <v>0</v>
      </c>
      <c r="Z316" s="5">
        <v>0</v>
      </c>
      <c r="AA316" s="5">
        <v>1</v>
      </c>
      <c r="AB316" s="5">
        <v>0</v>
      </c>
    </row>
    <row r="317" spans="1:28" x14ac:dyDescent="0.2">
      <c r="A317" s="5">
        <v>50</v>
      </c>
      <c r="B317" s="5">
        <v>0</v>
      </c>
      <c r="C317" s="5">
        <v>0</v>
      </c>
      <c r="D317" s="5">
        <v>1</v>
      </c>
      <c r="E317" s="5">
        <v>205</v>
      </c>
      <c r="F317" s="5">
        <f>ROUND(Source!S302,O317)</f>
        <v>0</v>
      </c>
      <c r="G317" s="5" t="s">
        <v>132</v>
      </c>
      <c r="H317" s="5" t="s">
        <v>133</v>
      </c>
      <c r="I317" s="5"/>
      <c r="J317" s="5"/>
      <c r="K317" s="5">
        <v>205</v>
      </c>
      <c r="L317" s="5">
        <v>14</v>
      </c>
      <c r="M317" s="5">
        <v>3</v>
      </c>
      <c r="N317" s="5" t="s">
        <v>3</v>
      </c>
      <c r="O317" s="5">
        <v>2</v>
      </c>
      <c r="P317" s="5">
        <f>ROUND(Source!DK302,O317)</f>
        <v>0</v>
      </c>
      <c r="Q317" s="5"/>
      <c r="R317" s="5"/>
      <c r="S317" s="5"/>
      <c r="T317" s="5"/>
      <c r="U317" s="5"/>
      <c r="V317" s="5"/>
      <c r="W317" s="5">
        <v>0</v>
      </c>
      <c r="X317" s="5">
        <v>1</v>
      </c>
      <c r="Y317" s="5">
        <v>0</v>
      </c>
      <c r="Z317" s="5">
        <v>0</v>
      </c>
      <c r="AA317" s="5">
        <v>1</v>
      </c>
      <c r="AB317" s="5">
        <v>0</v>
      </c>
    </row>
    <row r="318" spans="1:28" x14ac:dyDescent="0.2">
      <c r="A318" s="5">
        <v>50</v>
      </c>
      <c r="B318" s="5">
        <v>0</v>
      </c>
      <c r="C318" s="5">
        <v>0</v>
      </c>
      <c r="D318" s="5">
        <v>1</v>
      </c>
      <c r="E318" s="5">
        <v>232</v>
      </c>
      <c r="F318" s="5">
        <f>ROUND(Source!BC302,O318)</f>
        <v>0</v>
      </c>
      <c r="G318" s="5" t="s">
        <v>134</v>
      </c>
      <c r="H318" s="5" t="s">
        <v>135</v>
      </c>
      <c r="I318" s="5"/>
      <c r="J318" s="5"/>
      <c r="K318" s="5">
        <v>232</v>
      </c>
      <c r="L318" s="5">
        <v>15</v>
      </c>
      <c r="M318" s="5">
        <v>3</v>
      </c>
      <c r="N318" s="5" t="s">
        <v>3</v>
      </c>
      <c r="O318" s="5">
        <v>2</v>
      </c>
      <c r="P318" s="5">
        <f>ROUND(Source!EU302,O318)</f>
        <v>0</v>
      </c>
      <c r="Q318" s="5"/>
      <c r="R318" s="5"/>
      <c r="S318" s="5"/>
      <c r="T318" s="5"/>
      <c r="U318" s="5"/>
      <c r="V318" s="5"/>
      <c r="W318" s="5">
        <v>0</v>
      </c>
      <c r="X318" s="5">
        <v>1</v>
      </c>
      <c r="Y318" s="5">
        <v>0</v>
      </c>
      <c r="Z318" s="5">
        <v>0</v>
      </c>
      <c r="AA318" s="5">
        <v>1</v>
      </c>
      <c r="AB318" s="5">
        <v>0</v>
      </c>
    </row>
    <row r="319" spans="1:28" x14ac:dyDescent="0.2">
      <c r="A319" s="5">
        <v>50</v>
      </c>
      <c r="B319" s="5">
        <v>0</v>
      </c>
      <c r="C319" s="5">
        <v>0</v>
      </c>
      <c r="D319" s="5">
        <v>1</v>
      </c>
      <c r="E319" s="5">
        <v>214</v>
      </c>
      <c r="F319" s="5">
        <f>ROUND(Source!AS302,O319)</f>
        <v>0</v>
      </c>
      <c r="G319" s="5" t="s">
        <v>136</v>
      </c>
      <c r="H319" s="5" t="s">
        <v>137</v>
      </c>
      <c r="I319" s="5"/>
      <c r="J319" s="5"/>
      <c r="K319" s="5">
        <v>214</v>
      </c>
      <c r="L319" s="5">
        <v>16</v>
      </c>
      <c r="M319" s="5">
        <v>3</v>
      </c>
      <c r="N319" s="5" t="s">
        <v>3</v>
      </c>
      <c r="O319" s="5">
        <v>2</v>
      </c>
      <c r="P319" s="5">
        <f>ROUND(Source!EK302,O319)</f>
        <v>0</v>
      </c>
      <c r="Q319" s="5"/>
      <c r="R319" s="5"/>
      <c r="S319" s="5"/>
      <c r="T319" s="5"/>
      <c r="U319" s="5"/>
      <c r="V319" s="5"/>
      <c r="W319" s="5">
        <v>0</v>
      </c>
      <c r="X319" s="5">
        <v>1</v>
      </c>
      <c r="Y319" s="5">
        <v>0</v>
      </c>
      <c r="Z319" s="5">
        <v>0</v>
      </c>
      <c r="AA319" s="5">
        <v>1</v>
      </c>
      <c r="AB319" s="5">
        <v>0</v>
      </c>
    </row>
    <row r="320" spans="1:28" x14ac:dyDescent="0.2">
      <c r="A320" s="5">
        <v>50</v>
      </c>
      <c r="B320" s="5">
        <v>0</v>
      </c>
      <c r="C320" s="5">
        <v>0</v>
      </c>
      <c r="D320" s="5">
        <v>1</v>
      </c>
      <c r="E320" s="5">
        <v>215</v>
      </c>
      <c r="F320" s="5">
        <f>ROUND(Source!AT302,O320)</f>
        <v>0</v>
      </c>
      <c r="G320" s="5" t="s">
        <v>138</v>
      </c>
      <c r="H320" s="5" t="s">
        <v>139</v>
      </c>
      <c r="I320" s="5"/>
      <c r="J320" s="5"/>
      <c r="K320" s="5">
        <v>215</v>
      </c>
      <c r="L320" s="5">
        <v>17</v>
      </c>
      <c r="M320" s="5">
        <v>3</v>
      </c>
      <c r="N320" s="5" t="s">
        <v>3</v>
      </c>
      <c r="O320" s="5">
        <v>2</v>
      </c>
      <c r="P320" s="5">
        <f>ROUND(Source!EL302,O320)</f>
        <v>0</v>
      </c>
      <c r="Q320" s="5"/>
      <c r="R320" s="5"/>
      <c r="S320" s="5"/>
      <c r="T320" s="5"/>
      <c r="U320" s="5"/>
      <c r="V320" s="5"/>
      <c r="W320" s="5">
        <v>0</v>
      </c>
      <c r="X320" s="5">
        <v>1</v>
      </c>
      <c r="Y320" s="5">
        <v>0</v>
      </c>
      <c r="Z320" s="5">
        <v>0</v>
      </c>
      <c r="AA320" s="5">
        <v>1</v>
      </c>
      <c r="AB320" s="5">
        <v>0</v>
      </c>
    </row>
    <row r="321" spans="1:255" x14ac:dyDescent="0.2">
      <c r="A321" s="5">
        <v>50</v>
      </c>
      <c r="B321" s="5">
        <v>0</v>
      </c>
      <c r="C321" s="5">
        <v>0</v>
      </c>
      <c r="D321" s="5">
        <v>1</v>
      </c>
      <c r="E321" s="5">
        <v>217</v>
      </c>
      <c r="F321" s="5">
        <f>ROUND(Source!AU302,O321)</f>
        <v>0</v>
      </c>
      <c r="G321" s="5" t="s">
        <v>140</v>
      </c>
      <c r="H321" s="5" t="s">
        <v>141</v>
      </c>
      <c r="I321" s="5"/>
      <c r="J321" s="5"/>
      <c r="K321" s="5">
        <v>217</v>
      </c>
      <c r="L321" s="5">
        <v>18</v>
      </c>
      <c r="M321" s="5">
        <v>3</v>
      </c>
      <c r="N321" s="5" t="s">
        <v>3</v>
      </c>
      <c r="O321" s="5">
        <v>2</v>
      </c>
      <c r="P321" s="5">
        <f>ROUND(Source!EM302,O321)</f>
        <v>0</v>
      </c>
      <c r="Q321" s="5"/>
      <c r="R321" s="5"/>
      <c r="S321" s="5"/>
      <c r="T321" s="5"/>
      <c r="U321" s="5"/>
      <c r="V321" s="5"/>
      <c r="W321" s="5">
        <v>0</v>
      </c>
      <c r="X321" s="5">
        <v>1</v>
      </c>
      <c r="Y321" s="5">
        <v>0</v>
      </c>
      <c r="Z321" s="5">
        <v>0</v>
      </c>
      <c r="AA321" s="5">
        <v>1</v>
      </c>
      <c r="AB321" s="5">
        <v>0</v>
      </c>
    </row>
    <row r="322" spans="1:255" x14ac:dyDescent="0.2">
      <c r="A322" s="5">
        <v>50</v>
      </c>
      <c r="B322" s="5">
        <v>0</v>
      </c>
      <c r="C322" s="5">
        <v>0</v>
      </c>
      <c r="D322" s="5">
        <v>1</v>
      </c>
      <c r="E322" s="5">
        <v>230</v>
      </c>
      <c r="F322" s="5">
        <f>ROUND(Source!BA302,O322)</f>
        <v>0</v>
      </c>
      <c r="G322" s="5" t="s">
        <v>142</v>
      </c>
      <c r="H322" s="5" t="s">
        <v>143</v>
      </c>
      <c r="I322" s="5"/>
      <c r="J322" s="5"/>
      <c r="K322" s="5">
        <v>230</v>
      </c>
      <c r="L322" s="5">
        <v>19</v>
      </c>
      <c r="M322" s="5">
        <v>3</v>
      </c>
      <c r="N322" s="5" t="s">
        <v>3</v>
      </c>
      <c r="O322" s="5">
        <v>2</v>
      </c>
      <c r="P322" s="5">
        <f>ROUND(Source!ES302,O322)</f>
        <v>0</v>
      </c>
      <c r="Q322" s="5"/>
      <c r="R322" s="5"/>
      <c r="S322" s="5"/>
      <c r="T322" s="5"/>
      <c r="U322" s="5"/>
      <c r="V322" s="5"/>
      <c r="W322" s="5">
        <v>0</v>
      </c>
      <c r="X322" s="5">
        <v>1</v>
      </c>
      <c r="Y322" s="5">
        <v>0</v>
      </c>
      <c r="Z322" s="5">
        <v>0</v>
      </c>
      <c r="AA322" s="5">
        <v>1</v>
      </c>
      <c r="AB322" s="5">
        <v>0</v>
      </c>
    </row>
    <row r="323" spans="1:255" x14ac:dyDescent="0.2">
      <c r="A323" s="5">
        <v>50</v>
      </c>
      <c r="B323" s="5">
        <v>0</v>
      </c>
      <c r="C323" s="5">
        <v>0</v>
      </c>
      <c r="D323" s="5">
        <v>1</v>
      </c>
      <c r="E323" s="5">
        <v>206</v>
      </c>
      <c r="F323" s="5">
        <f>ROUND(Source!T302,O323)</f>
        <v>0</v>
      </c>
      <c r="G323" s="5" t="s">
        <v>144</v>
      </c>
      <c r="H323" s="5" t="s">
        <v>145</v>
      </c>
      <c r="I323" s="5"/>
      <c r="J323" s="5"/>
      <c r="K323" s="5">
        <v>206</v>
      </c>
      <c r="L323" s="5">
        <v>20</v>
      </c>
      <c r="M323" s="5">
        <v>3</v>
      </c>
      <c r="N323" s="5" t="s">
        <v>3</v>
      </c>
      <c r="O323" s="5">
        <v>2</v>
      </c>
      <c r="P323" s="5">
        <f>ROUND(Source!DL302,O323)</f>
        <v>0</v>
      </c>
      <c r="Q323" s="5"/>
      <c r="R323" s="5"/>
      <c r="S323" s="5"/>
      <c r="T323" s="5"/>
      <c r="U323" s="5"/>
      <c r="V323" s="5"/>
      <c r="W323" s="5">
        <v>0</v>
      </c>
      <c r="X323" s="5">
        <v>1</v>
      </c>
      <c r="Y323" s="5">
        <v>0</v>
      </c>
      <c r="Z323" s="5">
        <v>0</v>
      </c>
      <c r="AA323" s="5">
        <v>1</v>
      </c>
      <c r="AB323" s="5">
        <v>0</v>
      </c>
    </row>
    <row r="324" spans="1:255" x14ac:dyDescent="0.2">
      <c r="A324" s="5">
        <v>50</v>
      </c>
      <c r="B324" s="5">
        <v>0</v>
      </c>
      <c r="C324" s="5">
        <v>0</v>
      </c>
      <c r="D324" s="5">
        <v>1</v>
      </c>
      <c r="E324" s="5">
        <v>207</v>
      </c>
      <c r="F324" s="5">
        <f>Source!U302</f>
        <v>0</v>
      </c>
      <c r="G324" s="5" t="s">
        <v>146</v>
      </c>
      <c r="H324" s="5" t="s">
        <v>147</v>
      </c>
      <c r="I324" s="5"/>
      <c r="J324" s="5"/>
      <c r="K324" s="5">
        <v>207</v>
      </c>
      <c r="L324" s="5">
        <v>21</v>
      </c>
      <c r="M324" s="5">
        <v>3</v>
      </c>
      <c r="N324" s="5" t="s">
        <v>3</v>
      </c>
      <c r="O324" s="5">
        <v>-1</v>
      </c>
      <c r="P324" s="5">
        <f>Source!DM302</f>
        <v>0</v>
      </c>
      <c r="Q324" s="5"/>
      <c r="R324" s="5"/>
      <c r="S324" s="5"/>
      <c r="T324" s="5"/>
      <c r="U324" s="5"/>
      <c r="V324" s="5"/>
      <c r="W324" s="5">
        <v>0</v>
      </c>
      <c r="X324" s="5">
        <v>1</v>
      </c>
      <c r="Y324" s="5">
        <v>0</v>
      </c>
      <c r="Z324" s="5">
        <v>0</v>
      </c>
      <c r="AA324" s="5">
        <v>1</v>
      </c>
      <c r="AB324" s="5">
        <v>0</v>
      </c>
    </row>
    <row r="325" spans="1:255" x14ac:dyDescent="0.2">
      <c r="A325" s="5">
        <v>50</v>
      </c>
      <c r="B325" s="5">
        <v>0</v>
      </c>
      <c r="C325" s="5">
        <v>0</v>
      </c>
      <c r="D325" s="5">
        <v>1</v>
      </c>
      <c r="E325" s="5">
        <v>208</v>
      </c>
      <c r="F325" s="5">
        <f>Source!V302</f>
        <v>0</v>
      </c>
      <c r="G325" s="5" t="s">
        <v>148</v>
      </c>
      <c r="H325" s="5" t="s">
        <v>149</v>
      </c>
      <c r="I325" s="5"/>
      <c r="J325" s="5"/>
      <c r="K325" s="5">
        <v>208</v>
      </c>
      <c r="L325" s="5">
        <v>22</v>
      </c>
      <c r="M325" s="5">
        <v>3</v>
      </c>
      <c r="N325" s="5" t="s">
        <v>3</v>
      </c>
      <c r="O325" s="5">
        <v>-1</v>
      </c>
      <c r="P325" s="5">
        <f>Source!DN302</f>
        <v>0</v>
      </c>
      <c r="Q325" s="5"/>
      <c r="R325" s="5"/>
      <c r="S325" s="5"/>
      <c r="T325" s="5"/>
      <c r="U325" s="5"/>
      <c r="V325" s="5"/>
      <c r="W325" s="5">
        <v>0</v>
      </c>
      <c r="X325" s="5">
        <v>1</v>
      </c>
      <c r="Y325" s="5">
        <v>0</v>
      </c>
      <c r="Z325" s="5">
        <v>0</v>
      </c>
      <c r="AA325" s="5">
        <v>1</v>
      </c>
      <c r="AB325" s="5">
        <v>0</v>
      </c>
    </row>
    <row r="326" spans="1:255" x14ac:dyDescent="0.2">
      <c r="A326" s="5">
        <v>50</v>
      </c>
      <c r="B326" s="5">
        <v>0</v>
      </c>
      <c r="C326" s="5">
        <v>0</v>
      </c>
      <c r="D326" s="5">
        <v>1</v>
      </c>
      <c r="E326" s="5">
        <v>209</v>
      </c>
      <c r="F326" s="5">
        <f>ROUND(Source!W302,O326)</f>
        <v>0</v>
      </c>
      <c r="G326" s="5" t="s">
        <v>150</v>
      </c>
      <c r="H326" s="5" t="s">
        <v>151</v>
      </c>
      <c r="I326" s="5"/>
      <c r="J326" s="5"/>
      <c r="K326" s="5">
        <v>209</v>
      </c>
      <c r="L326" s="5">
        <v>23</v>
      </c>
      <c r="M326" s="5">
        <v>3</v>
      </c>
      <c r="N326" s="5" t="s">
        <v>3</v>
      </c>
      <c r="O326" s="5">
        <v>2</v>
      </c>
      <c r="P326" s="5">
        <f>ROUND(Source!DO302,O326)</f>
        <v>0</v>
      </c>
      <c r="Q326" s="5"/>
      <c r="R326" s="5"/>
      <c r="S326" s="5"/>
      <c r="T326" s="5"/>
      <c r="U326" s="5"/>
      <c r="V326" s="5"/>
      <c r="W326" s="5">
        <v>0</v>
      </c>
      <c r="X326" s="5">
        <v>1</v>
      </c>
      <c r="Y326" s="5">
        <v>0</v>
      </c>
      <c r="Z326" s="5">
        <v>0</v>
      </c>
      <c r="AA326" s="5">
        <v>1</v>
      </c>
      <c r="AB326" s="5">
        <v>0</v>
      </c>
    </row>
    <row r="327" spans="1:255" x14ac:dyDescent="0.2">
      <c r="A327" s="5">
        <v>50</v>
      </c>
      <c r="B327" s="5">
        <v>0</v>
      </c>
      <c r="C327" s="5">
        <v>0</v>
      </c>
      <c r="D327" s="5">
        <v>1</v>
      </c>
      <c r="E327" s="5">
        <v>233</v>
      </c>
      <c r="F327" s="5">
        <f>ROUND(Source!BD302,O327)</f>
        <v>0</v>
      </c>
      <c r="G327" s="5" t="s">
        <v>152</v>
      </c>
      <c r="H327" s="5" t="s">
        <v>153</v>
      </c>
      <c r="I327" s="5"/>
      <c r="J327" s="5"/>
      <c r="K327" s="5">
        <v>233</v>
      </c>
      <c r="L327" s="5">
        <v>24</v>
      </c>
      <c r="M327" s="5">
        <v>3</v>
      </c>
      <c r="N327" s="5" t="s">
        <v>3</v>
      </c>
      <c r="O327" s="5">
        <v>2</v>
      </c>
      <c r="P327" s="5">
        <f>ROUND(Source!EV302,O327)</f>
        <v>0</v>
      </c>
      <c r="Q327" s="5"/>
      <c r="R327" s="5"/>
      <c r="S327" s="5"/>
      <c r="T327" s="5"/>
      <c r="U327" s="5"/>
      <c r="V327" s="5"/>
      <c r="W327" s="5">
        <v>0</v>
      </c>
      <c r="X327" s="5">
        <v>1</v>
      </c>
      <c r="Y327" s="5">
        <v>0</v>
      </c>
      <c r="Z327" s="5">
        <v>0</v>
      </c>
      <c r="AA327" s="5">
        <v>1</v>
      </c>
      <c r="AB327" s="5">
        <v>0</v>
      </c>
    </row>
    <row r="328" spans="1:255" x14ac:dyDescent="0.2">
      <c r="A328" s="5">
        <v>50</v>
      </c>
      <c r="B328" s="5">
        <v>0</v>
      </c>
      <c r="C328" s="5">
        <v>0</v>
      </c>
      <c r="D328" s="5">
        <v>1</v>
      </c>
      <c r="E328" s="5">
        <v>210</v>
      </c>
      <c r="F328" s="5">
        <f>ROUND(Source!X302,O328)</f>
        <v>0</v>
      </c>
      <c r="G328" s="5" t="s">
        <v>154</v>
      </c>
      <c r="H328" s="5" t="s">
        <v>155</v>
      </c>
      <c r="I328" s="5"/>
      <c r="J328" s="5"/>
      <c r="K328" s="5">
        <v>210</v>
      </c>
      <c r="L328" s="5">
        <v>25</v>
      </c>
      <c r="M328" s="5">
        <v>3</v>
      </c>
      <c r="N328" s="5" t="s">
        <v>3</v>
      </c>
      <c r="O328" s="5">
        <v>2</v>
      </c>
      <c r="P328" s="5">
        <f>ROUND(Source!DP302,O328)</f>
        <v>0</v>
      </c>
      <c r="Q328" s="5"/>
      <c r="R328" s="5"/>
      <c r="S328" s="5"/>
      <c r="T328" s="5"/>
      <c r="U328" s="5"/>
      <c r="V328" s="5"/>
      <c r="W328" s="5">
        <v>0</v>
      </c>
      <c r="X328" s="5">
        <v>1</v>
      </c>
      <c r="Y328" s="5">
        <v>0</v>
      </c>
      <c r="Z328" s="5">
        <v>0</v>
      </c>
      <c r="AA328" s="5">
        <v>1</v>
      </c>
      <c r="AB328" s="5">
        <v>0</v>
      </c>
    </row>
    <row r="329" spans="1:255" x14ac:dyDescent="0.2">
      <c r="A329" s="5">
        <v>50</v>
      </c>
      <c r="B329" s="5">
        <v>0</v>
      </c>
      <c r="C329" s="5">
        <v>0</v>
      </c>
      <c r="D329" s="5">
        <v>1</v>
      </c>
      <c r="E329" s="5">
        <v>211</v>
      </c>
      <c r="F329" s="5">
        <f>ROUND(Source!Y302,O329)</f>
        <v>0</v>
      </c>
      <c r="G329" s="5" t="s">
        <v>156</v>
      </c>
      <c r="H329" s="5" t="s">
        <v>157</v>
      </c>
      <c r="I329" s="5"/>
      <c r="J329" s="5"/>
      <c r="K329" s="5">
        <v>211</v>
      </c>
      <c r="L329" s="5">
        <v>26</v>
      </c>
      <c r="M329" s="5">
        <v>3</v>
      </c>
      <c r="N329" s="5" t="s">
        <v>3</v>
      </c>
      <c r="O329" s="5">
        <v>2</v>
      </c>
      <c r="P329" s="5">
        <f>ROUND(Source!DQ302,O329)</f>
        <v>0</v>
      </c>
      <c r="Q329" s="5"/>
      <c r="R329" s="5"/>
      <c r="S329" s="5"/>
      <c r="T329" s="5"/>
      <c r="U329" s="5"/>
      <c r="V329" s="5"/>
      <c r="W329" s="5">
        <v>0</v>
      </c>
      <c r="X329" s="5">
        <v>1</v>
      </c>
      <c r="Y329" s="5">
        <v>0</v>
      </c>
      <c r="Z329" s="5">
        <v>0</v>
      </c>
      <c r="AA329" s="5">
        <v>1</v>
      </c>
      <c r="AB329" s="5">
        <v>0</v>
      </c>
    </row>
    <row r="330" spans="1:255" x14ac:dyDescent="0.2">
      <c r="A330" s="5">
        <v>50</v>
      </c>
      <c r="B330" s="5">
        <v>0</v>
      </c>
      <c r="C330" s="5">
        <v>0</v>
      </c>
      <c r="D330" s="5">
        <v>1</v>
      </c>
      <c r="E330" s="5">
        <v>224</v>
      </c>
      <c r="F330" s="5">
        <f>ROUND(Source!AR302,O330)</f>
        <v>0</v>
      </c>
      <c r="G330" s="5" t="s">
        <v>158</v>
      </c>
      <c r="H330" s="5" t="s">
        <v>159</v>
      </c>
      <c r="I330" s="5"/>
      <c r="J330" s="5"/>
      <c r="K330" s="5">
        <v>224</v>
      </c>
      <c r="L330" s="5">
        <v>27</v>
      </c>
      <c r="M330" s="5">
        <v>3</v>
      </c>
      <c r="N330" s="5" t="s">
        <v>3</v>
      </c>
      <c r="O330" s="5">
        <v>2</v>
      </c>
      <c r="P330" s="5">
        <f>ROUND(Source!EJ302,O330)</f>
        <v>0</v>
      </c>
      <c r="Q330" s="5"/>
      <c r="R330" s="5"/>
      <c r="S330" s="5"/>
      <c r="T330" s="5"/>
      <c r="U330" s="5"/>
      <c r="V330" s="5"/>
      <c r="W330" s="5">
        <v>0</v>
      </c>
      <c r="X330" s="5">
        <v>1</v>
      </c>
      <c r="Y330" s="5">
        <v>0</v>
      </c>
      <c r="Z330" s="5">
        <v>0</v>
      </c>
      <c r="AA330" s="5">
        <v>1</v>
      </c>
      <c r="AB330" s="5">
        <v>0</v>
      </c>
    </row>
    <row r="332" spans="1:255" x14ac:dyDescent="0.2">
      <c r="A332" s="1">
        <v>5</v>
      </c>
      <c r="B332" s="1">
        <v>1</v>
      </c>
      <c r="C332" s="1"/>
      <c r="D332" s="1">
        <f>ROW(A363)</f>
        <v>363</v>
      </c>
      <c r="E332" s="1"/>
      <c r="F332" s="1" t="s">
        <v>312</v>
      </c>
      <c r="G332" s="1" t="s">
        <v>381</v>
      </c>
      <c r="H332" s="1" t="s">
        <v>3</v>
      </c>
      <c r="I332" s="1">
        <v>0</v>
      </c>
      <c r="J332" s="1"/>
      <c r="K332" s="1">
        <v>0</v>
      </c>
      <c r="L332" s="1"/>
      <c r="M332" s="1" t="s">
        <v>3</v>
      </c>
      <c r="N332" s="1"/>
      <c r="O332" s="1"/>
      <c r="P332" s="1"/>
      <c r="Q332" s="1"/>
      <c r="R332" s="1"/>
      <c r="S332" s="1">
        <v>0</v>
      </c>
      <c r="T332" s="1">
        <v>0</v>
      </c>
      <c r="U332" s="1" t="s">
        <v>3</v>
      </c>
      <c r="V332" s="1">
        <v>0</v>
      </c>
      <c r="W332" s="1"/>
      <c r="X332" s="1"/>
      <c r="Y332" s="1"/>
      <c r="Z332" s="1"/>
      <c r="AA332" s="1"/>
      <c r="AB332" s="1" t="s">
        <v>3</v>
      </c>
      <c r="AC332" s="1" t="s">
        <v>3</v>
      </c>
      <c r="AD332" s="1" t="s">
        <v>3</v>
      </c>
      <c r="AE332" s="1" t="s">
        <v>3</v>
      </c>
      <c r="AF332" s="1" t="s">
        <v>3</v>
      </c>
      <c r="AG332" s="1" t="s">
        <v>3</v>
      </c>
      <c r="AH332" s="1"/>
      <c r="AI332" s="1"/>
      <c r="AJ332" s="1"/>
      <c r="AK332" s="1"/>
      <c r="AL332" s="1"/>
      <c r="AM332" s="1"/>
      <c r="AN332" s="1"/>
      <c r="AO332" s="1"/>
      <c r="AP332" s="1" t="s">
        <v>3</v>
      </c>
      <c r="AQ332" s="1" t="s">
        <v>3</v>
      </c>
      <c r="AR332" s="1" t="s">
        <v>3</v>
      </c>
      <c r="AS332" s="1"/>
      <c r="AT332" s="1"/>
      <c r="AU332" s="1"/>
      <c r="AV332" s="1"/>
      <c r="AW332" s="1"/>
      <c r="AX332" s="1"/>
      <c r="AY332" s="1"/>
      <c r="AZ332" s="1" t="s">
        <v>3</v>
      </c>
      <c r="BA332" s="1"/>
      <c r="BB332" s="1" t="s">
        <v>3</v>
      </c>
      <c r="BC332" s="1" t="s">
        <v>3</v>
      </c>
      <c r="BD332" s="1" t="s">
        <v>3</v>
      </c>
      <c r="BE332" s="1" t="s">
        <v>3</v>
      </c>
      <c r="BF332" s="1" t="s">
        <v>3</v>
      </c>
      <c r="BG332" s="1" t="s">
        <v>3</v>
      </c>
      <c r="BH332" s="1" t="s">
        <v>3</v>
      </c>
      <c r="BI332" s="1" t="s">
        <v>3</v>
      </c>
      <c r="BJ332" s="1" t="s">
        <v>3</v>
      </c>
      <c r="BK332" s="1" t="s">
        <v>3</v>
      </c>
      <c r="BL332" s="1" t="s">
        <v>3</v>
      </c>
      <c r="BM332" s="1" t="s">
        <v>3</v>
      </c>
      <c r="BN332" s="1" t="s">
        <v>3</v>
      </c>
      <c r="BO332" s="1" t="s">
        <v>3</v>
      </c>
      <c r="BP332" s="1" t="s">
        <v>3</v>
      </c>
      <c r="BQ332" s="1"/>
      <c r="BR332" s="1"/>
      <c r="BS332" s="1"/>
      <c r="BT332" s="1"/>
      <c r="BU332" s="1"/>
      <c r="BV332" s="1"/>
      <c r="BW332" s="1"/>
      <c r="BX332" s="1">
        <v>0</v>
      </c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>
        <v>0</v>
      </c>
    </row>
    <row r="334" spans="1:255" x14ac:dyDescent="0.2">
      <c r="A334" s="3">
        <v>52</v>
      </c>
      <c r="B334" s="3">
        <f t="shared" ref="B334:G334" si="293">B363</f>
        <v>1</v>
      </c>
      <c r="C334" s="3">
        <f t="shared" si="293"/>
        <v>5</v>
      </c>
      <c r="D334" s="3">
        <f t="shared" si="293"/>
        <v>332</v>
      </c>
      <c r="E334" s="3">
        <f t="shared" si="293"/>
        <v>0</v>
      </c>
      <c r="F334" s="3" t="str">
        <f t="shared" si="293"/>
        <v>Новый подраздел</v>
      </c>
      <c r="G334" s="3" t="str">
        <f t="shared" si="293"/>
        <v>Тротуар</v>
      </c>
      <c r="H334" s="3"/>
      <c r="I334" s="3"/>
      <c r="J334" s="3"/>
      <c r="K334" s="3"/>
      <c r="L334" s="3"/>
      <c r="M334" s="3"/>
      <c r="N334" s="3"/>
      <c r="O334" s="3">
        <f t="shared" ref="O334:AT334" si="294">O363</f>
        <v>0</v>
      </c>
      <c r="P334" s="3">
        <f t="shared" si="294"/>
        <v>0</v>
      </c>
      <c r="Q334" s="3">
        <f t="shared" si="294"/>
        <v>0</v>
      </c>
      <c r="R334" s="3">
        <f t="shared" si="294"/>
        <v>0</v>
      </c>
      <c r="S334" s="3">
        <f t="shared" si="294"/>
        <v>0</v>
      </c>
      <c r="T334" s="3">
        <f t="shared" si="294"/>
        <v>0</v>
      </c>
      <c r="U334" s="3">
        <f t="shared" si="294"/>
        <v>0</v>
      </c>
      <c r="V334" s="3">
        <f t="shared" si="294"/>
        <v>0</v>
      </c>
      <c r="W334" s="3">
        <f t="shared" si="294"/>
        <v>0</v>
      </c>
      <c r="X334" s="3">
        <f t="shared" si="294"/>
        <v>0</v>
      </c>
      <c r="Y334" s="3">
        <f t="shared" si="294"/>
        <v>0</v>
      </c>
      <c r="Z334" s="3">
        <f t="shared" si="294"/>
        <v>0</v>
      </c>
      <c r="AA334" s="3">
        <f t="shared" si="294"/>
        <v>0</v>
      </c>
      <c r="AB334" s="3">
        <f t="shared" si="294"/>
        <v>0</v>
      </c>
      <c r="AC334" s="3">
        <f t="shared" si="294"/>
        <v>0</v>
      </c>
      <c r="AD334" s="3">
        <f t="shared" si="294"/>
        <v>0</v>
      </c>
      <c r="AE334" s="3">
        <f t="shared" si="294"/>
        <v>0</v>
      </c>
      <c r="AF334" s="3">
        <f t="shared" si="294"/>
        <v>0</v>
      </c>
      <c r="AG334" s="3">
        <f t="shared" si="294"/>
        <v>0</v>
      </c>
      <c r="AH334" s="3">
        <f t="shared" si="294"/>
        <v>0</v>
      </c>
      <c r="AI334" s="3">
        <f t="shared" si="294"/>
        <v>0</v>
      </c>
      <c r="AJ334" s="3">
        <f t="shared" si="294"/>
        <v>0</v>
      </c>
      <c r="AK334" s="3">
        <f t="shared" si="294"/>
        <v>0</v>
      </c>
      <c r="AL334" s="3">
        <f t="shared" si="294"/>
        <v>0</v>
      </c>
      <c r="AM334" s="3">
        <f t="shared" si="294"/>
        <v>0</v>
      </c>
      <c r="AN334" s="3">
        <f t="shared" si="294"/>
        <v>0</v>
      </c>
      <c r="AO334" s="3">
        <f t="shared" si="294"/>
        <v>0</v>
      </c>
      <c r="AP334" s="3">
        <f t="shared" si="294"/>
        <v>0</v>
      </c>
      <c r="AQ334" s="3">
        <f t="shared" si="294"/>
        <v>0</v>
      </c>
      <c r="AR334" s="3">
        <f t="shared" si="294"/>
        <v>0</v>
      </c>
      <c r="AS334" s="3">
        <f t="shared" si="294"/>
        <v>0</v>
      </c>
      <c r="AT334" s="3">
        <f t="shared" si="294"/>
        <v>0</v>
      </c>
      <c r="AU334" s="3">
        <f t="shared" ref="AU334:BZ334" si="295">AU363</f>
        <v>0</v>
      </c>
      <c r="AV334" s="3">
        <f t="shared" si="295"/>
        <v>0</v>
      </c>
      <c r="AW334" s="3">
        <f t="shared" si="295"/>
        <v>0</v>
      </c>
      <c r="AX334" s="3">
        <f t="shared" si="295"/>
        <v>0</v>
      </c>
      <c r="AY334" s="3">
        <f t="shared" si="295"/>
        <v>0</v>
      </c>
      <c r="AZ334" s="3">
        <f t="shared" si="295"/>
        <v>0</v>
      </c>
      <c r="BA334" s="3">
        <f t="shared" si="295"/>
        <v>0</v>
      </c>
      <c r="BB334" s="3">
        <f t="shared" si="295"/>
        <v>0</v>
      </c>
      <c r="BC334" s="3">
        <f t="shared" si="295"/>
        <v>0</v>
      </c>
      <c r="BD334" s="3">
        <f t="shared" si="295"/>
        <v>0</v>
      </c>
      <c r="BE334" s="3">
        <f t="shared" si="295"/>
        <v>0</v>
      </c>
      <c r="BF334" s="3">
        <f t="shared" si="295"/>
        <v>0</v>
      </c>
      <c r="BG334" s="3">
        <f t="shared" si="295"/>
        <v>0</v>
      </c>
      <c r="BH334" s="3">
        <f t="shared" si="295"/>
        <v>0</v>
      </c>
      <c r="BI334" s="3">
        <f t="shared" si="295"/>
        <v>0</v>
      </c>
      <c r="BJ334" s="3">
        <f t="shared" si="295"/>
        <v>0</v>
      </c>
      <c r="BK334" s="3">
        <f t="shared" si="295"/>
        <v>0</v>
      </c>
      <c r="BL334" s="3">
        <f t="shared" si="295"/>
        <v>0</v>
      </c>
      <c r="BM334" s="3">
        <f t="shared" si="295"/>
        <v>0</v>
      </c>
      <c r="BN334" s="3">
        <f t="shared" si="295"/>
        <v>0</v>
      </c>
      <c r="BO334" s="3">
        <f t="shared" si="295"/>
        <v>0</v>
      </c>
      <c r="BP334" s="3">
        <f t="shared" si="295"/>
        <v>0</v>
      </c>
      <c r="BQ334" s="3">
        <f t="shared" si="295"/>
        <v>0</v>
      </c>
      <c r="BR334" s="3">
        <f t="shared" si="295"/>
        <v>0</v>
      </c>
      <c r="BS334" s="3">
        <f t="shared" si="295"/>
        <v>0</v>
      </c>
      <c r="BT334" s="3">
        <f t="shared" si="295"/>
        <v>0</v>
      </c>
      <c r="BU334" s="3">
        <f t="shared" si="295"/>
        <v>0</v>
      </c>
      <c r="BV334" s="3">
        <f t="shared" si="295"/>
        <v>0</v>
      </c>
      <c r="BW334" s="3">
        <f t="shared" si="295"/>
        <v>0</v>
      </c>
      <c r="BX334" s="3">
        <f t="shared" si="295"/>
        <v>0</v>
      </c>
      <c r="BY334" s="3">
        <f t="shared" si="295"/>
        <v>0</v>
      </c>
      <c r="BZ334" s="3">
        <f t="shared" si="295"/>
        <v>0</v>
      </c>
      <c r="CA334" s="3">
        <f t="shared" ref="CA334:DF334" si="296">CA363</f>
        <v>0</v>
      </c>
      <c r="CB334" s="3">
        <f t="shared" si="296"/>
        <v>0</v>
      </c>
      <c r="CC334" s="3">
        <f t="shared" si="296"/>
        <v>0</v>
      </c>
      <c r="CD334" s="3">
        <f t="shared" si="296"/>
        <v>0</v>
      </c>
      <c r="CE334" s="3">
        <f t="shared" si="296"/>
        <v>0</v>
      </c>
      <c r="CF334" s="3">
        <f t="shared" si="296"/>
        <v>0</v>
      </c>
      <c r="CG334" s="3">
        <f t="shared" si="296"/>
        <v>0</v>
      </c>
      <c r="CH334" s="3">
        <f t="shared" si="296"/>
        <v>0</v>
      </c>
      <c r="CI334" s="3">
        <f t="shared" si="296"/>
        <v>0</v>
      </c>
      <c r="CJ334" s="3">
        <f t="shared" si="296"/>
        <v>0</v>
      </c>
      <c r="CK334" s="3">
        <f t="shared" si="296"/>
        <v>0</v>
      </c>
      <c r="CL334" s="3">
        <f t="shared" si="296"/>
        <v>0</v>
      </c>
      <c r="CM334" s="3">
        <f t="shared" si="296"/>
        <v>0</v>
      </c>
      <c r="CN334" s="3">
        <f t="shared" si="296"/>
        <v>0</v>
      </c>
      <c r="CO334" s="3">
        <f t="shared" si="296"/>
        <v>0</v>
      </c>
      <c r="CP334" s="3">
        <f t="shared" si="296"/>
        <v>0</v>
      </c>
      <c r="CQ334" s="3">
        <f t="shared" si="296"/>
        <v>0</v>
      </c>
      <c r="CR334" s="3">
        <f t="shared" si="296"/>
        <v>0</v>
      </c>
      <c r="CS334" s="3">
        <f t="shared" si="296"/>
        <v>0</v>
      </c>
      <c r="CT334" s="3">
        <f t="shared" si="296"/>
        <v>0</v>
      </c>
      <c r="CU334" s="3">
        <f t="shared" si="296"/>
        <v>0</v>
      </c>
      <c r="CV334" s="3">
        <f t="shared" si="296"/>
        <v>0</v>
      </c>
      <c r="CW334" s="3">
        <f t="shared" si="296"/>
        <v>0</v>
      </c>
      <c r="CX334" s="3">
        <f t="shared" si="296"/>
        <v>0</v>
      </c>
      <c r="CY334" s="3">
        <f t="shared" si="296"/>
        <v>0</v>
      </c>
      <c r="CZ334" s="3">
        <f t="shared" si="296"/>
        <v>0</v>
      </c>
      <c r="DA334" s="3">
        <f t="shared" si="296"/>
        <v>0</v>
      </c>
      <c r="DB334" s="3">
        <f t="shared" si="296"/>
        <v>0</v>
      </c>
      <c r="DC334" s="3">
        <f t="shared" si="296"/>
        <v>0</v>
      </c>
      <c r="DD334" s="3">
        <f t="shared" si="296"/>
        <v>0</v>
      </c>
      <c r="DE334" s="3">
        <f t="shared" si="296"/>
        <v>0</v>
      </c>
      <c r="DF334" s="3">
        <f t="shared" si="296"/>
        <v>0</v>
      </c>
      <c r="DG334" s="4">
        <f t="shared" ref="DG334:EL334" si="297">DG363</f>
        <v>0</v>
      </c>
      <c r="DH334" s="4">
        <f t="shared" si="297"/>
        <v>0</v>
      </c>
      <c r="DI334" s="4">
        <f t="shared" si="297"/>
        <v>0</v>
      </c>
      <c r="DJ334" s="4">
        <f t="shared" si="297"/>
        <v>0</v>
      </c>
      <c r="DK334" s="4">
        <f t="shared" si="297"/>
        <v>0</v>
      </c>
      <c r="DL334" s="4">
        <f t="shared" si="297"/>
        <v>0</v>
      </c>
      <c r="DM334" s="4">
        <f t="shared" si="297"/>
        <v>0</v>
      </c>
      <c r="DN334" s="4">
        <f t="shared" si="297"/>
        <v>0</v>
      </c>
      <c r="DO334" s="4">
        <f t="shared" si="297"/>
        <v>0</v>
      </c>
      <c r="DP334" s="4">
        <f t="shared" si="297"/>
        <v>0</v>
      </c>
      <c r="DQ334" s="4">
        <f t="shared" si="297"/>
        <v>0</v>
      </c>
      <c r="DR334" s="4">
        <f t="shared" si="297"/>
        <v>0</v>
      </c>
      <c r="DS334" s="4">
        <f t="shared" si="297"/>
        <v>0</v>
      </c>
      <c r="DT334" s="4">
        <f t="shared" si="297"/>
        <v>0</v>
      </c>
      <c r="DU334" s="4">
        <f t="shared" si="297"/>
        <v>0</v>
      </c>
      <c r="DV334" s="4">
        <f t="shared" si="297"/>
        <v>0</v>
      </c>
      <c r="DW334" s="4">
        <f t="shared" si="297"/>
        <v>0</v>
      </c>
      <c r="DX334" s="4">
        <f t="shared" si="297"/>
        <v>0</v>
      </c>
      <c r="DY334" s="4">
        <f t="shared" si="297"/>
        <v>0</v>
      </c>
      <c r="DZ334" s="4">
        <f t="shared" si="297"/>
        <v>0</v>
      </c>
      <c r="EA334" s="4">
        <f t="shared" si="297"/>
        <v>0</v>
      </c>
      <c r="EB334" s="4">
        <f t="shared" si="297"/>
        <v>0</v>
      </c>
      <c r="EC334" s="4">
        <f t="shared" si="297"/>
        <v>0</v>
      </c>
      <c r="ED334" s="4">
        <f t="shared" si="297"/>
        <v>0</v>
      </c>
      <c r="EE334" s="4">
        <f t="shared" si="297"/>
        <v>0</v>
      </c>
      <c r="EF334" s="4">
        <f t="shared" si="297"/>
        <v>0</v>
      </c>
      <c r="EG334" s="4">
        <f t="shared" si="297"/>
        <v>0</v>
      </c>
      <c r="EH334" s="4">
        <f t="shared" si="297"/>
        <v>0</v>
      </c>
      <c r="EI334" s="4">
        <f t="shared" si="297"/>
        <v>0</v>
      </c>
      <c r="EJ334" s="4">
        <f t="shared" si="297"/>
        <v>0</v>
      </c>
      <c r="EK334" s="4">
        <f t="shared" si="297"/>
        <v>0</v>
      </c>
      <c r="EL334" s="4">
        <f t="shared" si="297"/>
        <v>0</v>
      </c>
      <c r="EM334" s="4">
        <f t="shared" ref="EM334:FR334" si="298">EM363</f>
        <v>0</v>
      </c>
      <c r="EN334" s="4">
        <f t="shared" si="298"/>
        <v>0</v>
      </c>
      <c r="EO334" s="4">
        <f t="shared" si="298"/>
        <v>0</v>
      </c>
      <c r="EP334" s="4">
        <f t="shared" si="298"/>
        <v>0</v>
      </c>
      <c r="EQ334" s="4">
        <f t="shared" si="298"/>
        <v>0</v>
      </c>
      <c r="ER334" s="4">
        <f t="shared" si="298"/>
        <v>0</v>
      </c>
      <c r="ES334" s="4">
        <f t="shared" si="298"/>
        <v>0</v>
      </c>
      <c r="ET334" s="4">
        <f t="shared" si="298"/>
        <v>0</v>
      </c>
      <c r="EU334" s="4">
        <f t="shared" si="298"/>
        <v>0</v>
      </c>
      <c r="EV334" s="4">
        <f t="shared" si="298"/>
        <v>0</v>
      </c>
      <c r="EW334" s="4">
        <f t="shared" si="298"/>
        <v>0</v>
      </c>
      <c r="EX334" s="4">
        <f t="shared" si="298"/>
        <v>0</v>
      </c>
      <c r="EY334" s="4">
        <f t="shared" si="298"/>
        <v>0</v>
      </c>
      <c r="EZ334" s="4">
        <f t="shared" si="298"/>
        <v>0</v>
      </c>
      <c r="FA334" s="4">
        <f t="shared" si="298"/>
        <v>0</v>
      </c>
      <c r="FB334" s="4">
        <f t="shared" si="298"/>
        <v>0</v>
      </c>
      <c r="FC334" s="4">
        <f t="shared" si="298"/>
        <v>0</v>
      </c>
      <c r="FD334" s="4">
        <f t="shared" si="298"/>
        <v>0</v>
      </c>
      <c r="FE334" s="4">
        <f t="shared" si="298"/>
        <v>0</v>
      </c>
      <c r="FF334" s="4">
        <f t="shared" si="298"/>
        <v>0</v>
      </c>
      <c r="FG334" s="4">
        <f t="shared" si="298"/>
        <v>0</v>
      </c>
      <c r="FH334" s="4">
        <f t="shared" si="298"/>
        <v>0</v>
      </c>
      <c r="FI334" s="4">
        <f t="shared" si="298"/>
        <v>0</v>
      </c>
      <c r="FJ334" s="4">
        <f t="shared" si="298"/>
        <v>0</v>
      </c>
      <c r="FK334" s="4">
        <f t="shared" si="298"/>
        <v>0</v>
      </c>
      <c r="FL334" s="4">
        <f t="shared" si="298"/>
        <v>0</v>
      </c>
      <c r="FM334" s="4">
        <f t="shared" si="298"/>
        <v>0</v>
      </c>
      <c r="FN334" s="4">
        <f t="shared" si="298"/>
        <v>0</v>
      </c>
      <c r="FO334" s="4">
        <f t="shared" si="298"/>
        <v>0</v>
      </c>
      <c r="FP334" s="4">
        <f t="shared" si="298"/>
        <v>0</v>
      </c>
      <c r="FQ334" s="4">
        <f t="shared" si="298"/>
        <v>0</v>
      </c>
      <c r="FR334" s="4">
        <f t="shared" si="298"/>
        <v>0</v>
      </c>
      <c r="FS334" s="4">
        <f t="shared" ref="FS334:GX334" si="299">FS363</f>
        <v>0</v>
      </c>
      <c r="FT334" s="4">
        <f t="shared" si="299"/>
        <v>0</v>
      </c>
      <c r="FU334" s="4">
        <f t="shared" si="299"/>
        <v>0</v>
      </c>
      <c r="FV334" s="4">
        <f t="shared" si="299"/>
        <v>0</v>
      </c>
      <c r="FW334" s="4">
        <f t="shared" si="299"/>
        <v>0</v>
      </c>
      <c r="FX334" s="4">
        <f t="shared" si="299"/>
        <v>0</v>
      </c>
      <c r="FY334" s="4">
        <f t="shared" si="299"/>
        <v>0</v>
      </c>
      <c r="FZ334" s="4">
        <f t="shared" si="299"/>
        <v>0</v>
      </c>
      <c r="GA334" s="4">
        <f t="shared" si="299"/>
        <v>0</v>
      </c>
      <c r="GB334" s="4">
        <f t="shared" si="299"/>
        <v>0</v>
      </c>
      <c r="GC334" s="4">
        <f t="shared" si="299"/>
        <v>0</v>
      </c>
      <c r="GD334" s="4">
        <f t="shared" si="299"/>
        <v>0</v>
      </c>
      <c r="GE334" s="4">
        <f t="shared" si="299"/>
        <v>0</v>
      </c>
      <c r="GF334" s="4">
        <f t="shared" si="299"/>
        <v>0</v>
      </c>
      <c r="GG334" s="4">
        <f t="shared" si="299"/>
        <v>0</v>
      </c>
      <c r="GH334" s="4">
        <f t="shared" si="299"/>
        <v>0</v>
      </c>
      <c r="GI334" s="4">
        <f t="shared" si="299"/>
        <v>0</v>
      </c>
      <c r="GJ334" s="4">
        <f t="shared" si="299"/>
        <v>0</v>
      </c>
      <c r="GK334" s="4">
        <f t="shared" si="299"/>
        <v>0</v>
      </c>
      <c r="GL334" s="4">
        <f t="shared" si="299"/>
        <v>0</v>
      </c>
      <c r="GM334" s="4">
        <f t="shared" si="299"/>
        <v>0</v>
      </c>
      <c r="GN334" s="4">
        <f t="shared" si="299"/>
        <v>0</v>
      </c>
      <c r="GO334" s="4">
        <f t="shared" si="299"/>
        <v>0</v>
      </c>
      <c r="GP334" s="4">
        <f t="shared" si="299"/>
        <v>0</v>
      </c>
      <c r="GQ334" s="4">
        <f t="shared" si="299"/>
        <v>0</v>
      </c>
      <c r="GR334" s="4">
        <f t="shared" si="299"/>
        <v>0</v>
      </c>
      <c r="GS334" s="4">
        <f t="shared" si="299"/>
        <v>0</v>
      </c>
      <c r="GT334" s="4">
        <f t="shared" si="299"/>
        <v>0</v>
      </c>
      <c r="GU334" s="4">
        <f t="shared" si="299"/>
        <v>0</v>
      </c>
      <c r="GV334" s="4">
        <f t="shared" si="299"/>
        <v>0</v>
      </c>
      <c r="GW334" s="4">
        <f t="shared" si="299"/>
        <v>0</v>
      </c>
      <c r="GX334" s="4">
        <f t="shared" si="299"/>
        <v>0</v>
      </c>
    </row>
    <row r="336" spans="1:255" x14ac:dyDescent="0.2">
      <c r="A336" s="2">
        <v>17</v>
      </c>
      <c r="B336" s="2">
        <v>1</v>
      </c>
      <c r="C336" s="2"/>
      <c r="D336" s="2">
        <f>ROW(EtalonRes!A1117)</f>
        <v>1117</v>
      </c>
      <c r="E336" s="2" t="s">
        <v>382</v>
      </c>
      <c r="F336" s="2" t="s">
        <v>315</v>
      </c>
      <c r="G336" s="2" t="s">
        <v>316</v>
      </c>
      <c r="H336" s="2" t="s">
        <v>317</v>
      </c>
      <c r="I336" s="2">
        <v>0</v>
      </c>
      <c r="J336" s="2">
        <v>0</v>
      </c>
      <c r="K336" s="2">
        <v>0</v>
      </c>
      <c r="L336" s="2"/>
      <c r="M336" s="2"/>
      <c r="N336" s="2"/>
      <c r="O336" s="2">
        <f t="shared" ref="O336:O361" si="300">ROUND(CP336,2)</f>
        <v>0</v>
      </c>
      <c r="P336" s="2">
        <f t="shared" ref="P336:P361" si="301">ROUND((ROUND((AC336*AW336*I336),2)*BC336),2)</f>
        <v>0</v>
      </c>
      <c r="Q336" s="2">
        <f t="shared" ref="Q336:Q343" si="302">(ROUND((ROUND((((ET336*1.1))*AV336*I336),2)*BB336),2)+ROUND((ROUND(((AE336-((EU336*1.1)))*AV336*I336),2)*BS336),2))</f>
        <v>0</v>
      </c>
      <c r="R336" s="2">
        <f t="shared" ref="R336:R361" si="303">ROUND((ROUND((AE336*AV336*I336),2)*BS336),2)</f>
        <v>0</v>
      </c>
      <c r="S336" s="2">
        <f t="shared" ref="S336:S361" si="304">ROUND((ROUND((AF336*AV336*I336),2)*BA336),2)</f>
        <v>0</v>
      </c>
      <c r="T336" s="2">
        <f t="shared" ref="T336:T361" si="305">ROUND(CU336*I336,2)</f>
        <v>0</v>
      </c>
      <c r="U336" s="2">
        <f t="shared" ref="U336:U361" si="306">CV336*I336</f>
        <v>0</v>
      </c>
      <c r="V336" s="2">
        <f t="shared" ref="V336:V361" si="307">CW336*I336</f>
        <v>0</v>
      </c>
      <c r="W336" s="2">
        <f t="shared" ref="W336:W361" si="308">ROUND(CX336*I336,2)</f>
        <v>0</v>
      </c>
      <c r="X336" s="2">
        <f t="shared" ref="X336:X361" si="309">ROUND(CY336,2)</f>
        <v>0</v>
      </c>
      <c r="Y336" s="2">
        <f t="shared" ref="Y336:Y361" si="310">ROUND(CZ336,2)</f>
        <v>0</v>
      </c>
      <c r="Z336" s="2"/>
      <c r="AA336" s="2">
        <v>56622586</v>
      </c>
      <c r="AB336" s="2">
        <f t="shared" ref="AB336:AB361" si="311">ROUND((AC336+AD336+AF336),6)</f>
        <v>3986.268</v>
      </c>
      <c r="AC336" s="2">
        <f t="shared" ref="AC336:AC361" si="312">ROUND((ES336),6)</f>
        <v>0</v>
      </c>
      <c r="AD336" s="2">
        <f t="shared" ref="AD336:AD343" si="313">ROUND(((((ET336*1.1))-((EU336*1.1)))+AE336),6)</f>
        <v>2129.5230000000001</v>
      </c>
      <c r="AE336" s="2">
        <f t="shared" ref="AE336:AF343" si="314">ROUND(((EU336*1.1)),6)</f>
        <v>553.28899999999999</v>
      </c>
      <c r="AF336" s="2">
        <f t="shared" si="314"/>
        <v>1856.7449999999999</v>
      </c>
      <c r="AG336" s="2">
        <f t="shared" ref="AG336:AG361" si="315">ROUND((AP336),6)</f>
        <v>0</v>
      </c>
      <c r="AH336" s="2">
        <f t="shared" ref="AH336:AI343" si="316">((EW336*1.1))</f>
        <v>170.5</v>
      </c>
      <c r="AI336" s="2">
        <f t="shared" si="316"/>
        <v>0</v>
      </c>
      <c r="AJ336" s="2">
        <f t="shared" ref="AJ336:AJ361" si="317">(AS336)</f>
        <v>0</v>
      </c>
      <c r="AK336" s="2">
        <v>3623.88</v>
      </c>
      <c r="AL336" s="2">
        <v>0</v>
      </c>
      <c r="AM336" s="2">
        <v>1935.93</v>
      </c>
      <c r="AN336" s="2">
        <v>502.99</v>
      </c>
      <c r="AO336" s="2">
        <v>1687.95</v>
      </c>
      <c r="AP336" s="2">
        <v>0</v>
      </c>
      <c r="AQ336" s="2">
        <v>155</v>
      </c>
      <c r="AR336" s="2">
        <v>0</v>
      </c>
      <c r="AS336" s="2">
        <v>0</v>
      </c>
      <c r="AT336" s="2">
        <v>80</v>
      </c>
      <c r="AU336" s="2">
        <v>55</v>
      </c>
      <c r="AV336" s="2">
        <v>1.0469999999999999</v>
      </c>
      <c r="AW336" s="2">
        <v>1</v>
      </c>
      <c r="AX336" s="2"/>
      <c r="AY336" s="2"/>
      <c r="AZ336" s="2">
        <v>1</v>
      </c>
      <c r="BA336" s="2">
        <v>1</v>
      </c>
      <c r="BB336" s="2">
        <v>1</v>
      </c>
      <c r="BC336" s="2">
        <v>1</v>
      </c>
      <c r="BD336" s="2" t="s">
        <v>3</v>
      </c>
      <c r="BE336" s="2" t="s">
        <v>3</v>
      </c>
      <c r="BF336" s="2" t="s">
        <v>3</v>
      </c>
      <c r="BG336" s="2" t="s">
        <v>3</v>
      </c>
      <c r="BH336" s="2">
        <v>0</v>
      </c>
      <c r="BI336" s="2">
        <v>1</v>
      </c>
      <c r="BJ336" s="2" t="s">
        <v>318</v>
      </c>
      <c r="BK336" s="2"/>
      <c r="BL336" s="2"/>
      <c r="BM336" s="2">
        <v>674</v>
      </c>
      <c r="BN336" s="2">
        <v>0</v>
      </c>
      <c r="BO336" s="2" t="s">
        <v>3</v>
      </c>
      <c r="BP336" s="2">
        <v>0</v>
      </c>
      <c r="BQ336" s="2">
        <v>60</v>
      </c>
      <c r="BR336" s="2">
        <v>0</v>
      </c>
      <c r="BS336" s="2">
        <v>1</v>
      </c>
      <c r="BT336" s="2">
        <v>1</v>
      </c>
      <c r="BU336" s="2">
        <v>1</v>
      </c>
      <c r="BV336" s="2">
        <v>1</v>
      </c>
      <c r="BW336" s="2">
        <v>1</v>
      </c>
      <c r="BX336" s="2">
        <v>1</v>
      </c>
      <c r="BY336" s="2" t="s">
        <v>3</v>
      </c>
      <c r="BZ336" s="2">
        <v>80</v>
      </c>
      <c r="CA336" s="2">
        <v>55</v>
      </c>
      <c r="CB336" s="2" t="s">
        <v>3</v>
      </c>
      <c r="CC336" s="2"/>
      <c r="CD336" s="2"/>
      <c r="CE336" s="2">
        <v>30</v>
      </c>
      <c r="CF336" s="2">
        <v>0</v>
      </c>
      <c r="CG336" s="2">
        <v>0</v>
      </c>
      <c r="CH336" s="2"/>
      <c r="CI336" s="2"/>
      <c r="CJ336" s="2"/>
      <c r="CK336" s="2"/>
      <c r="CL336" s="2"/>
      <c r="CM336" s="2">
        <v>0</v>
      </c>
      <c r="CN336" s="2" t="s">
        <v>671</v>
      </c>
      <c r="CO336" s="2">
        <v>0</v>
      </c>
      <c r="CP336" s="2">
        <f t="shared" ref="CP336:CP361" si="318">(P336+Q336+S336)</f>
        <v>0</v>
      </c>
      <c r="CQ336" s="2">
        <f t="shared" ref="CQ336:CQ361" si="319">ROUND((ROUND((AC336*AW336*1),2)*BC336),2)</f>
        <v>0</v>
      </c>
      <c r="CR336" s="2">
        <f t="shared" ref="CR336:CR343" si="320">(ROUND((ROUND((((ET336*1.1))*AV336*1),2)*BB336),2)+ROUND((ROUND(((AE336-((EU336*1.1)))*AV336*1),2)*BS336),2))</f>
        <v>2229.61</v>
      </c>
      <c r="CS336" s="2">
        <f t="shared" ref="CS336:CS361" si="321">ROUND((ROUND((AE336*AV336*1),2)*BS336),2)</f>
        <v>579.29</v>
      </c>
      <c r="CT336" s="2">
        <f t="shared" ref="CT336:CT361" si="322">ROUND((ROUND((AF336*AV336*1),2)*BA336),2)</f>
        <v>1944.01</v>
      </c>
      <c r="CU336" s="2">
        <f t="shared" ref="CU336:CU361" si="323">AG336</f>
        <v>0</v>
      </c>
      <c r="CV336" s="2">
        <f t="shared" ref="CV336:CV361" si="324">(AH336*AV336)</f>
        <v>178.51349999999999</v>
      </c>
      <c r="CW336" s="2">
        <f t="shared" ref="CW336:CW361" si="325">AI336</f>
        <v>0</v>
      </c>
      <c r="CX336" s="2">
        <f t="shared" ref="CX336:CX361" si="326">AJ336</f>
        <v>0</v>
      </c>
      <c r="CY336" s="2">
        <f>((S336*BZ336)/100)</f>
        <v>0</v>
      </c>
      <c r="CZ336" s="2">
        <f>((S336*CA336)/100)</f>
        <v>0</v>
      </c>
      <c r="DA336" s="2"/>
      <c r="DB336" s="2"/>
      <c r="DC336" s="2" t="s">
        <v>3</v>
      </c>
      <c r="DD336" s="2" t="s">
        <v>3</v>
      </c>
      <c r="DE336" s="2" t="s">
        <v>22</v>
      </c>
      <c r="DF336" s="2" t="s">
        <v>22</v>
      </c>
      <c r="DG336" s="2" t="s">
        <v>22</v>
      </c>
      <c r="DH336" s="2" t="s">
        <v>3</v>
      </c>
      <c r="DI336" s="2" t="s">
        <v>22</v>
      </c>
      <c r="DJ336" s="2" t="s">
        <v>22</v>
      </c>
      <c r="DK336" s="2" t="s">
        <v>3</v>
      </c>
      <c r="DL336" s="2" t="s">
        <v>3</v>
      </c>
      <c r="DM336" s="2" t="s">
        <v>3</v>
      </c>
      <c r="DN336" s="2">
        <v>0</v>
      </c>
      <c r="DO336" s="2">
        <v>0</v>
      </c>
      <c r="DP336" s="2">
        <v>1</v>
      </c>
      <c r="DQ336" s="2">
        <v>1</v>
      </c>
      <c r="DR336" s="2"/>
      <c r="DS336" s="2"/>
      <c r="DT336" s="2"/>
      <c r="DU336" s="2">
        <v>1007</v>
      </c>
      <c r="DV336" s="2" t="s">
        <v>317</v>
      </c>
      <c r="DW336" s="2" t="s">
        <v>317</v>
      </c>
      <c r="DX336" s="2">
        <v>100</v>
      </c>
      <c r="DY336" s="2"/>
      <c r="DZ336" s="2" t="s">
        <v>3</v>
      </c>
      <c r="EA336" s="2" t="s">
        <v>3</v>
      </c>
      <c r="EB336" s="2" t="s">
        <v>3</v>
      </c>
      <c r="EC336" s="2" t="s">
        <v>3</v>
      </c>
      <c r="ED336" s="2"/>
      <c r="EE336" s="2">
        <v>51696713</v>
      </c>
      <c r="EF336" s="2">
        <v>60</v>
      </c>
      <c r="EG336" s="2" t="s">
        <v>319</v>
      </c>
      <c r="EH336" s="2">
        <v>0</v>
      </c>
      <c r="EI336" s="2" t="s">
        <v>3</v>
      </c>
      <c r="EJ336" s="2">
        <v>1</v>
      </c>
      <c r="EK336" s="2">
        <v>674</v>
      </c>
      <c r="EL336" s="2" t="s">
        <v>320</v>
      </c>
      <c r="EM336" s="2" t="s">
        <v>321</v>
      </c>
      <c r="EN336" s="2"/>
      <c r="EO336" s="2" t="s">
        <v>25</v>
      </c>
      <c r="EP336" s="2"/>
      <c r="EQ336" s="2">
        <v>131072</v>
      </c>
      <c r="ER336" s="2">
        <v>3623.88</v>
      </c>
      <c r="ES336" s="2">
        <v>0</v>
      </c>
      <c r="ET336" s="2">
        <v>1935.93</v>
      </c>
      <c r="EU336" s="2">
        <v>502.99</v>
      </c>
      <c r="EV336" s="2">
        <v>1687.95</v>
      </c>
      <c r="EW336" s="2">
        <v>155</v>
      </c>
      <c r="EX336" s="2">
        <v>0</v>
      </c>
      <c r="EY336" s="2">
        <v>0</v>
      </c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>
        <v>0</v>
      </c>
      <c r="FR336" s="2">
        <v>0</v>
      </c>
      <c r="FS336" s="2">
        <v>0</v>
      </c>
      <c r="FT336" s="2"/>
      <c r="FU336" s="2"/>
      <c r="FV336" s="2"/>
      <c r="FW336" s="2"/>
      <c r="FX336" s="2">
        <v>80</v>
      </c>
      <c r="FY336" s="2">
        <v>55</v>
      </c>
      <c r="FZ336" s="2"/>
      <c r="GA336" s="2" t="s">
        <v>3</v>
      </c>
      <c r="GB336" s="2"/>
      <c r="GC336" s="2"/>
      <c r="GD336" s="2">
        <v>0</v>
      </c>
      <c r="GE336" s="2"/>
      <c r="GF336" s="2">
        <v>854491468</v>
      </c>
      <c r="GG336" s="2">
        <v>2</v>
      </c>
      <c r="GH336" s="2">
        <v>1</v>
      </c>
      <c r="GI336" s="2">
        <v>-2</v>
      </c>
      <c r="GJ336" s="2">
        <v>0</v>
      </c>
      <c r="GK336" s="2">
        <f>ROUND(R336*(R12)/100,2)</f>
        <v>0</v>
      </c>
      <c r="GL336" s="2">
        <f t="shared" ref="GL336:GL361" si="327">ROUND(IF(AND(BH336=3,BI336=3,FS336&lt;&gt;0),P336,0),2)</f>
        <v>0</v>
      </c>
      <c r="GM336" s="2">
        <f t="shared" ref="GM336:GM361" si="328">ROUND(O336+X336+Y336+GK336,2)+GX336</f>
        <v>0</v>
      </c>
      <c r="GN336" s="2">
        <f t="shared" ref="GN336:GN361" si="329">IF(OR(BI336=0,BI336=1),GM336-GX336,0)</f>
        <v>0</v>
      </c>
      <c r="GO336" s="2">
        <f t="shared" ref="GO336:GO361" si="330">IF(BI336=2,GM336-GX336,0)</f>
        <v>0</v>
      </c>
      <c r="GP336" s="2">
        <f t="shared" ref="GP336:GP361" si="331">IF(BI336=4,GM336-GX336,0)</f>
        <v>0</v>
      </c>
      <c r="GQ336" s="2"/>
      <c r="GR336" s="2">
        <v>0</v>
      </c>
      <c r="GS336" s="2">
        <v>0</v>
      </c>
      <c r="GT336" s="2">
        <v>0</v>
      </c>
      <c r="GU336" s="2" t="s">
        <v>3</v>
      </c>
      <c r="GV336" s="2">
        <f t="shared" ref="GV336:GV361" si="332">ROUND((GT336),6)</f>
        <v>0</v>
      </c>
      <c r="GW336" s="2">
        <v>1</v>
      </c>
      <c r="GX336" s="2">
        <f t="shared" ref="GX336:GX361" si="333">ROUND(HC336*I336,2)</f>
        <v>0</v>
      </c>
      <c r="GY336" s="2"/>
      <c r="GZ336" s="2"/>
      <c r="HA336" s="2">
        <v>0</v>
      </c>
      <c r="HB336" s="2">
        <v>0</v>
      </c>
      <c r="HC336" s="2">
        <f t="shared" ref="HC336:HC361" si="334">GV336*GW336</f>
        <v>0</v>
      </c>
      <c r="HD336" s="2"/>
      <c r="HE336" s="2" t="s">
        <v>3</v>
      </c>
      <c r="HF336" s="2" t="s">
        <v>3</v>
      </c>
      <c r="HG336" s="2"/>
      <c r="HH336" s="2"/>
      <c r="HI336" s="2"/>
      <c r="HJ336" s="2"/>
      <c r="HK336" s="2"/>
      <c r="HL336" s="2"/>
      <c r="HM336" s="2" t="s">
        <v>3</v>
      </c>
      <c r="HN336" s="2" t="s">
        <v>3</v>
      </c>
      <c r="HO336" s="2" t="s">
        <v>3</v>
      </c>
      <c r="HP336" s="2" t="s">
        <v>3</v>
      </c>
      <c r="HQ336" s="2" t="s">
        <v>3</v>
      </c>
      <c r="HR336" s="2"/>
      <c r="HS336" s="2">
        <v>0</v>
      </c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>
        <v>0</v>
      </c>
      <c r="IL336" s="2"/>
      <c r="IM336" s="2"/>
      <c r="IN336" s="2"/>
      <c r="IO336" s="2"/>
      <c r="IP336" s="2"/>
      <c r="IQ336" s="2"/>
      <c r="IR336" s="2"/>
      <c r="IS336" s="2"/>
      <c r="IT336" s="2"/>
      <c r="IU336" s="2"/>
    </row>
    <row r="337" spans="1:255" x14ac:dyDescent="0.2">
      <c r="A337">
        <v>17</v>
      </c>
      <c r="B337">
        <v>1</v>
      </c>
      <c r="D337">
        <f>ROW(EtalonRes!A1122)</f>
        <v>1122</v>
      </c>
      <c r="E337" t="s">
        <v>382</v>
      </c>
      <c r="F337" t="s">
        <v>315</v>
      </c>
      <c r="G337" t="s">
        <v>316</v>
      </c>
      <c r="H337" t="s">
        <v>317</v>
      </c>
      <c r="I337">
        <v>0</v>
      </c>
      <c r="J337">
        <v>0</v>
      </c>
      <c r="K337">
        <v>0</v>
      </c>
      <c r="O337">
        <f t="shared" si="300"/>
        <v>0</v>
      </c>
      <c r="P337">
        <f t="shared" si="301"/>
        <v>0</v>
      </c>
      <c r="Q337">
        <f t="shared" si="302"/>
        <v>0</v>
      </c>
      <c r="R337">
        <f t="shared" si="303"/>
        <v>0</v>
      </c>
      <c r="S337">
        <f t="shared" si="304"/>
        <v>0</v>
      </c>
      <c r="T337">
        <f t="shared" si="305"/>
        <v>0</v>
      </c>
      <c r="U337">
        <f t="shared" si="306"/>
        <v>0</v>
      </c>
      <c r="V337">
        <f t="shared" si="307"/>
        <v>0</v>
      </c>
      <c r="W337">
        <f t="shared" si="308"/>
        <v>0</v>
      </c>
      <c r="X337">
        <f t="shared" si="309"/>
        <v>0</v>
      </c>
      <c r="Y337">
        <f t="shared" si="310"/>
        <v>0</v>
      </c>
      <c r="AA337">
        <v>56616093</v>
      </c>
      <c r="AB337">
        <f t="shared" si="311"/>
        <v>3986.268</v>
      </c>
      <c r="AC337">
        <f t="shared" si="312"/>
        <v>0</v>
      </c>
      <c r="AD337">
        <f t="shared" si="313"/>
        <v>2129.5230000000001</v>
      </c>
      <c r="AE337">
        <f t="shared" si="314"/>
        <v>553.28899999999999</v>
      </c>
      <c r="AF337">
        <f t="shared" si="314"/>
        <v>1856.7449999999999</v>
      </c>
      <c r="AG337">
        <f t="shared" si="315"/>
        <v>0</v>
      </c>
      <c r="AH337">
        <f t="shared" si="316"/>
        <v>170.5</v>
      </c>
      <c r="AI337">
        <f t="shared" si="316"/>
        <v>0</v>
      </c>
      <c r="AJ337">
        <f t="shared" si="317"/>
        <v>0</v>
      </c>
      <c r="AK337">
        <v>3623.88</v>
      </c>
      <c r="AL337">
        <v>0</v>
      </c>
      <c r="AM337">
        <v>1935.93</v>
      </c>
      <c r="AN337">
        <v>502.99</v>
      </c>
      <c r="AO337">
        <v>1687.95</v>
      </c>
      <c r="AP337">
        <v>0</v>
      </c>
      <c r="AQ337">
        <v>155</v>
      </c>
      <c r="AR337">
        <v>0</v>
      </c>
      <c r="AS337">
        <v>0</v>
      </c>
      <c r="AT337">
        <v>70</v>
      </c>
      <c r="AU337">
        <v>41</v>
      </c>
      <c r="AV337">
        <v>1.0469999999999999</v>
      </c>
      <c r="AW337">
        <v>1</v>
      </c>
      <c r="AZ337">
        <v>1</v>
      </c>
      <c r="BA337">
        <v>34.51</v>
      </c>
      <c r="BB337">
        <v>16.46</v>
      </c>
      <c r="BC337">
        <v>1</v>
      </c>
      <c r="BD337" t="s">
        <v>3</v>
      </c>
      <c r="BE337" t="s">
        <v>3</v>
      </c>
      <c r="BF337" t="s">
        <v>3</v>
      </c>
      <c r="BG337" t="s">
        <v>3</v>
      </c>
      <c r="BH337">
        <v>0</v>
      </c>
      <c r="BI337">
        <v>1</v>
      </c>
      <c r="BJ337" t="s">
        <v>318</v>
      </c>
      <c r="BM337">
        <v>674</v>
      </c>
      <c r="BN337">
        <v>0</v>
      </c>
      <c r="BO337" t="s">
        <v>315</v>
      </c>
      <c r="BP337">
        <v>1</v>
      </c>
      <c r="BQ337">
        <v>60</v>
      </c>
      <c r="BR337">
        <v>0</v>
      </c>
      <c r="BS337">
        <v>34.51</v>
      </c>
      <c r="BT337">
        <v>1</v>
      </c>
      <c r="BU337">
        <v>1</v>
      </c>
      <c r="BV337">
        <v>1</v>
      </c>
      <c r="BW337">
        <v>1</v>
      </c>
      <c r="BX337">
        <v>1</v>
      </c>
      <c r="BY337" t="s">
        <v>3</v>
      </c>
      <c r="BZ337">
        <v>70</v>
      </c>
      <c r="CA337">
        <v>41</v>
      </c>
      <c r="CB337" t="s">
        <v>3</v>
      </c>
      <c r="CE337">
        <v>30</v>
      </c>
      <c r="CF337">
        <v>0</v>
      </c>
      <c r="CG337">
        <v>0</v>
      </c>
      <c r="CM337">
        <v>0</v>
      </c>
      <c r="CN337" t="s">
        <v>671</v>
      </c>
      <c r="CO337">
        <v>0</v>
      </c>
      <c r="CP337">
        <f t="shared" si="318"/>
        <v>0</v>
      </c>
      <c r="CQ337">
        <f t="shared" si="319"/>
        <v>0</v>
      </c>
      <c r="CR337">
        <f t="shared" si="320"/>
        <v>36699.379999999997</v>
      </c>
      <c r="CS337">
        <f t="shared" si="321"/>
        <v>19991.3</v>
      </c>
      <c r="CT337">
        <f t="shared" si="322"/>
        <v>67087.789999999994</v>
      </c>
      <c r="CU337">
        <f t="shared" si="323"/>
        <v>0</v>
      </c>
      <c r="CV337">
        <f t="shared" si="324"/>
        <v>178.51349999999999</v>
      </c>
      <c r="CW337">
        <f t="shared" si="325"/>
        <v>0</v>
      </c>
      <c r="CX337">
        <f t="shared" si="326"/>
        <v>0</v>
      </c>
      <c r="CY337">
        <f>S337*(BZ337/100)</f>
        <v>0</v>
      </c>
      <c r="CZ337">
        <f>S337*(CA337/100)</f>
        <v>0</v>
      </c>
      <c r="DC337" t="s">
        <v>3</v>
      </c>
      <c r="DD337" t="s">
        <v>3</v>
      </c>
      <c r="DE337" t="s">
        <v>22</v>
      </c>
      <c r="DF337" t="s">
        <v>22</v>
      </c>
      <c r="DG337" t="s">
        <v>22</v>
      </c>
      <c r="DH337" t="s">
        <v>3</v>
      </c>
      <c r="DI337" t="s">
        <v>22</v>
      </c>
      <c r="DJ337" t="s">
        <v>22</v>
      </c>
      <c r="DK337" t="s">
        <v>3</v>
      </c>
      <c r="DL337" t="s">
        <v>3</v>
      </c>
      <c r="DM337" t="s">
        <v>3</v>
      </c>
      <c r="DN337">
        <v>80</v>
      </c>
      <c r="DO337">
        <v>55</v>
      </c>
      <c r="DP337">
        <v>1.0469999999999999</v>
      </c>
      <c r="DQ337">
        <v>1</v>
      </c>
      <c r="DU337">
        <v>1007</v>
      </c>
      <c r="DV337" t="s">
        <v>317</v>
      </c>
      <c r="DW337" t="s">
        <v>317</v>
      </c>
      <c r="DX337">
        <v>100</v>
      </c>
      <c r="DZ337" t="s">
        <v>3</v>
      </c>
      <c r="EA337" t="s">
        <v>3</v>
      </c>
      <c r="EB337" t="s">
        <v>3</v>
      </c>
      <c r="EC337" t="s">
        <v>3</v>
      </c>
      <c r="EE337">
        <v>51696713</v>
      </c>
      <c r="EF337">
        <v>60</v>
      </c>
      <c r="EG337" t="s">
        <v>319</v>
      </c>
      <c r="EH337">
        <v>0</v>
      </c>
      <c r="EI337" t="s">
        <v>3</v>
      </c>
      <c r="EJ337">
        <v>1</v>
      </c>
      <c r="EK337">
        <v>674</v>
      </c>
      <c r="EL337" t="s">
        <v>320</v>
      </c>
      <c r="EM337" t="s">
        <v>321</v>
      </c>
      <c r="EO337" t="s">
        <v>25</v>
      </c>
      <c r="EQ337">
        <v>131072</v>
      </c>
      <c r="ER337">
        <v>3623.88</v>
      </c>
      <c r="ES337">
        <v>0</v>
      </c>
      <c r="ET337">
        <v>1935.93</v>
      </c>
      <c r="EU337">
        <v>502.99</v>
      </c>
      <c r="EV337">
        <v>1687.95</v>
      </c>
      <c r="EW337">
        <v>155</v>
      </c>
      <c r="EX337">
        <v>0</v>
      </c>
      <c r="EY337">
        <v>0</v>
      </c>
      <c r="FQ337">
        <v>0</v>
      </c>
      <c r="FR337">
        <v>0</v>
      </c>
      <c r="FS337">
        <v>0</v>
      </c>
      <c r="FX337">
        <v>80</v>
      </c>
      <c r="FY337">
        <v>55</v>
      </c>
      <c r="GA337" t="s">
        <v>3</v>
      </c>
      <c r="GD337">
        <v>0</v>
      </c>
      <c r="GF337">
        <v>854491468</v>
      </c>
      <c r="GG337">
        <v>2</v>
      </c>
      <c r="GH337">
        <v>1</v>
      </c>
      <c r="GI337">
        <v>2</v>
      </c>
      <c r="GJ337">
        <v>0</v>
      </c>
      <c r="GK337">
        <f>ROUND(R337*(S12)/100,2)</f>
        <v>0</v>
      </c>
      <c r="GL337">
        <f t="shared" si="327"/>
        <v>0</v>
      </c>
      <c r="GM337">
        <f t="shared" si="328"/>
        <v>0</v>
      </c>
      <c r="GN337">
        <f t="shared" si="329"/>
        <v>0</v>
      </c>
      <c r="GO337">
        <f t="shared" si="330"/>
        <v>0</v>
      </c>
      <c r="GP337">
        <f t="shared" si="331"/>
        <v>0</v>
      </c>
      <c r="GR337">
        <v>0</v>
      </c>
      <c r="GS337">
        <v>3</v>
      </c>
      <c r="GT337">
        <v>0</v>
      </c>
      <c r="GU337" t="s">
        <v>3</v>
      </c>
      <c r="GV337">
        <f t="shared" si="332"/>
        <v>0</v>
      </c>
      <c r="GW337">
        <v>1</v>
      </c>
      <c r="GX337">
        <f t="shared" si="333"/>
        <v>0</v>
      </c>
      <c r="HA337">
        <v>0</v>
      </c>
      <c r="HB337">
        <v>0</v>
      </c>
      <c r="HC337">
        <f t="shared" si="334"/>
        <v>0</v>
      </c>
      <c r="HE337" t="s">
        <v>3</v>
      </c>
      <c r="HF337" t="s">
        <v>3</v>
      </c>
      <c r="HM337" t="s">
        <v>3</v>
      </c>
      <c r="HN337" t="s">
        <v>3</v>
      </c>
      <c r="HO337" t="s">
        <v>3</v>
      </c>
      <c r="HP337" t="s">
        <v>3</v>
      </c>
      <c r="HQ337" t="s">
        <v>3</v>
      </c>
      <c r="HS337">
        <v>0</v>
      </c>
      <c r="IK337">
        <v>0</v>
      </c>
    </row>
    <row r="338" spans="1:255" x14ac:dyDescent="0.2">
      <c r="A338" s="2">
        <v>17</v>
      </c>
      <c r="B338" s="2">
        <v>1</v>
      </c>
      <c r="C338" s="2"/>
      <c r="D338" s="2">
        <f>ROW(EtalonRes!A1126)</f>
        <v>1126</v>
      </c>
      <c r="E338" s="2" t="s">
        <v>383</v>
      </c>
      <c r="F338" s="2" t="s">
        <v>384</v>
      </c>
      <c r="G338" s="2" t="s">
        <v>385</v>
      </c>
      <c r="H338" s="2" t="s">
        <v>317</v>
      </c>
      <c r="I338" s="2">
        <v>0</v>
      </c>
      <c r="J338" s="2">
        <v>0</v>
      </c>
      <c r="K338" s="2">
        <v>0</v>
      </c>
      <c r="L338" s="2"/>
      <c r="M338" s="2"/>
      <c r="N338" s="2"/>
      <c r="O338" s="2">
        <f t="shared" si="300"/>
        <v>0</v>
      </c>
      <c r="P338" s="2">
        <f t="shared" si="301"/>
        <v>0</v>
      </c>
      <c r="Q338" s="2">
        <f t="shared" si="302"/>
        <v>0</v>
      </c>
      <c r="R338" s="2">
        <f t="shared" si="303"/>
        <v>0</v>
      </c>
      <c r="S338" s="2">
        <f t="shared" si="304"/>
        <v>0</v>
      </c>
      <c r="T338" s="2">
        <f t="shared" si="305"/>
        <v>0</v>
      </c>
      <c r="U338" s="2">
        <f t="shared" si="306"/>
        <v>0</v>
      </c>
      <c r="V338" s="2">
        <f t="shared" si="307"/>
        <v>0</v>
      </c>
      <c r="W338" s="2">
        <f t="shared" si="308"/>
        <v>0</v>
      </c>
      <c r="X338" s="2">
        <f t="shared" si="309"/>
        <v>0</v>
      </c>
      <c r="Y338" s="2">
        <f t="shared" si="310"/>
        <v>0</v>
      </c>
      <c r="Z338" s="2"/>
      <c r="AA338" s="2">
        <v>56622586</v>
      </c>
      <c r="AB338" s="2">
        <f t="shared" si="311"/>
        <v>745.36</v>
      </c>
      <c r="AC338" s="2">
        <f t="shared" si="312"/>
        <v>0</v>
      </c>
      <c r="AD338" s="2">
        <f t="shared" si="313"/>
        <v>623.99699999999996</v>
      </c>
      <c r="AE338" s="2">
        <f t="shared" si="314"/>
        <v>63.348999999999997</v>
      </c>
      <c r="AF338" s="2">
        <f t="shared" si="314"/>
        <v>121.363</v>
      </c>
      <c r="AG338" s="2">
        <f t="shared" si="315"/>
        <v>0</v>
      </c>
      <c r="AH338" s="2">
        <f t="shared" si="316"/>
        <v>12.870000000000001</v>
      </c>
      <c r="AI338" s="2">
        <f t="shared" si="316"/>
        <v>0</v>
      </c>
      <c r="AJ338" s="2">
        <f t="shared" si="317"/>
        <v>0</v>
      </c>
      <c r="AK338" s="2">
        <v>677.6</v>
      </c>
      <c r="AL338" s="2">
        <v>0</v>
      </c>
      <c r="AM338" s="2">
        <v>567.27</v>
      </c>
      <c r="AN338" s="2">
        <v>57.59</v>
      </c>
      <c r="AO338" s="2">
        <v>110.33</v>
      </c>
      <c r="AP338" s="2">
        <v>0</v>
      </c>
      <c r="AQ338" s="2">
        <v>11.7</v>
      </c>
      <c r="AR338" s="2">
        <v>0</v>
      </c>
      <c r="AS338" s="2">
        <v>0</v>
      </c>
      <c r="AT338" s="2">
        <v>80</v>
      </c>
      <c r="AU338" s="2">
        <v>55</v>
      </c>
      <c r="AV338" s="2">
        <v>1.0469999999999999</v>
      </c>
      <c r="AW338" s="2">
        <v>1</v>
      </c>
      <c r="AX338" s="2"/>
      <c r="AY338" s="2"/>
      <c r="AZ338" s="2">
        <v>1</v>
      </c>
      <c r="BA338" s="2">
        <v>1</v>
      </c>
      <c r="BB338" s="2">
        <v>1</v>
      </c>
      <c r="BC338" s="2">
        <v>1</v>
      </c>
      <c r="BD338" s="2" t="s">
        <v>3</v>
      </c>
      <c r="BE338" s="2" t="s">
        <v>3</v>
      </c>
      <c r="BF338" s="2" t="s">
        <v>3</v>
      </c>
      <c r="BG338" s="2" t="s">
        <v>3</v>
      </c>
      <c r="BH338" s="2">
        <v>0</v>
      </c>
      <c r="BI338" s="2">
        <v>1</v>
      </c>
      <c r="BJ338" s="2" t="s">
        <v>386</v>
      </c>
      <c r="BK338" s="2"/>
      <c r="BL338" s="2"/>
      <c r="BM338" s="2">
        <v>674</v>
      </c>
      <c r="BN338" s="2">
        <v>0</v>
      </c>
      <c r="BO338" s="2" t="s">
        <v>3</v>
      </c>
      <c r="BP338" s="2">
        <v>0</v>
      </c>
      <c r="BQ338" s="2">
        <v>60</v>
      </c>
      <c r="BR338" s="2">
        <v>0</v>
      </c>
      <c r="BS338" s="2">
        <v>1</v>
      </c>
      <c r="BT338" s="2">
        <v>1</v>
      </c>
      <c r="BU338" s="2">
        <v>1</v>
      </c>
      <c r="BV338" s="2">
        <v>1</v>
      </c>
      <c r="BW338" s="2">
        <v>1</v>
      </c>
      <c r="BX338" s="2">
        <v>1</v>
      </c>
      <c r="BY338" s="2" t="s">
        <v>3</v>
      </c>
      <c r="BZ338" s="2">
        <v>80</v>
      </c>
      <c r="CA338" s="2">
        <v>55</v>
      </c>
      <c r="CB338" s="2" t="s">
        <v>3</v>
      </c>
      <c r="CC338" s="2"/>
      <c r="CD338" s="2"/>
      <c r="CE338" s="2">
        <v>30</v>
      </c>
      <c r="CF338" s="2">
        <v>0</v>
      </c>
      <c r="CG338" s="2">
        <v>0</v>
      </c>
      <c r="CH338" s="2"/>
      <c r="CI338" s="2"/>
      <c r="CJ338" s="2"/>
      <c r="CK338" s="2"/>
      <c r="CL338" s="2"/>
      <c r="CM338" s="2">
        <v>0</v>
      </c>
      <c r="CN338" s="2" t="s">
        <v>671</v>
      </c>
      <c r="CO338" s="2">
        <v>0</v>
      </c>
      <c r="CP338" s="2">
        <f t="shared" si="318"/>
        <v>0</v>
      </c>
      <c r="CQ338" s="2">
        <f t="shared" si="319"/>
        <v>0</v>
      </c>
      <c r="CR338" s="2">
        <f t="shared" si="320"/>
        <v>653.32000000000005</v>
      </c>
      <c r="CS338" s="2">
        <f t="shared" si="321"/>
        <v>66.33</v>
      </c>
      <c r="CT338" s="2">
        <f t="shared" si="322"/>
        <v>127.07</v>
      </c>
      <c r="CU338" s="2">
        <f t="shared" si="323"/>
        <v>0</v>
      </c>
      <c r="CV338" s="2">
        <f t="shared" si="324"/>
        <v>13.47489</v>
      </c>
      <c r="CW338" s="2">
        <f t="shared" si="325"/>
        <v>0</v>
      </c>
      <c r="CX338" s="2">
        <f t="shared" si="326"/>
        <v>0</v>
      </c>
      <c r="CY338" s="2">
        <f>((S338*BZ338)/100)</f>
        <v>0</v>
      </c>
      <c r="CZ338" s="2">
        <f>((S338*CA338)/100)</f>
        <v>0</v>
      </c>
      <c r="DA338" s="2"/>
      <c r="DB338" s="2"/>
      <c r="DC338" s="2" t="s">
        <v>3</v>
      </c>
      <c r="DD338" s="2" t="s">
        <v>3</v>
      </c>
      <c r="DE338" s="2" t="s">
        <v>22</v>
      </c>
      <c r="DF338" s="2" t="s">
        <v>22</v>
      </c>
      <c r="DG338" s="2" t="s">
        <v>22</v>
      </c>
      <c r="DH338" s="2" t="s">
        <v>3</v>
      </c>
      <c r="DI338" s="2" t="s">
        <v>22</v>
      </c>
      <c r="DJ338" s="2" t="s">
        <v>22</v>
      </c>
      <c r="DK338" s="2" t="s">
        <v>3</v>
      </c>
      <c r="DL338" s="2" t="s">
        <v>3</v>
      </c>
      <c r="DM338" s="2" t="s">
        <v>3</v>
      </c>
      <c r="DN338" s="2">
        <v>0</v>
      </c>
      <c r="DO338" s="2">
        <v>0</v>
      </c>
      <c r="DP338" s="2">
        <v>1</v>
      </c>
      <c r="DQ338" s="2">
        <v>1</v>
      </c>
      <c r="DR338" s="2"/>
      <c r="DS338" s="2"/>
      <c r="DT338" s="2"/>
      <c r="DU338" s="2">
        <v>1007</v>
      </c>
      <c r="DV338" s="2" t="s">
        <v>317</v>
      </c>
      <c r="DW338" s="2" t="s">
        <v>317</v>
      </c>
      <c r="DX338" s="2">
        <v>100</v>
      </c>
      <c r="DY338" s="2"/>
      <c r="DZ338" s="2" t="s">
        <v>3</v>
      </c>
      <c r="EA338" s="2" t="s">
        <v>3</v>
      </c>
      <c r="EB338" s="2" t="s">
        <v>3</v>
      </c>
      <c r="EC338" s="2" t="s">
        <v>3</v>
      </c>
      <c r="ED338" s="2"/>
      <c r="EE338" s="2">
        <v>51696713</v>
      </c>
      <c r="EF338" s="2">
        <v>60</v>
      </c>
      <c r="EG338" s="2" t="s">
        <v>319</v>
      </c>
      <c r="EH338" s="2">
        <v>0</v>
      </c>
      <c r="EI338" s="2" t="s">
        <v>3</v>
      </c>
      <c r="EJ338" s="2">
        <v>1</v>
      </c>
      <c r="EK338" s="2">
        <v>674</v>
      </c>
      <c r="EL338" s="2" t="s">
        <v>320</v>
      </c>
      <c r="EM338" s="2" t="s">
        <v>321</v>
      </c>
      <c r="EN338" s="2"/>
      <c r="EO338" s="2" t="s">
        <v>25</v>
      </c>
      <c r="EP338" s="2"/>
      <c r="EQ338" s="2">
        <v>131072</v>
      </c>
      <c r="ER338" s="2">
        <v>677.6</v>
      </c>
      <c r="ES338" s="2">
        <v>0</v>
      </c>
      <c r="ET338" s="2">
        <v>567.27</v>
      </c>
      <c r="EU338" s="2">
        <v>57.59</v>
      </c>
      <c r="EV338" s="2">
        <v>110.33</v>
      </c>
      <c r="EW338" s="2">
        <v>11.7</v>
      </c>
      <c r="EX338" s="2">
        <v>0</v>
      </c>
      <c r="EY338" s="2">
        <v>0</v>
      </c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>
        <v>0</v>
      </c>
      <c r="FR338" s="2">
        <v>0</v>
      </c>
      <c r="FS338" s="2">
        <v>0</v>
      </c>
      <c r="FT338" s="2"/>
      <c r="FU338" s="2"/>
      <c r="FV338" s="2"/>
      <c r="FW338" s="2"/>
      <c r="FX338" s="2">
        <v>80</v>
      </c>
      <c r="FY338" s="2">
        <v>55</v>
      </c>
      <c r="FZ338" s="2"/>
      <c r="GA338" s="2" t="s">
        <v>3</v>
      </c>
      <c r="GB338" s="2"/>
      <c r="GC338" s="2"/>
      <c r="GD338" s="2">
        <v>0</v>
      </c>
      <c r="GE338" s="2"/>
      <c r="GF338" s="2">
        <v>-538425389</v>
      </c>
      <c r="GG338" s="2">
        <v>2</v>
      </c>
      <c r="GH338" s="2">
        <v>1</v>
      </c>
      <c r="GI338" s="2">
        <v>-2</v>
      </c>
      <c r="GJ338" s="2">
        <v>0</v>
      </c>
      <c r="GK338" s="2">
        <f>ROUND(R338*(R12)/100,2)</f>
        <v>0</v>
      </c>
      <c r="GL338" s="2">
        <f t="shared" si="327"/>
        <v>0</v>
      </c>
      <c r="GM338" s="2">
        <f t="shared" si="328"/>
        <v>0</v>
      </c>
      <c r="GN338" s="2">
        <f t="shared" si="329"/>
        <v>0</v>
      </c>
      <c r="GO338" s="2">
        <f t="shared" si="330"/>
        <v>0</v>
      </c>
      <c r="GP338" s="2">
        <f t="shared" si="331"/>
        <v>0</v>
      </c>
      <c r="GQ338" s="2"/>
      <c r="GR338" s="2">
        <v>0</v>
      </c>
      <c r="GS338" s="2">
        <v>0</v>
      </c>
      <c r="GT338" s="2">
        <v>0</v>
      </c>
      <c r="GU338" s="2" t="s">
        <v>3</v>
      </c>
      <c r="GV338" s="2">
        <f t="shared" si="332"/>
        <v>0</v>
      </c>
      <c r="GW338" s="2">
        <v>1</v>
      </c>
      <c r="GX338" s="2">
        <f t="shared" si="333"/>
        <v>0</v>
      </c>
      <c r="GY338" s="2"/>
      <c r="GZ338" s="2"/>
      <c r="HA338" s="2">
        <v>0</v>
      </c>
      <c r="HB338" s="2">
        <v>0</v>
      </c>
      <c r="HC338" s="2">
        <f t="shared" si="334"/>
        <v>0</v>
      </c>
      <c r="HD338" s="2"/>
      <c r="HE338" s="2" t="s">
        <v>3</v>
      </c>
      <c r="HF338" s="2" t="s">
        <v>3</v>
      </c>
      <c r="HG338" s="2"/>
      <c r="HH338" s="2"/>
      <c r="HI338" s="2"/>
      <c r="HJ338" s="2"/>
      <c r="HK338" s="2"/>
      <c r="HL338" s="2"/>
      <c r="HM338" s="2" t="s">
        <v>3</v>
      </c>
      <c r="HN338" s="2" t="s">
        <v>3</v>
      </c>
      <c r="HO338" s="2" t="s">
        <v>3</v>
      </c>
      <c r="HP338" s="2" t="s">
        <v>3</v>
      </c>
      <c r="HQ338" s="2" t="s">
        <v>3</v>
      </c>
      <c r="HR338" s="2"/>
      <c r="HS338" s="2">
        <v>0</v>
      </c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>
        <v>0</v>
      </c>
      <c r="IL338" s="2"/>
      <c r="IM338" s="2"/>
      <c r="IN338" s="2"/>
      <c r="IO338" s="2"/>
      <c r="IP338" s="2"/>
      <c r="IQ338" s="2"/>
      <c r="IR338" s="2"/>
      <c r="IS338" s="2"/>
      <c r="IT338" s="2"/>
      <c r="IU338" s="2"/>
    </row>
    <row r="339" spans="1:255" x14ac:dyDescent="0.2">
      <c r="A339">
        <v>17</v>
      </c>
      <c r="B339">
        <v>1</v>
      </c>
      <c r="D339">
        <f>ROW(EtalonRes!A1130)</f>
        <v>1130</v>
      </c>
      <c r="E339" t="s">
        <v>383</v>
      </c>
      <c r="F339" t="s">
        <v>384</v>
      </c>
      <c r="G339" t="s">
        <v>385</v>
      </c>
      <c r="H339" t="s">
        <v>317</v>
      </c>
      <c r="I339">
        <v>0</v>
      </c>
      <c r="J339">
        <v>0</v>
      </c>
      <c r="K339">
        <v>0</v>
      </c>
      <c r="O339">
        <f t="shared" si="300"/>
        <v>0</v>
      </c>
      <c r="P339">
        <f t="shared" si="301"/>
        <v>0</v>
      </c>
      <c r="Q339">
        <f t="shared" si="302"/>
        <v>0</v>
      </c>
      <c r="R339">
        <f t="shared" si="303"/>
        <v>0</v>
      </c>
      <c r="S339">
        <f t="shared" si="304"/>
        <v>0</v>
      </c>
      <c r="T339">
        <f t="shared" si="305"/>
        <v>0</v>
      </c>
      <c r="U339">
        <f t="shared" si="306"/>
        <v>0</v>
      </c>
      <c r="V339">
        <f t="shared" si="307"/>
        <v>0</v>
      </c>
      <c r="W339">
        <f t="shared" si="308"/>
        <v>0</v>
      </c>
      <c r="X339">
        <f t="shared" si="309"/>
        <v>0</v>
      </c>
      <c r="Y339">
        <f t="shared" si="310"/>
        <v>0</v>
      </c>
      <c r="AA339">
        <v>56616093</v>
      </c>
      <c r="AB339">
        <f t="shared" si="311"/>
        <v>745.36</v>
      </c>
      <c r="AC339">
        <f t="shared" si="312"/>
        <v>0</v>
      </c>
      <c r="AD339">
        <f t="shared" si="313"/>
        <v>623.99699999999996</v>
      </c>
      <c r="AE339">
        <f t="shared" si="314"/>
        <v>63.348999999999997</v>
      </c>
      <c r="AF339">
        <f t="shared" si="314"/>
        <v>121.363</v>
      </c>
      <c r="AG339">
        <f t="shared" si="315"/>
        <v>0</v>
      </c>
      <c r="AH339">
        <f t="shared" si="316"/>
        <v>12.870000000000001</v>
      </c>
      <c r="AI339">
        <f t="shared" si="316"/>
        <v>0</v>
      </c>
      <c r="AJ339">
        <f t="shared" si="317"/>
        <v>0</v>
      </c>
      <c r="AK339">
        <v>677.6</v>
      </c>
      <c r="AL339">
        <v>0</v>
      </c>
      <c r="AM339">
        <v>567.27</v>
      </c>
      <c r="AN339">
        <v>57.59</v>
      </c>
      <c r="AO339">
        <v>110.33</v>
      </c>
      <c r="AP339">
        <v>0</v>
      </c>
      <c r="AQ339">
        <v>11.7</v>
      </c>
      <c r="AR339">
        <v>0</v>
      </c>
      <c r="AS339">
        <v>0</v>
      </c>
      <c r="AT339">
        <v>70</v>
      </c>
      <c r="AU339">
        <v>41</v>
      </c>
      <c r="AV339">
        <v>1.0469999999999999</v>
      </c>
      <c r="AW339">
        <v>1</v>
      </c>
      <c r="AZ339">
        <v>1</v>
      </c>
      <c r="BA339">
        <v>34.51</v>
      </c>
      <c r="BB339">
        <v>12.23</v>
      </c>
      <c r="BC339">
        <v>1</v>
      </c>
      <c r="BD339" t="s">
        <v>3</v>
      </c>
      <c r="BE339" t="s">
        <v>3</v>
      </c>
      <c r="BF339" t="s">
        <v>3</v>
      </c>
      <c r="BG339" t="s">
        <v>3</v>
      </c>
      <c r="BH339">
        <v>0</v>
      </c>
      <c r="BI339">
        <v>1</v>
      </c>
      <c r="BJ339" t="s">
        <v>386</v>
      </c>
      <c r="BM339">
        <v>674</v>
      </c>
      <c r="BN339">
        <v>0</v>
      </c>
      <c r="BO339" t="s">
        <v>384</v>
      </c>
      <c r="BP339">
        <v>1</v>
      </c>
      <c r="BQ339">
        <v>60</v>
      </c>
      <c r="BR339">
        <v>0</v>
      </c>
      <c r="BS339">
        <v>34.51</v>
      </c>
      <c r="BT339">
        <v>1</v>
      </c>
      <c r="BU339">
        <v>1</v>
      </c>
      <c r="BV339">
        <v>1</v>
      </c>
      <c r="BW339">
        <v>1</v>
      </c>
      <c r="BX339">
        <v>1</v>
      </c>
      <c r="BY339" t="s">
        <v>3</v>
      </c>
      <c r="BZ339">
        <v>70</v>
      </c>
      <c r="CA339">
        <v>41</v>
      </c>
      <c r="CB339" t="s">
        <v>3</v>
      </c>
      <c r="CE339">
        <v>30</v>
      </c>
      <c r="CF339">
        <v>0</v>
      </c>
      <c r="CG339">
        <v>0</v>
      </c>
      <c r="CM339">
        <v>0</v>
      </c>
      <c r="CN339" t="s">
        <v>671</v>
      </c>
      <c r="CO339">
        <v>0</v>
      </c>
      <c r="CP339">
        <f t="shared" si="318"/>
        <v>0</v>
      </c>
      <c r="CQ339">
        <f t="shared" si="319"/>
        <v>0</v>
      </c>
      <c r="CR339">
        <f t="shared" si="320"/>
        <v>7990.1</v>
      </c>
      <c r="CS339">
        <f t="shared" si="321"/>
        <v>2289.0500000000002</v>
      </c>
      <c r="CT339">
        <f t="shared" si="322"/>
        <v>4385.1899999999996</v>
      </c>
      <c r="CU339">
        <f t="shared" si="323"/>
        <v>0</v>
      </c>
      <c r="CV339">
        <f t="shared" si="324"/>
        <v>13.47489</v>
      </c>
      <c r="CW339">
        <f t="shared" si="325"/>
        <v>0</v>
      </c>
      <c r="CX339">
        <f t="shared" si="326"/>
        <v>0</v>
      </c>
      <c r="CY339">
        <f>S339*(BZ339/100)</f>
        <v>0</v>
      </c>
      <c r="CZ339">
        <f>S339*(CA339/100)</f>
        <v>0</v>
      </c>
      <c r="DC339" t="s">
        <v>3</v>
      </c>
      <c r="DD339" t="s">
        <v>3</v>
      </c>
      <c r="DE339" t="s">
        <v>22</v>
      </c>
      <c r="DF339" t="s">
        <v>22</v>
      </c>
      <c r="DG339" t="s">
        <v>22</v>
      </c>
      <c r="DH339" t="s">
        <v>3</v>
      </c>
      <c r="DI339" t="s">
        <v>22</v>
      </c>
      <c r="DJ339" t="s">
        <v>22</v>
      </c>
      <c r="DK339" t="s">
        <v>3</v>
      </c>
      <c r="DL339" t="s">
        <v>3</v>
      </c>
      <c r="DM339" t="s">
        <v>3</v>
      </c>
      <c r="DN339">
        <v>80</v>
      </c>
      <c r="DO339">
        <v>55</v>
      </c>
      <c r="DP339">
        <v>1.0469999999999999</v>
      </c>
      <c r="DQ339">
        <v>1</v>
      </c>
      <c r="DU339">
        <v>1007</v>
      </c>
      <c r="DV339" t="s">
        <v>317</v>
      </c>
      <c r="DW339" t="s">
        <v>317</v>
      </c>
      <c r="DX339">
        <v>100</v>
      </c>
      <c r="DZ339" t="s">
        <v>3</v>
      </c>
      <c r="EA339" t="s">
        <v>3</v>
      </c>
      <c r="EB339" t="s">
        <v>3</v>
      </c>
      <c r="EC339" t="s">
        <v>3</v>
      </c>
      <c r="EE339">
        <v>51696713</v>
      </c>
      <c r="EF339">
        <v>60</v>
      </c>
      <c r="EG339" t="s">
        <v>319</v>
      </c>
      <c r="EH339">
        <v>0</v>
      </c>
      <c r="EI339" t="s">
        <v>3</v>
      </c>
      <c r="EJ339">
        <v>1</v>
      </c>
      <c r="EK339">
        <v>674</v>
      </c>
      <c r="EL339" t="s">
        <v>320</v>
      </c>
      <c r="EM339" t="s">
        <v>321</v>
      </c>
      <c r="EO339" t="s">
        <v>25</v>
      </c>
      <c r="EQ339">
        <v>131072</v>
      </c>
      <c r="ER339">
        <v>677.6</v>
      </c>
      <c r="ES339">
        <v>0</v>
      </c>
      <c r="ET339">
        <v>567.27</v>
      </c>
      <c r="EU339">
        <v>57.59</v>
      </c>
      <c r="EV339">
        <v>110.33</v>
      </c>
      <c r="EW339">
        <v>11.7</v>
      </c>
      <c r="EX339">
        <v>0</v>
      </c>
      <c r="EY339">
        <v>0</v>
      </c>
      <c r="FQ339">
        <v>0</v>
      </c>
      <c r="FR339">
        <v>0</v>
      </c>
      <c r="FS339">
        <v>0</v>
      </c>
      <c r="FX339">
        <v>80</v>
      </c>
      <c r="FY339">
        <v>55</v>
      </c>
      <c r="GA339" t="s">
        <v>3</v>
      </c>
      <c r="GD339">
        <v>0</v>
      </c>
      <c r="GF339">
        <v>-538425389</v>
      </c>
      <c r="GG339">
        <v>2</v>
      </c>
      <c r="GH339">
        <v>1</v>
      </c>
      <c r="GI339">
        <v>2</v>
      </c>
      <c r="GJ339">
        <v>0</v>
      </c>
      <c r="GK339">
        <f>ROUND(R339*(S12)/100,2)</f>
        <v>0</v>
      </c>
      <c r="GL339">
        <f t="shared" si="327"/>
        <v>0</v>
      </c>
      <c r="GM339">
        <f t="shared" si="328"/>
        <v>0</v>
      </c>
      <c r="GN339">
        <f t="shared" si="329"/>
        <v>0</v>
      </c>
      <c r="GO339">
        <f t="shared" si="330"/>
        <v>0</v>
      </c>
      <c r="GP339">
        <f t="shared" si="331"/>
        <v>0</v>
      </c>
      <c r="GR339">
        <v>0</v>
      </c>
      <c r="GS339">
        <v>3</v>
      </c>
      <c r="GT339">
        <v>0</v>
      </c>
      <c r="GU339" t="s">
        <v>3</v>
      </c>
      <c r="GV339">
        <f t="shared" si="332"/>
        <v>0</v>
      </c>
      <c r="GW339">
        <v>1</v>
      </c>
      <c r="GX339">
        <f t="shared" si="333"/>
        <v>0</v>
      </c>
      <c r="HA339">
        <v>0</v>
      </c>
      <c r="HB339">
        <v>0</v>
      </c>
      <c r="HC339">
        <f t="shared" si="334"/>
        <v>0</v>
      </c>
      <c r="HE339" t="s">
        <v>3</v>
      </c>
      <c r="HF339" t="s">
        <v>3</v>
      </c>
      <c r="HM339" t="s">
        <v>3</v>
      </c>
      <c r="HN339" t="s">
        <v>3</v>
      </c>
      <c r="HO339" t="s">
        <v>3</v>
      </c>
      <c r="HP339" t="s">
        <v>3</v>
      </c>
      <c r="HQ339" t="s">
        <v>3</v>
      </c>
      <c r="HS339">
        <v>0</v>
      </c>
      <c r="IK339">
        <v>0</v>
      </c>
    </row>
    <row r="340" spans="1:255" x14ac:dyDescent="0.2">
      <c r="A340" s="2">
        <v>17</v>
      </c>
      <c r="B340" s="2">
        <v>1</v>
      </c>
      <c r="C340" s="2"/>
      <c r="D340" s="2">
        <f>ROW(EtalonRes!A1131)</f>
        <v>1131</v>
      </c>
      <c r="E340" s="2" t="s">
        <v>387</v>
      </c>
      <c r="F340" s="2" t="s">
        <v>327</v>
      </c>
      <c r="G340" s="2" t="s">
        <v>328</v>
      </c>
      <c r="H340" s="2" t="s">
        <v>329</v>
      </c>
      <c r="I340" s="2">
        <v>0</v>
      </c>
      <c r="J340" s="2">
        <v>0</v>
      </c>
      <c r="K340" s="2">
        <v>0</v>
      </c>
      <c r="L340" s="2"/>
      <c r="M340" s="2"/>
      <c r="N340" s="2"/>
      <c r="O340" s="2">
        <f t="shared" si="300"/>
        <v>0</v>
      </c>
      <c r="P340" s="2">
        <f t="shared" si="301"/>
        <v>0</v>
      </c>
      <c r="Q340" s="2">
        <f t="shared" si="302"/>
        <v>0</v>
      </c>
      <c r="R340" s="2">
        <f t="shared" si="303"/>
        <v>0</v>
      </c>
      <c r="S340" s="2">
        <f t="shared" si="304"/>
        <v>0</v>
      </c>
      <c r="T340" s="2">
        <f t="shared" si="305"/>
        <v>0</v>
      </c>
      <c r="U340" s="2">
        <f t="shared" si="306"/>
        <v>0</v>
      </c>
      <c r="V340" s="2">
        <f t="shared" si="307"/>
        <v>0</v>
      </c>
      <c r="W340" s="2">
        <f t="shared" si="308"/>
        <v>0</v>
      </c>
      <c r="X340" s="2">
        <f t="shared" si="309"/>
        <v>0</v>
      </c>
      <c r="Y340" s="2">
        <f t="shared" si="310"/>
        <v>0</v>
      </c>
      <c r="Z340" s="2"/>
      <c r="AA340" s="2">
        <v>56622586</v>
      </c>
      <c r="AB340" s="2">
        <f t="shared" si="311"/>
        <v>9.7460000000000004</v>
      </c>
      <c r="AC340" s="2">
        <f t="shared" si="312"/>
        <v>0</v>
      </c>
      <c r="AD340" s="2">
        <f t="shared" si="313"/>
        <v>9.7460000000000004</v>
      </c>
      <c r="AE340" s="2">
        <f t="shared" si="314"/>
        <v>1.6279999999999999</v>
      </c>
      <c r="AF340" s="2">
        <f t="shared" si="314"/>
        <v>0</v>
      </c>
      <c r="AG340" s="2">
        <f t="shared" si="315"/>
        <v>0</v>
      </c>
      <c r="AH340" s="2">
        <f t="shared" si="316"/>
        <v>0</v>
      </c>
      <c r="AI340" s="2">
        <f t="shared" si="316"/>
        <v>0</v>
      </c>
      <c r="AJ340" s="2">
        <f t="shared" si="317"/>
        <v>0</v>
      </c>
      <c r="AK340" s="2">
        <v>8.86</v>
      </c>
      <c r="AL340" s="2">
        <v>0</v>
      </c>
      <c r="AM340" s="2">
        <v>8.86</v>
      </c>
      <c r="AN340" s="2">
        <v>1.48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91</v>
      </c>
      <c r="AU340" s="2">
        <v>70</v>
      </c>
      <c r="AV340" s="2">
        <v>1.0469999999999999</v>
      </c>
      <c r="AW340" s="2">
        <v>1.002</v>
      </c>
      <c r="AX340" s="2"/>
      <c r="AY340" s="2"/>
      <c r="AZ340" s="2">
        <v>1</v>
      </c>
      <c r="BA340" s="2">
        <v>1</v>
      </c>
      <c r="BB340" s="2">
        <v>1</v>
      </c>
      <c r="BC340" s="2">
        <v>1</v>
      </c>
      <c r="BD340" s="2" t="s">
        <v>3</v>
      </c>
      <c r="BE340" s="2" t="s">
        <v>3</v>
      </c>
      <c r="BF340" s="2" t="s">
        <v>3</v>
      </c>
      <c r="BG340" s="2" t="s">
        <v>3</v>
      </c>
      <c r="BH340" s="2">
        <v>0</v>
      </c>
      <c r="BI340" s="2">
        <v>1</v>
      </c>
      <c r="BJ340" s="2" t="s">
        <v>330</v>
      </c>
      <c r="BK340" s="2"/>
      <c r="BL340" s="2"/>
      <c r="BM340" s="2">
        <v>658</v>
      </c>
      <c r="BN340" s="2">
        <v>0</v>
      </c>
      <c r="BO340" s="2" t="s">
        <v>3</v>
      </c>
      <c r="BP340" s="2">
        <v>0</v>
      </c>
      <c r="BQ340" s="2">
        <v>60</v>
      </c>
      <c r="BR340" s="2">
        <v>0</v>
      </c>
      <c r="BS340" s="2">
        <v>1</v>
      </c>
      <c r="BT340" s="2">
        <v>1</v>
      </c>
      <c r="BU340" s="2">
        <v>1</v>
      </c>
      <c r="BV340" s="2">
        <v>1</v>
      </c>
      <c r="BW340" s="2">
        <v>1</v>
      </c>
      <c r="BX340" s="2">
        <v>1</v>
      </c>
      <c r="BY340" s="2" t="s">
        <v>3</v>
      </c>
      <c r="BZ340" s="2">
        <v>91</v>
      </c>
      <c r="CA340" s="2">
        <v>70</v>
      </c>
      <c r="CB340" s="2" t="s">
        <v>3</v>
      </c>
      <c r="CC340" s="2"/>
      <c r="CD340" s="2"/>
      <c r="CE340" s="2">
        <v>30</v>
      </c>
      <c r="CF340" s="2">
        <v>0</v>
      </c>
      <c r="CG340" s="2">
        <v>0</v>
      </c>
      <c r="CH340" s="2"/>
      <c r="CI340" s="2"/>
      <c r="CJ340" s="2"/>
      <c r="CK340" s="2"/>
      <c r="CL340" s="2"/>
      <c r="CM340" s="2">
        <v>0</v>
      </c>
      <c r="CN340" s="2" t="s">
        <v>671</v>
      </c>
      <c r="CO340" s="2">
        <v>0</v>
      </c>
      <c r="CP340" s="2">
        <f t="shared" si="318"/>
        <v>0</v>
      </c>
      <c r="CQ340" s="2">
        <f t="shared" si="319"/>
        <v>0</v>
      </c>
      <c r="CR340" s="2">
        <f t="shared" si="320"/>
        <v>10.199999999999999</v>
      </c>
      <c r="CS340" s="2">
        <f t="shared" si="321"/>
        <v>1.7</v>
      </c>
      <c r="CT340" s="2">
        <f t="shared" si="322"/>
        <v>0</v>
      </c>
      <c r="CU340" s="2">
        <f t="shared" si="323"/>
        <v>0</v>
      </c>
      <c r="CV340" s="2">
        <f t="shared" si="324"/>
        <v>0</v>
      </c>
      <c r="CW340" s="2">
        <f t="shared" si="325"/>
        <v>0</v>
      </c>
      <c r="CX340" s="2">
        <f t="shared" si="326"/>
        <v>0</v>
      </c>
      <c r="CY340" s="2">
        <f>((S340*BZ340)/100)</f>
        <v>0</v>
      </c>
      <c r="CZ340" s="2">
        <f>((S340*CA340)/100)</f>
        <v>0</v>
      </c>
      <c r="DA340" s="2"/>
      <c r="DB340" s="2"/>
      <c r="DC340" s="2" t="s">
        <v>3</v>
      </c>
      <c r="DD340" s="2" t="s">
        <v>3</v>
      </c>
      <c r="DE340" s="2" t="s">
        <v>22</v>
      </c>
      <c r="DF340" s="2" t="s">
        <v>22</v>
      </c>
      <c r="DG340" s="2" t="s">
        <v>22</v>
      </c>
      <c r="DH340" s="2" t="s">
        <v>3</v>
      </c>
      <c r="DI340" s="2" t="s">
        <v>22</v>
      </c>
      <c r="DJ340" s="2" t="s">
        <v>22</v>
      </c>
      <c r="DK340" s="2" t="s">
        <v>3</v>
      </c>
      <c r="DL340" s="2" t="s">
        <v>3</v>
      </c>
      <c r="DM340" s="2" t="s">
        <v>3</v>
      </c>
      <c r="DN340" s="2">
        <v>0</v>
      </c>
      <c r="DO340" s="2">
        <v>0</v>
      </c>
      <c r="DP340" s="2">
        <v>1</v>
      </c>
      <c r="DQ340" s="2">
        <v>1</v>
      </c>
      <c r="DR340" s="2"/>
      <c r="DS340" s="2"/>
      <c r="DT340" s="2"/>
      <c r="DU340" s="2">
        <v>1013</v>
      </c>
      <c r="DV340" s="2" t="s">
        <v>329</v>
      </c>
      <c r="DW340" s="2" t="s">
        <v>329</v>
      </c>
      <c r="DX340" s="2">
        <v>1</v>
      </c>
      <c r="DY340" s="2"/>
      <c r="DZ340" s="2" t="s">
        <v>3</v>
      </c>
      <c r="EA340" s="2" t="s">
        <v>3</v>
      </c>
      <c r="EB340" s="2" t="s">
        <v>3</v>
      </c>
      <c r="EC340" s="2" t="s">
        <v>3</v>
      </c>
      <c r="ED340" s="2"/>
      <c r="EE340" s="2">
        <v>51696697</v>
      </c>
      <c r="EF340" s="2">
        <v>60</v>
      </c>
      <c r="EG340" s="2" t="s">
        <v>319</v>
      </c>
      <c r="EH340" s="2">
        <v>0</v>
      </c>
      <c r="EI340" s="2" t="s">
        <v>3</v>
      </c>
      <c r="EJ340" s="2">
        <v>1</v>
      </c>
      <c r="EK340" s="2">
        <v>658</v>
      </c>
      <c r="EL340" s="2" t="s">
        <v>331</v>
      </c>
      <c r="EM340" s="2" t="s">
        <v>332</v>
      </c>
      <c r="EN340" s="2"/>
      <c r="EO340" s="2" t="s">
        <v>25</v>
      </c>
      <c r="EP340" s="2"/>
      <c r="EQ340" s="2">
        <v>131072</v>
      </c>
      <c r="ER340" s="2">
        <v>8.86</v>
      </c>
      <c r="ES340" s="2">
        <v>0</v>
      </c>
      <c r="ET340" s="2">
        <v>8.86</v>
      </c>
      <c r="EU340" s="2">
        <v>1.48</v>
      </c>
      <c r="EV340" s="2">
        <v>0</v>
      </c>
      <c r="EW340" s="2">
        <v>0</v>
      </c>
      <c r="EX340" s="2">
        <v>0</v>
      </c>
      <c r="EY340" s="2">
        <v>0</v>
      </c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>
        <v>0</v>
      </c>
      <c r="FR340" s="2">
        <v>0</v>
      </c>
      <c r="FS340" s="2">
        <v>0</v>
      </c>
      <c r="FT340" s="2"/>
      <c r="FU340" s="2"/>
      <c r="FV340" s="2"/>
      <c r="FW340" s="2"/>
      <c r="FX340" s="2">
        <v>91</v>
      </c>
      <c r="FY340" s="2">
        <v>70</v>
      </c>
      <c r="FZ340" s="2"/>
      <c r="GA340" s="2" t="s">
        <v>3</v>
      </c>
      <c r="GB340" s="2"/>
      <c r="GC340" s="2"/>
      <c r="GD340" s="2">
        <v>0</v>
      </c>
      <c r="GE340" s="2"/>
      <c r="GF340" s="2">
        <v>-714011973</v>
      </c>
      <c r="GG340" s="2">
        <v>2</v>
      </c>
      <c r="GH340" s="2">
        <v>1</v>
      </c>
      <c r="GI340" s="2">
        <v>-2</v>
      </c>
      <c r="GJ340" s="2">
        <v>0</v>
      </c>
      <c r="GK340" s="2">
        <f>ROUND(R340*(R12)/100,2)</f>
        <v>0</v>
      </c>
      <c r="GL340" s="2">
        <f t="shared" si="327"/>
        <v>0</v>
      </c>
      <c r="GM340" s="2">
        <f t="shared" si="328"/>
        <v>0</v>
      </c>
      <c r="GN340" s="2">
        <f t="shared" si="329"/>
        <v>0</v>
      </c>
      <c r="GO340" s="2">
        <f t="shared" si="330"/>
        <v>0</v>
      </c>
      <c r="GP340" s="2">
        <f t="shared" si="331"/>
        <v>0</v>
      </c>
      <c r="GQ340" s="2"/>
      <c r="GR340" s="2">
        <v>0</v>
      </c>
      <c r="GS340" s="2">
        <v>0</v>
      </c>
      <c r="GT340" s="2">
        <v>0</v>
      </c>
      <c r="GU340" s="2" t="s">
        <v>3</v>
      </c>
      <c r="GV340" s="2">
        <f t="shared" si="332"/>
        <v>0</v>
      </c>
      <c r="GW340" s="2">
        <v>1</v>
      </c>
      <c r="GX340" s="2">
        <f t="shared" si="333"/>
        <v>0</v>
      </c>
      <c r="GY340" s="2"/>
      <c r="GZ340" s="2"/>
      <c r="HA340" s="2">
        <v>0</v>
      </c>
      <c r="HB340" s="2">
        <v>0</v>
      </c>
      <c r="HC340" s="2">
        <f t="shared" si="334"/>
        <v>0</v>
      </c>
      <c r="HD340" s="2"/>
      <c r="HE340" s="2" t="s">
        <v>3</v>
      </c>
      <c r="HF340" s="2" t="s">
        <v>3</v>
      </c>
      <c r="HG340" s="2"/>
      <c r="HH340" s="2"/>
      <c r="HI340" s="2"/>
      <c r="HJ340" s="2"/>
      <c r="HK340" s="2"/>
      <c r="HL340" s="2"/>
      <c r="HM340" s="2" t="s">
        <v>3</v>
      </c>
      <c r="HN340" s="2" t="s">
        <v>3</v>
      </c>
      <c r="HO340" s="2" t="s">
        <v>3</v>
      </c>
      <c r="HP340" s="2" t="s">
        <v>3</v>
      </c>
      <c r="HQ340" s="2" t="s">
        <v>3</v>
      </c>
      <c r="HR340" s="2"/>
      <c r="HS340" s="2">
        <v>0</v>
      </c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>
        <v>0</v>
      </c>
      <c r="IL340" s="2"/>
      <c r="IM340" s="2"/>
      <c r="IN340" s="2"/>
      <c r="IO340" s="2"/>
      <c r="IP340" s="2"/>
      <c r="IQ340" s="2"/>
      <c r="IR340" s="2"/>
      <c r="IS340" s="2"/>
      <c r="IT340" s="2"/>
      <c r="IU340" s="2"/>
    </row>
    <row r="341" spans="1:255" x14ac:dyDescent="0.2">
      <c r="A341">
        <v>17</v>
      </c>
      <c r="B341">
        <v>1</v>
      </c>
      <c r="D341">
        <f>ROW(EtalonRes!A1132)</f>
        <v>1132</v>
      </c>
      <c r="E341" t="s">
        <v>387</v>
      </c>
      <c r="F341" t="s">
        <v>327</v>
      </c>
      <c r="G341" t="s">
        <v>328</v>
      </c>
      <c r="H341" t="s">
        <v>329</v>
      </c>
      <c r="I341">
        <v>0</v>
      </c>
      <c r="J341">
        <v>0</v>
      </c>
      <c r="K341">
        <v>0</v>
      </c>
      <c r="O341">
        <f t="shared" si="300"/>
        <v>0</v>
      </c>
      <c r="P341">
        <f t="shared" si="301"/>
        <v>0</v>
      </c>
      <c r="Q341">
        <f t="shared" si="302"/>
        <v>0</v>
      </c>
      <c r="R341">
        <f t="shared" si="303"/>
        <v>0</v>
      </c>
      <c r="S341">
        <f t="shared" si="304"/>
        <v>0</v>
      </c>
      <c r="T341">
        <f t="shared" si="305"/>
        <v>0</v>
      </c>
      <c r="U341">
        <f t="shared" si="306"/>
        <v>0</v>
      </c>
      <c r="V341">
        <f t="shared" si="307"/>
        <v>0</v>
      </c>
      <c r="W341">
        <f t="shared" si="308"/>
        <v>0</v>
      </c>
      <c r="X341">
        <f t="shared" si="309"/>
        <v>0</v>
      </c>
      <c r="Y341">
        <f t="shared" si="310"/>
        <v>0</v>
      </c>
      <c r="AA341">
        <v>56616093</v>
      </c>
      <c r="AB341">
        <f t="shared" si="311"/>
        <v>9.7460000000000004</v>
      </c>
      <c r="AC341">
        <f t="shared" si="312"/>
        <v>0</v>
      </c>
      <c r="AD341">
        <f t="shared" si="313"/>
        <v>9.7460000000000004</v>
      </c>
      <c r="AE341">
        <f t="shared" si="314"/>
        <v>1.6279999999999999</v>
      </c>
      <c r="AF341">
        <f t="shared" si="314"/>
        <v>0</v>
      </c>
      <c r="AG341">
        <f t="shared" si="315"/>
        <v>0</v>
      </c>
      <c r="AH341">
        <f t="shared" si="316"/>
        <v>0</v>
      </c>
      <c r="AI341">
        <f t="shared" si="316"/>
        <v>0</v>
      </c>
      <c r="AJ341">
        <f t="shared" si="317"/>
        <v>0</v>
      </c>
      <c r="AK341">
        <v>8.86</v>
      </c>
      <c r="AL341">
        <v>0</v>
      </c>
      <c r="AM341">
        <v>8.86</v>
      </c>
      <c r="AN341">
        <v>1.48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75</v>
      </c>
      <c r="AU341">
        <v>41</v>
      </c>
      <c r="AV341">
        <v>1.0469999999999999</v>
      </c>
      <c r="AW341">
        <v>1.002</v>
      </c>
      <c r="AZ341">
        <v>1</v>
      </c>
      <c r="BA341">
        <v>34.51</v>
      </c>
      <c r="BB341">
        <v>13.53</v>
      </c>
      <c r="BC341">
        <v>1</v>
      </c>
      <c r="BD341" t="s">
        <v>3</v>
      </c>
      <c r="BE341" t="s">
        <v>3</v>
      </c>
      <c r="BF341" t="s">
        <v>3</v>
      </c>
      <c r="BG341" t="s">
        <v>3</v>
      </c>
      <c r="BH341">
        <v>0</v>
      </c>
      <c r="BI341">
        <v>1</v>
      </c>
      <c r="BJ341" t="s">
        <v>330</v>
      </c>
      <c r="BM341">
        <v>658</v>
      </c>
      <c r="BN341">
        <v>0</v>
      </c>
      <c r="BO341" t="s">
        <v>327</v>
      </c>
      <c r="BP341">
        <v>1</v>
      </c>
      <c r="BQ341">
        <v>60</v>
      </c>
      <c r="BR341">
        <v>0</v>
      </c>
      <c r="BS341">
        <v>34.51</v>
      </c>
      <c r="BT341">
        <v>1</v>
      </c>
      <c r="BU341">
        <v>1</v>
      </c>
      <c r="BV341">
        <v>1</v>
      </c>
      <c r="BW341">
        <v>1</v>
      </c>
      <c r="BX341">
        <v>1</v>
      </c>
      <c r="BY341" t="s">
        <v>3</v>
      </c>
      <c r="BZ341">
        <v>75</v>
      </c>
      <c r="CA341">
        <v>41</v>
      </c>
      <c r="CB341" t="s">
        <v>3</v>
      </c>
      <c r="CE341">
        <v>30</v>
      </c>
      <c r="CF341">
        <v>0</v>
      </c>
      <c r="CG341">
        <v>0</v>
      </c>
      <c r="CM341">
        <v>0</v>
      </c>
      <c r="CN341" t="s">
        <v>671</v>
      </c>
      <c r="CO341">
        <v>0</v>
      </c>
      <c r="CP341">
        <f t="shared" si="318"/>
        <v>0</v>
      </c>
      <c r="CQ341">
        <f t="shared" si="319"/>
        <v>0</v>
      </c>
      <c r="CR341">
        <f t="shared" si="320"/>
        <v>138.01</v>
      </c>
      <c r="CS341">
        <f t="shared" si="321"/>
        <v>58.67</v>
      </c>
      <c r="CT341">
        <f t="shared" si="322"/>
        <v>0</v>
      </c>
      <c r="CU341">
        <f t="shared" si="323"/>
        <v>0</v>
      </c>
      <c r="CV341">
        <f t="shared" si="324"/>
        <v>0</v>
      </c>
      <c r="CW341">
        <f t="shared" si="325"/>
        <v>0</v>
      </c>
      <c r="CX341">
        <f t="shared" si="326"/>
        <v>0</v>
      </c>
      <c r="CY341">
        <f>S341*(BZ341/100)</f>
        <v>0</v>
      </c>
      <c r="CZ341">
        <f>S341*(CA341/100)</f>
        <v>0</v>
      </c>
      <c r="DC341" t="s">
        <v>3</v>
      </c>
      <c r="DD341" t="s">
        <v>3</v>
      </c>
      <c r="DE341" t="s">
        <v>22</v>
      </c>
      <c r="DF341" t="s">
        <v>22</v>
      </c>
      <c r="DG341" t="s">
        <v>22</v>
      </c>
      <c r="DH341" t="s">
        <v>3</v>
      </c>
      <c r="DI341" t="s">
        <v>22</v>
      </c>
      <c r="DJ341" t="s">
        <v>22</v>
      </c>
      <c r="DK341" t="s">
        <v>3</v>
      </c>
      <c r="DL341" t="s">
        <v>3</v>
      </c>
      <c r="DM341" t="s">
        <v>3</v>
      </c>
      <c r="DN341">
        <v>91</v>
      </c>
      <c r="DO341">
        <v>70</v>
      </c>
      <c r="DP341">
        <v>1.0469999999999999</v>
      </c>
      <c r="DQ341">
        <v>1.002</v>
      </c>
      <c r="DU341">
        <v>1013</v>
      </c>
      <c r="DV341" t="s">
        <v>329</v>
      </c>
      <c r="DW341" t="s">
        <v>329</v>
      </c>
      <c r="DX341">
        <v>1</v>
      </c>
      <c r="DZ341" t="s">
        <v>3</v>
      </c>
      <c r="EA341" t="s">
        <v>3</v>
      </c>
      <c r="EB341" t="s">
        <v>3</v>
      </c>
      <c r="EC341" t="s">
        <v>3</v>
      </c>
      <c r="EE341">
        <v>51696697</v>
      </c>
      <c r="EF341">
        <v>60</v>
      </c>
      <c r="EG341" t="s">
        <v>319</v>
      </c>
      <c r="EH341">
        <v>0</v>
      </c>
      <c r="EI341" t="s">
        <v>3</v>
      </c>
      <c r="EJ341">
        <v>1</v>
      </c>
      <c r="EK341">
        <v>658</v>
      </c>
      <c r="EL341" t="s">
        <v>331</v>
      </c>
      <c r="EM341" t="s">
        <v>332</v>
      </c>
      <c r="EO341" t="s">
        <v>25</v>
      </c>
      <c r="EQ341">
        <v>131072</v>
      </c>
      <c r="ER341">
        <v>8.86</v>
      </c>
      <c r="ES341">
        <v>0</v>
      </c>
      <c r="ET341">
        <v>8.86</v>
      </c>
      <c r="EU341">
        <v>1.48</v>
      </c>
      <c r="EV341">
        <v>0</v>
      </c>
      <c r="EW341">
        <v>0</v>
      </c>
      <c r="EX341">
        <v>0</v>
      </c>
      <c r="EY341">
        <v>0</v>
      </c>
      <c r="FQ341">
        <v>0</v>
      </c>
      <c r="FR341">
        <v>0</v>
      </c>
      <c r="FS341">
        <v>0</v>
      </c>
      <c r="FX341">
        <v>91</v>
      </c>
      <c r="FY341">
        <v>70</v>
      </c>
      <c r="GA341" t="s">
        <v>3</v>
      </c>
      <c r="GD341">
        <v>0</v>
      </c>
      <c r="GF341">
        <v>-714011973</v>
      </c>
      <c r="GG341">
        <v>2</v>
      </c>
      <c r="GH341">
        <v>1</v>
      </c>
      <c r="GI341">
        <v>2</v>
      </c>
      <c r="GJ341">
        <v>0</v>
      </c>
      <c r="GK341">
        <f>ROUND(R341*(S12)/100,2)</f>
        <v>0</v>
      </c>
      <c r="GL341">
        <f t="shared" si="327"/>
        <v>0</v>
      </c>
      <c r="GM341">
        <f t="shared" si="328"/>
        <v>0</v>
      </c>
      <c r="GN341">
        <f t="shared" si="329"/>
        <v>0</v>
      </c>
      <c r="GO341">
        <f t="shared" si="330"/>
        <v>0</v>
      </c>
      <c r="GP341">
        <f t="shared" si="331"/>
        <v>0</v>
      </c>
      <c r="GR341">
        <v>0</v>
      </c>
      <c r="GS341">
        <v>3</v>
      </c>
      <c r="GT341">
        <v>0</v>
      </c>
      <c r="GU341" t="s">
        <v>3</v>
      </c>
      <c r="GV341">
        <f t="shared" si="332"/>
        <v>0</v>
      </c>
      <c r="GW341">
        <v>1</v>
      </c>
      <c r="GX341">
        <f t="shared" si="333"/>
        <v>0</v>
      </c>
      <c r="HA341">
        <v>0</v>
      </c>
      <c r="HB341">
        <v>0</v>
      </c>
      <c r="HC341">
        <f t="shared" si="334"/>
        <v>0</v>
      </c>
      <c r="HE341" t="s">
        <v>3</v>
      </c>
      <c r="HF341" t="s">
        <v>3</v>
      </c>
      <c r="HM341" t="s">
        <v>3</v>
      </c>
      <c r="HN341" t="s">
        <v>3</v>
      </c>
      <c r="HO341" t="s">
        <v>3</v>
      </c>
      <c r="HP341" t="s">
        <v>3</v>
      </c>
      <c r="HQ341" t="s">
        <v>3</v>
      </c>
      <c r="HS341">
        <v>0</v>
      </c>
      <c r="IK341">
        <v>0</v>
      </c>
    </row>
    <row r="342" spans="1:255" x14ac:dyDescent="0.2">
      <c r="A342" s="2">
        <v>17</v>
      </c>
      <c r="B342" s="2">
        <v>1</v>
      </c>
      <c r="C342" s="2">
        <f>ROW(SmtRes!A205)</f>
        <v>205</v>
      </c>
      <c r="D342" s="2">
        <f>ROW(EtalonRes!A1140)</f>
        <v>1140</v>
      </c>
      <c r="E342" s="2" t="s">
        <v>388</v>
      </c>
      <c r="F342" s="2" t="s">
        <v>334</v>
      </c>
      <c r="G342" s="2" t="s">
        <v>389</v>
      </c>
      <c r="H342" s="2" t="s">
        <v>336</v>
      </c>
      <c r="I342" s="2">
        <v>0</v>
      </c>
      <c r="J342" s="2">
        <v>0</v>
      </c>
      <c r="K342" s="2">
        <v>0</v>
      </c>
      <c r="L342" s="2"/>
      <c r="M342" s="2"/>
      <c r="N342" s="2"/>
      <c r="O342" s="2">
        <f t="shared" si="300"/>
        <v>0</v>
      </c>
      <c r="P342" s="2">
        <f t="shared" si="301"/>
        <v>0</v>
      </c>
      <c r="Q342" s="2">
        <f t="shared" si="302"/>
        <v>0</v>
      </c>
      <c r="R342" s="2">
        <f t="shared" si="303"/>
        <v>0</v>
      </c>
      <c r="S342" s="2">
        <f t="shared" si="304"/>
        <v>0</v>
      </c>
      <c r="T342" s="2">
        <f t="shared" si="305"/>
        <v>0</v>
      </c>
      <c r="U342" s="2">
        <f t="shared" si="306"/>
        <v>0</v>
      </c>
      <c r="V342" s="2">
        <f t="shared" si="307"/>
        <v>0</v>
      </c>
      <c r="W342" s="2">
        <f t="shared" si="308"/>
        <v>0</v>
      </c>
      <c r="X342" s="2">
        <f t="shared" si="309"/>
        <v>0</v>
      </c>
      <c r="Y342" s="2">
        <f t="shared" si="310"/>
        <v>0</v>
      </c>
      <c r="Z342" s="2"/>
      <c r="AA342" s="2">
        <v>56622586</v>
      </c>
      <c r="AB342" s="2">
        <f t="shared" si="311"/>
        <v>1513.2660000000001</v>
      </c>
      <c r="AC342" s="2">
        <f t="shared" si="312"/>
        <v>35.35</v>
      </c>
      <c r="AD342" s="2">
        <f t="shared" si="313"/>
        <v>1311.277</v>
      </c>
      <c r="AE342" s="2">
        <f t="shared" si="314"/>
        <v>104.41200000000001</v>
      </c>
      <c r="AF342" s="2">
        <f t="shared" si="314"/>
        <v>166.63900000000001</v>
      </c>
      <c r="AG342" s="2">
        <f t="shared" si="315"/>
        <v>0</v>
      </c>
      <c r="AH342" s="2">
        <f t="shared" si="316"/>
        <v>15.840000000000002</v>
      </c>
      <c r="AI342" s="2">
        <f t="shared" si="316"/>
        <v>0</v>
      </c>
      <c r="AJ342" s="2">
        <f t="shared" si="317"/>
        <v>0</v>
      </c>
      <c r="AK342" s="2">
        <v>1378.91</v>
      </c>
      <c r="AL342" s="2">
        <v>35.35</v>
      </c>
      <c r="AM342" s="2">
        <v>1192.07</v>
      </c>
      <c r="AN342" s="2">
        <v>94.92</v>
      </c>
      <c r="AO342" s="2">
        <v>151.49</v>
      </c>
      <c r="AP342" s="2">
        <v>0</v>
      </c>
      <c r="AQ342" s="2">
        <v>14.4</v>
      </c>
      <c r="AR342" s="2">
        <v>0</v>
      </c>
      <c r="AS342" s="2">
        <v>0</v>
      </c>
      <c r="AT342" s="2">
        <v>161</v>
      </c>
      <c r="AU342" s="2">
        <v>107</v>
      </c>
      <c r="AV342" s="2">
        <v>1.0469999999999999</v>
      </c>
      <c r="AW342" s="2">
        <v>1.002</v>
      </c>
      <c r="AX342" s="2"/>
      <c r="AY342" s="2"/>
      <c r="AZ342" s="2">
        <v>1</v>
      </c>
      <c r="BA342" s="2">
        <v>1</v>
      </c>
      <c r="BB342" s="2">
        <v>1</v>
      </c>
      <c r="BC342" s="2">
        <v>1</v>
      </c>
      <c r="BD342" s="2" t="s">
        <v>3</v>
      </c>
      <c r="BE342" s="2" t="s">
        <v>3</v>
      </c>
      <c r="BF342" s="2" t="s">
        <v>3</v>
      </c>
      <c r="BG342" s="2" t="s">
        <v>3</v>
      </c>
      <c r="BH342" s="2">
        <v>0</v>
      </c>
      <c r="BI342" s="2">
        <v>1</v>
      </c>
      <c r="BJ342" s="2" t="s">
        <v>337</v>
      </c>
      <c r="BK342" s="2"/>
      <c r="BL342" s="2"/>
      <c r="BM342" s="2">
        <v>146</v>
      </c>
      <c r="BN342" s="2">
        <v>0</v>
      </c>
      <c r="BO342" s="2" t="s">
        <v>3</v>
      </c>
      <c r="BP342" s="2">
        <v>0</v>
      </c>
      <c r="BQ342" s="2">
        <v>30</v>
      </c>
      <c r="BR342" s="2">
        <v>0</v>
      </c>
      <c r="BS342" s="2">
        <v>1</v>
      </c>
      <c r="BT342" s="2">
        <v>1</v>
      </c>
      <c r="BU342" s="2">
        <v>1</v>
      </c>
      <c r="BV342" s="2">
        <v>1</v>
      </c>
      <c r="BW342" s="2">
        <v>1</v>
      </c>
      <c r="BX342" s="2">
        <v>1</v>
      </c>
      <c r="BY342" s="2" t="s">
        <v>3</v>
      </c>
      <c r="BZ342" s="2">
        <v>161</v>
      </c>
      <c r="CA342" s="2">
        <v>107</v>
      </c>
      <c r="CB342" s="2" t="s">
        <v>3</v>
      </c>
      <c r="CC342" s="2"/>
      <c r="CD342" s="2"/>
      <c r="CE342" s="2">
        <v>30</v>
      </c>
      <c r="CF342" s="2">
        <v>0</v>
      </c>
      <c r="CG342" s="2">
        <v>0</v>
      </c>
      <c r="CH342" s="2"/>
      <c r="CI342" s="2"/>
      <c r="CJ342" s="2"/>
      <c r="CK342" s="2"/>
      <c r="CL342" s="2"/>
      <c r="CM342" s="2">
        <v>0</v>
      </c>
      <c r="CN342" s="2" t="s">
        <v>671</v>
      </c>
      <c r="CO342" s="2">
        <v>0</v>
      </c>
      <c r="CP342" s="2">
        <f t="shared" si="318"/>
        <v>0</v>
      </c>
      <c r="CQ342" s="2">
        <f t="shared" si="319"/>
        <v>35.42</v>
      </c>
      <c r="CR342" s="2">
        <f t="shared" si="320"/>
        <v>1372.91</v>
      </c>
      <c r="CS342" s="2">
        <f t="shared" si="321"/>
        <v>109.32</v>
      </c>
      <c r="CT342" s="2">
        <f t="shared" si="322"/>
        <v>174.47</v>
      </c>
      <c r="CU342" s="2">
        <f t="shared" si="323"/>
        <v>0</v>
      </c>
      <c r="CV342" s="2">
        <f t="shared" si="324"/>
        <v>16.584479999999999</v>
      </c>
      <c r="CW342" s="2">
        <f t="shared" si="325"/>
        <v>0</v>
      </c>
      <c r="CX342" s="2">
        <f t="shared" si="326"/>
        <v>0</v>
      </c>
      <c r="CY342" s="2">
        <f>((S342*BZ342)/100)</f>
        <v>0</v>
      </c>
      <c r="CZ342" s="2">
        <f>((S342*CA342)/100)</f>
        <v>0</v>
      </c>
      <c r="DA342" s="2"/>
      <c r="DB342" s="2"/>
      <c r="DC342" s="2" t="s">
        <v>3</v>
      </c>
      <c r="DD342" s="2" t="s">
        <v>3</v>
      </c>
      <c r="DE342" s="2" t="s">
        <v>22</v>
      </c>
      <c r="DF342" s="2" t="s">
        <v>22</v>
      </c>
      <c r="DG342" s="2" t="s">
        <v>22</v>
      </c>
      <c r="DH342" s="2" t="s">
        <v>3</v>
      </c>
      <c r="DI342" s="2" t="s">
        <v>22</v>
      </c>
      <c r="DJ342" s="2" t="s">
        <v>22</v>
      </c>
      <c r="DK342" s="2" t="s">
        <v>3</v>
      </c>
      <c r="DL342" s="2" t="s">
        <v>3</v>
      </c>
      <c r="DM342" s="2" t="s">
        <v>3</v>
      </c>
      <c r="DN342" s="2">
        <v>0</v>
      </c>
      <c r="DO342" s="2">
        <v>0</v>
      </c>
      <c r="DP342" s="2">
        <v>1</v>
      </c>
      <c r="DQ342" s="2">
        <v>1</v>
      </c>
      <c r="DR342" s="2"/>
      <c r="DS342" s="2"/>
      <c r="DT342" s="2"/>
      <c r="DU342" s="2">
        <v>1013</v>
      </c>
      <c r="DV342" s="2" t="s">
        <v>336</v>
      </c>
      <c r="DW342" s="2" t="s">
        <v>336</v>
      </c>
      <c r="DX342" s="2">
        <v>1</v>
      </c>
      <c r="DY342" s="2"/>
      <c r="DZ342" s="2" t="s">
        <v>3</v>
      </c>
      <c r="EA342" s="2" t="s">
        <v>3</v>
      </c>
      <c r="EB342" s="2" t="s">
        <v>3</v>
      </c>
      <c r="EC342" s="2" t="s">
        <v>3</v>
      </c>
      <c r="ED342" s="2"/>
      <c r="EE342" s="2">
        <v>51696185</v>
      </c>
      <c r="EF342" s="2">
        <v>30</v>
      </c>
      <c r="EG342" s="2" t="s">
        <v>16</v>
      </c>
      <c r="EH342" s="2">
        <v>0</v>
      </c>
      <c r="EI342" s="2" t="s">
        <v>3</v>
      </c>
      <c r="EJ342" s="2">
        <v>1</v>
      </c>
      <c r="EK342" s="2">
        <v>146</v>
      </c>
      <c r="EL342" s="2" t="s">
        <v>338</v>
      </c>
      <c r="EM342" s="2" t="s">
        <v>339</v>
      </c>
      <c r="EN342" s="2"/>
      <c r="EO342" s="2" t="s">
        <v>25</v>
      </c>
      <c r="EP342" s="2"/>
      <c r="EQ342" s="2">
        <v>131072</v>
      </c>
      <c r="ER342" s="2">
        <v>1378.91</v>
      </c>
      <c r="ES342" s="2">
        <v>35.35</v>
      </c>
      <c r="ET342" s="2">
        <v>1192.07</v>
      </c>
      <c r="EU342" s="2">
        <v>94.92</v>
      </c>
      <c r="EV342" s="2">
        <v>151.49</v>
      </c>
      <c r="EW342" s="2">
        <v>14.4</v>
      </c>
      <c r="EX342" s="2">
        <v>0</v>
      </c>
      <c r="EY342" s="2">
        <v>0</v>
      </c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>
        <v>0</v>
      </c>
      <c r="FR342" s="2">
        <v>0</v>
      </c>
      <c r="FS342" s="2">
        <v>0</v>
      </c>
      <c r="FT342" s="2"/>
      <c r="FU342" s="2"/>
      <c r="FV342" s="2"/>
      <c r="FW342" s="2"/>
      <c r="FX342" s="2">
        <v>161</v>
      </c>
      <c r="FY342" s="2">
        <v>107</v>
      </c>
      <c r="FZ342" s="2"/>
      <c r="GA342" s="2" t="s">
        <v>3</v>
      </c>
      <c r="GB342" s="2"/>
      <c r="GC342" s="2"/>
      <c r="GD342" s="2">
        <v>0</v>
      </c>
      <c r="GE342" s="2"/>
      <c r="GF342" s="2">
        <v>-533308541</v>
      </c>
      <c r="GG342" s="2">
        <v>2</v>
      </c>
      <c r="GH342" s="2">
        <v>1</v>
      </c>
      <c r="GI342" s="2">
        <v>-2</v>
      </c>
      <c r="GJ342" s="2">
        <v>0</v>
      </c>
      <c r="GK342" s="2">
        <f>ROUND(R342*(R12)/100,2)</f>
        <v>0</v>
      </c>
      <c r="GL342" s="2">
        <f t="shared" si="327"/>
        <v>0</v>
      </c>
      <c r="GM342" s="2">
        <f t="shared" si="328"/>
        <v>0</v>
      </c>
      <c r="GN342" s="2">
        <f t="shared" si="329"/>
        <v>0</v>
      </c>
      <c r="GO342" s="2">
        <f t="shared" si="330"/>
        <v>0</v>
      </c>
      <c r="GP342" s="2">
        <f t="shared" si="331"/>
        <v>0</v>
      </c>
      <c r="GQ342" s="2"/>
      <c r="GR342" s="2">
        <v>0</v>
      </c>
      <c r="GS342" s="2">
        <v>0</v>
      </c>
      <c r="GT342" s="2">
        <v>0</v>
      </c>
      <c r="GU342" s="2" t="s">
        <v>3</v>
      </c>
      <c r="GV342" s="2">
        <f t="shared" si="332"/>
        <v>0</v>
      </c>
      <c r="GW342" s="2">
        <v>1</v>
      </c>
      <c r="GX342" s="2">
        <f t="shared" si="333"/>
        <v>0</v>
      </c>
      <c r="GY342" s="2"/>
      <c r="GZ342" s="2"/>
      <c r="HA342" s="2">
        <v>0</v>
      </c>
      <c r="HB342" s="2">
        <v>0</v>
      </c>
      <c r="HC342" s="2">
        <f t="shared" si="334"/>
        <v>0</v>
      </c>
      <c r="HD342" s="2"/>
      <c r="HE342" s="2" t="s">
        <v>3</v>
      </c>
      <c r="HF342" s="2" t="s">
        <v>3</v>
      </c>
      <c r="HG342" s="2"/>
      <c r="HH342" s="2"/>
      <c r="HI342" s="2"/>
      <c r="HJ342" s="2"/>
      <c r="HK342" s="2"/>
      <c r="HL342" s="2"/>
      <c r="HM342" s="2" t="s">
        <v>3</v>
      </c>
      <c r="HN342" s="2" t="s">
        <v>3</v>
      </c>
      <c r="HO342" s="2" t="s">
        <v>3</v>
      </c>
      <c r="HP342" s="2" t="s">
        <v>3</v>
      </c>
      <c r="HQ342" s="2" t="s">
        <v>3</v>
      </c>
      <c r="HR342" s="2"/>
      <c r="HS342" s="2">
        <v>0</v>
      </c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>
        <v>0</v>
      </c>
      <c r="IL342" s="2"/>
      <c r="IM342" s="2"/>
      <c r="IN342" s="2"/>
      <c r="IO342" s="2"/>
      <c r="IP342" s="2"/>
      <c r="IQ342" s="2"/>
      <c r="IR342" s="2"/>
      <c r="IS342" s="2"/>
      <c r="IT342" s="2"/>
      <c r="IU342" s="2"/>
    </row>
    <row r="343" spans="1:255" x14ac:dyDescent="0.2">
      <c r="A343">
        <v>17</v>
      </c>
      <c r="B343">
        <v>1</v>
      </c>
      <c r="C343">
        <f>ROW(SmtRes!A206)</f>
        <v>206</v>
      </c>
      <c r="D343">
        <f>ROW(EtalonRes!A1148)</f>
        <v>1148</v>
      </c>
      <c r="E343" t="s">
        <v>388</v>
      </c>
      <c r="F343" t="s">
        <v>334</v>
      </c>
      <c r="G343" t="s">
        <v>389</v>
      </c>
      <c r="H343" t="s">
        <v>336</v>
      </c>
      <c r="I343">
        <v>0</v>
      </c>
      <c r="J343">
        <v>0</v>
      </c>
      <c r="K343">
        <v>0</v>
      </c>
      <c r="O343">
        <f t="shared" si="300"/>
        <v>0</v>
      </c>
      <c r="P343">
        <f t="shared" si="301"/>
        <v>0</v>
      </c>
      <c r="Q343">
        <f t="shared" si="302"/>
        <v>0</v>
      </c>
      <c r="R343">
        <f t="shared" si="303"/>
        <v>0</v>
      </c>
      <c r="S343">
        <f t="shared" si="304"/>
        <v>0</v>
      </c>
      <c r="T343">
        <f t="shared" si="305"/>
        <v>0</v>
      </c>
      <c r="U343">
        <f t="shared" si="306"/>
        <v>0</v>
      </c>
      <c r="V343">
        <f t="shared" si="307"/>
        <v>0</v>
      </c>
      <c r="W343">
        <f t="shared" si="308"/>
        <v>0</v>
      </c>
      <c r="X343">
        <f t="shared" si="309"/>
        <v>0</v>
      </c>
      <c r="Y343">
        <f t="shared" si="310"/>
        <v>0</v>
      </c>
      <c r="AA343">
        <v>56616093</v>
      </c>
      <c r="AB343">
        <f t="shared" si="311"/>
        <v>1513.2660000000001</v>
      </c>
      <c r="AC343">
        <f t="shared" si="312"/>
        <v>35.35</v>
      </c>
      <c r="AD343">
        <f t="shared" si="313"/>
        <v>1311.277</v>
      </c>
      <c r="AE343">
        <f t="shared" si="314"/>
        <v>104.41200000000001</v>
      </c>
      <c r="AF343">
        <f t="shared" si="314"/>
        <v>166.63900000000001</v>
      </c>
      <c r="AG343">
        <f t="shared" si="315"/>
        <v>0</v>
      </c>
      <c r="AH343">
        <f t="shared" si="316"/>
        <v>15.840000000000002</v>
      </c>
      <c r="AI343">
        <f t="shared" si="316"/>
        <v>0</v>
      </c>
      <c r="AJ343">
        <f t="shared" si="317"/>
        <v>0</v>
      </c>
      <c r="AK343">
        <v>1378.91</v>
      </c>
      <c r="AL343">
        <v>35.35</v>
      </c>
      <c r="AM343">
        <v>1192.07</v>
      </c>
      <c r="AN343">
        <v>94.92</v>
      </c>
      <c r="AO343">
        <v>151.49</v>
      </c>
      <c r="AP343">
        <v>0</v>
      </c>
      <c r="AQ343">
        <v>14.4</v>
      </c>
      <c r="AR343">
        <v>0</v>
      </c>
      <c r="AS343">
        <v>0</v>
      </c>
      <c r="AT343">
        <v>134</v>
      </c>
      <c r="AU343">
        <v>55</v>
      </c>
      <c r="AV343">
        <v>1.0469999999999999</v>
      </c>
      <c r="AW343">
        <v>1.002</v>
      </c>
      <c r="AZ343">
        <v>1</v>
      </c>
      <c r="BA343">
        <v>34.51</v>
      </c>
      <c r="BB343">
        <v>11.7</v>
      </c>
      <c r="BC343">
        <v>7.05</v>
      </c>
      <c r="BD343" t="s">
        <v>3</v>
      </c>
      <c r="BE343" t="s">
        <v>3</v>
      </c>
      <c r="BF343" t="s">
        <v>3</v>
      </c>
      <c r="BG343" t="s">
        <v>3</v>
      </c>
      <c r="BH343">
        <v>0</v>
      </c>
      <c r="BI343">
        <v>1</v>
      </c>
      <c r="BJ343" t="s">
        <v>337</v>
      </c>
      <c r="BM343">
        <v>146</v>
      </c>
      <c r="BN343">
        <v>0</v>
      </c>
      <c r="BO343" t="s">
        <v>334</v>
      </c>
      <c r="BP343">
        <v>1</v>
      </c>
      <c r="BQ343">
        <v>30</v>
      </c>
      <c r="BR343">
        <v>0</v>
      </c>
      <c r="BS343">
        <v>34.51</v>
      </c>
      <c r="BT343">
        <v>1</v>
      </c>
      <c r="BU343">
        <v>1</v>
      </c>
      <c r="BV343">
        <v>1</v>
      </c>
      <c r="BW343">
        <v>1</v>
      </c>
      <c r="BX343">
        <v>1</v>
      </c>
      <c r="BY343" t="s">
        <v>3</v>
      </c>
      <c r="BZ343">
        <v>134</v>
      </c>
      <c r="CA343">
        <v>55</v>
      </c>
      <c r="CB343" t="s">
        <v>3</v>
      </c>
      <c r="CE343">
        <v>30</v>
      </c>
      <c r="CF343">
        <v>0</v>
      </c>
      <c r="CG343">
        <v>0</v>
      </c>
      <c r="CM343">
        <v>0</v>
      </c>
      <c r="CN343" t="s">
        <v>671</v>
      </c>
      <c r="CO343">
        <v>0</v>
      </c>
      <c r="CP343">
        <f t="shared" si="318"/>
        <v>0</v>
      </c>
      <c r="CQ343">
        <f t="shared" si="319"/>
        <v>249.71</v>
      </c>
      <c r="CR343">
        <f t="shared" si="320"/>
        <v>16063.05</v>
      </c>
      <c r="CS343">
        <f t="shared" si="321"/>
        <v>3772.63</v>
      </c>
      <c r="CT343">
        <f t="shared" si="322"/>
        <v>6020.96</v>
      </c>
      <c r="CU343">
        <f t="shared" si="323"/>
        <v>0</v>
      </c>
      <c r="CV343">
        <f t="shared" si="324"/>
        <v>16.584479999999999</v>
      </c>
      <c r="CW343">
        <f t="shared" si="325"/>
        <v>0</v>
      </c>
      <c r="CX343">
        <f t="shared" si="326"/>
        <v>0</v>
      </c>
      <c r="CY343">
        <f>S343*(BZ343/100)</f>
        <v>0</v>
      </c>
      <c r="CZ343">
        <f>S343*(CA343/100)</f>
        <v>0</v>
      </c>
      <c r="DC343" t="s">
        <v>3</v>
      </c>
      <c r="DD343" t="s">
        <v>3</v>
      </c>
      <c r="DE343" t="s">
        <v>22</v>
      </c>
      <c r="DF343" t="s">
        <v>22</v>
      </c>
      <c r="DG343" t="s">
        <v>22</v>
      </c>
      <c r="DH343" t="s">
        <v>3</v>
      </c>
      <c r="DI343" t="s">
        <v>22</v>
      </c>
      <c r="DJ343" t="s">
        <v>22</v>
      </c>
      <c r="DK343" t="s">
        <v>3</v>
      </c>
      <c r="DL343" t="s">
        <v>3</v>
      </c>
      <c r="DM343" t="s">
        <v>3</v>
      </c>
      <c r="DN343">
        <v>161</v>
      </c>
      <c r="DO343">
        <v>107</v>
      </c>
      <c r="DP343">
        <v>1.0469999999999999</v>
      </c>
      <c r="DQ343">
        <v>1.002</v>
      </c>
      <c r="DU343">
        <v>1013</v>
      </c>
      <c r="DV343" t="s">
        <v>336</v>
      </c>
      <c r="DW343" t="s">
        <v>336</v>
      </c>
      <c r="DX343">
        <v>1</v>
      </c>
      <c r="DZ343" t="s">
        <v>3</v>
      </c>
      <c r="EA343" t="s">
        <v>3</v>
      </c>
      <c r="EB343" t="s">
        <v>3</v>
      </c>
      <c r="EC343" t="s">
        <v>3</v>
      </c>
      <c r="EE343">
        <v>51696185</v>
      </c>
      <c r="EF343">
        <v>30</v>
      </c>
      <c r="EG343" t="s">
        <v>16</v>
      </c>
      <c r="EH343">
        <v>0</v>
      </c>
      <c r="EI343" t="s">
        <v>3</v>
      </c>
      <c r="EJ343">
        <v>1</v>
      </c>
      <c r="EK343">
        <v>146</v>
      </c>
      <c r="EL343" t="s">
        <v>338</v>
      </c>
      <c r="EM343" t="s">
        <v>339</v>
      </c>
      <c r="EO343" t="s">
        <v>25</v>
      </c>
      <c r="EQ343">
        <v>131072</v>
      </c>
      <c r="ER343">
        <v>1378.91</v>
      </c>
      <c r="ES343">
        <v>35.35</v>
      </c>
      <c r="ET343">
        <v>1192.07</v>
      </c>
      <c r="EU343">
        <v>94.92</v>
      </c>
      <c r="EV343">
        <v>151.49</v>
      </c>
      <c r="EW343">
        <v>14.4</v>
      </c>
      <c r="EX343">
        <v>0</v>
      </c>
      <c r="EY343">
        <v>0</v>
      </c>
      <c r="FQ343">
        <v>0</v>
      </c>
      <c r="FR343">
        <v>0</v>
      </c>
      <c r="FS343">
        <v>0</v>
      </c>
      <c r="FX343">
        <v>161</v>
      </c>
      <c r="FY343">
        <v>107</v>
      </c>
      <c r="GA343" t="s">
        <v>3</v>
      </c>
      <c r="GD343">
        <v>0</v>
      </c>
      <c r="GF343">
        <v>-533308541</v>
      </c>
      <c r="GG343">
        <v>2</v>
      </c>
      <c r="GH343">
        <v>1</v>
      </c>
      <c r="GI343">
        <v>2</v>
      </c>
      <c r="GJ343">
        <v>0</v>
      </c>
      <c r="GK343">
        <f>ROUND(R343*(S12)/100,2)</f>
        <v>0</v>
      </c>
      <c r="GL343">
        <f t="shared" si="327"/>
        <v>0</v>
      </c>
      <c r="GM343">
        <f t="shared" si="328"/>
        <v>0</v>
      </c>
      <c r="GN343">
        <f t="shared" si="329"/>
        <v>0</v>
      </c>
      <c r="GO343">
        <f t="shared" si="330"/>
        <v>0</v>
      </c>
      <c r="GP343">
        <f t="shared" si="331"/>
        <v>0</v>
      </c>
      <c r="GR343">
        <v>0</v>
      </c>
      <c r="GS343">
        <v>3</v>
      </c>
      <c r="GT343">
        <v>0</v>
      </c>
      <c r="GU343" t="s">
        <v>3</v>
      </c>
      <c r="GV343">
        <f t="shared" si="332"/>
        <v>0</v>
      </c>
      <c r="GW343">
        <v>1</v>
      </c>
      <c r="GX343">
        <f t="shared" si="333"/>
        <v>0</v>
      </c>
      <c r="HA343">
        <v>0</v>
      </c>
      <c r="HB343">
        <v>0</v>
      </c>
      <c r="HC343">
        <f t="shared" si="334"/>
        <v>0</v>
      </c>
      <c r="HE343" t="s">
        <v>3</v>
      </c>
      <c r="HF343" t="s">
        <v>3</v>
      </c>
      <c r="HM343" t="s">
        <v>3</v>
      </c>
      <c r="HN343" t="s">
        <v>3</v>
      </c>
      <c r="HO343" t="s">
        <v>3</v>
      </c>
      <c r="HP343" t="s">
        <v>3</v>
      </c>
      <c r="HQ343" t="s">
        <v>3</v>
      </c>
      <c r="HS343">
        <v>0</v>
      </c>
      <c r="IK343">
        <v>0</v>
      </c>
    </row>
    <row r="344" spans="1:255" x14ac:dyDescent="0.2">
      <c r="A344" s="2">
        <v>18</v>
      </c>
      <c r="B344" s="2">
        <v>1</v>
      </c>
      <c r="C344" s="2">
        <v>205</v>
      </c>
      <c r="D344" s="2"/>
      <c r="E344" s="2" t="s">
        <v>390</v>
      </c>
      <c r="F344" s="2" t="s">
        <v>91</v>
      </c>
      <c r="G344" s="2" t="s">
        <v>341</v>
      </c>
      <c r="H344" s="2" t="s">
        <v>93</v>
      </c>
      <c r="I344" s="2">
        <f>I342*J344</f>
        <v>0</v>
      </c>
      <c r="J344" s="2">
        <v>110</v>
      </c>
      <c r="K344" s="2">
        <v>110</v>
      </c>
      <c r="L344" s="2"/>
      <c r="M344" s="2"/>
      <c r="N344" s="2"/>
      <c r="O344" s="2">
        <f t="shared" si="300"/>
        <v>0</v>
      </c>
      <c r="P344" s="2">
        <f t="shared" si="301"/>
        <v>0</v>
      </c>
      <c r="Q344" s="2">
        <f>(ROUND((ROUND(((ET344)*AV344*I344),2)*BB344),2)+ROUND((ROUND(((AE344-(EU344))*AV344*I344),2)*BS344),2))</f>
        <v>0</v>
      </c>
      <c r="R344" s="2">
        <f t="shared" si="303"/>
        <v>0</v>
      </c>
      <c r="S344" s="2">
        <f t="shared" si="304"/>
        <v>0</v>
      </c>
      <c r="T344" s="2">
        <f t="shared" si="305"/>
        <v>0</v>
      </c>
      <c r="U344" s="2">
        <f t="shared" si="306"/>
        <v>0</v>
      </c>
      <c r="V344" s="2">
        <f t="shared" si="307"/>
        <v>0</v>
      </c>
      <c r="W344" s="2">
        <f t="shared" si="308"/>
        <v>0</v>
      </c>
      <c r="X344" s="2">
        <f t="shared" si="309"/>
        <v>0</v>
      </c>
      <c r="Y344" s="2">
        <f t="shared" si="310"/>
        <v>0</v>
      </c>
      <c r="Z344" s="2"/>
      <c r="AA344" s="2">
        <v>56622586</v>
      </c>
      <c r="AB344" s="2">
        <f t="shared" si="311"/>
        <v>104.99</v>
      </c>
      <c r="AC344" s="2">
        <f t="shared" si="312"/>
        <v>104.99</v>
      </c>
      <c r="AD344" s="2">
        <f>ROUND((((ET344)-(EU344))+AE344),6)</f>
        <v>0</v>
      </c>
      <c r="AE344" s="2">
        <f>ROUND((EU344),6)</f>
        <v>0</v>
      </c>
      <c r="AF344" s="2">
        <f>ROUND((EV344),6)</f>
        <v>0</v>
      </c>
      <c r="AG344" s="2">
        <f t="shared" si="315"/>
        <v>0</v>
      </c>
      <c r="AH344" s="2">
        <f>(EW344)</f>
        <v>0</v>
      </c>
      <c r="AI344" s="2">
        <f>(EX344)</f>
        <v>0</v>
      </c>
      <c r="AJ344" s="2">
        <f t="shared" si="317"/>
        <v>0</v>
      </c>
      <c r="AK344" s="2">
        <v>104.99</v>
      </c>
      <c r="AL344" s="2">
        <v>104.99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161</v>
      </c>
      <c r="AU344" s="2">
        <v>107</v>
      </c>
      <c r="AV344" s="2">
        <v>1.0469999999999999</v>
      </c>
      <c r="AW344" s="2">
        <v>1.002</v>
      </c>
      <c r="AX344" s="2"/>
      <c r="AY344" s="2"/>
      <c r="AZ344" s="2">
        <v>1</v>
      </c>
      <c r="BA344" s="2">
        <v>1</v>
      </c>
      <c r="BB344" s="2">
        <v>1</v>
      </c>
      <c r="BC344" s="2">
        <v>1</v>
      </c>
      <c r="BD344" s="2" t="s">
        <v>3</v>
      </c>
      <c r="BE344" s="2" t="s">
        <v>3</v>
      </c>
      <c r="BF344" s="2" t="s">
        <v>3</v>
      </c>
      <c r="BG344" s="2" t="s">
        <v>3</v>
      </c>
      <c r="BH344" s="2">
        <v>3</v>
      </c>
      <c r="BI344" s="2">
        <v>1</v>
      </c>
      <c r="BJ344" s="2" t="s">
        <v>94</v>
      </c>
      <c r="BK344" s="2"/>
      <c r="BL344" s="2"/>
      <c r="BM344" s="2">
        <v>146</v>
      </c>
      <c r="BN344" s="2">
        <v>0</v>
      </c>
      <c r="BO344" s="2" t="s">
        <v>3</v>
      </c>
      <c r="BP344" s="2">
        <v>0</v>
      </c>
      <c r="BQ344" s="2">
        <v>30</v>
      </c>
      <c r="BR344" s="2">
        <v>0</v>
      </c>
      <c r="BS344" s="2">
        <v>1</v>
      </c>
      <c r="BT344" s="2">
        <v>1</v>
      </c>
      <c r="BU344" s="2">
        <v>1</v>
      </c>
      <c r="BV344" s="2">
        <v>1</v>
      </c>
      <c r="BW344" s="2">
        <v>1</v>
      </c>
      <c r="BX344" s="2">
        <v>1</v>
      </c>
      <c r="BY344" s="2" t="s">
        <v>3</v>
      </c>
      <c r="BZ344" s="2">
        <v>161</v>
      </c>
      <c r="CA344" s="2">
        <v>107</v>
      </c>
      <c r="CB344" s="2" t="s">
        <v>3</v>
      </c>
      <c r="CC344" s="2"/>
      <c r="CD344" s="2"/>
      <c r="CE344" s="2">
        <v>30</v>
      </c>
      <c r="CF344" s="2">
        <v>0</v>
      </c>
      <c r="CG344" s="2">
        <v>0</v>
      </c>
      <c r="CH344" s="2"/>
      <c r="CI344" s="2"/>
      <c r="CJ344" s="2"/>
      <c r="CK344" s="2"/>
      <c r="CL344" s="2"/>
      <c r="CM344" s="2">
        <v>0</v>
      </c>
      <c r="CN344" s="2" t="s">
        <v>3</v>
      </c>
      <c r="CO344" s="2">
        <v>0</v>
      </c>
      <c r="CP344" s="2">
        <f t="shared" si="318"/>
        <v>0</v>
      </c>
      <c r="CQ344" s="2">
        <f t="shared" si="319"/>
        <v>105.2</v>
      </c>
      <c r="CR344" s="2">
        <f>(ROUND((ROUND(((ET344)*AV344*1),2)*BB344),2)+ROUND((ROUND(((AE344-(EU344))*AV344*1),2)*BS344),2))</f>
        <v>0</v>
      </c>
      <c r="CS344" s="2">
        <f t="shared" si="321"/>
        <v>0</v>
      </c>
      <c r="CT344" s="2">
        <f t="shared" si="322"/>
        <v>0</v>
      </c>
      <c r="CU344" s="2">
        <f t="shared" si="323"/>
        <v>0</v>
      </c>
      <c r="CV344" s="2">
        <f t="shared" si="324"/>
        <v>0</v>
      </c>
      <c r="CW344" s="2">
        <f t="shared" si="325"/>
        <v>0</v>
      </c>
      <c r="CX344" s="2">
        <f t="shared" si="326"/>
        <v>0</v>
      </c>
      <c r="CY344" s="2">
        <f>((S344*BZ344)/100)</f>
        <v>0</v>
      </c>
      <c r="CZ344" s="2">
        <f>((S344*CA344)/100)</f>
        <v>0</v>
      </c>
      <c r="DA344" s="2"/>
      <c r="DB344" s="2"/>
      <c r="DC344" s="2" t="s">
        <v>3</v>
      </c>
      <c r="DD344" s="2" t="s">
        <v>3</v>
      </c>
      <c r="DE344" s="2" t="s">
        <v>3</v>
      </c>
      <c r="DF344" s="2" t="s">
        <v>3</v>
      </c>
      <c r="DG344" s="2" t="s">
        <v>3</v>
      </c>
      <c r="DH344" s="2" t="s">
        <v>3</v>
      </c>
      <c r="DI344" s="2" t="s">
        <v>3</v>
      </c>
      <c r="DJ344" s="2" t="s">
        <v>3</v>
      </c>
      <c r="DK344" s="2" t="s">
        <v>3</v>
      </c>
      <c r="DL344" s="2" t="s">
        <v>3</v>
      </c>
      <c r="DM344" s="2" t="s">
        <v>3</v>
      </c>
      <c r="DN344" s="2">
        <v>0</v>
      </c>
      <c r="DO344" s="2">
        <v>0</v>
      </c>
      <c r="DP344" s="2">
        <v>1</v>
      </c>
      <c r="DQ344" s="2">
        <v>1</v>
      </c>
      <c r="DR344" s="2"/>
      <c r="DS344" s="2"/>
      <c r="DT344" s="2"/>
      <c r="DU344" s="2">
        <v>1007</v>
      </c>
      <c r="DV344" s="2" t="s">
        <v>93</v>
      </c>
      <c r="DW344" s="2" t="s">
        <v>93</v>
      </c>
      <c r="DX344" s="2">
        <v>1</v>
      </c>
      <c r="DY344" s="2"/>
      <c r="DZ344" s="2" t="s">
        <v>3</v>
      </c>
      <c r="EA344" s="2" t="s">
        <v>3</v>
      </c>
      <c r="EB344" s="2" t="s">
        <v>3</v>
      </c>
      <c r="EC344" s="2" t="s">
        <v>3</v>
      </c>
      <c r="ED344" s="2"/>
      <c r="EE344" s="2">
        <v>51696185</v>
      </c>
      <c r="EF344" s="2">
        <v>30</v>
      </c>
      <c r="EG344" s="2" t="s">
        <v>16</v>
      </c>
      <c r="EH344" s="2">
        <v>0</v>
      </c>
      <c r="EI344" s="2" t="s">
        <v>3</v>
      </c>
      <c r="EJ344" s="2">
        <v>1</v>
      </c>
      <c r="EK344" s="2">
        <v>146</v>
      </c>
      <c r="EL344" s="2" t="s">
        <v>338</v>
      </c>
      <c r="EM344" s="2" t="s">
        <v>339</v>
      </c>
      <c r="EN344" s="2"/>
      <c r="EO344" s="2" t="s">
        <v>3</v>
      </c>
      <c r="EP344" s="2"/>
      <c r="EQ344" s="2">
        <v>0</v>
      </c>
      <c r="ER344" s="2">
        <v>104.99</v>
      </c>
      <c r="ES344" s="2">
        <v>104.99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>
        <v>0</v>
      </c>
      <c r="FR344" s="2">
        <v>0</v>
      </c>
      <c r="FS344" s="2">
        <v>0</v>
      </c>
      <c r="FT344" s="2"/>
      <c r="FU344" s="2"/>
      <c r="FV344" s="2"/>
      <c r="FW344" s="2"/>
      <c r="FX344" s="2">
        <v>161</v>
      </c>
      <c r="FY344" s="2">
        <v>107</v>
      </c>
      <c r="FZ344" s="2"/>
      <c r="GA344" s="2" t="s">
        <v>3</v>
      </c>
      <c r="GB344" s="2"/>
      <c r="GC344" s="2"/>
      <c r="GD344" s="2">
        <v>0</v>
      </c>
      <c r="GE344" s="2"/>
      <c r="GF344" s="2">
        <v>921520</v>
      </c>
      <c r="GG344" s="2">
        <v>2</v>
      </c>
      <c r="GH344" s="2">
        <v>1</v>
      </c>
      <c r="GI344" s="2">
        <v>-2</v>
      </c>
      <c r="GJ344" s="2">
        <v>0</v>
      </c>
      <c r="GK344" s="2">
        <f>ROUND(R344*(R12)/100,2)</f>
        <v>0</v>
      </c>
      <c r="GL344" s="2">
        <f t="shared" si="327"/>
        <v>0</v>
      </c>
      <c r="GM344" s="2">
        <f t="shared" si="328"/>
        <v>0</v>
      </c>
      <c r="GN344" s="2">
        <f t="shared" si="329"/>
        <v>0</v>
      </c>
      <c r="GO344" s="2">
        <f t="shared" si="330"/>
        <v>0</v>
      </c>
      <c r="GP344" s="2">
        <f t="shared" si="331"/>
        <v>0</v>
      </c>
      <c r="GQ344" s="2"/>
      <c r="GR344" s="2">
        <v>0</v>
      </c>
      <c r="GS344" s="2">
        <v>0</v>
      </c>
      <c r="GT344" s="2">
        <v>0</v>
      </c>
      <c r="GU344" s="2" t="s">
        <v>3</v>
      </c>
      <c r="GV344" s="2">
        <f t="shared" si="332"/>
        <v>0</v>
      </c>
      <c r="GW344" s="2">
        <v>1</v>
      </c>
      <c r="GX344" s="2">
        <f t="shared" si="333"/>
        <v>0</v>
      </c>
      <c r="GY344" s="2"/>
      <c r="GZ344" s="2"/>
      <c r="HA344" s="2">
        <v>0</v>
      </c>
      <c r="HB344" s="2">
        <v>0</v>
      </c>
      <c r="HC344" s="2">
        <f t="shared" si="334"/>
        <v>0</v>
      </c>
      <c r="HD344" s="2"/>
      <c r="HE344" s="2" t="s">
        <v>3</v>
      </c>
      <c r="HF344" s="2" t="s">
        <v>3</v>
      </c>
      <c r="HG344" s="2"/>
      <c r="HH344" s="2"/>
      <c r="HI344" s="2"/>
      <c r="HJ344" s="2"/>
      <c r="HK344" s="2"/>
      <c r="HL344" s="2"/>
      <c r="HM344" s="2" t="s">
        <v>3</v>
      </c>
      <c r="HN344" s="2" t="s">
        <v>3</v>
      </c>
      <c r="HO344" s="2" t="s">
        <v>3</v>
      </c>
      <c r="HP344" s="2" t="s">
        <v>3</v>
      </c>
      <c r="HQ344" s="2" t="s">
        <v>3</v>
      </c>
      <c r="HR344" s="2"/>
      <c r="HS344" s="2">
        <v>0</v>
      </c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>
        <v>0</v>
      </c>
      <c r="IL344" s="2"/>
      <c r="IM344" s="2"/>
      <c r="IN344" s="2"/>
      <c r="IO344" s="2"/>
      <c r="IP344" s="2"/>
      <c r="IQ344" s="2"/>
      <c r="IR344" s="2"/>
      <c r="IS344" s="2"/>
      <c r="IT344" s="2"/>
      <c r="IU344" s="2"/>
    </row>
    <row r="345" spans="1:255" x14ac:dyDescent="0.2">
      <c r="A345">
        <v>18</v>
      </c>
      <c r="B345">
        <v>1</v>
      </c>
      <c r="C345">
        <v>206</v>
      </c>
      <c r="E345" t="s">
        <v>390</v>
      </c>
      <c r="F345" t="s">
        <v>91</v>
      </c>
      <c r="G345" t="s">
        <v>341</v>
      </c>
      <c r="H345" t="s">
        <v>93</v>
      </c>
      <c r="I345">
        <f>I343*J345</f>
        <v>0</v>
      </c>
      <c r="J345">
        <v>110</v>
      </c>
      <c r="K345">
        <v>110</v>
      </c>
      <c r="O345">
        <f t="shared" si="300"/>
        <v>0</v>
      </c>
      <c r="P345">
        <f t="shared" si="301"/>
        <v>0</v>
      </c>
      <c r="Q345">
        <f>(ROUND((ROUND(((ET345)*AV345*I345),2)*BB345),2)+ROUND((ROUND(((AE345-(EU345))*AV345*I345),2)*BS345),2))</f>
        <v>0</v>
      </c>
      <c r="R345">
        <f t="shared" si="303"/>
        <v>0</v>
      </c>
      <c r="S345">
        <f t="shared" si="304"/>
        <v>0</v>
      </c>
      <c r="T345">
        <f t="shared" si="305"/>
        <v>0</v>
      </c>
      <c r="U345">
        <f t="shared" si="306"/>
        <v>0</v>
      </c>
      <c r="V345">
        <f t="shared" si="307"/>
        <v>0</v>
      </c>
      <c r="W345">
        <f t="shared" si="308"/>
        <v>0</v>
      </c>
      <c r="X345">
        <f t="shared" si="309"/>
        <v>0</v>
      </c>
      <c r="Y345">
        <f t="shared" si="310"/>
        <v>0</v>
      </c>
      <c r="AA345">
        <v>56616093</v>
      </c>
      <c r="AB345">
        <f t="shared" si="311"/>
        <v>104.99</v>
      </c>
      <c r="AC345">
        <f t="shared" si="312"/>
        <v>104.99</v>
      </c>
      <c r="AD345">
        <f>ROUND((((ET345)-(EU345))+AE345),6)</f>
        <v>0</v>
      </c>
      <c r="AE345">
        <f>ROUND((EU345),6)</f>
        <v>0</v>
      </c>
      <c r="AF345">
        <f>ROUND((EV345),6)</f>
        <v>0</v>
      </c>
      <c r="AG345">
        <f t="shared" si="315"/>
        <v>0</v>
      </c>
      <c r="AH345">
        <f>(EW345)</f>
        <v>0</v>
      </c>
      <c r="AI345">
        <f>(EX345)</f>
        <v>0</v>
      </c>
      <c r="AJ345">
        <f t="shared" si="317"/>
        <v>0</v>
      </c>
      <c r="AK345">
        <v>104.99</v>
      </c>
      <c r="AL345">
        <v>104.99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1</v>
      </c>
      <c r="AW345">
        <v>1.002</v>
      </c>
      <c r="AZ345">
        <v>1</v>
      </c>
      <c r="BA345">
        <v>1</v>
      </c>
      <c r="BB345">
        <v>1</v>
      </c>
      <c r="BC345">
        <v>7.69</v>
      </c>
      <c r="BD345" t="s">
        <v>3</v>
      </c>
      <c r="BE345" t="s">
        <v>3</v>
      </c>
      <c r="BF345" t="s">
        <v>3</v>
      </c>
      <c r="BG345" t="s">
        <v>3</v>
      </c>
      <c r="BH345">
        <v>3</v>
      </c>
      <c r="BI345">
        <v>1</v>
      </c>
      <c r="BJ345" t="s">
        <v>94</v>
      </c>
      <c r="BM345">
        <v>146</v>
      </c>
      <c r="BN345">
        <v>0</v>
      </c>
      <c r="BO345" t="s">
        <v>91</v>
      </c>
      <c r="BP345">
        <v>1</v>
      </c>
      <c r="BQ345">
        <v>30</v>
      </c>
      <c r="BR345">
        <v>0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 t="s">
        <v>3</v>
      </c>
      <c r="BZ345">
        <v>0</v>
      </c>
      <c r="CA345">
        <v>0</v>
      </c>
      <c r="CB345" t="s">
        <v>3</v>
      </c>
      <c r="CE345">
        <v>30</v>
      </c>
      <c r="CF345">
        <v>0</v>
      </c>
      <c r="CG345">
        <v>0</v>
      </c>
      <c r="CM345">
        <v>0</v>
      </c>
      <c r="CN345" t="s">
        <v>3</v>
      </c>
      <c r="CO345">
        <v>0</v>
      </c>
      <c r="CP345">
        <f t="shared" si="318"/>
        <v>0</v>
      </c>
      <c r="CQ345">
        <f t="shared" si="319"/>
        <v>808.99</v>
      </c>
      <c r="CR345">
        <f>(ROUND((ROUND(((ET345)*AV345*1),2)*BB345),2)+ROUND((ROUND(((AE345-(EU345))*AV345*1),2)*BS345),2))</f>
        <v>0</v>
      </c>
      <c r="CS345">
        <f t="shared" si="321"/>
        <v>0</v>
      </c>
      <c r="CT345">
        <f t="shared" si="322"/>
        <v>0</v>
      </c>
      <c r="CU345">
        <f t="shared" si="323"/>
        <v>0</v>
      </c>
      <c r="CV345">
        <f t="shared" si="324"/>
        <v>0</v>
      </c>
      <c r="CW345">
        <f t="shared" si="325"/>
        <v>0</v>
      </c>
      <c r="CX345">
        <f t="shared" si="326"/>
        <v>0</v>
      </c>
      <c r="CY345">
        <f>S345*(BZ345/100)</f>
        <v>0</v>
      </c>
      <c r="CZ345">
        <f>S345*(CA345/100)</f>
        <v>0</v>
      </c>
      <c r="DC345" t="s">
        <v>3</v>
      </c>
      <c r="DD345" t="s">
        <v>3</v>
      </c>
      <c r="DE345" t="s">
        <v>3</v>
      </c>
      <c r="DF345" t="s">
        <v>3</v>
      </c>
      <c r="DG345" t="s">
        <v>3</v>
      </c>
      <c r="DH345" t="s">
        <v>3</v>
      </c>
      <c r="DI345" t="s">
        <v>3</v>
      </c>
      <c r="DJ345" t="s">
        <v>3</v>
      </c>
      <c r="DK345" t="s">
        <v>3</v>
      </c>
      <c r="DL345" t="s">
        <v>3</v>
      </c>
      <c r="DM345" t="s">
        <v>3</v>
      </c>
      <c r="DN345">
        <v>161</v>
      </c>
      <c r="DO345">
        <v>107</v>
      </c>
      <c r="DP345">
        <v>1.0469999999999999</v>
      </c>
      <c r="DQ345">
        <v>1.002</v>
      </c>
      <c r="DU345">
        <v>1007</v>
      </c>
      <c r="DV345" t="s">
        <v>93</v>
      </c>
      <c r="DW345" t="s">
        <v>93</v>
      </c>
      <c r="DX345">
        <v>1</v>
      </c>
      <c r="DZ345" t="s">
        <v>3</v>
      </c>
      <c r="EA345" t="s">
        <v>3</v>
      </c>
      <c r="EB345" t="s">
        <v>3</v>
      </c>
      <c r="EC345" t="s">
        <v>3</v>
      </c>
      <c r="EE345">
        <v>51696185</v>
      </c>
      <c r="EF345">
        <v>30</v>
      </c>
      <c r="EG345" t="s">
        <v>16</v>
      </c>
      <c r="EH345">
        <v>0</v>
      </c>
      <c r="EI345" t="s">
        <v>3</v>
      </c>
      <c r="EJ345">
        <v>1</v>
      </c>
      <c r="EK345">
        <v>146</v>
      </c>
      <c r="EL345" t="s">
        <v>338</v>
      </c>
      <c r="EM345" t="s">
        <v>339</v>
      </c>
      <c r="EO345" t="s">
        <v>3</v>
      </c>
      <c r="EQ345">
        <v>0</v>
      </c>
      <c r="ER345">
        <v>104.99</v>
      </c>
      <c r="ES345">
        <v>104.99</v>
      </c>
      <c r="ET345">
        <v>0</v>
      </c>
      <c r="EU345">
        <v>0</v>
      </c>
      <c r="EV345">
        <v>0</v>
      </c>
      <c r="EW345">
        <v>0</v>
      </c>
      <c r="EX345">
        <v>0</v>
      </c>
      <c r="FQ345">
        <v>0</v>
      </c>
      <c r="FR345">
        <v>0</v>
      </c>
      <c r="FS345">
        <v>0</v>
      </c>
      <c r="FX345">
        <v>161</v>
      </c>
      <c r="FY345">
        <v>107</v>
      </c>
      <c r="GA345" t="s">
        <v>3</v>
      </c>
      <c r="GD345">
        <v>0</v>
      </c>
      <c r="GF345">
        <v>921520</v>
      </c>
      <c r="GG345">
        <v>2</v>
      </c>
      <c r="GH345">
        <v>1</v>
      </c>
      <c r="GI345">
        <v>2</v>
      </c>
      <c r="GJ345">
        <v>0</v>
      </c>
      <c r="GK345">
        <f>ROUND(R345*(S12)/100,2)</f>
        <v>0</v>
      </c>
      <c r="GL345">
        <f t="shared" si="327"/>
        <v>0</v>
      </c>
      <c r="GM345">
        <f t="shared" si="328"/>
        <v>0</v>
      </c>
      <c r="GN345">
        <f t="shared" si="329"/>
        <v>0</v>
      </c>
      <c r="GO345">
        <f t="shared" si="330"/>
        <v>0</v>
      </c>
      <c r="GP345">
        <f t="shared" si="331"/>
        <v>0</v>
      </c>
      <c r="GR345">
        <v>0</v>
      </c>
      <c r="GS345">
        <v>3</v>
      </c>
      <c r="GT345">
        <v>0</v>
      </c>
      <c r="GU345" t="s">
        <v>3</v>
      </c>
      <c r="GV345">
        <f t="shared" si="332"/>
        <v>0</v>
      </c>
      <c r="GW345">
        <v>1</v>
      </c>
      <c r="GX345">
        <f t="shared" si="333"/>
        <v>0</v>
      </c>
      <c r="HA345">
        <v>0</v>
      </c>
      <c r="HB345">
        <v>0</v>
      </c>
      <c r="HC345">
        <f t="shared" si="334"/>
        <v>0</v>
      </c>
      <c r="HE345" t="s">
        <v>3</v>
      </c>
      <c r="HF345" t="s">
        <v>3</v>
      </c>
      <c r="HM345" t="s">
        <v>3</v>
      </c>
      <c r="HN345" t="s">
        <v>3</v>
      </c>
      <c r="HO345" t="s">
        <v>3</v>
      </c>
      <c r="HP345" t="s">
        <v>3</v>
      </c>
      <c r="HQ345" t="s">
        <v>3</v>
      </c>
      <c r="HS345">
        <v>0</v>
      </c>
      <c r="IK345">
        <v>0</v>
      </c>
    </row>
    <row r="346" spans="1:255" x14ac:dyDescent="0.2">
      <c r="A346" s="2">
        <v>17</v>
      </c>
      <c r="B346" s="2">
        <v>1</v>
      </c>
      <c r="C346" s="2">
        <f>ROW(SmtRes!A207)</f>
        <v>207</v>
      </c>
      <c r="D346" s="2">
        <f>ROW(EtalonRes!A1153)</f>
        <v>1153</v>
      </c>
      <c r="E346" s="2" t="s">
        <v>391</v>
      </c>
      <c r="F346" s="2" t="s">
        <v>392</v>
      </c>
      <c r="G346" s="2" t="s">
        <v>393</v>
      </c>
      <c r="H346" s="2" t="s">
        <v>394</v>
      </c>
      <c r="I346" s="2">
        <v>0</v>
      </c>
      <c r="J346" s="2">
        <v>0</v>
      </c>
      <c r="K346" s="2">
        <v>0</v>
      </c>
      <c r="L346" s="2"/>
      <c r="M346" s="2"/>
      <c r="N346" s="2"/>
      <c r="O346" s="2">
        <f t="shared" si="300"/>
        <v>0</v>
      </c>
      <c r="P346" s="2">
        <f t="shared" si="301"/>
        <v>0</v>
      </c>
      <c r="Q346" s="2">
        <f>(ROUND((ROUND((((ET346*1.1))*AV346*I346),2)*BB346),2)+ROUND((ROUND(((AE346-((EU346*1.1)))*AV346*I346),2)*BS346),2))</f>
        <v>0</v>
      </c>
      <c r="R346" s="2">
        <f t="shared" si="303"/>
        <v>0</v>
      </c>
      <c r="S346" s="2">
        <f t="shared" si="304"/>
        <v>0</v>
      </c>
      <c r="T346" s="2">
        <f t="shared" si="305"/>
        <v>0</v>
      </c>
      <c r="U346" s="2">
        <f t="shared" si="306"/>
        <v>0</v>
      </c>
      <c r="V346" s="2">
        <f t="shared" si="307"/>
        <v>0</v>
      </c>
      <c r="W346" s="2">
        <f t="shared" si="308"/>
        <v>0</v>
      </c>
      <c r="X346" s="2">
        <f t="shared" si="309"/>
        <v>0</v>
      </c>
      <c r="Y346" s="2">
        <f t="shared" si="310"/>
        <v>0</v>
      </c>
      <c r="Z346" s="2"/>
      <c r="AA346" s="2">
        <v>56622586</v>
      </c>
      <c r="AB346" s="2">
        <f t="shared" si="311"/>
        <v>619.79999999999995</v>
      </c>
      <c r="AC346" s="2">
        <f t="shared" si="312"/>
        <v>14.14</v>
      </c>
      <c r="AD346" s="2">
        <f>ROUND(((((ET346*1.1))-((EU346*1.1)))+AE346),6)</f>
        <v>306.82299999999998</v>
      </c>
      <c r="AE346" s="2">
        <f>ROUND(((EU346*1.1)),6)</f>
        <v>27.324000000000002</v>
      </c>
      <c r="AF346" s="2">
        <f>ROUND(((EV346*1.1)),6)</f>
        <v>298.83699999999999</v>
      </c>
      <c r="AG346" s="2">
        <f t="shared" si="315"/>
        <v>0</v>
      </c>
      <c r="AH346" s="2">
        <f>((EW346*1.1))</f>
        <v>26.730000000000004</v>
      </c>
      <c r="AI346" s="2">
        <f>((EX346*1.1))</f>
        <v>0</v>
      </c>
      <c r="AJ346" s="2">
        <f t="shared" si="317"/>
        <v>0</v>
      </c>
      <c r="AK346" s="2">
        <v>564.74</v>
      </c>
      <c r="AL346" s="2">
        <v>14.14</v>
      </c>
      <c r="AM346" s="2">
        <v>278.93</v>
      </c>
      <c r="AN346" s="2">
        <v>24.84</v>
      </c>
      <c r="AO346" s="2">
        <v>271.67</v>
      </c>
      <c r="AP346" s="2">
        <v>0</v>
      </c>
      <c r="AQ346" s="2">
        <v>24.3</v>
      </c>
      <c r="AR346" s="2">
        <v>0</v>
      </c>
      <c r="AS346" s="2">
        <v>0</v>
      </c>
      <c r="AT346" s="2">
        <v>134</v>
      </c>
      <c r="AU346" s="2">
        <v>83</v>
      </c>
      <c r="AV346" s="2">
        <v>1.0469999999999999</v>
      </c>
      <c r="AW346" s="2">
        <v>1.002</v>
      </c>
      <c r="AX346" s="2"/>
      <c r="AY346" s="2"/>
      <c r="AZ346" s="2">
        <v>1</v>
      </c>
      <c r="BA346" s="2">
        <v>1</v>
      </c>
      <c r="BB346" s="2">
        <v>1</v>
      </c>
      <c r="BC346" s="2">
        <v>1</v>
      </c>
      <c r="BD346" s="2" t="s">
        <v>3</v>
      </c>
      <c r="BE346" s="2" t="s">
        <v>3</v>
      </c>
      <c r="BF346" s="2" t="s">
        <v>3</v>
      </c>
      <c r="BG346" s="2" t="s">
        <v>3</v>
      </c>
      <c r="BH346" s="2">
        <v>0</v>
      </c>
      <c r="BI346" s="2">
        <v>1</v>
      </c>
      <c r="BJ346" s="2" t="s">
        <v>395</v>
      </c>
      <c r="BK346" s="2"/>
      <c r="BL346" s="2"/>
      <c r="BM346" s="2">
        <v>160</v>
      </c>
      <c r="BN346" s="2">
        <v>0</v>
      </c>
      <c r="BO346" s="2" t="s">
        <v>3</v>
      </c>
      <c r="BP346" s="2">
        <v>0</v>
      </c>
      <c r="BQ346" s="2">
        <v>30</v>
      </c>
      <c r="BR346" s="2">
        <v>0</v>
      </c>
      <c r="BS346" s="2">
        <v>1</v>
      </c>
      <c r="BT346" s="2">
        <v>1</v>
      </c>
      <c r="BU346" s="2">
        <v>1</v>
      </c>
      <c r="BV346" s="2">
        <v>1</v>
      </c>
      <c r="BW346" s="2">
        <v>1</v>
      </c>
      <c r="BX346" s="2">
        <v>1</v>
      </c>
      <c r="BY346" s="2" t="s">
        <v>3</v>
      </c>
      <c r="BZ346" s="2">
        <v>134</v>
      </c>
      <c r="CA346" s="2">
        <v>83</v>
      </c>
      <c r="CB346" s="2" t="s">
        <v>3</v>
      </c>
      <c r="CC346" s="2"/>
      <c r="CD346" s="2"/>
      <c r="CE346" s="2">
        <v>30</v>
      </c>
      <c r="CF346" s="2">
        <v>0</v>
      </c>
      <c r="CG346" s="2">
        <v>0</v>
      </c>
      <c r="CH346" s="2"/>
      <c r="CI346" s="2"/>
      <c r="CJ346" s="2"/>
      <c r="CK346" s="2"/>
      <c r="CL346" s="2"/>
      <c r="CM346" s="2">
        <v>0</v>
      </c>
      <c r="CN346" s="2" t="s">
        <v>671</v>
      </c>
      <c r="CO346" s="2">
        <v>0</v>
      </c>
      <c r="CP346" s="2">
        <f t="shared" si="318"/>
        <v>0</v>
      </c>
      <c r="CQ346" s="2">
        <f t="shared" si="319"/>
        <v>14.17</v>
      </c>
      <c r="CR346" s="2">
        <f>(ROUND((ROUND((((ET346*1.1))*AV346*1),2)*BB346),2)+ROUND((ROUND(((AE346-((EU346*1.1)))*AV346*1),2)*BS346),2))</f>
        <v>321.24</v>
      </c>
      <c r="CS346" s="2">
        <f t="shared" si="321"/>
        <v>28.61</v>
      </c>
      <c r="CT346" s="2">
        <f t="shared" si="322"/>
        <v>312.88</v>
      </c>
      <c r="CU346" s="2">
        <f t="shared" si="323"/>
        <v>0</v>
      </c>
      <c r="CV346" s="2">
        <f t="shared" si="324"/>
        <v>27.986310000000003</v>
      </c>
      <c r="CW346" s="2">
        <f t="shared" si="325"/>
        <v>0</v>
      </c>
      <c r="CX346" s="2">
        <f t="shared" si="326"/>
        <v>0</v>
      </c>
      <c r="CY346" s="2">
        <f>((S346*BZ346)/100)</f>
        <v>0</v>
      </c>
      <c r="CZ346" s="2">
        <f>((S346*CA346)/100)</f>
        <v>0</v>
      </c>
      <c r="DA346" s="2"/>
      <c r="DB346" s="2"/>
      <c r="DC346" s="2" t="s">
        <v>3</v>
      </c>
      <c r="DD346" s="2" t="s">
        <v>3</v>
      </c>
      <c r="DE346" s="2" t="s">
        <v>22</v>
      </c>
      <c r="DF346" s="2" t="s">
        <v>22</v>
      </c>
      <c r="DG346" s="2" t="s">
        <v>22</v>
      </c>
      <c r="DH346" s="2" t="s">
        <v>3</v>
      </c>
      <c r="DI346" s="2" t="s">
        <v>22</v>
      </c>
      <c r="DJ346" s="2" t="s">
        <v>22</v>
      </c>
      <c r="DK346" s="2" t="s">
        <v>3</v>
      </c>
      <c r="DL346" s="2" t="s">
        <v>3</v>
      </c>
      <c r="DM346" s="2" t="s">
        <v>3</v>
      </c>
      <c r="DN346" s="2">
        <v>0</v>
      </c>
      <c r="DO346" s="2">
        <v>0</v>
      </c>
      <c r="DP346" s="2">
        <v>1</v>
      </c>
      <c r="DQ346" s="2">
        <v>1</v>
      </c>
      <c r="DR346" s="2"/>
      <c r="DS346" s="2"/>
      <c r="DT346" s="2"/>
      <c r="DU346" s="2">
        <v>1013</v>
      </c>
      <c r="DV346" s="2" t="s">
        <v>394</v>
      </c>
      <c r="DW346" s="2" t="s">
        <v>394</v>
      </c>
      <c r="DX346" s="2">
        <v>1</v>
      </c>
      <c r="DY346" s="2"/>
      <c r="DZ346" s="2" t="s">
        <v>3</v>
      </c>
      <c r="EA346" s="2" t="s">
        <v>3</v>
      </c>
      <c r="EB346" s="2" t="s">
        <v>3</v>
      </c>
      <c r="EC346" s="2" t="s">
        <v>3</v>
      </c>
      <c r="ED346" s="2"/>
      <c r="EE346" s="2">
        <v>51696199</v>
      </c>
      <c r="EF346" s="2">
        <v>30</v>
      </c>
      <c r="EG346" s="2" t="s">
        <v>16</v>
      </c>
      <c r="EH346" s="2">
        <v>0</v>
      </c>
      <c r="EI346" s="2" t="s">
        <v>3</v>
      </c>
      <c r="EJ346" s="2">
        <v>1</v>
      </c>
      <c r="EK346" s="2">
        <v>160</v>
      </c>
      <c r="EL346" s="2" t="s">
        <v>396</v>
      </c>
      <c r="EM346" s="2" t="s">
        <v>397</v>
      </c>
      <c r="EN346" s="2"/>
      <c r="EO346" s="2" t="s">
        <v>25</v>
      </c>
      <c r="EP346" s="2"/>
      <c r="EQ346" s="2">
        <v>131072</v>
      </c>
      <c r="ER346" s="2">
        <v>564.74</v>
      </c>
      <c r="ES346" s="2">
        <v>14.14</v>
      </c>
      <c r="ET346" s="2">
        <v>278.93</v>
      </c>
      <c r="EU346" s="2">
        <v>24.84</v>
      </c>
      <c r="EV346" s="2">
        <v>271.67</v>
      </c>
      <c r="EW346" s="2">
        <v>24.3</v>
      </c>
      <c r="EX346" s="2">
        <v>0</v>
      </c>
      <c r="EY346" s="2">
        <v>0</v>
      </c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>
        <v>0</v>
      </c>
      <c r="FR346" s="2">
        <v>0</v>
      </c>
      <c r="FS346" s="2">
        <v>0</v>
      </c>
      <c r="FT346" s="2"/>
      <c r="FU346" s="2"/>
      <c r="FV346" s="2"/>
      <c r="FW346" s="2"/>
      <c r="FX346" s="2">
        <v>134</v>
      </c>
      <c r="FY346" s="2">
        <v>83</v>
      </c>
      <c r="FZ346" s="2"/>
      <c r="GA346" s="2" t="s">
        <v>3</v>
      </c>
      <c r="GB346" s="2"/>
      <c r="GC346" s="2"/>
      <c r="GD346" s="2">
        <v>0</v>
      </c>
      <c r="GE346" s="2"/>
      <c r="GF346" s="2">
        <v>1080592559</v>
      </c>
      <c r="GG346" s="2">
        <v>2</v>
      </c>
      <c r="GH346" s="2">
        <v>1</v>
      </c>
      <c r="GI346" s="2">
        <v>-2</v>
      </c>
      <c r="GJ346" s="2">
        <v>0</v>
      </c>
      <c r="GK346" s="2">
        <f>ROUND(R346*(R12)/100,2)</f>
        <v>0</v>
      </c>
      <c r="GL346" s="2">
        <f t="shared" si="327"/>
        <v>0</v>
      </c>
      <c r="GM346" s="2">
        <f t="shared" si="328"/>
        <v>0</v>
      </c>
      <c r="GN346" s="2">
        <f t="shared" si="329"/>
        <v>0</v>
      </c>
      <c r="GO346" s="2">
        <f t="shared" si="330"/>
        <v>0</v>
      </c>
      <c r="GP346" s="2">
        <f t="shared" si="331"/>
        <v>0</v>
      </c>
      <c r="GQ346" s="2"/>
      <c r="GR346" s="2">
        <v>0</v>
      </c>
      <c r="GS346" s="2">
        <v>0</v>
      </c>
      <c r="GT346" s="2">
        <v>0</v>
      </c>
      <c r="GU346" s="2" t="s">
        <v>3</v>
      </c>
      <c r="GV346" s="2">
        <f t="shared" si="332"/>
        <v>0</v>
      </c>
      <c r="GW346" s="2">
        <v>1</v>
      </c>
      <c r="GX346" s="2">
        <f t="shared" si="333"/>
        <v>0</v>
      </c>
      <c r="GY346" s="2"/>
      <c r="GZ346" s="2"/>
      <c r="HA346" s="2">
        <v>0</v>
      </c>
      <c r="HB346" s="2">
        <v>0</v>
      </c>
      <c r="HC346" s="2">
        <f t="shared" si="334"/>
        <v>0</v>
      </c>
      <c r="HD346" s="2"/>
      <c r="HE346" s="2" t="s">
        <v>3</v>
      </c>
      <c r="HF346" s="2" t="s">
        <v>3</v>
      </c>
      <c r="HG346" s="2"/>
      <c r="HH346" s="2"/>
      <c r="HI346" s="2"/>
      <c r="HJ346" s="2"/>
      <c r="HK346" s="2"/>
      <c r="HL346" s="2"/>
      <c r="HM346" s="2" t="s">
        <v>3</v>
      </c>
      <c r="HN346" s="2" t="s">
        <v>3</v>
      </c>
      <c r="HO346" s="2" t="s">
        <v>3</v>
      </c>
      <c r="HP346" s="2" t="s">
        <v>3</v>
      </c>
      <c r="HQ346" s="2" t="s">
        <v>3</v>
      </c>
      <c r="HR346" s="2"/>
      <c r="HS346" s="2">
        <v>0</v>
      </c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>
        <v>0</v>
      </c>
      <c r="IL346" s="2"/>
      <c r="IM346" s="2"/>
      <c r="IN346" s="2"/>
      <c r="IO346" s="2"/>
      <c r="IP346" s="2"/>
      <c r="IQ346" s="2"/>
      <c r="IR346" s="2"/>
      <c r="IS346" s="2"/>
      <c r="IT346" s="2"/>
      <c r="IU346" s="2"/>
    </row>
    <row r="347" spans="1:255" x14ac:dyDescent="0.2">
      <c r="A347">
        <v>17</v>
      </c>
      <c r="B347">
        <v>1</v>
      </c>
      <c r="C347">
        <f>ROW(SmtRes!A208)</f>
        <v>208</v>
      </c>
      <c r="D347">
        <f>ROW(EtalonRes!A1158)</f>
        <v>1158</v>
      </c>
      <c r="E347" t="s">
        <v>391</v>
      </c>
      <c r="F347" t="s">
        <v>392</v>
      </c>
      <c r="G347" t="s">
        <v>393</v>
      </c>
      <c r="H347" t="s">
        <v>394</v>
      </c>
      <c r="I347">
        <v>0</v>
      </c>
      <c r="J347">
        <v>0</v>
      </c>
      <c r="K347">
        <v>0</v>
      </c>
      <c r="O347">
        <f t="shared" si="300"/>
        <v>0</v>
      </c>
      <c r="P347">
        <f t="shared" si="301"/>
        <v>0</v>
      </c>
      <c r="Q347">
        <f>(ROUND((ROUND((((ET347*1.1))*AV347*I347),2)*BB347),2)+ROUND((ROUND(((AE347-((EU347*1.1)))*AV347*I347),2)*BS347),2))</f>
        <v>0</v>
      </c>
      <c r="R347">
        <f t="shared" si="303"/>
        <v>0</v>
      </c>
      <c r="S347">
        <f t="shared" si="304"/>
        <v>0</v>
      </c>
      <c r="T347">
        <f t="shared" si="305"/>
        <v>0</v>
      </c>
      <c r="U347">
        <f t="shared" si="306"/>
        <v>0</v>
      </c>
      <c r="V347">
        <f t="shared" si="307"/>
        <v>0</v>
      </c>
      <c r="W347">
        <f t="shared" si="308"/>
        <v>0</v>
      </c>
      <c r="X347">
        <f t="shared" si="309"/>
        <v>0</v>
      </c>
      <c r="Y347">
        <f t="shared" si="310"/>
        <v>0</v>
      </c>
      <c r="AA347">
        <v>56616093</v>
      </c>
      <c r="AB347">
        <f t="shared" si="311"/>
        <v>619.79999999999995</v>
      </c>
      <c r="AC347">
        <f t="shared" si="312"/>
        <v>14.14</v>
      </c>
      <c r="AD347">
        <f>ROUND(((((ET347*1.1))-((EU347*1.1)))+AE347),6)</f>
        <v>306.82299999999998</v>
      </c>
      <c r="AE347">
        <f>ROUND(((EU347*1.1)),6)</f>
        <v>27.324000000000002</v>
      </c>
      <c r="AF347">
        <f>ROUND(((EV347*1.1)),6)</f>
        <v>298.83699999999999</v>
      </c>
      <c r="AG347">
        <f t="shared" si="315"/>
        <v>0</v>
      </c>
      <c r="AH347">
        <f>((EW347*1.1))</f>
        <v>26.730000000000004</v>
      </c>
      <c r="AI347">
        <f>((EX347*1.1))</f>
        <v>0</v>
      </c>
      <c r="AJ347">
        <f t="shared" si="317"/>
        <v>0</v>
      </c>
      <c r="AK347">
        <v>564.74</v>
      </c>
      <c r="AL347">
        <v>14.14</v>
      </c>
      <c r="AM347">
        <v>278.93</v>
      </c>
      <c r="AN347">
        <v>24.84</v>
      </c>
      <c r="AO347">
        <v>271.67</v>
      </c>
      <c r="AP347">
        <v>0</v>
      </c>
      <c r="AQ347">
        <v>24.3</v>
      </c>
      <c r="AR347">
        <v>0</v>
      </c>
      <c r="AS347">
        <v>0</v>
      </c>
      <c r="AT347">
        <v>109</v>
      </c>
      <c r="AU347">
        <v>41</v>
      </c>
      <c r="AV347">
        <v>1.0469999999999999</v>
      </c>
      <c r="AW347">
        <v>1.002</v>
      </c>
      <c r="AZ347">
        <v>1</v>
      </c>
      <c r="BA347">
        <v>34.51</v>
      </c>
      <c r="BB347">
        <v>11.82</v>
      </c>
      <c r="BC347">
        <v>7.05</v>
      </c>
      <c r="BD347" t="s">
        <v>3</v>
      </c>
      <c r="BE347" t="s">
        <v>3</v>
      </c>
      <c r="BF347" t="s">
        <v>3</v>
      </c>
      <c r="BG347" t="s">
        <v>3</v>
      </c>
      <c r="BH347">
        <v>0</v>
      </c>
      <c r="BI347">
        <v>1</v>
      </c>
      <c r="BJ347" t="s">
        <v>395</v>
      </c>
      <c r="BM347">
        <v>160</v>
      </c>
      <c r="BN347">
        <v>0</v>
      </c>
      <c r="BO347" t="s">
        <v>392</v>
      </c>
      <c r="BP347">
        <v>1</v>
      </c>
      <c r="BQ347">
        <v>30</v>
      </c>
      <c r="BR347">
        <v>0</v>
      </c>
      <c r="BS347">
        <v>34.51</v>
      </c>
      <c r="BT347">
        <v>1</v>
      </c>
      <c r="BU347">
        <v>1</v>
      </c>
      <c r="BV347">
        <v>1</v>
      </c>
      <c r="BW347">
        <v>1</v>
      </c>
      <c r="BX347">
        <v>1</v>
      </c>
      <c r="BY347" t="s">
        <v>3</v>
      </c>
      <c r="BZ347">
        <v>109</v>
      </c>
      <c r="CA347">
        <v>41</v>
      </c>
      <c r="CB347" t="s">
        <v>3</v>
      </c>
      <c r="CE347">
        <v>30</v>
      </c>
      <c r="CF347">
        <v>0</v>
      </c>
      <c r="CG347">
        <v>0</v>
      </c>
      <c r="CM347">
        <v>0</v>
      </c>
      <c r="CN347" t="s">
        <v>671</v>
      </c>
      <c r="CO347">
        <v>0</v>
      </c>
      <c r="CP347">
        <f t="shared" si="318"/>
        <v>0</v>
      </c>
      <c r="CQ347">
        <f t="shared" si="319"/>
        <v>99.9</v>
      </c>
      <c r="CR347">
        <f>(ROUND((ROUND((((ET347*1.1))*AV347*1),2)*BB347),2)+ROUND((ROUND(((AE347-((EU347*1.1)))*AV347*1),2)*BS347),2))</f>
        <v>3797.06</v>
      </c>
      <c r="CS347">
        <f t="shared" si="321"/>
        <v>987.33</v>
      </c>
      <c r="CT347">
        <f t="shared" si="322"/>
        <v>10797.49</v>
      </c>
      <c r="CU347">
        <f t="shared" si="323"/>
        <v>0</v>
      </c>
      <c r="CV347">
        <f t="shared" si="324"/>
        <v>27.986310000000003</v>
      </c>
      <c r="CW347">
        <f t="shared" si="325"/>
        <v>0</v>
      </c>
      <c r="CX347">
        <f t="shared" si="326"/>
        <v>0</v>
      </c>
      <c r="CY347">
        <f>S347*(BZ347/100)</f>
        <v>0</v>
      </c>
      <c r="CZ347">
        <f>S347*(CA347/100)</f>
        <v>0</v>
      </c>
      <c r="DC347" t="s">
        <v>3</v>
      </c>
      <c r="DD347" t="s">
        <v>3</v>
      </c>
      <c r="DE347" t="s">
        <v>22</v>
      </c>
      <c r="DF347" t="s">
        <v>22</v>
      </c>
      <c r="DG347" t="s">
        <v>22</v>
      </c>
      <c r="DH347" t="s">
        <v>3</v>
      </c>
      <c r="DI347" t="s">
        <v>22</v>
      </c>
      <c r="DJ347" t="s">
        <v>22</v>
      </c>
      <c r="DK347" t="s">
        <v>3</v>
      </c>
      <c r="DL347" t="s">
        <v>3</v>
      </c>
      <c r="DM347" t="s">
        <v>3</v>
      </c>
      <c r="DN347">
        <v>134</v>
      </c>
      <c r="DO347">
        <v>83</v>
      </c>
      <c r="DP347">
        <v>1.0469999999999999</v>
      </c>
      <c r="DQ347">
        <v>1.002</v>
      </c>
      <c r="DU347">
        <v>1013</v>
      </c>
      <c r="DV347" t="s">
        <v>394</v>
      </c>
      <c r="DW347" t="s">
        <v>394</v>
      </c>
      <c r="DX347">
        <v>1</v>
      </c>
      <c r="DZ347" t="s">
        <v>3</v>
      </c>
      <c r="EA347" t="s">
        <v>3</v>
      </c>
      <c r="EB347" t="s">
        <v>3</v>
      </c>
      <c r="EC347" t="s">
        <v>3</v>
      </c>
      <c r="EE347">
        <v>51696199</v>
      </c>
      <c r="EF347">
        <v>30</v>
      </c>
      <c r="EG347" t="s">
        <v>16</v>
      </c>
      <c r="EH347">
        <v>0</v>
      </c>
      <c r="EI347" t="s">
        <v>3</v>
      </c>
      <c r="EJ347">
        <v>1</v>
      </c>
      <c r="EK347">
        <v>160</v>
      </c>
      <c r="EL347" t="s">
        <v>396</v>
      </c>
      <c r="EM347" t="s">
        <v>397</v>
      </c>
      <c r="EO347" t="s">
        <v>25</v>
      </c>
      <c r="EQ347">
        <v>131072</v>
      </c>
      <c r="ER347">
        <v>564.74</v>
      </c>
      <c r="ES347">
        <v>14.14</v>
      </c>
      <c r="ET347">
        <v>278.93</v>
      </c>
      <c r="EU347">
        <v>24.84</v>
      </c>
      <c r="EV347">
        <v>271.67</v>
      </c>
      <c r="EW347">
        <v>24.3</v>
      </c>
      <c r="EX347">
        <v>0</v>
      </c>
      <c r="EY347">
        <v>0</v>
      </c>
      <c r="FQ347">
        <v>0</v>
      </c>
      <c r="FR347">
        <v>0</v>
      </c>
      <c r="FS347">
        <v>0</v>
      </c>
      <c r="FX347">
        <v>134</v>
      </c>
      <c r="FY347">
        <v>83</v>
      </c>
      <c r="GA347" t="s">
        <v>3</v>
      </c>
      <c r="GD347">
        <v>0</v>
      </c>
      <c r="GF347">
        <v>1080592559</v>
      </c>
      <c r="GG347">
        <v>2</v>
      </c>
      <c r="GH347">
        <v>1</v>
      </c>
      <c r="GI347">
        <v>2</v>
      </c>
      <c r="GJ347">
        <v>0</v>
      </c>
      <c r="GK347">
        <f>ROUND(R347*(S12)/100,2)</f>
        <v>0</v>
      </c>
      <c r="GL347">
        <f t="shared" si="327"/>
        <v>0</v>
      </c>
      <c r="GM347">
        <f t="shared" si="328"/>
        <v>0</v>
      </c>
      <c r="GN347">
        <f t="shared" si="329"/>
        <v>0</v>
      </c>
      <c r="GO347">
        <f t="shared" si="330"/>
        <v>0</v>
      </c>
      <c r="GP347">
        <f t="shared" si="331"/>
        <v>0</v>
      </c>
      <c r="GR347">
        <v>0</v>
      </c>
      <c r="GS347">
        <v>3</v>
      </c>
      <c r="GT347">
        <v>0</v>
      </c>
      <c r="GU347" t="s">
        <v>3</v>
      </c>
      <c r="GV347">
        <f t="shared" si="332"/>
        <v>0</v>
      </c>
      <c r="GW347">
        <v>1</v>
      </c>
      <c r="GX347">
        <f t="shared" si="333"/>
        <v>0</v>
      </c>
      <c r="HA347">
        <v>0</v>
      </c>
      <c r="HB347">
        <v>0</v>
      </c>
      <c r="HC347">
        <f t="shared" si="334"/>
        <v>0</v>
      </c>
      <c r="HE347" t="s">
        <v>3</v>
      </c>
      <c r="HF347" t="s">
        <v>3</v>
      </c>
      <c r="HM347" t="s">
        <v>3</v>
      </c>
      <c r="HN347" t="s">
        <v>3</v>
      </c>
      <c r="HO347" t="s">
        <v>3</v>
      </c>
      <c r="HP347" t="s">
        <v>3</v>
      </c>
      <c r="HQ347" t="s">
        <v>3</v>
      </c>
      <c r="HS347">
        <v>0</v>
      </c>
      <c r="IK347">
        <v>0</v>
      </c>
    </row>
    <row r="348" spans="1:255" x14ac:dyDescent="0.2">
      <c r="A348" s="2">
        <v>18</v>
      </c>
      <c r="B348" s="2">
        <v>1</v>
      </c>
      <c r="C348" s="2">
        <v>207</v>
      </c>
      <c r="D348" s="2"/>
      <c r="E348" s="2" t="s">
        <v>398</v>
      </c>
      <c r="F348" s="2" t="s">
        <v>399</v>
      </c>
      <c r="G348" s="2" t="s">
        <v>400</v>
      </c>
      <c r="H348" s="2" t="s">
        <v>93</v>
      </c>
      <c r="I348" s="2">
        <f>I346*J348</f>
        <v>0</v>
      </c>
      <c r="J348" s="2">
        <v>12</v>
      </c>
      <c r="K348" s="2">
        <v>12</v>
      </c>
      <c r="L348" s="2"/>
      <c r="M348" s="2"/>
      <c r="N348" s="2"/>
      <c r="O348" s="2">
        <f t="shared" si="300"/>
        <v>0</v>
      </c>
      <c r="P348" s="2">
        <f t="shared" si="301"/>
        <v>0</v>
      </c>
      <c r="Q348" s="2">
        <f>(ROUND((ROUND(((ET348)*AV348*I348),2)*BB348),2)+ROUND((ROUND(((AE348-(EU348))*AV348*I348),2)*BS348),2))</f>
        <v>0</v>
      </c>
      <c r="R348" s="2">
        <f t="shared" si="303"/>
        <v>0</v>
      </c>
      <c r="S348" s="2">
        <f t="shared" si="304"/>
        <v>0</v>
      </c>
      <c r="T348" s="2">
        <f t="shared" si="305"/>
        <v>0</v>
      </c>
      <c r="U348" s="2">
        <f t="shared" si="306"/>
        <v>0</v>
      </c>
      <c r="V348" s="2">
        <f t="shared" si="307"/>
        <v>0</v>
      </c>
      <c r="W348" s="2">
        <f t="shared" si="308"/>
        <v>0</v>
      </c>
      <c r="X348" s="2">
        <f t="shared" si="309"/>
        <v>0</v>
      </c>
      <c r="Y348" s="2">
        <f t="shared" si="310"/>
        <v>0</v>
      </c>
      <c r="Z348" s="2"/>
      <c r="AA348" s="2">
        <v>56622586</v>
      </c>
      <c r="AB348" s="2">
        <f t="shared" si="311"/>
        <v>160.62</v>
      </c>
      <c r="AC348" s="2">
        <f t="shared" si="312"/>
        <v>160.62</v>
      </c>
      <c r="AD348" s="2">
        <f>ROUND((((ET348)-(EU348))+AE348),6)</f>
        <v>0</v>
      </c>
      <c r="AE348" s="2">
        <f>ROUND((EU348),6)</f>
        <v>0</v>
      </c>
      <c r="AF348" s="2">
        <f>ROUND((EV348),6)</f>
        <v>0</v>
      </c>
      <c r="AG348" s="2">
        <f t="shared" si="315"/>
        <v>0</v>
      </c>
      <c r="AH348" s="2">
        <f>(EW348)</f>
        <v>0</v>
      </c>
      <c r="AI348" s="2">
        <f>(EX348)</f>
        <v>0</v>
      </c>
      <c r="AJ348" s="2">
        <f t="shared" si="317"/>
        <v>0</v>
      </c>
      <c r="AK348" s="2">
        <v>160.62</v>
      </c>
      <c r="AL348" s="2">
        <v>160.62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134</v>
      </c>
      <c r="AU348" s="2">
        <v>83</v>
      </c>
      <c r="AV348" s="2">
        <v>1.0469999999999999</v>
      </c>
      <c r="AW348" s="2">
        <v>1.002</v>
      </c>
      <c r="AX348" s="2"/>
      <c r="AY348" s="2"/>
      <c r="AZ348" s="2">
        <v>1</v>
      </c>
      <c r="BA348" s="2">
        <v>1</v>
      </c>
      <c r="BB348" s="2">
        <v>1</v>
      </c>
      <c r="BC348" s="2">
        <v>1</v>
      </c>
      <c r="BD348" s="2" t="s">
        <v>3</v>
      </c>
      <c r="BE348" s="2" t="s">
        <v>3</v>
      </c>
      <c r="BF348" s="2" t="s">
        <v>3</v>
      </c>
      <c r="BG348" s="2" t="s">
        <v>3</v>
      </c>
      <c r="BH348" s="2">
        <v>3</v>
      </c>
      <c r="BI348" s="2">
        <v>1</v>
      </c>
      <c r="BJ348" s="2" t="s">
        <v>401</v>
      </c>
      <c r="BK348" s="2"/>
      <c r="BL348" s="2"/>
      <c r="BM348" s="2">
        <v>160</v>
      </c>
      <c r="BN348" s="2">
        <v>0</v>
      </c>
      <c r="BO348" s="2" t="s">
        <v>3</v>
      </c>
      <c r="BP348" s="2">
        <v>0</v>
      </c>
      <c r="BQ348" s="2">
        <v>30</v>
      </c>
      <c r="BR348" s="2">
        <v>0</v>
      </c>
      <c r="BS348" s="2">
        <v>1</v>
      </c>
      <c r="BT348" s="2">
        <v>1</v>
      </c>
      <c r="BU348" s="2">
        <v>1</v>
      </c>
      <c r="BV348" s="2">
        <v>1</v>
      </c>
      <c r="BW348" s="2">
        <v>1</v>
      </c>
      <c r="BX348" s="2">
        <v>1</v>
      </c>
      <c r="BY348" s="2" t="s">
        <v>3</v>
      </c>
      <c r="BZ348" s="2">
        <v>134</v>
      </c>
      <c r="CA348" s="2">
        <v>83</v>
      </c>
      <c r="CB348" s="2" t="s">
        <v>3</v>
      </c>
      <c r="CC348" s="2"/>
      <c r="CD348" s="2"/>
      <c r="CE348" s="2">
        <v>30</v>
      </c>
      <c r="CF348" s="2">
        <v>0</v>
      </c>
      <c r="CG348" s="2">
        <v>0</v>
      </c>
      <c r="CH348" s="2"/>
      <c r="CI348" s="2"/>
      <c r="CJ348" s="2"/>
      <c r="CK348" s="2"/>
      <c r="CL348" s="2"/>
      <c r="CM348" s="2">
        <v>0</v>
      </c>
      <c r="CN348" s="2" t="s">
        <v>3</v>
      </c>
      <c r="CO348" s="2">
        <v>0</v>
      </c>
      <c r="CP348" s="2">
        <f t="shared" si="318"/>
        <v>0</v>
      </c>
      <c r="CQ348" s="2">
        <f t="shared" si="319"/>
        <v>160.94</v>
      </c>
      <c r="CR348" s="2">
        <f>(ROUND((ROUND(((ET348)*AV348*1),2)*BB348),2)+ROUND((ROUND(((AE348-(EU348))*AV348*1),2)*BS348),2))</f>
        <v>0</v>
      </c>
      <c r="CS348" s="2">
        <f t="shared" si="321"/>
        <v>0</v>
      </c>
      <c r="CT348" s="2">
        <f t="shared" si="322"/>
        <v>0</v>
      </c>
      <c r="CU348" s="2">
        <f t="shared" si="323"/>
        <v>0</v>
      </c>
      <c r="CV348" s="2">
        <f t="shared" si="324"/>
        <v>0</v>
      </c>
      <c r="CW348" s="2">
        <f t="shared" si="325"/>
        <v>0</v>
      </c>
      <c r="CX348" s="2">
        <f t="shared" si="326"/>
        <v>0</v>
      </c>
      <c r="CY348" s="2">
        <f>((S348*BZ348)/100)</f>
        <v>0</v>
      </c>
      <c r="CZ348" s="2">
        <f>((S348*CA348)/100)</f>
        <v>0</v>
      </c>
      <c r="DA348" s="2"/>
      <c r="DB348" s="2"/>
      <c r="DC348" s="2" t="s">
        <v>3</v>
      </c>
      <c r="DD348" s="2" t="s">
        <v>3</v>
      </c>
      <c r="DE348" s="2" t="s">
        <v>3</v>
      </c>
      <c r="DF348" s="2" t="s">
        <v>3</v>
      </c>
      <c r="DG348" s="2" t="s">
        <v>3</v>
      </c>
      <c r="DH348" s="2" t="s">
        <v>3</v>
      </c>
      <c r="DI348" s="2" t="s">
        <v>3</v>
      </c>
      <c r="DJ348" s="2" t="s">
        <v>3</v>
      </c>
      <c r="DK348" s="2" t="s">
        <v>3</v>
      </c>
      <c r="DL348" s="2" t="s">
        <v>3</v>
      </c>
      <c r="DM348" s="2" t="s">
        <v>3</v>
      </c>
      <c r="DN348" s="2">
        <v>0</v>
      </c>
      <c r="DO348" s="2">
        <v>0</v>
      </c>
      <c r="DP348" s="2">
        <v>1</v>
      </c>
      <c r="DQ348" s="2">
        <v>1</v>
      </c>
      <c r="DR348" s="2"/>
      <c r="DS348" s="2"/>
      <c r="DT348" s="2"/>
      <c r="DU348" s="2">
        <v>1007</v>
      </c>
      <c r="DV348" s="2" t="s">
        <v>93</v>
      </c>
      <c r="DW348" s="2" t="s">
        <v>93</v>
      </c>
      <c r="DX348" s="2">
        <v>1</v>
      </c>
      <c r="DY348" s="2"/>
      <c r="DZ348" s="2" t="s">
        <v>3</v>
      </c>
      <c r="EA348" s="2" t="s">
        <v>3</v>
      </c>
      <c r="EB348" s="2" t="s">
        <v>3</v>
      </c>
      <c r="EC348" s="2" t="s">
        <v>3</v>
      </c>
      <c r="ED348" s="2"/>
      <c r="EE348" s="2">
        <v>51696199</v>
      </c>
      <c r="EF348" s="2">
        <v>30</v>
      </c>
      <c r="EG348" s="2" t="s">
        <v>16</v>
      </c>
      <c r="EH348" s="2">
        <v>0</v>
      </c>
      <c r="EI348" s="2" t="s">
        <v>3</v>
      </c>
      <c r="EJ348" s="2">
        <v>1</v>
      </c>
      <c r="EK348" s="2">
        <v>160</v>
      </c>
      <c r="EL348" s="2" t="s">
        <v>396</v>
      </c>
      <c r="EM348" s="2" t="s">
        <v>397</v>
      </c>
      <c r="EN348" s="2"/>
      <c r="EO348" s="2" t="s">
        <v>3</v>
      </c>
      <c r="EP348" s="2"/>
      <c r="EQ348" s="2">
        <v>0</v>
      </c>
      <c r="ER348" s="2">
        <v>160.62</v>
      </c>
      <c r="ES348" s="2">
        <v>160.62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>
        <v>0</v>
      </c>
      <c r="FR348" s="2">
        <v>0</v>
      </c>
      <c r="FS348" s="2">
        <v>0</v>
      </c>
      <c r="FT348" s="2"/>
      <c r="FU348" s="2"/>
      <c r="FV348" s="2"/>
      <c r="FW348" s="2"/>
      <c r="FX348" s="2">
        <v>134</v>
      </c>
      <c r="FY348" s="2">
        <v>83</v>
      </c>
      <c r="FZ348" s="2"/>
      <c r="GA348" s="2" t="s">
        <v>3</v>
      </c>
      <c r="GB348" s="2"/>
      <c r="GC348" s="2"/>
      <c r="GD348" s="2">
        <v>0</v>
      </c>
      <c r="GE348" s="2"/>
      <c r="GF348" s="2">
        <v>1868310757</v>
      </c>
      <c r="GG348" s="2">
        <v>2</v>
      </c>
      <c r="GH348" s="2">
        <v>1</v>
      </c>
      <c r="GI348" s="2">
        <v>-2</v>
      </c>
      <c r="GJ348" s="2">
        <v>0</v>
      </c>
      <c r="GK348" s="2">
        <f>ROUND(R348*(R12)/100,2)</f>
        <v>0</v>
      </c>
      <c r="GL348" s="2">
        <f t="shared" si="327"/>
        <v>0</v>
      </c>
      <c r="GM348" s="2">
        <f t="shared" si="328"/>
        <v>0</v>
      </c>
      <c r="GN348" s="2">
        <f t="shared" si="329"/>
        <v>0</v>
      </c>
      <c r="GO348" s="2">
        <f t="shared" si="330"/>
        <v>0</v>
      </c>
      <c r="GP348" s="2">
        <f t="shared" si="331"/>
        <v>0</v>
      </c>
      <c r="GQ348" s="2"/>
      <c r="GR348" s="2">
        <v>0</v>
      </c>
      <c r="GS348" s="2">
        <v>0</v>
      </c>
      <c r="GT348" s="2">
        <v>0</v>
      </c>
      <c r="GU348" s="2" t="s">
        <v>3</v>
      </c>
      <c r="GV348" s="2">
        <f t="shared" si="332"/>
        <v>0</v>
      </c>
      <c r="GW348" s="2">
        <v>1</v>
      </c>
      <c r="GX348" s="2">
        <f t="shared" si="333"/>
        <v>0</v>
      </c>
      <c r="GY348" s="2"/>
      <c r="GZ348" s="2"/>
      <c r="HA348" s="2">
        <v>0</v>
      </c>
      <c r="HB348" s="2">
        <v>0</v>
      </c>
      <c r="HC348" s="2">
        <f t="shared" si="334"/>
        <v>0</v>
      </c>
      <c r="HD348" s="2"/>
      <c r="HE348" s="2" t="s">
        <v>3</v>
      </c>
      <c r="HF348" s="2" t="s">
        <v>3</v>
      </c>
      <c r="HG348" s="2"/>
      <c r="HH348" s="2"/>
      <c r="HI348" s="2"/>
      <c r="HJ348" s="2"/>
      <c r="HK348" s="2"/>
      <c r="HL348" s="2"/>
      <c r="HM348" s="2" t="s">
        <v>3</v>
      </c>
      <c r="HN348" s="2" t="s">
        <v>3</v>
      </c>
      <c r="HO348" s="2" t="s">
        <v>3</v>
      </c>
      <c r="HP348" s="2" t="s">
        <v>3</v>
      </c>
      <c r="HQ348" s="2" t="s">
        <v>3</v>
      </c>
      <c r="HR348" s="2"/>
      <c r="HS348" s="2">
        <v>0</v>
      </c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>
        <v>0</v>
      </c>
      <c r="IL348" s="2"/>
      <c r="IM348" s="2"/>
      <c r="IN348" s="2"/>
      <c r="IO348" s="2"/>
      <c r="IP348" s="2"/>
      <c r="IQ348" s="2"/>
      <c r="IR348" s="2"/>
      <c r="IS348" s="2"/>
      <c r="IT348" s="2"/>
      <c r="IU348" s="2"/>
    </row>
    <row r="349" spans="1:255" x14ac:dyDescent="0.2">
      <c r="A349">
        <v>18</v>
      </c>
      <c r="B349">
        <v>1</v>
      </c>
      <c r="C349">
        <v>208</v>
      </c>
      <c r="E349" t="s">
        <v>398</v>
      </c>
      <c r="F349" t="s">
        <v>399</v>
      </c>
      <c r="G349" t="s">
        <v>400</v>
      </c>
      <c r="H349" t="s">
        <v>93</v>
      </c>
      <c r="I349">
        <f>I347*J349</f>
        <v>0</v>
      </c>
      <c r="J349">
        <v>12</v>
      </c>
      <c r="K349">
        <v>12</v>
      </c>
      <c r="O349">
        <f t="shared" si="300"/>
        <v>0</v>
      </c>
      <c r="P349">
        <f t="shared" si="301"/>
        <v>0</v>
      </c>
      <c r="Q349">
        <f>(ROUND((ROUND(((ET349)*AV349*I349),2)*BB349),2)+ROUND((ROUND(((AE349-(EU349))*AV349*I349),2)*BS349),2))</f>
        <v>0</v>
      </c>
      <c r="R349">
        <f t="shared" si="303"/>
        <v>0</v>
      </c>
      <c r="S349">
        <f t="shared" si="304"/>
        <v>0</v>
      </c>
      <c r="T349">
        <f t="shared" si="305"/>
        <v>0</v>
      </c>
      <c r="U349">
        <f t="shared" si="306"/>
        <v>0</v>
      </c>
      <c r="V349">
        <f t="shared" si="307"/>
        <v>0</v>
      </c>
      <c r="W349">
        <f t="shared" si="308"/>
        <v>0</v>
      </c>
      <c r="X349">
        <f t="shared" si="309"/>
        <v>0</v>
      </c>
      <c r="Y349">
        <f t="shared" si="310"/>
        <v>0</v>
      </c>
      <c r="AA349">
        <v>56616093</v>
      </c>
      <c r="AB349">
        <f t="shared" si="311"/>
        <v>160.62</v>
      </c>
      <c r="AC349">
        <f t="shared" si="312"/>
        <v>160.62</v>
      </c>
      <c r="AD349">
        <f>ROUND((((ET349)-(EU349))+AE349),6)</f>
        <v>0</v>
      </c>
      <c r="AE349">
        <f>ROUND((EU349),6)</f>
        <v>0</v>
      </c>
      <c r="AF349">
        <f>ROUND((EV349),6)</f>
        <v>0</v>
      </c>
      <c r="AG349">
        <f t="shared" si="315"/>
        <v>0</v>
      </c>
      <c r="AH349">
        <f>(EW349)</f>
        <v>0</v>
      </c>
      <c r="AI349">
        <f>(EX349)</f>
        <v>0</v>
      </c>
      <c r="AJ349">
        <f t="shared" si="317"/>
        <v>0</v>
      </c>
      <c r="AK349">
        <v>160.62</v>
      </c>
      <c r="AL349">
        <v>160.62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</v>
      </c>
      <c r="AW349">
        <v>1.002</v>
      </c>
      <c r="AZ349">
        <v>1</v>
      </c>
      <c r="BA349">
        <v>1</v>
      </c>
      <c r="BB349">
        <v>1</v>
      </c>
      <c r="BC349">
        <v>18.100000000000001</v>
      </c>
      <c r="BD349" t="s">
        <v>3</v>
      </c>
      <c r="BE349" t="s">
        <v>3</v>
      </c>
      <c r="BF349" t="s">
        <v>3</v>
      </c>
      <c r="BG349" t="s">
        <v>3</v>
      </c>
      <c r="BH349">
        <v>3</v>
      </c>
      <c r="BI349">
        <v>1</v>
      </c>
      <c r="BJ349" t="s">
        <v>401</v>
      </c>
      <c r="BM349">
        <v>160</v>
      </c>
      <c r="BN349">
        <v>0</v>
      </c>
      <c r="BO349" t="s">
        <v>399</v>
      </c>
      <c r="BP349">
        <v>1</v>
      </c>
      <c r="BQ349">
        <v>30</v>
      </c>
      <c r="BR349">
        <v>0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 t="s">
        <v>3</v>
      </c>
      <c r="BZ349">
        <v>0</v>
      </c>
      <c r="CA349">
        <v>0</v>
      </c>
      <c r="CB349" t="s">
        <v>3</v>
      </c>
      <c r="CE349">
        <v>30</v>
      </c>
      <c r="CF349">
        <v>0</v>
      </c>
      <c r="CG349">
        <v>0</v>
      </c>
      <c r="CM349">
        <v>0</v>
      </c>
      <c r="CN349" t="s">
        <v>3</v>
      </c>
      <c r="CO349">
        <v>0</v>
      </c>
      <c r="CP349">
        <f t="shared" si="318"/>
        <v>0</v>
      </c>
      <c r="CQ349">
        <f t="shared" si="319"/>
        <v>2913.01</v>
      </c>
      <c r="CR349">
        <f>(ROUND((ROUND(((ET349)*AV349*1),2)*BB349),2)+ROUND((ROUND(((AE349-(EU349))*AV349*1),2)*BS349),2))</f>
        <v>0</v>
      </c>
      <c r="CS349">
        <f t="shared" si="321"/>
        <v>0</v>
      </c>
      <c r="CT349">
        <f t="shared" si="322"/>
        <v>0</v>
      </c>
      <c r="CU349">
        <f t="shared" si="323"/>
        <v>0</v>
      </c>
      <c r="CV349">
        <f t="shared" si="324"/>
        <v>0</v>
      </c>
      <c r="CW349">
        <f t="shared" si="325"/>
        <v>0</v>
      </c>
      <c r="CX349">
        <f t="shared" si="326"/>
        <v>0</v>
      </c>
      <c r="CY349">
        <f>S349*(BZ349/100)</f>
        <v>0</v>
      </c>
      <c r="CZ349">
        <f>S349*(CA349/100)</f>
        <v>0</v>
      </c>
      <c r="DC349" t="s">
        <v>3</v>
      </c>
      <c r="DD349" t="s">
        <v>3</v>
      </c>
      <c r="DE349" t="s">
        <v>3</v>
      </c>
      <c r="DF349" t="s">
        <v>3</v>
      </c>
      <c r="DG349" t="s">
        <v>3</v>
      </c>
      <c r="DH349" t="s">
        <v>3</v>
      </c>
      <c r="DI349" t="s">
        <v>3</v>
      </c>
      <c r="DJ349" t="s">
        <v>3</v>
      </c>
      <c r="DK349" t="s">
        <v>3</v>
      </c>
      <c r="DL349" t="s">
        <v>3</v>
      </c>
      <c r="DM349" t="s">
        <v>3</v>
      </c>
      <c r="DN349">
        <v>134</v>
      </c>
      <c r="DO349">
        <v>83</v>
      </c>
      <c r="DP349">
        <v>1.0469999999999999</v>
      </c>
      <c r="DQ349">
        <v>1.002</v>
      </c>
      <c r="DU349">
        <v>1007</v>
      </c>
      <c r="DV349" t="s">
        <v>93</v>
      </c>
      <c r="DW349" t="s">
        <v>93</v>
      </c>
      <c r="DX349">
        <v>1</v>
      </c>
      <c r="DZ349" t="s">
        <v>3</v>
      </c>
      <c r="EA349" t="s">
        <v>3</v>
      </c>
      <c r="EB349" t="s">
        <v>3</v>
      </c>
      <c r="EC349" t="s">
        <v>3</v>
      </c>
      <c r="EE349">
        <v>51696199</v>
      </c>
      <c r="EF349">
        <v>30</v>
      </c>
      <c r="EG349" t="s">
        <v>16</v>
      </c>
      <c r="EH349">
        <v>0</v>
      </c>
      <c r="EI349" t="s">
        <v>3</v>
      </c>
      <c r="EJ349">
        <v>1</v>
      </c>
      <c r="EK349">
        <v>160</v>
      </c>
      <c r="EL349" t="s">
        <v>396</v>
      </c>
      <c r="EM349" t="s">
        <v>397</v>
      </c>
      <c r="EO349" t="s">
        <v>3</v>
      </c>
      <c r="EQ349">
        <v>0</v>
      </c>
      <c r="ER349">
        <v>160.62</v>
      </c>
      <c r="ES349">
        <v>160.62</v>
      </c>
      <c r="ET349">
        <v>0</v>
      </c>
      <c r="EU349">
        <v>0</v>
      </c>
      <c r="EV349">
        <v>0</v>
      </c>
      <c r="EW349">
        <v>0</v>
      </c>
      <c r="EX349">
        <v>0</v>
      </c>
      <c r="FQ349">
        <v>0</v>
      </c>
      <c r="FR349">
        <v>0</v>
      </c>
      <c r="FS349">
        <v>0</v>
      </c>
      <c r="FX349">
        <v>134</v>
      </c>
      <c r="FY349">
        <v>83</v>
      </c>
      <c r="GA349" t="s">
        <v>3</v>
      </c>
      <c r="GD349">
        <v>0</v>
      </c>
      <c r="GF349">
        <v>1868310757</v>
      </c>
      <c r="GG349">
        <v>2</v>
      </c>
      <c r="GH349">
        <v>1</v>
      </c>
      <c r="GI349">
        <v>2</v>
      </c>
      <c r="GJ349">
        <v>0</v>
      </c>
      <c r="GK349">
        <f>ROUND(R349*(S12)/100,2)</f>
        <v>0</v>
      </c>
      <c r="GL349">
        <f t="shared" si="327"/>
        <v>0</v>
      </c>
      <c r="GM349">
        <f t="shared" si="328"/>
        <v>0</v>
      </c>
      <c r="GN349">
        <f t="shared" si="329"/>
        <v>0</v>
      </c>
      <c r="GO349">
        <f t="shared" si="330"/>
        <v>0</v>
      </c>
      <c r="GP349">
        <f t="shared" si="331"/>
        <v>0</v>
      </c>
      <c r="GR349">
        <v>0</v>
      </c>
      <c r="GS349">
        <v>3</v>
      </c>
      <c r="GT349">
        <v>0</v>
      </c>
      <c r="GU349" t="s">
        <v>3</v>
      </c>
      <c r="GV349">
        <f t="shared" si="332"/>
        <v>0</v>
      </c>
      <c r="GW349">
        <v>1</v>
      </c>
      <c r="GX349">
        <f t="shared" si="333"/>
        <v>0</v>
      </c>
      <c r="HA349">
        <v>0</v>
      </c>
      <c r="HB349">
        <v>0</v>
      </c>
      <c r="HC349">
        <f t="shared" si="334"/>
        <v>0</v>
      </c>
      <c r="HE349" t="s">
        <v>3</v>
      </c>
      <c r="HF349" t="s">
        <v>3</v>
      </c>
      <c r="HM349" t="s">
        <v>3</v>
      </c>
      <c r="HN349" t="s">
        <v>3</v>
      </c>
      <c r="HO349" t="s">
        <v>3</v>
      </c>
      <c r="HP349" t="s">
        <v>3</v>
      </c>
      <c r="HQ349" t="s">
        <v>3</v>
      </c>
      <c r="HS349">
        <v>0</v>
      </c>
      <c r="IK349">
        <v>0</v>
      </c>
    </row>
    <row r="350" spans="1:255" x14ac:dyDescent="0.2">
      <c r="A350" s="2">
        <v>17</v>
      </c>
      <c r="B350" s="2">
        <v>1</v>
      </c>
      <c r="C350" s="2">
        <f>ROW(SmtRes!A209)</f>
        <v>209</v>
      </c>
      <c r="D350" s="2">
        <f>ROW(EtalonRes!A1162)</f>
        <v>1162</v>
      </c>
      <c r="E350" s="2" t="s">
        <v>402</v>
      </c>
      <c r="F350" s="2" t="s">
        <v>403</v>
      </c>
      <c r="G350" s="2" t="s">
        <v>404</v>
      </c>
      <c r="H350" s="2" t="s">
        <v>98</v>
      </c>
      <c r="I350" s="2">
        <v>0</v>
      </c>
      <c r="J350" s="2">
        <v>0</v>
      </c>
      <c r="K350" s="2">
        <v>0</v>
      </c>
      <c r="L350" s="2"/>
      <c r="M350" s="2"/>
      <c r="N350" s="2"/>
      <c r="O350" s="2">
        <f t="shared" si="300"/>
        <v>0</v>
      </c>
      <c r="P350" s="2">
        <f t="shared" si="301"/>
        <v>0</v>
      </c>
      <c r="Q350" s="2">
        <f>(ROUND((ROUND((((ET350*1.1))*AV350*I350),2)*BB350),2)+ROUND((ROUND(((AE350-((EU350*1.1)))*AV350*I350),2)*BS350),2))</f>
        <v>0</v>
      </c>
      <c r="R350" s="2">
        <f t="shared" si="303"/>
        <v>0</v>
      </c>
      <c r="S350" s="2">
        <f t="shared" si="304"/>
        <v>0</v>
      </c>
      <c r="T350" s="2">
        <f t="shared" si="305"/>
        <v>0</v>
      </c>
      <c r="U350" s="2">
        <f t="shared" si="306"/>
        <v>0</v>
      </c>
      <c r="V350" s="2">
        <f t="shared" si="307"/>
        <v>0</v>
      </c>
      <c r="W350" s="2">
        <f t="shared" si="308"/>
        <v>0</v>
      </c>
      <c r="X350" s="2">
        <f t="shared" si="309"/>
        <v>0</v>
      </c>
      <c r="Y350" s="2">
        <f t="shared" si="310"/>
        <v>0</v>
      </c>
      <c r="Z350" s="2"/>
      <c r="AA350" s="2">
        <v>56622586</v>
      </c>
      <c r="AB350" s="2">
        <f t="shared" si="311"/>
        <v>456.62</v>
      </c>
      <c r="AC350" s="2">
        <f t="shared" si="312"/>
        <v>210.11</v>
      </c>
      <c r="AD350" s="2">
        <f>ROUND(((((ET350*1.1))-((EU350*1.1)))+AE350),6)</f>
        <v>127.941</v>
      </c>
      <c r="AE350" s="2">
        <f>ROUND(((EU350*1.1)),6)</f>
        <v>11.352</v>
      </c>
      <c r="AF350" s="2">
        <f>ROUND(((EV350*1.1)),6)</f>
        <v>118.569</v>
      </c>
      <c r="AG350" s="2">
        <f t="shared" si="315"/>
        <v>0</v>
      </c>
      <c r="AH350" s="2">
        <f>((EW350*1.1))</f>
        <v>9.8560000000000016</v>
      </c>
      <c r="AI350" s="2">
        <f>((EX350*1.1))</f>
        <v>0</v>
      </c>
      <c r="AJ350" s="2">
        <f t="shared" si="317"/>
        <v>0</v>
      </c>
      <c r="AK350" s="2">
        <v>434.21</v>
      </c>
      <c r="AL350" s="2">
        <v>210.11</v>
      </c>
      <c r="AM350" s="2">
        <v>116.31</v>
      </c>
      <c r="AN350" s="2">
        <v>10.32</v>
      </c>
      <c r="AO350" s="2">
        <v>107.79</v>
      </c>
      <c r="AP350" s="2">
        <v>0</v>
      </c>
      <c r="AQ350" s="2">
        <v>8.9600000000000009</v>
      </c>
      <c r="AR350" s="2">
        <v>0</v>
      </c>
      <c r="AS350" s="2">
        <v>0</v>
      </c>
      <c r="AT350" s="2">
        <v>134</v>
      </c>
      <c r="AU350" s="2">
        <v>83</v>
      </c>
      <c r="AV350" s="2">
        <v>1.0469999999999999</v>
      </c>
      <c r="AW350" s="2">
        <v>1</v>
      </c>
      <c r="AX350" s="2"/>
      <c r="AY350" s="2"/>
      <c r="AZ350" s="2">
        <v>1</v>
      </c>
      <c r="BA350" s="2">
        <v>1</v>
      </c>
      <c r="BB350" s="2">
        <v>1</v>
      </c>
      <c r="BC350" s="2">
        <v>1</v>
      </c>
      <c r="BD350" s="2" t="s">
        <v>3</v>
      </c>
      <c r="BE350" s="2" t="s">
        <v>3</v>
      </c>
      <c r="BF350" s="2" t="s">
        <v>3</v>
      </c>
      <c r="BG350" s="2" t="s">
        <v>3</v>
      </c>
      <c r="BH350" s="2">
        <v>0</v>
      </c>
      <c r="BI350" s="2">
        <v>1</v>
      </c>
      <c r="BJ350" s="2" t="s">
        <v>405</v>
      </c>
      <c r="BK350" s="2"/>
      <c r="BL350" s="2"/>
      <c r="BM350" s="2">
        <v>159</v>
      </c>
      <c r="BN350" s="2">
        <v>0</v>
      </c>
      <c r="BO350" s="2" t="s">
        <v>3</v>
      </c>
      <c r="BP350" s="2">
        <v>0</v>
      </c>
      <c r="BQ350" s="2">
        <v>30</v>
      </c>
      <c r="BR350" s="2">
        <v>0</v>
      </c>
      <c r="BS350" s="2">
        <v>1</v>
      </c>
      <c r="BT350" s="2">
        <v>1</v>
      </c>
      <c r="BU350" s="2">
        <v>1</v>
      </c>
      <c r="BV350" s="2">
        <v>1</v>
      </c>
      <c r="BW350" s="2">
        <v>1</v>
      </c>
      <c r="BX350" s="2">
        <v>1</v>
      </c>
      <c r="BY350" s="2" t="s">
        <v>3</v>
      </c>
      <c r="BZ350" s="2">
        <v>134</v>
      </c>
      <c r="CA350" s="2">
        <v>83</v>
      </c>
      <c r="CB350" s="2" t="s">
        <v>3</v>
      </c>
      <c r="CC350" s="2"/>
      <c r="CD350" s="2"/>
      <c r="CE350" s="2">
        <v>30</v>
      </c>
      <c r="CF350" s="2">
        <v>0</v>
      </c>
      <c r="CG350" s="2">
        <v>0</v>
      </c>
      <c r="CH350" s="2"/>
      <c r="CI350" s="2"/>
      <c r="CJ350" s="2"/>
      <c r="CK350" s="2"/>
      <c r="CL350" s="2"/>
      <c r="CM350" s="2">
        <v>0</v>
      </c>
      <c r="CN350" s="2" t="s">
        <v>671</v>
      </c>
      <c r="CO350" s="2">
        <v>0</v>
      </c>
      <c r="CP350" s="2">
        <f t="shared" si="318"/>
        <v>0</v>
      </c>
      <c r="CQ350" s="2">
        <f t="shared" si="319"/>
        <v>210.11</v>
      </c>
      <c r="CR350" s="2">
        <f>(ROUND((ROUND((((ET350*1.1))*AV350*1),2)*BB350),2)+ROUND((ROUND(((AE350-((EU350*1.1)))*AV350*1),2)*BS350),2))</f>
        <v>133.94999999999999</v>
      </c>
      <c r="CS350" s="2">
        <f t="shared" si="321"/>
        <v>11.89</v>
      </c>
      <c r="CT350" s="2">
        <f t="shared" si="322"/>
        <v>124.14</v>
      </c>
      <c r="CU350" s="2">
        <f t="shared" si="323"/>
        <v>0</v>
      </c>
      <c r="CV350" s="2">
        <f t="shared" si="324"/>
        <v>10.319232000000001</v>
      </c>
      <c r="CW350" s="2">
        <f t="shared" si="325"/>
        <v>0</v>
      </c>
      <c r="CX350" s="2">
        <f t="shared" si="326"/>
        <v>0</v>
      </c>
      <c r="CY350" s="2">
        <f>((S350*BZ350)/100)</f>
        <v>0</v>
      </c>
      <c r="CZ350" s="2">
        <f>((S350*CA350)/100)</f>
        <v>0</v>
      </c>
      <c r="DA350" s="2"/>
      <c r="DB350" s="2"/>
      <c r="DC350" s="2" t="s">
        <v>3</v>
      </c>
      <c r="DD350" s="2" t="s">
        <v>3</v>
      </c>
      <c r="DE350" s="2" t="s">
        <v>22</v>
      </c>
      <c r="DF350" s="2" t="s">
        <v>22</v>
      </c>
      <c r="DG350" s="2" t="s">
        <v>22</v>
      </c>
      <c r="DH350" s="2" t="s">
        <v>3</v>
      </c>
      <c r="DI350" s="2" t="s">
        <v>22</v>
      </c>
      <c r="DJ350" s="2" t="s">
        <v>22</v>
      </c>
      <c r="DK350" s="2" t="s">
        <v>3</v>
      </c>
      <c r="DL350" s="2" t="s">
        <v>3</v>
      </c>
      <c r="DM350" s="2" t="s">
        <v>3</v>
      </c>
      <c r="DN350" s="2">
        <v>0</v>
      </c>
      <c r="DO350" s="2">
        <v>0</v>
      </c>
      <c r="DP350" s="2">
        <v>1</v>
      </c>
      <c r="DQ350" s="2">
        <v>1</v>
      </c>
      <c r="DR350" s="2"/>
      <c r="DS350" s="2"/>
      <c r="DT350" s="2"/>
      <c r="DU350" s="2">
        <v>1013</v>
      </c>
      <c r="DV350" s="2" t="s">
        <v>98</v>
      </c>
      <c r="DW350" s="2" t="s">
        <v>98</v>
      </c>
      <c r="DX350" s="2">
        <v>1</v>
      </c>
      <c r="DY350" s="2"/>
      <c r="DZ350" s="2" t="s">
        <v>3</v>
      </c>
      <c r="EA350" s="2" t="s">
        <v>3</v>
      </c>
      <c r="EB350" s="2" t="s">
        <v>3</v>
      </c>
      <c r="EC350" s="2" t="s">
        <v>3</v>
      </c>
      <c r="ED350" s="2"/>
      <c r="EE350" s="2">
        <v>51696198</v>
      </c>
      <c r="EF350" s="2">
        <v>30</v>
      </c>
      <c r="EG350" s="2" t="s">
        <v>16</v>
      </c>
      <c r="EH350" s="2">
        <v>0</v>
      </c>
      <c r="EI350" s="2" t="s">
        <v>3</v>
      </c>
      <c r="EJ350" s="2">
        <v>1</v>
      </c>
      <c r="EK350" s="2">
        <v>159</v>
      </c>
      <c r="EL350" s="2" t="s">
        <v>406</v>
      </c>
      <c r="EM350" s="2" t="s">
        <v>407</v>
      </c>
      <c r="EN350" s="2"/>
      <c r="EO350" s="2" t="s">
        <v>25</v>
      </c>
      <c r="EP350" s="2"/>
      <c r="EQ350" s="2">
        <v>131072</v>
      </c>
      <c r="ER350" s="2">
        <v>434.21</v>
      </c>
      <c r="ES350" s="2">
        <v>210.11</v>
      </c>
      <c r="ET350" s="2">
        <v>116.31</v>
      </c>
      <c r="EU350" s="2">
        <v>10.32</v>
      </c>
      <c r="EV350" s="2">
        <v>107.79</v>
      </c>
      <c r="EW350" s="2">
        <v>8.9600000000000009</v>
      </c>
      <c r="EX350" s="2">
        <v>0</v>
      </c>
      <c r="EY350" s="2">
        <v>0</v>
      </c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>
        <v>0</v>
      </c>
      <c r="FR350" s="2">
        <v>0</v>
      </c>
      <c r="FS350" s="2">
        <v>0</v>
      </c>
      <c r="FT350" s="2"/>
      <c r="FU350" s="2"/>
      <c r="FV350" s="2"/>
      <c r="FW350" s="2"/>
      <c r="FX350" s="2">
        <v>134</v>
      </c>
      <c r="FY350" s="2">
        <v>83</v>
      </c>
      <c r="FZ350" s="2"/>
      <c r="GA350" s="2" t="s">
        <v>3</v>
      </c>
      <c r="GB350" s="2"/>
      <c r="GC350" s="2"/>
      <c r="GD350" s="2">
        <v>0</v>
      </c>
      <c r="GE350" s="2"/>
      <c r="GF350" s="2">
        <v>-28234376</v>
      </c>
      <c r="GG350" s="2">
        <v>2</v>
      </c>
      <c r="GH350" s="2">
        <v>1</v>
      </c>
      <c r="GI350" s="2">
        <v>-2</v>
      </c>
      <c r="GJ350" s="2">
        <v>0</v>
      </c>
      <c r="GK350" s="2">
        <f>ROUND(R350*(R12)/100,2)</f>
        <v>0</v>
      </c>
      <c r="GL350" s="2">
        <f t="shared" si="327"/>
        <v>0</v>
      </c>
      <c r="GM350" s="2">
        <f t="shared" si="328"/>
        <v>0</v>
      </c>
      <c r="GN350" s="2">
        <f t="shared" si="329"/>
        <v>0</v>
      </c>
      <c r="GO350" s="2">
        <f t="shared" si="330"/>
        <v>0</v>
      </c>
      <c r="GP350" s="2">
        <f t="shared" si="331"/>
        <v>0</v>
      </c>
      <c r="GQ350" s="2"/>
      <c r="GR350" s="2">
        <v>0</v>
      </c>
      <c r="GS350" s="2">
        <v>0</v>
      </c>
      <c r="GT350" s="2">
        <v>0</v>
      </c>
      <c r="GU350" s="2" t="s">
        <v>3</v>
      </c>
      <c r="GV350" s="2">
        <f t="shared" si="332"/>
        <v>0</v>
      </c>
      <c r="GW350" s="2">
        <v>1</v>
      </c>
      <c r="GX350" s="2">
        <f t="shared" si="333"/>
        <v>0</v>
      </c>
      <c r="GY350" s="2"/>
      <c r="GZ350" s="2"/>
      <c r="HA350" s="2">
        <v>0</v>
      </c>
      <c r="HB350" s="2">
        <v>0</v>
      </c>
      <c r="HC350" s="2">
        <f t="shared" si="334"/>
        <v>0</v>
      </c>
      <c r="HD350" s="2"/>
      <c r="HE350" s="2" t="s">
        <v>3</v>
      </c>
      <c r="HF350" s="2" t="s">
        <v>3</v>
      </c>
      <c r="HG350" s="2"/>
      <c r="HH350" s="2"/>
      <c r="HI350" s="2"/>
      <c r="HJ350" s="2"/>
      <c r="HK350" s="2"/>
      <c r="HL350" s="2"/>
      <c r="HM350" s="2" t="s">
        <v>3</v>
      </c>
      <c r="HN350" s="2" t="s">
        <v>3</v>
      </c>
      <c r="HO350" s="2" t="s">
        <v>3</v>
      </c>
      <c r="HP350" s="2" t="s">
        <v>3</v>
      </c>
      <c r="HQ350" s="2" t="s">
        <v>3</v>
      </c>
      <c r="HR350" s="2"/>
      <c r="HS350" s="2">
        <v>0</v>
      </c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>
        <v>0</v>
      </c>
      <c r="IL350" s="2"/>
      <c r="IM350" s="2"/>
      <c r="IN350" s="2"/>
      <c r="IO350" s="2"/>
      <c r="IP350" s="2"/>
      <c r="IQ350" s="2"/>
      <c r="IR350" s="2"/>
      <c r="IS350" s="2"/>
      <c r="IT350" s="2"/>
      <c r="IU350" s="2"/>
    </row>
    <row r="351" spans="1:255" x14ac:dyDescent="0.2">
      <c r="A351">
        <v>17</v>
      </c>
      <c r="B351">
        <v>1</v>
      </c>
      <c r="C351">
        <f>ROW(SmtRes!A210)</f>
        <v>210</v>
      </c>
      <c r="D351">
        <f>ROW(EtalonRes!A1166)</f>
        <v>1166</v>
      </c>
      <c r="E351" t="s">
        <v>402</v>
      </c>
      <c r="F351" t="s">
        <v>403</v>
      </c>
      <c r="G351" t="s">
        <v>404</v>
      </c>
      <c r="H351" t="s">
        <v>98</v>
      </c>
      <c r="I351">
        <v>0</v>
      </c>
      <c r="J351">
        <v>0</v>
      </c>
      <c r="K351">
        <v>0</v>
      </c>
      <c r="O351">
        <f t="shared" si="300"/>
        <v>0</v>
      </c>
      <c r="P351">
        <f t="shared" si="301"/>
        <v>0</v>
      </c>
      <c r="Q351">
        <f>(ROUND((ROUND((((ET351*1.1))*AV351*I351),2)*BB351),2)+ROUND((ROUND(((AE351-((EU351*1.1)))*AV351*I351),2)*BS351),2))</f>
        <v>0</v>
      </c>
      <c r="R351">
        <f t="shared" si="303"/>
        <v>0</v>
      </c>
      <c r="S351">
        <f t="shared" si="304"/>
        <v>0</v>
      </c>
      <c r="T351">
        <f t="shared" si="305"/>
        <v>0</v>
      </c>
      <c r="U351">
        <f t="shared" si="306"/>
        <v>0</v>
      </c>
      <c r="V351">
        <f t="shared" si="307"/>
        <v>0</v>
      </c>
      <c r="W351">
        <f t="shared" si="308"/>
        <v>0</v>
      </c>
      <c r="X351">
        <f t="shared" si="309"/>
        <v>0</v>
      </c>
      <c r="Y351">
        <f t="shared" si="310"/>
        <v>0</v>
      </c>
      <c r="AA351">
        <v>56616093</v>
      </c>
      <c r="AB351">
        <f t="shared" si="311"/>
        <v>456.62</v>
      </c>
      <c r="AC351">
        <f t="shared" si="312"/>
        <v>210.11</v>
      </c>
      <c r="AD351">
        <f>ROUND(((((ET351*1.1))-((EU351*1.1)))+AE351),6)</f>
        <v>127.941</v>
      </c>
      <c r="AE351">
        <f>ROUND(((EU351*1.1)),6)</f>
        <v>11.352</v>
      </c>
      <c r="AF351">
        <f>ROUND(((EV351*1.1)),6)</f>
        <v>118.569</v>
      </c>
      <c r="AG351">
        <f t="shared" si="315"/>
        <v>0</v>
      </c>
      <c r="AH351">
        <f>((EW351*1.1))</f>
        <v>9.8560000000000016</v>
      </c>
      <c r="AI351">
        <f>((EX351*1.1))</f>
        <v>0</v>
      </c>
      <c r="AJ351">
        <f t="shared" si="317"/>
        <v>0</v>
      </c>
      <c r="AK351">
        <v>434.21</v>
      </c>
      <c r="AL351">
        <v>210.11</v>
      </c>
      <c r="AM351">
        <v>116.31</v>
      </c>
      <c r="AN351">
        <v>10.32</v>
      </c>
      <c r="AO351">
        <v>107.79</v>
      </c>
      <c r="AP351">
        <v>0</v>
      </c>
      <c r="AQ351">
        <v>8.9600000000000009</v>
      </c>
      <c r="AR351">
        <v>0</v>
      </c>
      <c r="AS351">
        <v>0</v>
      </c>
      <c r="AT351">
        <v>109</v>
      </c>
      <c r="AU351">
        <v>41</v>
      </c>
      <c r="AV351">
        <v>1.0469999999999999</v>
      </c>
      <c r="AW351">
        <v>1</v>
      </c>
      <c r="AZ351">
        <v>1</v>
      </c>
      <c r="BA351">
        <v>34.51</v>
      </c>
      <c r="BB351">
        <v>11.89</v>
      </c>
      <c r="BC351">
        <v>14.55</v>
      </c>
      <c r="BD351" t="s">
        <v>3</v>
      </c>
      <c r="BE351" t="s">
        <v>3</v>
      </c>
      <c r="BF351" t="s">
        <v>3</v>
      </c>
      <c r="BG351" t="s">
        <v>3</v>
      </c>
      <c r="BH351">
        <v>0</v>
      </c>
      <c r="BI351">
        <v>1</v>
      </c>
      <c r="BJ351" t="s">
        <v>405</v>
      </c>
      <c r="BM351">
        <v>159</v>
      </c>
      <c r="BN351">
        <v>0</v>
      </c>
      <c r="BO351" t="s">
        <v>403</v>
      </c>
      <c r="BP351">
        <v>1</v>
      </c>
      <c r="BQ351">
        <v>30</v>
      </c>
      <c r="BR351">
        <v>0</v>
      </c>
      <c r="BS351">
        <v>34.51</v>
      </c>
      <c r="BT351">
        <v>1</v>
      </c>
      <c r="BU351">
        <v>1</v>
      </c>
      <c r="BV351">
        <v>1</v>
      </c>
      <c r="BW351">
        <v>1</v>
      </c>
      <c r="BX351">
        <v>1</v>
      </c>
      <c r="BY351" t="s">
        <v>3</v>
      </c>
      <c r="BZ351">
        <v>109</v>
      </c>
      <c r="CA351">
        <v>41</v>
      </c>
      <c r="CB351" t="s">
        <v>3</v>
      </c>
      <c r="CE351">
        <v>30</v>
      </c>
      <c r="CF351">
        <v>0</v>
      </c>
      <c r="CG351">
        <v>0</v>
      </c>
      <c r="CM351">
        <v>0</v>
      </c>
      <c r="CN351" t="s">
        <v>671</v>
      </c>
      <c r="CO351">
        <v>0</v>
      </c>
      <c r="CP351">
        <f t="shared" si="318"/>
        <v>0</v>
      </c>
      <c r="CQ351">
        <f t="shared" si="319"/>
        <v>3057.1</v>
      </c>
      <c r="CR351">
        <f>(ROUND((ROUND((((ET351*1.1))*AV351*1),2)*BB351),2)+ROUND((ROUND(((AE351-((EU351*1.1)))*AV351*1),2)*BS351),2))</f>
        <v>1592.67</v>
      </c>
      <c r="CS351">
        <f t="shared" si="321"/>
        <v>410.32</v>
      </c>
      <c r="CT351">
        <f t="shared" si="322"/>
        <v>4284.07</v>
      </c>
      <c r="CU351">
        <f t="shared" si="323"/>
        <v>0</v>
      </c>
      <c r="CV351">
        <f t="shared" si="324"/>
        <v>10.319232000000001</v>
      </c>
      <c r="CW351">
        <f t="shared" si="325"/>
        <v>0</v>
      </c>
      <c r="CX351">
        <f t="shared" si="326"/>
        <v>0</v>
      </c>
      <c r="CY351">
        <f>S351*(BZ351/100)</f>
        <v>0</v>
      </c>
      <c r="CZ351">
        <f>S351*(CA351/100)</f>
        <v>0</v>
      </c>
      <c r="DC351" t="s">
        <v>3</v>
      </c>
      <c r="DD351" t="s">
        <v>3</v>
      </c>
      <c r="DE351" t="s">
        <v>22</v>
      </c>
      <c r="DF351" t="s">
        <v>22</v>
      </c>
      <c r="DG351" t="s">
        <v>22</v>
      </c>
      <c r="DH351" t="s">
        <v>3</v>
      </c>
      <c r="DI351" t="s">
        <v>22</v>
      </c>
      <c r="DJ351" t="s">
        <v>22</v>
      </c>
      <c r="DK351" t="s">
        <v>3</v>
      </c>
      <c r="DL351" t="s">
        <v>3</v>
      </c>
      <c r="DM351" t="s">
        <v>3</v>
      </c>
      <c r="DN351">
        <v>134</v>
      </c>
      <c r="DO351">
        <v>83</v>
      </c>
      <c r="DP351">
        <v>1.0469999999999999</v>
      </c>
      <c r="DQ351">
        <v>1</v>
      </c>
      <c r="DU351">
        <v>1013</v>
      </c>
      <c r="DV351" t="s">
        <v>98</v>
      </c>
      <c r="DW351" t="s">
        <v>98</v>
      </c>
      <c r="DX351">
        <v>1</v>
      </c>
      <c r="DZ351" t="s">
        <v>3</v>
      </c>
      <c r="EA351" t="s">
        <v>3</v>
      </c>
      <c r="EB351" t="s">
        <v>3</v>
      </c>
      <c r="EC351" t="s">
        <v>3</v>
      </c>
      <c r="EE351">
        <v>51696198</v>
      </c>
      <c r="EF351">
        <v>30</v>
      </c>
      <c r="EG351" t="s">
        <v>16</v>
      </c>
      <c r="EH351">
        <v>0</v>
      </c>
      <c r="EI351" t="s">
        <v>3</v>
      </c>
      <c r="EJ351">
        <v>1</v>
      </c>
      <c r="EK351">
        <v>159</v>
      </c>
      <c r="EL351" t="s">
        <v>406</v>
      </c>
      <c r="EM351" t="s">
        <v>407</v>
      </c>
      <c r="EO351" t="s">
        <v>25</v>
      </c>
      <c r="EQ351">
        <v>131072</v>
      </c>
      <c r="ER351">
        <v>434.21</v>
      </c>
      <c r="ES351">
        <v>210.11</v>
      </c>
      <c r="ET351">
        <v>116.31</v>
      </c>
      <c r="EU351">
        <v>10.32</v>
      </c>
      <c r="EV351">
        <v>107.79</v>
      </c>
      <c r="EW351">
        <v>8.9600000000000009</v>
      </c>
      <c r="EX351">
        <v>0</v>
      </c>
      <c r="EY351">
        <v>0</v>
      </c>
      <c r="FQ351">
        <v>0</v>
      </c>
      <c r="FR351">
        <v>0</v>
      </c>
      <c r="FS351">
        <v>0</v>
      </c>
      <c r="FX351">
        <v>134</v>
      </c>
      <c r="FY351">
        <v>83</v>
      </c>
      <c r="GA351" t="s">
        <v>3</v>
      </c>
      <c r="GD351">
        <v>0</v>
      </c>
      <c r="GF351">
        <v>-28234376</v>
      </c>
      <c r="GG351">
        <v>2</v>
      </c>
      <c r="GH351">
        <v>1</v>
      </c>
      <c r="GI351">
        <v>2</v>
      </c>
      <c r="GJ351">
        <v>0</v>
      </c>
      <c r="GK351">
        <f>ROUND(R351*(S12)/100,2)</f>
        <v>0</v>
      </c>
      <c r="GL351">
        <f t="shared" si="327"/>
        <v>0</v>
      </c>
      <c r="GM351">
        <f t="shared" si="328"/>
        <v>0</v>
      </c>
      <c r="GN351">
        <f t="shared" si="329"/>
        <v>0</v>
      </c>
      <c r="GO351">
        <f t="shared" si="330"/>
        <v>0</v>
      </c>
      <c r="GP351">
        <f t="shared" si="331"/>
        <v>0</v>
      </c>
      <c r="GR351">
        <v>0</v>
      </c>
      <c r="GS351">
        <v>3</v>
      </c>
      <c r="GT351">
        <v>0</v>
      </c>
      <c r="GU351" t="s">
        <v>3</v>
      </c>
      <c r="GV351">
        <f t="shared" si="332"/>
        <v>0</v>
      </c>
      <c r="GW351">
        <v>1</v>
      </c>
      <c r="GX351">
        <f t="shared" si="333"/>
        <v>0</v>
      </c>
      <c r="HA351">
        <v>0</v>
      </c>
      <c r="HB351">
        <v>0</v>
      </c>
      <c r="HC351">
        <f t="shared" si="334"/>
        <v>0</v>
      </c>
      <c r="HE351" t="s">
        <v>3</v>
      </c>
      <c r="HF351" t="s">
        <v>3</v>
      </c>
      <c r="HM351" t="s">
        <v>3</v>
      </c>
      <c r="HN351" t="s">
        <v>3</v>
      </c>
      <c r="HO351" t="s">
        <v>3</v>
      </c>
      <c r="HP351" t="s">
        <v>3</v>
      </c>
      <c r="HQ351" t="s">
        <v>3</v>
      </c>
      <c r="HS351">
        <v>0</v>
      </c>
      <c r="IK351">
        <v>0</v>
      </c>
    </row>
    <row r="352" spans="1:255" x14ac:dyDescent="0.2">
      <c r="A352" s="2">
        <v>18</v>
      </c>
      <c r="B352" s="2">
        <v>1</v>
      </c>
      <c r="C352" s="2">
        <v>209</v>
      </c>
      <c r="D352" s="2"/>
      <c r="E352" s="2" t="s">
        <v>408</v>
      </c>
      <c r="F352" s="2" t="s">
        <v>365</v>
      </c>
      <c r="G352" s="2" t="s">
        <v>366</v>
      </c>
      <c r="H352" s="2" t="s">
        <v>367</v>
      </c>
      <c r="I352" s="2">
        <f>I350*J352</f>
        <v>0</v>
      </c>
      <c r="J352" s="2">
        <v>10.7</v>
      </c>
      <c r="K352" s="2">
        <v>10.7</v>
      </c>
      <c r="L352" s="2"/>
      <c r="M352" s="2"/>
      <c r="N352" s="2"/>
      <c r="O352" s="2">
        <f t="shared" si="300"/>
        <v>0</v>
      </c>
      <c r="P352" s="2">
        <f t="shared" si="301"/>
        <v>0</v>
      </c>
      <c r="Q352" s="2">
        <f>(ROUND((ROUND(((ET352)*AV352*I352),2)*BB352),2)+ROUND((ROUND(((AE352-(EU352))*AV352*I352),2)*BS352),2))</f>
        <v>0</v>
      </c>
      <c r="R352" s="2">
        <f t="shared" si="303"/>
        <v>0</v>
      </c>
      <c r="S352" s="2">
        <f t="shared" si="304"/>
        <v>0</v>
      </c>
      <c r="T352" s="2">
        <f t="shared" si="305"/>
        <v>0</v>
      </c>
      <c r="U352" s="2">
        <f t="shared" si="306"/>
        <v>0</v>
      </c>
      <c r="V352" s="2">
        <f t="shared" si="307"/>
        <v>0</v>
      </c>
      <c r="W352" s="2">
        <f t="shared" si="308"/>
        <v>0</v>
      </c>
      <c r="X352" s="2">
        <f t="shared" si="309"/>
        <v>0</v>
      </c>
      <c r="Y352" s="2">
        <f t="shared" si="310"/>
        <v>0</v>
      </c>
      <c r="Z352" s="2"/>
      <c r="AA352" s="2">
        <v>56622586</v>
      </c>
      <c r="AB352" s="2">
        <f t="shared" si="311"/>
        <v>296.7</v>
      </c>
      <c r="AC352" s="2">
        <f t="shared" si="312"/>
        <v>296.7</v>
      </c>
      <c r="AD352" s="2">
        <f>ROUND((((ET352)-(EU352))+AE352),6)</f>
        <v>0</v>
      </c>
      <c r="AE352" s="2">
        <f>ROUND((EU352),6)</f>
        <v>0</v>
      </c>
      <c r="AF352" s="2">
        <f>ROUND((EV352),6)</f>
        <v>0</v>
      </c>
      <c r="AG352" s="2">
        <f t="shared" si="315"/>
        <v>0</v>
      </c>
      <c r="AH352" s="2">
        <f>(EW352)</f>
        <v>0</v>
      </c>
      <c r="AI352" s="2">
        <f>(EX352)</f>
        <v>0</v>
      </c>
      <c r="AJ352" s="2">
        <f t="shared" si="317"/>
        <v>0</v>
      </c>
      <c r="AK352" s="2">
        <v>296.7</v>
      </c>
      <c r="AL352" s="2">
        <v>296.7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134</v>
      </c>
      <c r="AU352" s="2">
        <v>83</v>
      </c>
      <c r="AV352" s="2">
        <v>1.0469999999999999</v>
      </c>
      <c r="AW352" s="2">
        <v>1</v>
      </c>
      <c r="AX352" s="2"/>
      <c r="AY352" s="2"/>
      <c r="AZ352" s="2">
        <v>1</v>
      </c>
      <c r="BA352" s="2">
        <v>1</v>
      </c>
      <c r="BB352" s="2">
        <v>1</v>
      </c>
      <c r="BC352" s="2">
        <v>1</v>
      </c>
      <c r="BD352" s="2" t="s">
        <v>3</v>
      </c>
      <c r="BE352" s="2" t="s">
        <v>3</v>
      </c>
      <c r="BF352" s="2" t="s">
        <v>3</v>
      </c>
      <c r="BG352" s="2" t="s">
        <v>3</v>
      </c>
      <c r="BH352" s="2">
        <v>3</v>
      </c>
      <c r="BI352" s="2">
        <v>1</v>
      </c>
      <c r="BJ352" s="2" t="s">
        <v>368</v>
      </c>
      <c r="BK352" s="2"/>
      <c r="BL352" s="2"/>
      <c r="BM352" s="2">
        <v>159</v>
      </c>
      <c r="BN352" s="2">
        <v>0</v>
      </c>
      <c r="BO352" s="2" t="s">
        <v>3</v>
      </c>
      <c r="BP352" s="2">
        <v>0</v>
      </c>
      <c r="BQ352" s="2">
        <v>30</v>
      </c>
      <c r="BR352" s="2">
        <v>0</v>
      </c>
      <c r="BS352" s="2">
        <v>1</v>
      </c>
      <c r="BT352" s="2">
        <v>1</v>
      </c>
      <c r="BU352" s="2">
        <v>1</v>
      </c>
      <c r="BV352" s="2">
        <v>1</v>
      </c>
      <c r="BW352" s="2">
        <v>1</v>
      </c>
      <c r="BX352" s="2">
        <v>1</v>
      </c>
      <c r="BY352" s="2" t="s">
        <v>3</v>
      </c>
      <c r="BZ352" s="2">
        <v>134</v>
      </c>
      <c r="CA352" s="2">
        <v>83</v>
      </c>
      <c r="CB352" s="2" t="s">
        <v>3</v>
      </c>
      <c r="CC352" s="2"/>
      <c r="CD352" s="2"/>
      <c r="CE352" s="2">
        <v>30</v>
      </c>
      <c r="CF352" s="2">
        <v>0</v>
      </c>
      <c r="CG352" s="2">
        <v>0</v>
      </c>
      <c r="CH352" s="2"/>
      <c r="CI352" s="2"/>
      <c r="CJ352" s="2"/>
      <c r="CK352" s="2"/>
      <c r="CL352" s="2"/>
      <c r="CM352" s="2">
        <v>0</v>
      </c>
      <c r="CN352" s="2" t="s">
        <v>3</v>
      </c>
      <c r="CO352" s="2">
        <v>0</v>
      </c>
      <c r="CP352" s="2">
        <f t="shared" si="318"/>
        <v>0</v>
      </c>
      <c r="CQ352" s="2">
        <f t="shared" si="319"/>
        <v>296.7</v>
      </c>
      <c r="CR352" s="2">
        <f>(ROUND((ROUND(((ET352)*AV352*1),2)*BB352),2)+ROUND((ROUND(((AE352-(EU352))*AV352*1),2)*BS352),2))</f>
        <v>0</v>
      </c>
      <c r="CS352" s="2">
        <f t="shared" si="321"/>
        <v>0</v>
      </c>
      <c r="CT352" s="2">
        <f t="shared" si="322"/>
        <v>0</v>
      </c>
      <c r="CU352" s="2">
        <f t="shared" si="323"/>
        <v>0</v>
      </c>
      <c r="CV352" s="2">
        <f t="shared" si="324"/>
        <v>0</v>
      </c>
      <c r="CW352" s="2">
        <f t="shared" si="325"/>
        <v>0</v>
      </c>
      <c r="CX352" s="2">
        <f t="shared" si="326"/>
        <v>0</v>
      </c>
      <c r="CY352" s="2">
        <f>((S352*BZ352)/100)</f>
        <v>0</v>
      </c>
      <c r="CZ352" s="2">
        <f>((S352*CA352)/100)</f>
        <v>0</v>
      </c>
      <c r="DA352" s="2"/>
      <c r="DB352" s="2"/>
      <c r="DC352" s="2" t="s">
        <v>3</v>
      </c>
      <c r="DD352" s="2" t="s">
        <v>3</v>
      </c>
      <c r="DE352" s="2" t="s">
        <v>3</v>
      </c>
      <c r="DF352" s="2" t="s">
        <v>3</v>
      </c>
      <c r="DG352" s="2" t="s">
        <v>3</v>
      </c>
      <c r="DH352" s="2" t="s">
        <v>3</v>
      </c>
      <c r="DI352" s="2" t="s">
        <v>3</v>
      </c>
      <c r="DJ352" s="2" t="s">
        <v>3</v>
      </c>
      <c r="DK352" s="2" t="s">
        <v>3</v>
      </c>
      <c r="DL352" s="2" t="s">
        <v>3</v>
      </c>
      <c r="DM352" s="2" t="s">
        <v>3</v>
      </c>
      <c r="DN352" s="2">
        <v>0</v>
      </c>
      <c r="DO352" s="2">
        <v>0</v>
      </c>
      <c r="DP352" s="2">
        <v>1</v>
      </c>
      <c r="DQ352" s="2">
        <v>1</v>
      </c>
      <c r="DR352" s="2"/>
      <c r="DS352" s="2"/>
      <c r="DT352" s="2"/>
      <c r="DU352" s="2">
        <v>1009</v>
      </c>
      <c r="DV352" s="2" t="s">
        <v>367</v>
      </c>
      <c r="DW352" s="2" t="s">
        <v>367</v>
      </c>
      <c r="DX352" s="2">
        <v>1000</v>
      </c>
      <c r="DY352" s="2"/>
      <c r="DZ352" s="2" t="s">
        <v>3</v>
      </c>
      <c r="EA352" s="2" t="s">
        <v>3</v>
      </c>
      <c r="EB352" s="2" t="s">
        <v>3</v>
      </c>
      <c r="EC352" s="2" t="s">
        <v>3</v>
      </c>
      <c r="ED352" s="2"/>
      <c r="EE352" s="2">
        <v>51696198</v>
      </c>
      <c r="EF352" s="2">
        <v>30</v>
      </c>
      <c r="EG352" s="2" t="s">
        <v>16</v>
      </c>
      <c r="EH352" s="2">
        <v>0</v>
      </c>
      <c r="EI352" s="2" t="s">
        <v>3</v>
      </c>
      <c r="EJ352" s="2">
        <v>1</v>
      </c>
      <c r="EK352" s="2">
        <v>159</v>
      </c>
      <c r="EL352" s="2" t="s">
        <v>406</v>
      </c>
      <c r="EM352" s="2" t="s">
        <v>407</v>
      </c>
      <c r="EN352" s="2"/>
      <c r="EO352" s="2" t="s">
        <v>3</v>
      </c>
      <c r="EP352" s="2"/>
      <c r="EQ352" s="2">
        <v>0</v>
      </c>
      <c r="ER352" s="2">
        <v>296.7</v>
      </c>
      <c r="ES352" s="2">
        <v>296.7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>
        <v>0</v>
      </c>
      <c r="FR352" s="2">
        <v>0</v>
      </c>
      <c r="FS352" s="2">
        <v>0</v>
      </c>
      <c r="FT352" s="2"/>
      <c r="FU352" s="2"/>
      <c r="FV352" s="2"/>
      <c r="FW352" s="2"/>
      <c r="FX352" s="2">
        <v>134</v>
      </c>
      <c r="FY352" s="2">
        <v>83</v>
      </c>
      <c r="FZ352" s="2"/>
      <c r="GA352" s="2" t="s">
        <v>3</v>
      </c>
      <c r="GB352" s="2"/>
      <c r="GC352" s="2"/>
      <c r="GD352" s="2">
        <v>0</v>
      </c>
      <c r="GE352" s="2"/>
      <c r="GF352" s="2">
        <v>1855215121</v>
      </c>
      <c r="GG352" s="2">
        <v>2</v>
      </c>
      <c r="GH352" s="2">
        <v>1</v>
      </c>
      <c r="GI352" s="2">
        <v>-2</v>
      </c>
      <c r="GJ352" s="2">
        <v>0</v>
      </c>
      <c r="GK352" s="2">
        <f>ROUND(R352*(R12)/100,2)</f>
        <v>0</v>
      </c>
      <c r="GL352" s="2">
        <f t="shared" si="327"/>
        <v>0</v>
      </c>
      <c r="GM352" s="2">
        <f t="shared" si="328"/>
        <v>0</v>
      </c>
      <c r="GN352" s="2">
        <f t="shared" si="329"/>
        <v>0</v>
      </c>
      <c r="GO352" s="2">
        <f t="shared" si="330"/>
        <v>0</v>
      </c>
      <c r="GP352" s="2">
        <f t="shared" si="331"/>
        <v>0</v>
      </c>
      <c r="GQ352" s="2"/>
      <c r="GR352" s="2">
        <v>0</v>
      </c>
      <c r="GS352" s="2">
        <v>0</v>
      </c>
      <c r="GT352" s="2">
        <v>0</v>
      </c>
      <c r="GU352" s="2" t="s">
        <v>3</v>
      </c>
      <c r="GV352" s="2">
        <f t="shared" si="332"/>
        <v>0</v>
      </c>
      <c r="GW352" s="2">
        <v>1</v>
      </c>
      <c r="GX352" s="2">
        <f t="shared" si="333"/>
        <v>0</v>
      </c>
      <c r="GY352" s="2"/>
      <c r="GZ352" s="2"/>
      <c r="HA352" s="2">
        <v>0</v>
      </c>
      <c r="HB352" s="2">
        <v>0</v>
      </c>
      <c r="HC352" s="2">
        <f t="shared" si="334"/>
        <v>0</v>
      </c>
      <c r="HD352" s="2"/>
      <c r="HE352" s="2" t="s">
        <v>3</v>
      </c>
      <c r="HF352" s="2" t="s">
        <v>3</v>
      </c>
      <c r="HG352" s="2"/>
      <c r="HH352" s="2"/>
      <c r="HI352" s="2"/>
      <c r="HJ352" s="2"/>
      <c r="HK352" s="2"/>
      <c r="HL352" s="2"/>
      <c r="HM352" s="2" t="s">
        <v>3</v>
      </c>
      <c r="HN352" s="2" t="s">
        <v>3</v>
      </c>
      <c r="HO352" s="2" t="s">
        <v>3</v>
      </c>
      <c r="HP352" s="2" t="s">
        <v>3</v>
      </c>
      <c r="HQ352" s="2" t="s">
        <v>3</v>
      </c>
      <c r="HR352" s="2"/>
      <c r="HS352" s="2">
        <v>0</v>
      </c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>
        <v>0</v>
      </c>
      <c r="IL352" s="2"/>
      <c r="IM352" s="2"/>
      <c r="IN352" s="2"/>
      <c r="IO352" s="2"/>
      <c r="IP352" s="2"/>
      <c r="IQ352" s="2"/>
      <c r="IR352" s="2"/>
      <c r="IS352" s="2"/>
      <c r="IT352" s="2"/>
      <c r="IU352" s="2"/>
    </row>
    <row r="353" spans="1:255" x14ac:dyDescent="0.2">
      <c r="A353">
        <v>18</v>
      </c>
      <c r="B353">
        <v>1</v>
      </c>
      <c r="C353">
        <v>210</v>
      </c>
      <c r="E353" t="s">
        <v>408</v>
      </c>
      <c r="F353" t="s">
        <v>365</v>
      </c>
      <c r="G353" t="s">
        <v>366</v>
      </c>
      <c r="H353" t="s">
        <v>367</v>
      </c>
      <c r="I353">
        <f>I351*J353</f>
        <v>0</v>
      </c>
      <c r="J353">
        <v>10.7</v>
      </c>
      <c r="K353">
        <v>10.7</v>
      </c>
      <c r="O353">
        <f t="shared" si="300"/>
        <v>0</v>
      </c>
      <c r="P353">
        <f t="shared" si="301"/>
        <v>0</v>
      </c>
      <c r="Q353">
        <f>(ROUND((ROUND(((ET353)*AV353*I353),2)*BB353),2)+ROUND((ROUND(((AE353-(EU353))*AV353*I353),2)*BS353),2))</f>
        <v>0</v>
      </c>
      <c r="R353">
        <f t="shared" si="303"/>
        <v>0</v>
      </c>
      <c r="S353">
        <f t="shared" si="304"/>
        <v>0</v>
      </c>
      <c r="T353">
        <f t="shared" si="305"/>
        <v>0</v>
      </c>
      <c r="U353">
        <f t="shared" si="306"/>
        <v>0</v>
      </c>
      <c r="V353">
        <f t="shared" si="307"/>
        <v>0</v>
      </c>
      <c r="W353">
        <f t="shared" si="308"/>
        <v>0</v>
      </c>
      <c r="X353">
        <f t="shared" si="309"/>
        <v>0</v>
      </c>
      <c r="Y353">
        <f t="shared" si="310"/>
        <v>0</v>
      </c>
      <c r="AA353">
        <v>56616093</v>
      </c>
      <c r="AB353">
        <f t="shared" si="311"/>
        <v>296.7</v>
      </c>
      <c r="AC353">
        <f t="shared" si="312"/>
        <v>296.7</v>
      </c>
      <c r="AD353">
        <f>ROUND((((ET353)-(EU353))+AE353),6)</f>
        <v>0</v>
      </c>
      <c r="AE353">
        <f>ROUND((EU353),6)</f>
        <v>0</v>
      </c>
      <c r="AF353">
        <f>ROUND((EV353),6)</f>
        <v>0</v>
      </c>
      <c r="AG353">
        <f t="shared" si="315"/>
        <v>0</v>
      </c>
      <c r="AH353">
        <f>(EW353)</f>
        <v>0</v>
      </c>
      <c r="AI353">
        <f>(EX353)</f>
        <v>0</v>
      </c>
      <c r="AJ353">
        <f t="shared" si="317"/>
        <v>0</v>
      </c>
      <c r="AK353">
        <v>296.7</v>
      </c>
      <c r="AL353">
        <v>296.7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1</v>
      </c>
      <c r="AW353">
        <v>1</v>
      </c>
      <c r="AZ353">
        <v>1</v>
      </c>
      <c r="BA353">
        <v>1</v>
      </c>
      <c r="BB353">
        <v>1</v>
      </c>
      <c r="BC353">
        <v>15.39</v>
      </c>
      <c r="BD353" t="s">
        <v>3</v>
      </c>
      <c r="BE353" t="s">
        <v>3</v>
      </c>
      <c r="BF353" t="s">
        <v>3</v>
      </c>
      <c r="BG353" t="s">
        <v>3</v>
      </c>
      <c r="BH353">
        <v>3</v>
      </c>
      <c r="BI353">
        <v>1</v>
      </c>
      <c r="BJ353" t="s">
        <v>368</v>
      </c>
      <c r="BM353">
        <v>159</v>
      </c>
      <c r="BN353">
        <v>0</v>
      </c>
      <c r="BO353" t="s">
        <v>365</v>
      </c>
      <c r="BP353">
        <v>1</v>
      </c>
      <c r="BQ353">
        <v>30</v>
      </c>
      <c r="BR353">
        <v>0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 t="s">
        <v>3</v>
      </c>
      <c r="BZ353">
        <v>0</v>
      </c>
      <c r="CA353">
        <v>0</v>
      </c>
      <c r="CB353" t="s">
        <v>3</v>
      </c>
      <c r="CE353">
        <v>30</v>
      </c>
      <c r="CF353">
        <v>0</v>
      </c>
      <c r="CG353">
        <v>0</v>
      </c>
      <c r="CM353">
        <v>0</v>
      </c>
      <c r="CN353" t="s">
        <v>3</v>
      </c>
      <c r="CO353">
        <v>0</v>
      </c>
      <c r="CP353">
        <f t="shared" si="318"/>
        <v>0</v>
      </c>
      <c r="CQ353">
        <f t="shared" si="319"/>
        <v>4566.21</v>
      </c>
      <c r="CR353">
        <f>(ROUND((ROUND(((ET353)*AV353*1),2)*BB353),2)+ROUND((ROUND(((AE353-(EU353))*AV353*1),2)*BS353),2))</f>
        <v>0</v>
      </c>
      <c r="CS353">
        <f t="shared" si="321"/>
        <v>0</v>
      </c>
      <c r="CT353">
        <f t="shared" si="322"/>
        <v>0</v>
      </c>
      <c r="CU353">
        <f t="shared" si="323"/>
        <v>0</v>
      </c>
      <c r="CV353">
        <f t="shared" si="324"/>
        <v>0</v>
      </c>
      <c r="CW353">
        <f t="shared" si="325"/>
        <v>0</v>
      </c>
      <c r="CX353">
        <f t="shared" si="326"/>
        <v>0</v>
      </c>
      <c r="CY353">
        <f>S353*(BZ353/100)</f>
        <v>0</v>
      </c>
      <c r="CZ353">
        <f>S353*(CA353/100)</f>
        <v>0</v>
      </c>
      <c r="DC353" t="s">
        <v>3</v>
      </c>
      <c r="DD353" t="s">
        <v>3</v>
      </c>
      <c r="DE353" t="s">
        <v>3</v>
      </c>
      <c r="DF353" t="s">
        <v>3</v>
      </c>
      <c r="DG353" t="s">
        <v>3</v>
      </c>
      <c r="DH353" t="s">
        <v>3</v>
      </c>
      <c r="DI353" t="s">
        <v>3</v>
      </c>
      <c r="DJ353" t="s">
        <v>3</v>
      </c>
      <c r="DK353" t="s">
        <v>3</v>
      </c>
      <c r="DL353" t="s">
        <v>3</v>
      </c>
      <c r="DM353" t="s">
        <v>3</v>
      </c>
      <c r="DN353">
        <v>134</v>
      </c>
      <c r="DO353">
        <v>83</v>
      </c>
      <c r="DP353">
        <v>1.0469999999999999</v>
      </c>
      <c r="DQ353">
        <v>1</v>
      </c>
      <c r="DU353">
        <v>1009</v>
      </c>
      <c r="DV353" t="s">
        <v>367</v>
      </c>
      <c r="DW353" t="s">
        <v>367</v>
      </c>
      <c r="DX353">
        <v>1000</v>
      </c>
      <c r="DZ353" t="s">
        <v>3</v>
      </c>
      <c r="EA353" t="s">
        <v>3</v>
      </c>
      <c r="EB353" t="s">
        <v>3</v>
      </c>
      <c r="EC353" t="s">
        <v>3</v>
      </c>
      <c r="EE353">
        <v>51696198</v>
      </c>
      <c r="EF353">
        <v>30</v>
      </c>
      <c r="EG353" t="s">
        <v>16</v>
      </c>
      <c r="EH353">
        <v>0</v>
      </c>
      <c r="EI353" t="s">
        <v>3</v>
      </c>
      <c r="EJ353">
        <v>1</v>
      </c>
      <c r="EK353">
        <v>159</v>
      </c>
      <c r="EL353" t="s">
        <v>406</v>
      </c>
      <c r="EM353" t="s">
        <v>407</v>
      </c>
      <c r="EO353" t="s">
        <v>3</v>
      </c>
      <c r="EQ353">
        <v>0</v>
      </c>
      <c r="ER353">
        <v>296.7</v>
      </c>
      <c r="ES353">
        <v>296.7</v>
      </c>
      <c r="ET353">
        <v>0</v>
      </c>
      <c r="EU353">
        <v>0</v>
      </c>
      <c r="EV353">
        <v>0</v>
      </c>
      <c r="EW353">
        <v>0</v>
      </c>
      <c r="EX353">
        <v>0</v>
      </c>
      <c r="FQ353">
        <v>0</v>
      </c>
      <c r="FR353">
        <v>0</v>
      </c>
      <c r="FS353">
        <v>0</v>
      </c>
      <c r="FX353">
        <v>134</v>
      </c>
      <c r="FY353">
        <v>83</v>
      </c>
      <c r="GA353" t="s">
        <v>3</v>
      </c>
      <c r="GD353">
        <v>0</v>
      </c>
      <c r="GF353">
        <v>1855215121</v>
      </c>
      <c r="GG353">
        <v>2</v>
      </c>
      <c r="GH353">
        <v>1</v>
      </c>
      <c r="GI353">
        <v>2</v>
      </c>
      <c r="GJ353">
        <v>0</v>
      </c>
      <c r="GK353">
        <f>ROUND(R353*(S12)/100,2)</f>
        <v>0</v>
      </c>
      <c r="GL353">
        <f t="shared" si="327"/>
        <v>0</v>
      </c>
      <c r="GM353">
        <f t="shared" si="328"/>
        <v>0</v>
      </c>
      <c r="GN353">
        <f t="shared" si="329"/>
        <v>0</v>
      </c>
      <c r="GO353">
        <f t="shared" si="330"/>
        <v>0</v>
      </c>
      <c r="GP353">
        <f t="shared" si="331"/>
        <v>0</v>
      </c>
      <c r="GR353">
        <v>0</v>
      </c>
      <c r="GS353">
        <v>3</v>
      </c>
      <c r="GT353">
        <v>0</v>
      </c>
      <c r="GU353" t="s">
        <v>3</v>
      </c>
      <c r="GV353">
        <f t="shared" si="332"/>
        <v>0</v>
      </c>
      <c r="GW353">
        <v>1</v>
      </c>
      <c r="GX353">
        <f t="shared" si="333"/>
        <v>0</v>
      </c>
      <c r="HA353">
        <v>0</v>
      </c>
      <c r="HB353">
        <v>0</v>
      </c>
      <c r="HC353">
        <f t="shared" si="334"/>
        <v>0</v>
      </c>
      <c r="HE353" t="s">
        <v>3</v>
      </c>
      <c r="HF353" t="s">
        <v>3</v>
      </c>
      <c r="HM353" t="s">
        <v>3</v>
      </c>
      <c r="HN353" t="s">
        <v>3</v>
      </c>
      <c r="HO353" t="s">
        <v>3</v>
      </c>
      <c r="HP353" t="s">
        <v>3</v>
      </c>
      <c r="HQ353" t="s">
        <v>3</v>
      </c>
      <c r="HS353">
        <v>0</v>
      </c>
      <c r="IK353">
        <v>0</v>
      </c>
    </row>
    <row r="354" spans="1:255" x14ac:dyDescent="0.2">
      <c r="A354" s="2">
        <v>17</v>
      </c>
      <c r="B354" s="2">
        <v>1</v>
      </c>
      <c r="C354" s="2">
        <f>ROW(SmtRes!A211)</f>
        <v>211</v>
      </c>
      <c r="D354" s="2">
        <f>ROW(EtalonRes!A1170)</f>
        <v>1170</v>
      </c>
      <c r="E354" s="2" t="s">
        <v>409</v>
      </c>
      <c r="F354" s="2" t="s">
        <v>410</v>
      </c>
      <c r="G354" s="2" t="s">
        <v>411</v>
      </c>
      <c r="H354" s="2" t="s">
        <v>98</v>
      </c>
      <c r="I354" s="2">
        <v>0</v>
      </c>
      <c r="J354" s="2">
        <v>0</v>
      </c>
      <c r="K354" s="2">
        <v>0</v>
      </c>
      <c r="L354" s="2"/>
      <c r="M354" s="2"/>
      <c r="N354" s="2"/>
      <c r="O354" s="2">
        <f t="shared" si="300"/>
        <v>0</v>
      </c>
      <c r="P354" s="2">
        <f t="shared" si="301"/>
        <v>0</v>
      </c>
      <c r="Q354" s="2">
        <f>(ROUND((ROUND((((ET354*1.1))*AV354*I354),2)*BB354),2)+ROUND((ROUND(((AE354-((EU354*1.1)))*AV354*I354),2)*BS354),2))</f>
        <v>0</v>
      </c>
      <c r="R354" s="2">
        <f t="shared" si="303"/>
        <v>0</v>
      </c>
      <c r="S354" s="2">
        <f t="shared" si="304"/>
        <v>0</v>
      </c>
      <c r="T354" s="2">
        <f t="shared" si="305"/>
        <v>0</v>
      </c>
      <c r="U354" s="2">
        <f t="shared" si="306"/>
        <v>0</v>
      </c>
      <c r="V354" s="2">
        <f t="shared" si="307"/>
        <v>0</v>
      </c>
      <c r="W354" s="2">
        <f t="shared" si="308"/>
        <v>0</v>
      </c>
      <c r="X354" s="2">
        <f t="shared" si="309"/>
        <v>0</v>
      </c>
      <c r="Y354" s="2">
        <f t="shared" si="310"/>
        <v>0</v>
      </c>
      <c r="Z354" s="2"/>
      <c r="AA354" s="2">
        <v>56622586</v>
      </c>
      <c r="AB354" s="2">
        <f t="shared" si="311"/>
        <v>456.62</v>
      </c>
      <c r="AC354" s="2">
        <f t="shared" si="312"/>
        <v>210.11</v>
      </c>
      <c r="AD354" s="2">
        <f>ROUND(((((ET354*1.1))-((EU354*1.1)))+AE354),6)</f>
        <v>127.941</v>
      </c>
      <c r="AE354" s="2">
        <f>ROUND(((EU354*1.1)),6)</f>
        <v>11.352</v>
      </c>
      <c r="AF354" s="2">
        <f>ROUND(((EV354*1.1)),6)</f>
        <v>118.569</v>
      </c>
      <c r="AG354" s="2">
        <f t="shared" si="315"/>
        <v>0</v>
      </c>
      <c r="AH354" s="2">
        <f>((EW354*1.1))</f>
        <v>9.8560000000000016</v>
      </c>
      <c r="AI354" s="2">
        <f>((EX354*1.1))</f>
        <v>0</v>
      </c>
      <c r="AJ354" s="2">
        <f t="shared" si="317"/>
        <v>0</v>
      </c>
      <c r="AK354" s="2">
        <v>434.21</v>
      </c>
      <c r="AL354" s="2">
        <v>210.11</v>
      </c>
      <c r="AM354" s="2">
        <v>116.31</v>
      </c>
      <c r="AN354" s="2">
        <v>10.32</v>
      </c>
      <c r="AO354" s="2">
        <v>107.79</v>
      </c>
      <c r="AP354" s="2">
        <v>0</v>
      </c>
      <c r="AQ354" s="2">
        <v>8.9600000000000009</v>
      </c>
      <c r="AR354" s="2">
        <v>0</v>
      </c>
      <c r="AS354" s="2">
        <v>0</v>
      </c>
      <c r="AT354" s="2">
        <v>134</v>
      </c>
      <c r="AU354" s="2">
        <v>83</v>
      </c>
      <c r="AV354" s="2">
        <v>1.0469999999999999</v>
      </c>
      <c r="AW354" s="2">
        <v>1</v>
      </c>
      <c r="AX354" s="2"/>
      <c r="AY354" s="2"/>
      <c r="AZ354" s="2">
        <v>1</v>
      </c>
      <c r="BA354" s="2">
        <v>1</v>
      </c>
      <c r="BB354" s="2">
        <v>1</v>
      </c>
      <c r="BC354" s="2">
        <v>1</v>
      </c>
      <c r="BD354" s="2" t="s">
        <v>3</v>
      </c>
      <c r="BE354" s="2" t="s">
        <v>3</v>
      </c>
      <c r="BF354" s="2" t="s">
        <v>3</v>
      </c>
      <c r="BG354" s="2" t="s">
        <v>3</v>
      </c>
      <c r="BH354" s="2">
        <v>0</v>
      </c>
      <c r="BI354" s="2">
        <v>1</v>
      </c>
      <c r="BJ354" s="2" t="s">
        <v>412</v>
      </c>
      <c r="BK354" s="2"/>
      <c r="BL354" s="2"/>
      <c r="BM354" s="2">
        <v>159</v>
      </c>
      <c r="BN354" s="2">
        <v>0</v>
      </c>
      <c r="BO354" s="2" t="s">
        <v>3</v>
      </c>
      <c r="BP354" s="2">
        <v>0</v>
      </c>
      <c r="BQ354" s="2">
        <v>30</v>
      </c>
      <c r="BR354" s="2">
        <v>0</v>
      </c>
      <c r="BS354" s="2">
        <v>1</v>
      </c>
      <c r="BT354" s="2">
        <v>1</v>
      </c>
      <c r="BU354" s="2">
        <v>1</v>
      </c>
      <c r="BV354" s="2">
        <v>1</v>
      </c>
      <c r="BW354" s="2">
        <v>1</v>
      </c>
      <c r="BX354" s="2">
        <v>1</v>
      </c>
      <c r="BY354" s="2" t="s">
        <v>3</v>
      </c>
      <c r="BZ354" s="2">
        <v>134</v>
      </c>
      <c r="CA354" s="2">
        <v>83</v>
      </c>
      <c r="CB354" s="2" t="s">
        <v>3</v>
      </c>
      <c r="CC354" s="2"/>
      <c r="CD354" s="2"/>
      <c r="CE354" s="2">
        <v>30</v>
      </c>
      <c r="CF354" s="2">
        <v>0</v>
      </c>
      <c r="CG354" s="2">
        <v>0</v>
      </c>
      <c r="CH354" s="2"/>
      <c r="CI354" s="2"/>
      <c r="CJ354" s="2"/>
      <c r="CK354" s="2"/>
      <c r="CL354" s="2"/>
      <c r="CM354" s="2">
        <v>0</v>
      </c>
      <c r="CN354" s="2" t="s">
        <v>671</v>
      </c>
      <c r="CO354" s="2">
        <v>0</v>
      </c>
      <c r="CP354" s="2">
        <f t="shared" si="318"/>
        <v>0</v>
      </c>
      <c r="CQ354" s="2">
        <f t="shared" si="319"/>
        <v>210.11</v>
      </c>
      <c r="CR354" s="2">
        <f>(ROUND((ROUND((((ET354*1.1))*AV354*1),2)*BB354),2)+ROUND((ROUND(((AE354-((EU354*1.1)))*AV354*1),2)*BS354),2))</f>
        <v>133.94999999999999</v>
      </c>
      <c r="CS354" s="2">
        <f t="shared" si="321"/>
        <v>11.89</v>
      </c>
      <c r="CT354" s="2">
        <f t="shared" si="322"/>
        <v>124.14</v>
      </c>
      <c r="CU354" s="2">
        <f t="shared" si="323"/>
        <v>0</v>
      </c>
      <c r="CV354" s="2">
        <f t="shared" si="324"/>
        <v>10.319232000000001</v>
      </c>
      <c r="CW354" s="2">
        <f t="shared" si="325"/>
        <v>0</v>
      </c>
      <c r="CX354" s="2">
        <f t="shared" si="326"/>
        <v>0</v>
      </c>
      <c r="CY354" s="2">
        <f>((S354*BZ354)/100)</f>
        <v>0</v>
      </c>
      <c r="CZ354" s="2">
        <f>((S354*CA354)/100)</f>
        <v>0</v>
      </c>
      <c r="DA354" s="2"/>
      <c r="DB354" s="2"/>
      <c r="DC354" s="2" t="s">
        <v>3</v>
      </c>
      <c r="DD354" s="2" t="s">
        <v>3</v>
      </c>
      <c r="DE354" s="2" t="s">
        <v>22</v>
      </c>
      <c r="DF354" s="2" t="s">
        <v>22</v>
      </c>
      <c r="DG354" s="2" t="s">
        <v>22</v>
      </c>
      <c r="DH354" s="2" t="s">
        <v>3</v>
      </c>
      <c r="DI354" s="2" t="s">
        <v>22</v>
      </c>
      <c r="DJ354" s="2" t="s">
        <v>22</v>
      </c>
      <c r="DK354" s="2" t="s">
        <v>3</v>
      </c>
      <c r="DL354" s="2" t="s">
        <v>3</v>
      </c>
      <c r="DM354" s="2" t="s">
        <v>3</v>
      </c>
      <c r="DN354" s="2">
        <v>0</v>
      </c>
      <c r="DO354" s="2">
        <v>0</v>
      </c>
      <c r="DP354" s="2">
        <v>1</v>
      </c>
      <c r="DQ354" s="2">
        <v>1</v>
      </c>
      <c r="DR354" s="2"/>
      <c r="DS354" s="2"/>
      <c r="DT354" s="2"/>
      <c r="DU354" s="2">
        <v>1013</v>
      </c>
      <c r="DV354" s="2" t="s">
        <v>98</v>
      </c>
      <c r="DW354" s="2" t="s">
        <v>98</v>
      </c>
      <c r="DX354" s="2">
        <v>1</v>
      </c>
      <c r="DY354" s="2"/>
      <c r="DZ354" s="2" t="s">
        <v>3</v>
      </c>
      <c r="EA354" s="2" t="s">
        <v>3</v>
      </c>
      <c r="EB354" s="2" t="s">
        <v>3</v>
      </c>
      <c r="EC354" s="2" t="s">
        <v>3</v>
      </c>
      <c r="ED354" s="2"/>
      <c r="EE354" s="2">
        <v>51696198</v>
      </c>
      <c r="EF354" s="2">
        <v>30</v>
      </c>
      <c r="EG354" s="2" t="s">
        <v>16</v>
      </c>
      <c r="EH354" s="2">
        <v>0</v>
      </c>
      <c r="EI354" s="2" t="s">
        <v>3</v>
      </c>
      <c r="EJ354" s="2">
        <v>1</v>
      </c>
      <c r="EK354" s="2">
        <v>159</v>
      </c>
      <c r="EL354" s="2" t="s">
        <v>406</v>
      </c>
      <c r="EM354" s="2" t="s">
        <v>407</v>
      </c>
      <c r="EN354" s="2"/>
      <c r="EO354" s="2" t="s">
        <v>25</v>
      </c>
      <c r="EP354" s="2"/>
      <c r="EQ354" s="2">
        <v>131072</v>
      </c>
      <c r="ER354" s="2">
        <v>434.21</v>
      </c>
      <c r="ES354" s="2">
        <v>210.11</v>
      </c>
      <c r="ET354" s="2">
        <v>116.31</v>
      </c>
      <c r="EU354" s="2">
        <v>10.32</v>
      </c>
      <c r="EV354" s="2">
        <v>107.79</v>
      </c>
      <c r="EW354" s="2">
        <v>8.9600000000000009</v>
      </c>
      <c r="EX354" s="2">
        <v>0</v>
      </c>
      <c r="EY354" s="2">
        <v>0</v>
      </c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>
        <v>0</v>
      </c>
      <c r="FR354" s="2">
        <v>0</v>
      </c>
      <c r="FS354" s="2">
        <v>0</v>
      </c>
      <c r="FT354" s="2"/>
      <c r="FU354" s="2"/>
      <c r="FV354" s="2"/>
      <c r="FW354" s="2"/>
      <c r="FX354" s="2">
        <v>134</v>
      </c>
      <c r="FY354" s="2">
        <v>83</v>
      </c>
      <c r="FZ354" s="2"/>
      <c r="GA354" s="2" t="s">
        <v>3</v>
      </c>
      <c r="GB354" s="2"/>
      <c r="GC354" s="2"/>
      <c r="GD354" s="2">
        <v>0</v>
      </c>
      <c r="GE354" s="2"/>
      <c r="GF354" s="2">
        <v>6860709</v>
      </c>
      <c r="GG354" s="2">
        <v>2</v>
      </c>
      <c r="GH354" s="2">
        <v>1</v>
      </c>
      <c r="GI354" s="2">
        <v>-2</v>
      </c>
      <c r="GJ354" s="2">
        <v>0</v>
      </c>
      <c r="GK354" s="2">
        <f>ROUND(R354*(R12)/100,2)</f>
        <v>0</v>
      </c>
      <c r="GL354" s="2">
        <f t="shared" si="327"/>
        <v>0</v>
      </c>
      <c r="GM354" s="2">
        <f t="shared" si="328"/>
        <v>0</v>
      </c>
      <c r="GN354" s="2">
        <f t="shared" si="329"/>
        <v>0</v>
      </c>
      <c r="GO354" s="2">
        <f t="shared" si="330"/>
        <v>0</v>
      </c>
      <c r="GP354" s="2">
        <f t="shared" si="331"/>
        <v>0</v>
      </c>
      <c r="GQ354" s="2"/>
      <c r="GR354" s="2">
        <v>0</v>
      </c>
      <c r="GS354" s="2">
        <v>0</v>
      </c>
      <c r="GT354" s="2">
        <v>0</v>
      </c>
      <c r="GU354" s="2" t="s">
        <v>3</v>
      </c>
      <c r="GV354" s="2">
        <f t="shared" si="332"/>
        <v>0</v>
      </c>
      <c r="GW354" s="2">
        <v>1</v>
      </c>
      <c r="GX354" s="2">
        <f t="shared" si="333"/>
        <v>0</v>
      </c>
      <c r="GY354" s="2"/>
      <c r="GZ354" s="2"/>
      <c r="HA354" s="2">
        <v>0</v>
      </c>
      <c r="HB354" s="2">
        <v>0</v>
      </c>
      <c r="HC354" s="2">
        <f t="shared" si="334"/>
        <v>0</v>
      </c>
      <c r="HD354" s="2"/>
      <c r="HE354" s="2" t="s">
        <v>3</v>
      </c>
      <c r="HF354" s="2" t="s">
        <v>3</v>
      </c>
      <c r="HG354" s="2"/>
      <c r="HH354" s="2"/>
      <c r="HI354" s="2"/>
      <c r="HJ354" s="2"/>
      <c r="HK354" s="2"/>
      <c r="HL354" s="2"/>
      <c r="HM354" s="2" t="s">
        <v>3</v>
      </c>
      <c r="HN354" s="2" t="s">
        <v>3</v>
      </c>
      <c r="HO354" s="2" t="s">
        <v>3</v>
      </c>
      <c r="HP354" s="2" t="s">
        <v>3</v>
      </c>
      <c r="HQ354" s="2" t="s">
        <v>3</v>
      </c>
      <c r="HR354" s="2"/>
      <c r="HS354" s="2">
        <v>0</v>
      </c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>
        <v>0</v>
      </c>
      <c r="IL354" s="2"/>
      <c r="IM354" s="2"/>
      <c r="IN354" s="2"/>
      <c r="IO354" s="2"/>
      <c r="IP354" s="2"/>
      <c r="IQ354" s="2"/>
      <c r="IR354" s="2"/>
      <c r="IS354" s="2"/>
      <c r="IT354" s="2"/>
      <c r="IU354" s="2"/>
    </row>
    <row r="355" spans="1:255" x14ac:dyDescent="0.2">
      <c r="A355">
        <v>17</v>
      </c>
      <c r="B355">
        <v>1</v>
      </c>
      <c r="C355">
        <f>ROW(SmtRes!A212)</f>
        <v>212</v>
      </c>
      <c r="D355">
        <f>ROW(EtalonRes!A1174)</f>
        <v>1174</v>
      </c>
      <c r="E355" t="s">
        <v>409</v>
      </c>
      <c r="F355" t="s">
        <v>410</v>
      </c>
      <c r="G355" t="s">
        <v>411</v>
      </c>
      <c r="H355" t="s">
        <v>98</v>
      </c>
      <c r="I355">
        <v>0</v>
      </c>
      <c r="J355">
        <v>0</v>
      </c>
      <c r="K355">
        <v>0</v>
      </c>
      <c r="O355">
        <f t="shared" si="300"/>
        <v>0</v>
      </c>
      <c r="P355">
        <f t="shared" si="301"/>
        <v>0</v>
      </c>
      <c r="Q355">
        <f>(ROUND((ROUND((((ET355*1.1))*AV355*I355),2)*BB355),2)+ROUND((ROUND(((AE355-((EU355*1.1)))*AV355*I355),2)*BS355),2))</f>
        <v>0</v>
      </c>
      <c r="R355">
        <f t="shared" si="303"/>
        <v>0</v>
      </c>
      <c r="S355">
        <f t="shared" si="304"/>
        <v>0</v>
      </c>
      <c r="T355">
        <f t="shared" si="305"/>
        <v>0</v>
      </c>
      <c r="U355">
        <f t="shared" si="306"/>
        <v>0</v>
      </c>
      <c r="V355">
        <f t="shared" si="307"/>
        <v>0</v>
      </c>
      <c r="W355">
        <f t="shared" si="308"/>
        <v>0</v>
      </c>
      <c r="X355">
        <f t="shared" si="309"/>
        <v>0</v>
      </c>
      <c r="Y355">
        <f t="shared" si="310"/>
        <v>0</v>
      </c>
      <c r="AA355">
        <v>56616093</v>
      </c>
      <c r="AB355">
        <f t="shared" si="311"/>
        <v>456.62</v>
      </c>
      <c r="AC355">
        <f t="shared" si="312"/>
        <v>210.11</v>
      </c>
      <c r="AD355">
        <f>ROUND(((((ET355*1.1))-((EU355*1.1)))+AE355),6)</f>
        <v>127.941</v>
      </c>
      <c r="AE355">
        <f>ROUND(((EU355*1.1)),6)</f>
        <v>11.352</v>
      </c>
      <c r="AF355">
        <f>ROUND(((EV355*1.1)),6)</f>
        <v>118.569</v>
      </c>
      <c r="AG355">
        <f t="shared" si="315"/>
        <v>0</v>
      </c>
      <c r="AH355">
        <f>((EW355*1.1))</f>
        <v>9.8560000000000016</v>
      </c>
      <c r="AI355">
        <f>((EX355*1.1))</f>
        <v>0</v>
      </c>
      <c r="AJ355">
        <f t="shared" si="317"/>
        <v>0</v>
      </c>
      <c r="AK355">
        <v>434.21</v>
      </c>
      <c r="AL355">
        <v>210.11</v>
      </c>
      <c r="AM355">
        <v>116.31</v>
      </c>
      <c r="AN355">
        <v>10.32</v>
      </c>
      <c r="AO355">
        <v>107.79</v>
      </c>
      <c r="AP355">
        <v>0</v>
      </c>
      <c r="AQ355">
        <v>8.9600000000000009</v>
      </c>
      <c r="AR355">
        <v>0</v>
      </c>
      <c r="AS355">
        <v>0</v>
      </c>
      <c r="AT355">
        <v>109</v>
      </c>
      <c r="AU355">
        <v>41</v>
      </c>
      <c r="AV355">
        <v>1.0469999999999999</v>
      </c>
      <c r="AW355">
        <v>1</v>
      </c>
      <c r="AZ355">
        <v>1</v>
      </c>
      <c r="BA355">
        <v>34.51</v>
      </c>
      <c r="BB355">
        <v>11.89</v>
      </c>
      <c r="BC355">
        <v>14.55</v>
      </c>
      <c r="BD355" t="s">
        <v>3</v>
      </c>
      <c r="BE355" t="s">
        <v>3</v>
      </c>
      <c r="BF355" t="s">
        <v>3</v>
      </c>
      <c r="BG355" t="s">
        <v>3</v>
      </c>
      <c r="BH355">
        <v>0</v>
      </c>
      <c r="BI355">
        <v>1</v>
      </c>
      <c r="BJ355" t="s">
        <v>412</v>
      </c>
      <c r="BM355">
        <v>159</v>
      </c>
      <c r="BN355">
        <v>0</v>
      </c>
      <c r="BO355" t="s">
        <v>410</v>
      </c>
      <c r="BP355">
        <v>1</v>
      </c>
      <c r="BQ355">
        <v>30</v>
      </c>
      <c r="BR355">
        <v>0</v>
      </c>
      <c r="BS355">
        <v>34.51</v>
      </c>
      <c r="BT355">
        <v>1</v>
      </c>
      <c r="BU355">
        <v>1</v>
      </c>
      <c r="BV355">
        <v>1</v>
      </c>
      <c r="BW355">
        <v>1</v>
      </c>
      <c r="BX355">
        <v>1</v>
      </c>
      <c r="BY355" t="s">
        <v>3</v>
      </c>
      <c r="BZ355">
        <v>109</v>
      </c>
      <c r="CA355">
        <v>41</v>
      </c>
      <c r="CB355" t="s">
        <v>3</v>
      </c>
      <c r="CE355">
        <v>30</v>
      </c>
      <c r="CF355">
        <v>0</v>
      </c>
      <c r="CG355">
        <v>0</v>
      </c>
      <c r="CM355">
        <v>0</v>
      </c>
      <c r="CN355" t="s">
        <v>671</v>
      </c>
      <c r="CO355">
        <v>0</v>
      </c>
      <c r="CP355">
        <f t="shared" si="318"/>
        <v>0</v>
      </c>
      <c r="CQ355">
        <f t="shared" si="319"/>
        <v>3057.1</v>
      </c>
      <c r="CR355">
        <f>(ROUND((ROUND((((ET355*1.1))*AV355*1),2)*BB355),2)+ROUND((ROUND(((AE355-((EU355*1.1)))*AV355*1),2)*BS355),2))</f>
        <v>1592.67</v>
      </c>
      <c r="CS355">
        <f t="shared" si="321"/>
        <v>410.32</v>
      </c>
      <c r="CT355">
        <f t="shared" si="322"/>
        <v>4284.07</v>
      </c>
      <c r="CU355">
        <f t="shared" si="323"/>
        <v>0</v>
      </c>
      <c r="CV355">
        <f t="shared" si="324"/>
        <v>10.319232000000001</v>
      </c>
      <c r="CW355">
        <f t="shared" si="325"/>
        <v>0</v>
      </c>
      <c r="CX355">
        <f t="shared" si="326"/>
        <v>0</v>
      </c>
      <c r="CY355">
        <f>S355*(BZ355/100)</f>
        <v>0</v>
      </c>
      <c r="CZ355">
        <f>S355*(CA355/100)</f>
        <v>0</v>
      </c>
      <c r="DC355" t="s">
        <v>3</v>
      </c>
      <c r="DD355" t="s">
        <v>3</v>
      </c>
      <c r="DE355" t="s">
        <v>22</v>
      </c>
      <c r="DF355" t="s">
        <v>22</v>
      </c>
      <c r="DG355" t="s">
        <v>22</v>
      </c>
      <c r="DH355" t="s">
        <v>3</v>
      </c>
      <c r="DI355" t="s">
        <v>22</v>
      </c>
      <c r="DJ355" t="s">
        <v>22</v>
      </c>
      <c r="DK355" t="s">
        <v>3</v>
      </c>
      <c r="DL355" t="s">
        <v>3</v>
      </c>
      <c r="DM355" t="s">
        <v>3</v>
      </c>
      <c r="DN355">
        <v>134</v>
      </c>
      <c r="DO355">
        <v>83</v>
      </c>
      <c r="DP355">
        <v>1.0469999999999999</v>
      </c>
      <c r="DQ355">
        <v>1</v>
      </c>
      <c r="DU355">
        <v>1013</v>
      </c>
      <c r="DV355" t="s">
        <v>98</v>
      </c>
      <c r="DW355" t="s">
        <v>98</v>
      </c>
      <c r="DX355">
        <v>1</v>
      </c>
      <c r="DZ355" t="s">
        <v>3</v>
      </c>
      <c r="EA355" t="s">
        <v>3</v>
      </c>
      <c r="EB355" t="s">
        <v>3</v>
      </c>
      <c r="EC355" t="s">
        <v>3</v>
      </c>
      <c r="EE355">
        <v>51696198</v>
      </c>
      <c r="EF355">
        <v>30</v>
      </c>
      <c r="EG355" t="s">
        <v>16</v>
      </c>
      <c r="EH355">
        <v>0</v>
      </c>
      <c r="EI355" t="s">
        <v>3</v>
      </c>
      <c r="EJ355">
        <v>1</v>
      </c>
      <c r="EK355">
        <v>159</v>
      </c>
      <c r="EL355" t="s">
        <v>406</v>
      </c>
      <c r="EM355" t="s">
        <v>407</v>
      </c>
      <c r="EO355" t="s">
        <v>25</v>
      </c>
      <c r="EQ355">
        <v>131072</v>
      </c>
      <c r="ER355">
        <v>434.21</v>
      </c>
      <c r="ES355">
        <v>210.11</v>
      </c>
      <c r="ET355">
        <v>116.31</v>
      </c>
      <c r="EU355">
        <v>10.32</v>
      </c>
      <c r="EV355">
        <v>107.79</v>
      </c>
      <c r="EW355">
        <v>8.9600000000000009</v>
      </c>
      <c r="EX355">
        <v>0</v>
      </c>
      <c r="EY355">
        <v>0</v>
      </c>
      <c r="FQ355">
        <v>0</v>
      </c>
      <c r="FR355">
        <v>0</v>
      </c>
      <c r="FS355">
        <v>0</v>
      </c>
      <c r="FX355">
        <v>134</v>
      </c>
      <c r="FY355">
        <v>83</v>
      </c>
      <c r="GA355" t="s">
        <v>3</v>
      </c>
      <c r="GD355">
        <v>0</v>
      </c>
      <c r="GF355">
        <v>6860709</v>
      </c>
      <c r="GG355">
        <v>2</v>
      </c>
      <c r="GH355">
        <v>1</v>
      </c>
      <c r="GI355">
        <v>2</v>
      </c>
      <c r="GJ355">
        <v>0</v>
      </c>
      <c r="GK355">
        <f>ROUND(R355*(S12)/100,2)</f>
        <v>0</v>
      </c>
      <c r="GL355">
        <f t="shared" si="327"/>
        <v>0</v>
      </c>
      <c r="GM355">
        <f t="shared" si="328"/>
        <v>0</v>
      </c>
      <c r="GN355">
        <f t="shared" si="329"/>
        <v>0</v>
      </c>
      <c r="GO355">
        <f t="shared" si="330"/>
        <v>0</v>
      </c>
      <c r="GP355">
        <f t="shared" si="331"/>
        <v>0</v>
      </c>
      <c r="GR355">
        <v>0</v>
      </c>
      <c r="GS355">
        <v>3</v>
      </c>
      <c r="GT355">
        <v>0</v>
      </c>
      <c r="GU355" t="s">
        <v>3</v>
      </c>
      <c r="GV355">
        <f t="shared" si="332"/>
        <v>0</v>
      </c>
      <c r="GW355">
        <v>1</v>
      </c>
      <c r="GX355">
        <f t="shared" si="333"/>
        <v>0</v>
      </c>
      <c r="HA355">
        <v>0</v>
      </c>
      <c r="HB355">
        <v>0</v>
      </c>
      <c r="HC355">
        <f t="shared" si="334"/>
        <v>0</v>
      </c>
      <c r="HE355" t="s">
        <v>3</v>
      </c>
      <c r="HF355" t="s">
        <v>3</v>
      </c>
      <c r="HM355" t="s">
        <v>3</v>
      </c>
      <c r="HN355" t="s">
        <v>3</v>
      </c>
      <c r="HO355" t="s">
        <v>3</v>
      </c>
      <c r="HP355" t="s">
        <v>3</v>
      </c>
      <c r="HQ355" t="s">
        <v>3</v>
      </c>
      <c r="HS355">
        <v>0</v>
      </c>
      <c r="IK355">
        <v>0</v>
      </c>
    </row>
    <row r="356" spans="1:255" x14ac:dyDescent="0.2">
      <c r="A356" s="2">
        <v>18</v>
      </c>
      <c r="B356" s="2">
        <v>1</v>
      </c>
      <c r="C356" s="2">
        <v>211</v>
      </c>
      <c r="D356" s="2"/>
      <c r="E356" s="2" t="s">
        <v>413</v>
      </c>
      <c r="F356" s="2" t="s">
        <v>414</v>
      </c>
      <c r="G356" s="2" t="s">
        <v>415</v>
      </c>
      <c r="H356" s="2" t="s">
        <v>367</v>
      </c>
      <c r="I356" s="2">
        <f>I354*J356</f>
        <v>0</v>
      </c>
      <c r="J356" s="2">
        <v>7.14</v>
      </c>
      <c r="K356" s="2">
        <v>7.14</v>
      </c>
      <c r="L356" s="2"/>
      <c r="M356" s="2"/>
      <c r="N356" s="2"/>
      <c r="O356" s="2">
        <f t="shared" si="300"/>
        <v>0</v>
      </c>
      <c r="P356" s="2">
        <f t="shared" si="301"/>
        <v>0</v>
      </c>
      <c r="Q356" s="2">
        <f>(ROUND((ROUND(((ET356)*AV356*I356),2)*BB356),2)+ROUND((ROUND(((AE356-(EU356))*AV356*I356),2)*BS356),2))</f>
        <v>0</v>
      </c>
      <c r="R356" s="2">
        <f t="shared" si="303"/>
        <v>0</v>
      </c>
      <c r="S356" s="2">
        <f t="shared" si="304"/>
        <v>0</v>
      </c>
      <c r="T356" s="2">
        <f t="shared" si="305"/>
        <v>0</v>
      </c>
      <c r="U356" s="2">
        <f t="shared" si="306"/>
        <v>0</v>
      </c>
      <c r="V356" s="2">
        <f t="shared" si="307"/>
        <v>0</v>
      </c>
      <c r="W356" s="2">
        <f t="shared" si="308"/>
        <v>0</v>
      </c>
      <c r="X356" s="2">
        <f t="shared" si="309"/>
        <v>0</v>
      </c>
      <c r="Y356" s="2">
        <f t="shared" si="310"/>
        <v>0</v>
      </c>
      <c r="Z356" s="2"/>
      <c r="AA356" s="2">
        <v>56622586</v>
      </c>
      <c r="AB356" s="2">
        <f t="shared" si="311"/>
        <v>293.51</v>
      </c>
      <c r="AC356" s="2">
        <f t="shared" si="312"/>
        <v>293.51</v>
      </c>
      <c r="AD356" s="2">
        <f>ROUND((((ET356)-(EU356))+AE356),6)</f>
        <v>0</v>
      </c>
      <c r="AE356" s="2">
        <f>ROUND((EU356),6)</f>
        <v>0</v>
      </c>
      <c r="AF356" s="2">
        <f>ROUND((EV356),6)</f>
        <v>0</v>
      </c>
      <c r="AG356" s="2">
        <f t="shared" si="315"/>
        <v>0</v>
      </c>
      <c r="AH356" s="2">
        <f>(EW356)</f>
        <v>0</v>
      </c>
      <c r="AI356" s="2">
        <f>(EX356)</f>
        <v>0</v>
      </c>
      <c r="AJ356" s="2">
        <f t="shared" si="317"/>
        <v>0</v>
      </c>
      <c r="AK356" s="2">
        <v>293.51</v>
      </c>
      <c r="AL356" s="2">
        <v>293.51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134</v>
      </c>
      <c r="AU356" s="2">
        <v>83</v>
      </c>
      <c r="AV356" s="2">
        <v>1.0469999999999999</v>
      </c>
      <c r="AW356" s="2">
        <v>1</v>
      </c>
      <c r="AX356" s="2"/>
      <c r="AY356" s="2"/>
      <c r="AZ356" s="2">
        <v>1</v>
      </c>
      <c r="BA356" s="2">
        <v>1</v>
      </c>
      <c r="BB356" s="2">
        <v>1</v>
      </c>
      <c r="BC356" s="2">
        <v>1</v>
      </c>
      <c r="BD356" s="2" t="s">
        <v>3</v>
      </c>
      <c r="BE356" s="2" t="s">
        <v>3</v>
      </c>
      <c r="BF356" s="2" t="s">
        <v>3</v>
      </c>
      <c r="BG356" s="2" t="s">
        <v>3</v>
      </c>
      <c r="BH356" s="2">
        <v>3</v>
      </c>
      <c r="BI356" s="2">
        <v>1</v>
      </c>
      <c r="BJ356" s="2" t="s">
        <v>416</v>
      </c>
      <c r="BK356" s="2"/>
      <c r="BL356" s="2"/>
      <c r="BM356" s="2">
        <v>159</v>
      </c>
      <c r="BN356" s="2">
        <v>0</v>
      </c>
      <c r="BO356" s="2" t="s">
        <v>3</v>
      </c>
      <c r="BP356" s="2">
        <v>0</v>
      </c>
      <c r="BQ356" s="2">
        <v>30</v>
      </c>
      <c r="BR356" s="2">
        <v>0</v>
      </c>
      <c r="BS356" s="2">
        <v>1</v>
      </c>
      <c r="BT356" s="2">
        <v>1</v>
      </c>
      <c r="BU356" s="2">
        <v>1</v>
      </c>
      <c r="BV356" s="2">
        <v>1</v>
      </c>
      <c r="BW356" s="2">
        <v>1</v>
      </c>
      <c r="BX356" s="2">
        <v>1</v>
      </c>
      <c r="BY356" s="2" t="s">
        <v>3</v>
      </c>
      <c r="BZ356" s="2">
        <v>134</v>
      </c>
      <c r="CA356" s="2">
        <v>83</v>
      </c>
      <c r="CB356" s="2" t="s">
        <v>3</v>
      </c>
      <c r="CC356" s="2"/>
      <c r="CD356" s="2"/>
      <c r="CE356" s="2">
        <v>30</v>
      </c>
      <c r="CF356" s="2">
        <v>0</v>
      </c>
      <c r="CG356" s="2">
        <v>0</v>
      </c>
      <c r="CH356" s="2"/>
      <c r="CI356" s="2"/>
      <c r="CJ356" s="2"/>
      <c r="CK356" s="2"/>
      <c r="CL356" s="2"/>
      <c r="CM356" s="2">
        <v>0</v>
      </c>
      <c r="CN356" s="2" t="s">
        <v>3</v>
      </c>
      <c r="CO356" s="2">
        <v>0</v>
      </c>
      <c r="CP356" s="2">
        <f t="shared" si="318"/>
        <v>0</v>
      </c>
      <c r="CQ356" s="2">
        <f t="shared" si="319"/>
        <v>293.51</v>
      </c>
      <c r="CR356" s="2">
        <f>(ROUND((ROUND(((ET356)*AV356*1),2)*BB356),2)+ROUND((ROUND(((AE356-(EU356))*AV356*1),2)*BS356),2))</f>
        <v>0</v>
      </c>
      <c r="CS356" s="2">
        <f t="shared" si="321"/>
        <v>0</v>
      </c>
      <c r="CT356" s="2">
        <f t="shared" si="322"/>
        <v>0</v>
      </c>
      <c r="CU356" s="2">
        <f t="shared" si="323"/>
        <v>0</v>
      </c>
      <c r="CV356" s="2">
        <f t="shared" si="324"/>
        <v>0</v>
      </c>
      <c r="CW356" s="2">
        <f t="shared" si="325"/>
        <v>0</v>
      </c>
      <c r="CX356" s="2">
        <f t="shared" si="326"/>
        <v>0</v>
      </c>
      <c r="CY356" s="2">
        <f>((S356*BZ356)/100)</f>
        <v>0</v>
      </c>
      <c r="CZ356" s="2">
        <f>((S356*CA356)/100)</f>
        <v>0</v>
      </c>
      <c r="DA356" s="2"/>
      <c r="DB356" s="2"/>
      <c r="DC356" s="2" t="s">
        <v>3</v>
      </c>
      <c r="DD356" s="2" t="s">
        <v>3</v>
      </c>
      <c r="DE356" s="2" t="s">
        <v>3</v>
      </c>
      <c r="DF356" s="2" t="s">
        <v>3</v>
      </c>
      <c r="DG356" s="2" t="s">
        <v>3</v>
      </c>
      <c r="DH356" s="2" t="s">
        <v>3</v>
      </c>
      <c r="DI356" s="2" t="s">
        <v>3</v>
      </c>
      <c r="DJ356" s="2" t="s">
        <v>3</v>
      </c>
      <c r="DK356" s="2" t="s">
        <v>3</v>
      </c>
      <c r="DL356" s="2" t="s">
        <v>3</v>
      </c>
      <c r="DM356" s="2" t="s">
        <v>3</v>
      </c>
      <c r="DN356" s="2">
        <v>0</v>
      </c>
      <c r="DO356" s="2">
        <v>0</v>
      </c>
      <c r="DP356" s="2">
        <v>1</v>
      </c>
      <c r="DQ356" s="2">
        <v>1</v>
      </c>
      <c r="DR356" s="2"/>
      <c r="DS356" s="2"/>
      <c r="DT356" s="2"/>
      <c r="DU356" s="2">
        <v>1009</v>
      </c>
      <c r="DV356" s="2" t="s">
        <v>367</v>
      </c>
      <c r="DW356" s="2" t="s">
        <v>367</v>
      </c>
      <c r="DX356" s="2">
        <v>1000</v>
      </c>
      <c r="DY356" s="2"/>
      <c r="DZ356" s="2" t="s">
        <v>3</v>
      </c>
      <c r="EA356" s="2" t="s">
        <v>3</v>
      </c>
      <c r="EB356" s="2" t="s">
        <v>3</v>
      </c>
      <c r="EC356" s="2" t="s">
        <v>3</v>
      </c>
      <c r="ED356" s="2"/>
      <c r="EE356" s="2">
        <v>51696198</v>
      </c>
      <c r="EF356" s="2">
        <v>30</v>
      </c>
      <c r="EG356" s="2" t="s">
        <v>16</v>
      </c>
      <c r="EH356" s="2">
        <v>0</v>
      </c>
      <c r="EI356" s="2" t="s">
        <v>3</v>
      </c>
      <c r="EJ356" s="2">
        <v>1</v>
      </c>
      <c r="EK356" s="2">
        <v>159</v>
      </c>
      <c r="EL356" s="2" t="s">
        <v>406</v>
      </c>
      <c r="EM356" s="2" t="s">
        <v>407</v>
      </c>
      <c r="EN356" s="2"/>
      <c r="EO356" s="2" t="s">
        <v>3</v>
      </c>
      <c r="EP356" s="2"/>
      <c r="EQ356" s="2">
        <v>0</v>
      </c>
      <c r="ER356" s="2">
        <v>293.51</v>
      </c>
      <c r="ES356" s="2">
        <v>293.51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>
        <v>0</v>
      </c>
      <c r="FR356" s="2">
        <v>0</v>
      </c>
      <c r="FS356" s="2">
        <v>0</v>
      </c>
      <c r="FT356" s="2"/>
      <c r="FU356" s="2"/>
      <c r="FV356" s="2"/>
      <c r="FW356" s="2"/>
      <c r="FX356" s="2">
        <v>134</v>
      </c>
      <c r="FY356" s="2">
        <v>83</v>
      </c>
      <c r="FZ356" s="2"/>
      <c r="GA356" s="2" t="s">
        <v>3</v>
      </c>
      <c r="GB356" s="2"/>
      <c r="GC356" s="2"/>
      <c r="GD356" s="2">
        <v>0</v>
      </c>
      <c r="GE356" s="2"/>
      <c r="GF356" s="2">
        <v>-1088409324</v>
      </c>
      <c r="GG356" s="2">
        <v>2</v>
      </c>
      <c r="GH356" s="2">
        <v>1</v>
      </c>
      <c r="GI356" s="2">
        <v>-2</v>
      </c>
      <c r="GJ356" s="2">
        <v>0</v>
      </c>
      <c r="GK356" s="2">
        <f>ROUND(R356*(R12)/100,2)</f>
        <v>0</v>
      </c>
      <c r="GL356" s="2">
        <f t="shared" si="327"/>
        <v>0</v>
      </c>
      <c r="GM356" s="2">
        <f t="shared" si="328"/>
        <v>0</v>
      </c>
      <c r="GN356" s="2">
        <f t="shared" si="329"/>
        <v>0</v>
      </c>
      <c r="GO356" s="2">
        <f t="shared" si="330"/>
        <v>0</v>
      </c>
      <c r="GP356" s="2">
        <f t="shared" si="331"/>
        <v>0</v>
      </c>
      <c r="GQ356" s="2"/>
      <c r="GR356" s="2">
        <v>0</v>
      </c>
      <c r="GS356" s="2">
        <v>0</v>
      </c>
      <c r="GT356" s="2">
        <v>0</v>
      </c>
      <c r="GU356" s="2" t="s">
        <v>3</v>
      </c>
      <c r="GV356" s="2">
        <f t="shared" si="332"/>
        <v>0</v>
      </c>
      <c r="GW356" s="2">
        <v>1</v>
      </c>
      <c r="GX356" s="2">
        <f t="shared" si="333"/>
        <v>0</v>
      </c>
      <c r="GY356" s="2"/>
      <c r="GZ356" s="2"/>
      <c r="HA356" s="2">
        <v>0</v>
      </c>
      <c r="HB356" s="2">
        <v>0</v>
      </c>
      <c r="HC356" s="2">
        <f t="shared" si="334"/>
        <v>0</v>
      </c>
      <c r="HD356" s="2"/>
      <c r="HE356" s="2" t="s">
        <v>3</v>
      </c>
      <c r="HF356" s="2" t="s">
        <v>3</v>
      </c>
      <c r="HG356" s="2"/>
      <c r="HH356" s="2"/>
      <c r="HI356" s="2"/>
      <c r="HJ356" s="2"/>
      <c r="HK356" s="2"/>
      <c r="HL356" s="2"/>
      <c r="HM356" s="2" t="s">
        <v>3</v>
      </c>
      <c r="HN356" s="2" t="s">
        <v>3</v>
      </c>
      <c r="HO356" s="2" t="s">
        <v>3</v>
      </c>
      <c r="HP356" s="2" t="s">
        <v>3</v>
      </c>
      <c r="HQ356" s="2" t="s">
        <v>3</v>
      </c>
      <c r="HR356" s="2"/>
      <c r="HS356" s="2">
        <v>0</v>
      </c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>
        <v>0</v>
      </c>
      <c r="IL356" s="2"/>
      <c r="IM356" s="2"/>
      <c r="IN356" s="2"/>
      <c r="IO356" s="2"/>
      <c r="IP356" s="2"/>
      <c r="IQ356" s="2"/>
      <c r="IR356" s="2"/>
      <c r="IS356" s="2"/>
      <c r="IT356" s="2"/>
      <c r="IU356" s="2"/>
    </row>
    <row r="357" spans="1:255" x14ac:dyDescent="0.2">
      <c r="A357">
        <v>18</v>
      </c>
      <c r="B357">
        <v>1</v>
      </c>
      <c r="C357">
        <v>212</v>
      </c>
      <c r="E357" t="s">
        <v>413</v>
      </c>
      <c r="F357" t="s">
        <v>414</v>
      </c>
      <c r="G357" t="s">
        <v>415</v>
      </c>
      <c r="H357" t="s">
        <v>367</v>
      </c>
      <c r="I357">
        <f>I355*J357</f>
        <v>0</v>
      </c>
      <c r="J357">
        <v>7.14</v>
      </c>
      <c r="K357">
        <v>7.14</v>
      </c>
      <c r="O357">
        <f t="shared" si="300"/>
        <v>0</v>
      </c>
      <c r="P357">
        <f t="shared" si="301"/>
        <v>0</v>
      </c>
      <c r="Q357">
        <f>(ROUND((ROUND(((ET357)*AV357*I357),2)*BB357),2)+ROUND((ROUND(((AE357-(EU357))*AV357*I357),2)*BS357),2))</f>
        <v>0</v>
      </c>
      <c r="R357">
        <f t="shared" si="303"/>
        <v>0</v>
      </c>
      <c r="S357">
        <f t="shared" si="304"/>
        <v>0</v>
      </c>
      <c r="T357">
        <f t="shared" si="305"/>
        <v>0</v>
      </c>
      <c r="U357">
        <f t="shared" si="306"/>
        <v>0</v>
      </c>
      <c r="V357">
        <f t="shared" si="307"/>
        <v>0</v>
      </c>
      <c r="W357">
        <f t="shared" si="308"/>
        <v>0</v>
      </c>
      <c r="X357">
        <f t="shared" si="309"/>
        <v>0</v>
      </c>
      <c r="Y357">
        <f t="shared" si="310"/>
        <v>0</v>
      </c>
      <c r="AA357">
        <v>56616093</v>
      </c>
      <c r="AB357">
        <f t="shared" si="311"/>
        <v>293.51</v>
      </c>
      <c r="AC357">
        <f t="shared" si="312"/>
        <v>293.51</v>
      </c>
      <c r="AD357">
        <f>ROUND((((ET357)-(EU357))+AE357),6)</f>
        <v>0</v>
      </c>
      <c r="AE357">
        <f>ROUND((EU357),6)</f>
        <v>0</v>
      </c>
      <c r="AF357">
        <f>ROUND((EV357),6)</f>
        <v>0</v>
      </c>
      <c r="AG357">
        <f t="shared" si="315"/>
        <v>0</v>
      </c>
      <c r="AH357">
        <f>(EW357)</f>
        <v>0</v>
      </c>
      <c r="AI357">
        <f>(EX357)</f>
        <v>0</v>
      </c>
      <c r="AJ357">
        <f t="shared" si="317"/>
        <v>0</v>
      </c>
      <c r="AK357">
        <v>293.51</v>
      </c>
      <c r="AL357">
        <v>293.51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1</v>
      </c>
      <c r="AW357">
        <v>1</v>
      </c>
      <c r="AZ357">
        <v>1</v>
      </c>
      <c r="BA357">
        <v>1</v>
      </c>
      <c r="BB357">
        <v>1</v>
      </c>
      <c r="BC357">
        <v>17.559999999999999</v>
      </c>
      <c r="BD357" t="s">
        <v>3</v>
      </c>
      <c r="BE357" t="s">
        <v>3</v>
      </c>
      <c r="BF357" t="s">
        <v>3</v>
      </c>
      <c r="BG357" t="s">
        <v>3</v>
      </c>
      <c r="BH357">
        <v>3</v>
      </c>
      <c r="BI357">
        <v>1</v>
      </c>
      <c r="BJ357" t="s">
        <v>416</v>
      </c>
      <c r="BM357">
        <v>159</v>
      </c>
      <c r="BN357">
        <v>0</v>
      </c>
      <c r="BO357" t="s">
        <v>414</v>
      </c>
      <c r="BP357">
        <v>1</v>
      </c>
      <c r="BQ357">
        <v>30</v>
      </c>
      <c r="BR357">
        <v>0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 t="s">
        <v>3</v>
      </c>
      <c r="BZ357">
        <v>0</v>
      </c>
      <c r="CA357">
        <v>0</v>
      </c>
      <c r="CB357" t="s">
        <v>3</v>
      </c>
      <c r="CE357">
        <v>30</v>
      </c>
      <c r="CF357">
        <v>0</v>
      </c>
      <c r="CG357">
        <v>0</v>
      </c>
      <c r="CM357">
        <v>0</v>
      </c>
      <c r="CN357" t="s">
        <v>3</v>
      </c>
      <c r="CO357">
        <v>0</v>
      </c>
      <c r="CP357">
        <f t="shared" si="318"/>
        <v>0</v>
      </c>
      <c r="CQ357">
        <f t="shared" si="319"/>
        <v>5154.04</v>
      </c>
      <c r="CR357">
        <f>(ROUND((ROUND(((ET357)*AV357*1),2)*BB357),2)+ROUND((ROUND(((AE357-(EU357))*AV357*1),2)*BS357),2))</f>
        <v>0</v>
      </c>
      <c r="CS357">
        <f t="shared" si="321"/>
        <v>0</v>
      </c>
      <c r="CT357">
        <f t="shared" si="322"/>
        <v>0</v>
      </c>
      <c r="CU357">
        <f t="shared" si="323"/>
        <v>0</v>
      </c>
      <c r="CV357">
        <f t="shared" si="324"/>
        <v>0</v>
      </c>
      <c r="CW357">
        <f t="shared" si="325"/>
        <v>0</v>
      </c>
      <c r="CX357">
        <f t="shared" si="326"/>
        <v>0</v>
      </c>
      <c r="CY357">
        <f>S357*(BZ357/100)</f>
        <v>0</v>
      </c>
      <c r="CZ357">
        <f>S357*(CA357/100)</f>
        <v>0</v>
      </c>
      <c r="DC357" t="s">
        <v>3</v>
      </c>
      <c r="DD357" t="s">
        <v>3</v>
      </c>
      <c r="DE357" t="s">
        <v>3</v>
      </c>
      <c r="DF357" t="s">
        <v>3</v>
      </c>
      <c r="DG357" t="s">
        <v>3</v>
      </c>
      <c r="DH357" t="s">
        <v>3</v>
      </c>
      <c r="DI357" t="s">
        <v>3</v>
      </c>
      <c r="DJ357" t="s">
        <v>3</v>
      </c>
      <c r="DK357" t="s">
        <v>3</v>
      </c>
      <c r="DL357" t="s">
        <v>3</v>
      </c>
      <c r="DM357" t="s">
        <v>3</v>
      </c>
      <c r="DN357">
        <v>134</v>
      </c>
      <c r="DO357">
        <v>83</v>
      </c>
      <c r="DP357">
        <v>1.0469999999999999</v>
      </c>
      <c r="DQ357">
        <v>1</v>
      </c>
      <c r="DU357">
        <v>1009</v>
      </c>
      <c r="DV357" t="s">
        <v>367</v>
      </c>
      <c r="DW357" t="s">
        <v>367</v>
      </c>
      <c r="DX357">
        <v>1000</v>
      </c>
      <c r="DZ357" t="s">
        <v>3</v>
      </c>
      <c r="EA357" t="s">
        <v>3</v>
      </c>
      <c r="EB357" t="s">
        <v>3</v>
      </c>
      <c r="EC357" t="s">
        <v>3</v>
      </c>
      <c r="EE357">
        <v>51696198</v>
      </c>
      <c r="EF357">
        <v>30</v>
      </c>
      <c r="EG357" t="s">
        <v>16</v>
      </c>
      <c r="EH357">
        <v>0</v>
      </c>
      <c r="EI357" t="s">
        <v>3</v>
      </c>
      <c r="EJ357">
        <v>1</v>
      </c>
      <c r="EK357">
        <v>159</v>
      </c>
      <c r="EL357" t="s">
        <v>406</v>
      </c>
      <c r="EM357" t="s">
        <v>407</v>
      </c>
      <c r="EO357" t="s">
        <v>3</v>
      </c>
      <c r="EQ357">
        <v>0</v>
      </c>
      <c r="ER357">
        <v>293.51</v>
      </c>
      <c r="ES357">
        <v>293.51</v>
      </c>
      <c r="ET357">
        <v>0</v>
      </c>
      <c r="EU357">
        <v>0</v>
      </c>
      <c r="EV357">
        <v>0</v>
      </c>
      <c r="EW357">
        <v>0</v>
      </c>
      <c r="EX357">
        <v>0</v>
      </c>
      <c r="FQ357">
        <v>0</v>
      </c>
      <c r="FR357">
        <v>0</v>
      </c>
      <c r="FS357">
        <v>0</v>
      </c>
      <c r="FX357">
        <v>134</v>
      </c>
      <c r="FY357">
        <v>83</v>
      </c>
      <c r="GA357" t="s">
        <v>3</v>
      </c>
      <c r="GD357">
        <v>0</v>
      </c>
      <c r="GF357">
        <v>-1088409324</v>
      </c>
      <c r="GG357">
        <v>2</v>
      </c>
      <c r="GH357">
        <v>1</v>
      </c>
      <c r="GI357">
        <v>2</v>
      </c>
      <c r="GJ357">
        <v>0</v>
      </c>
      <c r="GK357">
        <f>ROUND(R357*(S12)/100,2)</f>
        <v>0</v>
      </c>
      <c r="GL357">
        <f t="shared" si="327"/>
        <v>0</v>
      </c>
      <c r="GM357">
        <f t="shared" si="328"/>
        <v>0</v>
      </c>
      <c r="GN357">
        <f t="shared" si="329"/>
        <v>0</v>
      </c>
      <c r="GO357">
        <f t="shared" si="330"/>
        <v>0</v>
      </c>
      <c r="GP357">
        <f t="shared" si="331"/>
        <v>0</v>
      </c>
      <c r="GR357">
        <v>0</v>
      </c>
      <c r="GS357">
        <v>3</v>
      </c>
      <c r="GT357">
        <v>0</v>
      </c>
      <c r="GU357" t="s">
        <v>3</v>
      </c>
      <c r="GV357">
        <f t="shared" si="332"/>
        <v>0</v>
      </c>
      <c r="GW357">
        <v>1</v>
      </c>
      <c r="GX357">
        <f t="shared" si="333"/>
        <v>0</v>
      </c>
      <c r="HA357">
        <v>0</v>
      </c>
      <c r="HB357">
        <v>0</v>
      </c>
      <c r="HC357">
        <f t="shared" si="334"/>
        <v>0</v>
      </c>
      <c r="HE357" t="s">
        <v>3</v>
      </c>
      <c r="HF357" t="s">
        <v>3</v>
      </c>
      <c r="HM357" t="s">
        <v>3</v>
      </c>
      <c r="HN357" t="s">
        <v>3</v>
      </c>
      <c r="HO357" t="s">
        <v>3</v>
      </c>
      <c r="HP357" t="s">
        <v>3</v>
      </c>
      <c r="HQ357" t="s">
        <v>3</v>
      </c>
      <c r="HS357">
        <v>0</v>
      </c>
      <c r="IK357">
        <v>0</v>
      </c>
    </row>
    <row r="358" spans="1:255" x14ac:dyDescent="0.2">
      <c r="A358" s="2">
        <v>17</v>
      </c>
      <c r="B358" s="2">
        <v>1</v>
      </c>
      <c r="C358" s="2">
        <f>ROW(SmtRes!A213)</f>
        <v>213</v>
      </c>
      <c r="D358" s="2">
        <f>ROW(EtalonRes!A1175)</f>
        <v>1175</v>
      </c>
      <c r="E358" s="2" t="s">
        <v>417</v>
      </c>
      <c r="F358" s="2" t="s">
        <v>418</v>
      </c>
      <c r="G358" s="2" t="s">
        <v>419</v>
      </c>
      <c r="H358" s="2" t="s">
        <v>420</v>
      </c>
      <c r="I358" s="2">
        <v>0</v>
      </c>
      <c r="J358" s="2">
        <v>0</v>
      </c>
      <c r="K358" s="2">
        <v>0</v>
      </c>
      <c r="L358" s="2"/>
      <c r="M358" s="2"/>
      <c r="N358" s="2"/>
      <c r="O358" s="2">
        <f t="shared" si="300"/>
        <v>0</v>
      </c>
      <c r="P358" s="2">
        <f t="shared" si="301"/>
        <v>0</v>
      </c>
      <c r="Q358" s="2">
        <f>(ROUND((ROUND((((ET358*1.1))*AV358*I358),2)*BB358),2)+ROUND((ROUND(((AE358-((EU358*1.1)))*AV358*I358),2)*BS358),2))</f>
        <v>0</v>
      </c>
      <c r="R358" s="2">
        <f t="shared" si="303"/>
        <v>0</v>
      </c>
      <c r="S358" s="2">
        <f t="shared" si="304"/>
        <v>0</v>
      </c>
      <c r="T358" s="2">
        <f t="shared" si="305"/>
        <v>0</v>
      </c>
      <c r="U358" s="2">
        <f t="shared" si="306"/>
        <v>0</v>
      </c>
      <c r="V358" s="2">
        <f t="shared" si="307"/>
        <v>0</v>
      </c>
      <c r="W358" s="2">
        <f t="shared" si="308"/>
        <v>0</v>
      </c>
      <c r="X358" s="2">
        <f t="shared" si="309"/>
        <v>0</v>
      </c>
      <c r="Y358" s="2">
        <f t="shared" si="310"/>
        <v>0</v>
      </c>
      <c r="Z358" s="2"/>
      <c r="AA358" s="2">
        <v>56622586</v>
      </c>
      <c r="AB358" s="2">
        <f t="shared" si="311"/>
        <v>943.26099999999997</v>
      </c>
      <c r="AC358" s="2">
        <f t="shared" si="312"/>
        <v>0</v>
      </c>
      <c r="AD358" s="2">
        <f>ROUND(((((ET358*1.1))-((EU358*1.1)))+AE358),6)</f>
        <v>0</v>
      </c>
      <c r="AE358" s="2">
        <f t="shared" ref="AE358:AF361" si="335">ROUND(((EU358*1.1)),6)</f>
        <v>0</v>
      </c>
      <c r="AF358" s="2">
        <f t="shared" si="335"/>
        <v>943.26099999999997</v>
      </c>
      <c r="AG358" s="2">
        <f t="shared" si="315"/>
        <v>0</v>
      </c>
      <c r="AH358" s="2">
        <f t="shared" ref="AH358:AI361" si="336">((EW358*1.1))</f>
        <v>84.37</v>
      </c>
      <c r="AI358" s="2">
        <f t="shared" si="336"/>
        <v>0</v>
      </c>
      <c r="AJ358" s="2">
        <f t="shared" si="317"/>
        <v>0</v>
      </c>
      <c r="AK358" s="2">
        <v>857.51</v>
      </c>
      <c r="AL358" s="2">
        <v>0</v>
      </c>
      <c r="AM358" s="2">
        <v>0</v>
      </c>
      <c r="AN358" s="2">
        <v>0</v>
      </c>
      <c r="AO358" s="2">
        <v>857.51</v>
      </c>
      <c r="AP358" s="2">
        <v>0</v>
      </c>
      <c r="AQ358" s="2">
        <v>76.7</v>
      </c>
      <c r="AR358" s="2">
        <v>0</v>
      </c>
      <c r="AS358" s="2">
        <v>0</v>
      </c>
      <c r="AT358" s="2">
        <v>80</v>
      </c>
      <c r="AU358" s="2">
        <v>55</v>
      </c>
      <c r="AV358" s="2">
        <v>1.0469999999999999</v>
      </c>
      <c r="AW358" s="2">
        <v>1</v>
      </c>
      <c r="AX358" s="2"/>
      <c r="AY358" s="2"/>
      <c r="AZ358" s="2">
        <v>1</v>
      </c>
      <c r="BA358" s="2">
        <v>1</v>
      </c>
      <c r="BB358" s="2">
        <v>1</v>
      </c>
      <c r="BC358" s="2">
        <v>1</v>
      </c>
      <c r="BD358" s="2" t="s">
        <v>3</v>
      </c>
      <c r="BE358" s="2" t="s">
        <v>3</v>
      </c>
      <c r="BF358" s="2" t="s">
        <v>3</v>
      </c>
      <c r="BG358" s="2" t="s">
        <v>3</v>
      </c>
      <c r="BH358" s="2">
        <v>0</v>
      </c>
      <c r="BI358" s="2">
        <v>1</v>
      </c>
      <c r="BJ358" s="2" t="s">
        <v>421</v>
      </c>
      <c r="BK358" s="2"/>
      <c r="BL358" s="2"/>
      <c r="BM358" s="2">
        <v>674</v>
      </c>
      <c r="BN358" s="2">
        <v>0</v>
      </c>
      <c r="BO358" s="2" t="s">
        <v>3</v>
      </c>
      <c r="BP358" s="2">
        <v>0</v>
      </c>
      <c r="BQ358" s="2">
        <v>60</v>
      </c>
      <c r="BR358" s="2">
        <v>0</v>
      </c>
      <c r="BS358" s="2">
        <v>1</v>
      </c>
      <c r="BT358" s="2">
        <v>1</v>
      </c>
      <c r="BU358" s="2">
        <v>1</v>
      </c>
      <c r="BV358" s="2">
        <v>1</v>
      </c>
      <c r="BW358" s="2">
        <v>1</v>
      </c>
      <c r="BX358" s="2">
        <v>1</v>
      </c>
      <c r="BY358" s="2" t="s">
        <v>3</v>
      </c>
      <c r="BZ358" s="2">
        <v>80</v>
      </c>
      <c r="CA358" s="2">
        <v>55</v>
      </c>
      <c r="CB358" s="2" t="s">
        <v>3</v>
      </c>
      <c r="CC358" s="2"/>
      <c r="CD358" s="2"/>
      <c r="CE358" s="2">
        <v>30</v>
      </c>
      <c r="CF358" s="2">
        <v>0</v>
      </c>
      <c r="CG358" s="2">
        <v>0</v>
      </c>
      <c r="CH358" s="2"/>
      <c r="CI358" s="2"/>
      <c r="CJ358" s="2"/>
      <c r="CK358" s="2"/>
      <c r="CL358" s="2"/>
      <c r="CM358" s="2">
        <v>0</v>
      </c>
      <c r="CN358" s="2" t="s">
        <v>671</v>
      </c>
      <c r="CO358" s="2">
        <v>0</v>
      </c>
      <c r="CP358" s="2">
        <f t="shared" si="318"/>
        <v>0</v>
      </c>
      <c r="CQ358" s="2">
        <f t="shared" si="319"/>
        <v>0</v>
      </c>
      <c r="CR358" s="2">
        <f>(ROUND((ROUND((((ET358*1.1))*AV358*1),2)*BB358),2)+ROUND((ROUND(((AE358-((EU358*1.1)))*AV358*1),2)*BS358),2))</f>
        <v>0</v>
      </c>
      <c r="CS358" s="2">
        <f t="shared" si="321"/>
        <v>0</v>
      </c>
      <c r="CT358" s="2">
        <f t="shared" si="322"/>
        <v>987.59</v>
      </c>
      <c r="CU358" s="2">
        <f t="shared" si="323"/>
        <v>0</v>
      </c>
      <c r="CV358" s="2">
        <f t="shared" si="324"/>
        <v>88.335390000000004</v>
      </c>
      <c r="CW358" s="2">
        <f t="shared" si="325"/>
        <v>0</v>
      </c>
      <c r="CX358" s="2">
        <f t="shared" si="326"/>
        <v>0</v>
      </c>
      <c r="CY358" s="2">
        <f>((S358*BZ358)/100)</f>
        <v>0</v>
      </c>
      <c r="CZ358" s="2">
        <f>((S358*CA358)/100)</f>
        <v>0</v>
      </c>
      <c r="DA358" s="2"/>
      <c r="DB358" s="2"/>
      <c r="DC358" s="2" t="s">
        <v>3</v>
      </c>
      <c r="DD358" s="2" t="s">
        <v>3</v>
      </c>
      <c r="DE358" s="2" t="s">
        <v>22</v>
      </c>
      <c r="DF358" s="2" t="s">
        <v>22</v>
      </c>
      <c r="DG358" s="2" t="s">
        <v>22</v>
      </c>
      <c r="DH358" s="2" t="s">
        <v>3</v>
      </c>
      <c r="DI358" s="2" t="s">
        <v>22</v>
      </c>
      <c r="DJ358" s="2" t="s">
        <v>22</v>
      </c>
      <c r="DK358" s="2" t="s">
        <v>3</v>
      </c>
      <c r="DL358" s="2" t="s">
        <v>3</v>
      </c>
      <c r="DM358" s="2" t="s">
        <v>3</v>
      </c>
      <c r="DN358" s="2">
        <v>0</v>
      </c>
      <c r="DO358" s="2">
        <v>0</v>
      </c>
      <c r="DP358" s="2">
        <v>1</v>
      </c>
      <c r="DQ358" s="2">
        <v>1</v>
      </c>
      <c r="DR358" s="2"/>
      <c r="DS358" s="2"/>
      <c r="DT358" s="2"/>
      <c r="DU358" s="2">
        <v>1003</v>
      </c>
      <c r="DV358" s="2" t="s">
        <v>420</v>
      </c>
      <c r="DW358" s="2" t="s">
        <v>420</v>
      </c>
      <c r="DX358" s="2">
        <v>100</v>
      </c>
      <c r="DY358" s="2"/>
      <c r="DZ358" s="2" t="s">
        <v>3</v>
      </c>
      <c r="EA358" s="2" t="s">
        <v>3</v>
      </c>
      <c r="EB358" s="2" t="s">
        <v>3</v>
      </c>
      <c r="EC358" s="2" t="s">
        <v>3</v>
      </c>
      <c r="ED358" s="2"/>
      <c r="EE358" s="2">
        <v>51696713</v>
      </c>
      <c r="EF358" s="2">
        <v>60</v>
      </c>
      <c r="EG358" s="2" t="s">
        <v>319</v>
      </c>
      <c r="EH358" s="2">
        <v>0</v>
      </c>
      <c r="EI358" s="2" t="s">
        <v>3</v>
      </c>
      <c r="EJ358" s="2">
        <v>1</v>
      </c>
      <c r="EK358" s="2">
        <v>674</v>
      </c>
      <c r="EL358" s="2" t="s">
        <v>320</v>
      </c>
      <c r="EM358" s="2" t="s">
        <v>321</v>
      </c>
      <c r="EN358" s="2"/>
      <c r="EO358" s="2" t="s">
        <v>25</v>
      </c>
      <c r="EP358" s="2"/>
      <c r="EQ358" s="2">
        <v>131072</v>
      </c>
      <c r="ER358" s="2">
        <v>857.51</v>
      </c>
      <c r="ES358" s="2">
        <v>0</v>
      </c>
      <c r="ET358" s="2">
        <v>0</v>
      </c>
      <c r="EU358" s="2">
        <v>0</v>
      </c>
      <c r="EV358" s="2">
        <v>857.51</v>
      </c>
      <c r="EW358" s="2">
        <v>76.7</v>
      </c>
      <c r="EX358" s="2">
        <v>0</v>
      </c>
      <c r="EY358" s="2">
        <v>0</v>
      </c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>
        <v>0</v>
      </c>
      <c r="FR358" s="2">
        <v>0</v>
      </c>
      <c r="FS358" s="2">
        <v>0</v>
      </c>
      <c r="FT358" s="2"/>
      <c r="FU358" s="2"/>
      <c r="FV358" s="2"/>
      <c r="FW358" s="2"/>
      <c r="FX358" s="2">
        <v>80</v>
      </c>
      <c r="FY358" s="2">
        <v>55</v>
      </c>
      <c r="FZ358" s="2"/>
      <c r="GA358" s="2" t="s">
        <v>3</v>
      </c>
      <c r="GB358" s="2"/>
      <c r="GC358" s="2"/>
      <c r="GD358" s="2">
        <v>0</v>
      </c>
      <c r="GE358" s="2"/>
      <c r="GF358" s="2">
        <v>665913781</v>
      </c>
      <c r="GG358" s="2">
        <v>2</v>
      </c>
      <c r="GH358" s="2">
        <v>1</v>
      </c>
      <c r="GI358" s="2">
        <v>-2</v>
      </c>
      <c r="GJ358" s="2">
        <v>0</v>
      </c>
      <c r="GK358" s="2">
        <f>ROUND(R358*(R12)/100,2)</f>
        <v>0</v>
      </c>
      <c r="GL358" s="2">
        <f t="shared" si="327"/>
        <v>0</v>
      </c>
      <c r="GM358" s="2">
        <f t="shared" si="328"/>
        <v>0</v>
      </c>
      <c r="GN358" s="2">
        <f t="shared" si="329"/>
        <v>0</v>
      </c>
      <c r="GO358" s="2">
        <f t="shared" si="330"/>
        <v>0</v>
      </c>
      <c r="GP358" s="2">
        <f t="shared" si="331"/>
        <v>0</v>
      </c>
      <c r="GQ358" s="2"/>
      <c r="GR358" s="2">
        <v>0</v>
      </c>
      <c r="GS358" s="2">
        <v>0</v>
      </c>
      <c r="GT358" s="2">
        <v>0</v>
      </c>
      <c r="GU358" s="2" t="s">
        <v>3</v>
      </c>
      <c r="GV358" s="2">
        <f t="shared" si="332"/>
        <v>0</v>
      </c>
      <c r="GW358" s="2">
        <v>1</v>
      </c>
      <c r="GX358" s="2">
        <f t="shared" si="333"/>
        <v>0</v>
      </c>
      <c r="GY358" s="2"/>
      <c r="GZ358" s="2"/>
      <c r="HA358" s="2">
        <v>0</v>
      </c>
      <c r="HB358" s="2">
        <v>0</v>
      </c>
      <c r="HC358" s="2">
        <f t="shared" si="334"/>
        <v>0</v>
      </c>
      <c r="HD358" s="2"/>
      <c r="HE358" s="2" t="s">
        <v>3</v>
      </c>
      <c r="HF358" s="2" t="s">
        <v>3</v>
      </c>
      <c r="HG358" s="2"/>
      <c r="HH358" s="2"/>
      <c r="HI358" s="2"/>
      <c r="HJ358" s="2"/>
      <c r="HK358" s="2"/>
      <c r="HL358" s="2"/>
      <c r="HM358" s="2" t="s">
        <v>3</v>
      </c>
      <c r="HN358" s="2" t="s">
        <v>3</v>
      </c>
      <c r="HO358" s="2" t="s">
        <v>3</v>
      </c>
      <c r="HP358" s="2" t="s">
        <v>3</v>
      </c>
      <c r="HQ358" s="2" t="s">
        <v>3</v>
      </c>
      <c r="HR358" s="2"/>
      <c r="HS358" s="2">
        <v>0</v>
      </c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>
        <v>0</v>
      </c>
      <c r="IL358" s="2"/>
      <c r="IM358" s="2"/>
      <c r="IN358" s="2"/>
      <c r="IO358" s="2"/>
      <c r="IP358" s="2"/>
      <c r="IQ358" s="2"/>
      <c r="IR358" s="2"/>
      <c r="IS358" s="2"/>
      <c r="IT358" s="2"/>
      <c r="IU358" s="2"/>
    </row>
    <row r="359" spans="1:255" x14ac:dyDescent="0.2">
      <c r="A359">
        <v>17</v>
      </c>
      <c r="B359">
        <v>1</v>
      </c>
      <c r="C359">
        <f>ROW(SmtRes!A214)</f>
        <v>214</v>
      </c>
      <c r="D359">
        <f>ROW(EtalonRes!A1176)</f>
        <v>1176</v>
      </c>
      <c r="E359" t="s">
        <v>417</v>
      </c>
      <c r="F359" t="s">
        <v>418</v>
      </c>
      <c r="G359" t="s">
        <v>419</v>
      </c>
      <c r="H359" t="s">
        <v>420</v>
      </c>
      <c r="I359">
        <v>0</v>
      </c>
      <c r="J359">
        <v>0</v>
      </c>
      <c r="K359">
        <v>0</v>
      </c>
      <c r="O359">
        <f t="shared" si="300"/>
        <v>0</v>
      </c>
      <c r="P359">
        <f t="shared" si="301"/>
        <v>0</v>
      </c>
      <c r="Q359">
        <f>(ROUND((ROUND((((ET359*1.1))*AV359*I359),2)*BB359),2)+ROUND((ROUND(((AE359-((EU359*1.1)))*AV359*I359),2)*BS359),2))</f>
        <v>0</v>
      </c>
      <c r="R359">
        <f t="shared" si="303"/>
        <v>0</v>
      </c>
      <c r="S359">
        <f t="shared" si="304"/>
        <v>0</v>
      </c>
      <c r="T359">
        <f t="shared" si="305"/>
        <v>0</v>
      </c>
      <c r="U359">
        <f t="shared" si="306"/>
        <v>0</v>
      </c>
      <c r="V359">
        <f t="shared" si="307"/>
        <v>0</v>
      </c>
      <c r="W359">
        <f t="shared" si="308"/>
        <v>0</v>
      </c>
      <c r="X359">
        <f t="shared" si="309"/>
        <v>0</v>
      </c>
      <c r="Y359">
        <f t="shared" si="310"/>
        <v>0</v>
      </c>
      <c r="AA359">
        <v>56616093</v>
      </c>
      <c r="AB359">
        <f t="shared" si="311"/>
        <v>943.26099999999997</v>
      </c>
      <c r="AC359">
        <f t="shared" si="312"/>
        <v>0</v>
      </c>
      <c r="AD359">
        <f>ROUND(((((ET359*1.1))-((EU359*1.1)))+AE359),6)</f>
        <v>0</v>
      </c>
      <c r="AE359">
        <f t="shared" si="335"/>
        <v>0</v>
      </c>
      <c r="AF359">
        <f t="shared" si="335"/>
        <v>943.26099999999997</v>
      </c>
      <c r="AG359">
        <f t="shared" si="315"/>
        <v>0</v>
      </c>
      <c r="AH359">
        <f t="shared" si="336"/>
        <v>84.37</v>
      </c>
      <c r="AI359">
        <f t="shared" si="336"/>
        <v>0</v>
      </c>
      <c r="AJ359">
        <f t="shared" si="317"/>
        <v>0</v>
      </c>
      <c r="AK359">
        <v>857.51</v>
      </c>
      <c r="AL359">
        <v>0</v>
      </c>
      <c r="AM359">
        <v>0</v>
      </c>
      <c r="AN359">
        <v>0</v>
      </c>
      <c r="AO359">
        <v>857.51</v>
      </c>
      <c r="AP359">
        <v>0</v>
      </c>
      <c r="AQ359">
        <v>76.7</v>
      </c>
      <c r="AR359">
        <v>0</v>
      </c>
      <c r="AS359">
        <v>0</v>
      </c>
      <c r="AT359">
        <v>70</v>
      </c>
      <c r="AU359">
        <v>41</v>
      </c>
      <c r="AV359">
        <v>1.0469999999999999</v>
      </c>
      <c r="AW359">
        <v>1</v>
      </c>
      <c r="AZ359">
        <v>1</v>
      </c>
      <c r="BA359">
        <v>34.51</v>
      </c>
      <c r="BB359">
        <v>1</v>
      </c>
      <c r="BC359">
        <v>1</v>
      </c>
      <c r="BD359" t="s">
        <v>3</v>
      </c>
      <c r="BE359" t="s">
        <v>3</v>
      </c>
      <c r="BF359" t="s">
        <v>3</v>
      </c>
      <c r="BG359" t="s">
        <v>3</v>
      </c>
      <c r="BH359">
        <v>0</v>
      </c>
      <c r="BI359">
        <v>1</v>
      </c>
      <c r="BJ359" t="s">
        <v>421</v>
      </c>
      <c r="BM359">
        <v>674</v>
      </c>
      <c r="BN359">
        <v>0</v>
      </c>
      <c r="BO359" t="s">
        <v>418</v>
      </c>
      <c r="BP359">
        <v>1</v>
      </c>
      <c r="BQ359">
        <v>60</v>
      </c>
      <c r="BR359">
        <v>0</v>
      </c>
      <c r="BS359">
        <v>34.51</v>
      </c>
      <c r="BT359">
        <v>1</v>
      </c>
      <c r="BU359">
        <v>1</v>
      </c>
      <c r="BV359">
        <v>1</v>
      </c>
      <c r="BW359">
        <v>1</v>
      </c>
      <c r="BX359">
        <v>1</v>
      </c>
      <c r="BY359" t="s">
        <v>3</v>
      </c>
      <c r="BZ359">
        <v>70</v>
      </c>
      <c r="CA359">
        <v>41</v>
      </c>
      <c r="CB359" t="s">
        <v>3</v>
      </c>
      <c r="CE359">
        <v>30</v>
      </c>
      <c r="CF359">
        <v>0</v>
      </c>
      <c r="CG359">
        <v>0</v>
      </c>
      <c r="CM359">
        <v>0</v>
      </c>
      <c r="CN359" t="s">
        <v>671</v>
      </c>
      <c r="CO359">
        <v>0</v>
      </c>
      <c r="CP359">
        <f t="shared" si="318"/>
        <v>0</v>
      </c>
      <c r="CQ359">
        <f t="shared" si="319"/>
        <v>0</v>
      </c>
      <c r="CR359">
        <f>(ROUND((ROUND((((ET359*1.1))*AV359*1),2)*BB359),2)+ROUND((ROUND(((AE359-((EU359*1.1)))*AV359*1),2)*BS359),2))</f>
        <v>0</v>
      </c>
      <c r="CS359">
        <f t="shared" si="321"/>
        <v>0</v>
      </c>
      <c r="CT359">
        <f t="shared" si="322"/>
        <v>34081.730000000003</v>
      </c>
      <c r="CU359">
        <f t="shared" si="323"/>
        <v>0</v>
      </c>
      <c r="CV359">
        <f t="shared" si="324"/>
        <v>88.335390000000004</v>
      </c>
      <c r="CW359">
        <f t="shared" si="325"/>
        <v>0</v>
      </c>
      <c r="CX359">
        <f t="shared" si="326"/>
        <v>0</v>
      </c>
      <c r="CY359">
        <f>S359*(BZ359/100)</f>
        <v>0</v>
      </c>
      <c r="CZ359">
        <f>S359*(CA359/100)</f>
        <v>0</v>
      </c>
      <c r="DC359" t="s">
        <v>3</v>
      </c>
      <c r="DD359" t="s">
        <v>3</v>
      </c>
      <c r="DE359" t="s">
        <v>22</v>
      </c>
      <c r="DF359" t="s">
        <v>22</v>
      </c>
      <c r="DG359" t="s">
        <v>22</v>
      </c>
      <c r="DH359" t="s">
        <v>3</v>
      </c>
      <c r="DI359" t="s">
        <v>22</v>
      </c>
      <c r="DJ359" t="s">
        <v>22</v>
      </c>
      <c r="DK359" t="s">
        <v>3</v>
      </c>
      <c r="DL359" t="s">
        <v>3</v>
      </c>
      <c r="DM359" t="s">
        <v>3</v>
      </c>
      <c r="DN359">
        <v>80</v>
      </c>
      <c r="DO359">
        <v>55</v>
      </c>
      <c r="DP359">
        <v>1.0469999999999999</v>
      </c>
      <c r="DQ359">
        <v>1</v>
      </c>
      <c r="DU359">
        <v>1003</v>
      </c>
      <c r="DV359" t="s">
        <v>420</v>
      </c>
      <c r="DW359" t="s">
        <v>420</v>
      </c>
      <c r="DX359">
        <v>100</v>
      </c>
      <c r="DZ359" t="s">
        <v>3</v>
      </c>
      <c r="EA359" t="s">
        <v>3</v>
      </c>
      <c r="EB359" t="s">
        <v>3</v>
      </c>
      <c r="EC359" t="s">
        <v>3</v>
      </c>
      <c r="EE359">
        <v>51696713</v>
      </c>
      <c r="EF359">
        <v>60</v>
      </c>
      <c r="EG359" t="s">
        <v>319</v>
      </c>
      <c r="EH359">
        <v>0</v>
      </c>
      <c r="EI359" t="s">
        <v>3</v>
      </c>
      <c r="EJ359">
        <v>1</v>
      </c>
      <c r="EK359">
        <v>674</v>
      </c>
      <c r="EL359" t="s">
        <v>320</v>
      </c>
      <c r="EM359" t="s">
        <v>321</v>
      </c>
      <c r="EO359" t="s">
        <v>25</v>
      </c>
      <c r="EQ359">
        <v>131072</v>
      </c>
      <c r="ER359">
        <v>857.51</v>
      </c>
      <c r="ES359">
        <v>0</v>
      </c>
      <c r="ET359">
        <v>0</v>
      </c>
      <c r="EU359">
        <v>0</v>
      </c>
      <c r="EV359">
        <v>857.51</v>
      </c>
      <c r="EW359">
        <v>76.7</v>
      </c>
      <c r="EX359">
        <v>0</v>
      </c>
      <c r="EY359">
        <v>0</v>
      </c>
      <c r="FQ359">
        <v>0</v>
      </c>
      <c r="FR359">
        <v>0</v>
      </c>
      <c r="FS359">
        <v>0</v>
      </c>
      <c r="FX359">
        <v>80</v>
      </c>
      <c r="FY359">
        <v>55</v>
      </c>
      <c r="GA359" t="s">
        <v>3</v>
      </c>
      <c r="GD359">
        <v>0</v>
      </c>
      <c r="GF359">
        <v>665913781</v>
      </c>
      <c r="GG359">
        <v>2</v>
      </c>
      <c r="GH359">
        <v>1</v>
      </c>
      <c r="GI359">
        <v>2</v>
      </c>
      <c r="GJ359">
        <v>0</v>
      </c>
      <c r="GK359">
        <f>ROUND(R359*(S12)/100,2)</f>
        <v>0</v>
      </c>
      <c r="GL359">
        <f t="shared" si="327"/>
        <v>0</v>
      </c>
      <c r="GM359">
        <f t="shared" si="328"/>
        <v>0</v>
      </c>
      <c r="GN359">
        <f t="shared" si="329"/>
        <v>0</v>
      </c>
      <c r="GO359">
        <f t="shared" si="330"/>
        <v>0</v>
      </c>
      <c r="GP359">
        <f t="shared" si="331"/>
        <v>0</v>
      </c>
      <c r="GR359">
        <v>0</v>
      </c>
      <c r="GS359">
        <v>3</v>
      </c>
      <c r="GT359">
        <v>0</v>
      </c>
      <c r="GU359" t="s">
        <v>3</v>
      </c>
      <c r="GV359">
        <f t="shared" si="332"/>
        <v>0</v>
      </c>
      <c r="GW359">
        <v>1</v>
      </c>
      <c r="GX359">
        <f t="shared" si="333"/>
        <v>0</v>
      </c>
      <c r="HA359">
        <v>0</v>
      </c>
      <c r="HB359">
        <v>0</v>
      </c>
      <c r="HC359">
        <f t="shared" si="334"/>
        <v>0</v>
      </c>
      <c r="HE359" t="s">
        <v>3</v>
      </c>
      <c r="HF359" t="s">
        <v>3</v>
      </c>
      <c r="HM359" t="s">
        <v>3</v>
      </c>
      <c r="HN359" t="s">
        <v>3</v>
      </c>
      <c r="HO359" t="s">
        <v>3</v>
      </c>
      <c r="HP359" t="s">
        <v>3</v>
      </c>
      <c r="HQ359" t="s">
        <v>3</v>
      </c>
      <c r="HS359">
        <v>0</v>
      </c>
      <c r="IK359">
        <v>0</v>
      </c>
    </row>
    <row r="360" spans="1:255" x14ac:dyDescent="0.2">
      <c r="A360" s="2">
        <v>17</v>
      </c>
      <c r="B360" s="2">
        <v>1</v>
      </c>
      <c r="C360" s="2"/>
      <c r="D360" s="2">
        <f>ROW(EtalonRes!A1183)</f>
        <v>1183</v>
      </c>
      <c r="E360" s="2" t="s">
        <v>422</v>
      </c>
      <c r="F360" s="2" t="s">
        <v>423</v>
      </c>
      <c r="G360" s="2" t="s">
        <v>424</v>
      </c>
      <c r="H360" s="2" t="s">
        <v>425</v>
      </c>
      <c r="I360" s="2">
        <v>0</v>
      </c>
      <c r="J360" s="2">
        <v>0</v>
      </c>
      <c r="K360" s="2">
        <v>0</v>
      </c>
      <c r="L360" s="2"/>
      <c r="M360" s="2"/>
      <c r="N360" s="2"/>
      <c r="O360" s="2">
        <f t="shared" si="300"/>
        <v>0</v>
      </c>
      <c r="P360" s="2">
        <f t="shared" si="301"/>
        <v>0</v>
      </c>
      <c r="Q360" s="2">
        <f>(ROUND((ROUND((((ET360*1.1))*AV360*I360),2)*BB360),2)+ROUND((ROUND(((AE360-((EU360*1.1)))*AV360*I360),2)*BS360),2))</f>
        <v>0</v>
      </c>
      <c r="R360" s="2">
        <f t="shared" si="303"/>
        <v>0</v>
      </c>
      <c r="S360" s="2">
        <f t="shared" si="304"/>
        <v>0</v>
      </c>
      <c r="T360" s="2">
        <f t="shared" si="305"/>
        <v>0</v>
      </c>
      <c r="U360" s="2">
        <f t="shared" si="306"/>
        <v>0</v>
      </c>
      <c r="V360" s="2">
        <f t="shared" si="307"/>
        <v>0</v>
      </c>
      <c r="W360" s="2">
        <f t="shared" si="308"/>
        <v>0</v>
      </c>
      <c r="X360" s="2">
        <f t="shared" si="309"/>
        <v>0</v>
      </c>
      <c r="Y360" s="2">
        <f t="shared" si="310"/>
        <v>0</v>
      </c>
      <c r="Z360" s="2"/>
      <c r="AA360" s="2">
        <v>56622586</v>
      </c>
      <c r="AB360" s="2">
        <f t="shared" si="311"/>
        <v>4057.549</v>
      </c>
      <c r="AC360" s="2">
        <f t="shared" si="312"/>
        <v>3093.52</v>
      </c>
      <c r="AD360" s="2">
        <f>ROUND(((((ET360*1.1))-((EU360*1.1)))+AE360),6)</f>
        <v>120.21899999999999</v>
      </c>
      <c r="AE360" s="2">
        <f t="shared" si="335"/>
        <v>11.363</v>
      </c>
      <c r="AF360" s="2">
        <f t="shared" si="335"/>
        <v>843.81</v>
      </c>
      <c r="AG360" s="2">
        <f t="shared" si="315"/>
        <v>0</v>
      </c>
      <c r="AH360" s="2">
        <f t="shared" si="336"/>
        <v>76.78</v>
      </c>
      <c r="AI360" s="2">
        <f t="shared" si="336"/>
        <v>0</v>
      </c>
      <c r="AJ360" s="2">
        <f t="shared" si="317"/>
        <v>0</v>
      </c>
      <c r="AK360" s="2">
        <v>3969.91</v>
      </c>
      <c r="AL360" s="2">
        <v>3093.52</v>
      </c>
      <c r="AM360" s="2">
        <v>109.29</v>
      </c>
      <c r="AN360" s="2">
        <v>10.33</v>
      </c>
      <c r="AO360" s="2">
        <v>767.1</v>
      </c>
      <c r="AP360" s="2">
        <v>0</v>
      </c>
      <c r="AQ360" s="2">
        <v>69.8</v>
      </c>
      <c r="AR360" s="2">
        <v>0</v>
      </c>
      <c r="AS360" s="2">
        <v>0</v>
      </c>
      <c r="AT360" s="2">
        <v>161</v>
      </c>
      <c r="AU360" s="2">
        <v>107</v>
      </c>
      <c r="AV360" s="2">
        <v>1.0469999999999999</v>
      </c>
      <c r="AW360" s="2">
        <v>1.03</v>
      </c>
      <c r="AX360" s="2"/>
      <c r="AY360" s="2"/>
      <c r="AZ360" s="2">
        <v>1</v>
      </c>
      <c r="BA360" s="2">
        <v>1</v>
      </c>
      <c r="BB360" s="2">
        <v>1</v>
      </c>
      <c r="BC360" s="2">
        <v>1</v>
      </c>
      <c r="BD360" s="2" t="s">
        <v>3</v>
      </c>
      <c r="BE360" s="2" t="s">
        <v>3</v>
      </c>
      <c r="BF360" s="2" t="s">
        <v>3</v>
      </c>
      <c r="BG360" s="2" t="s">
        <v>3</v>
      </c>
      <c r="BH360" s="2">
        <v>0</v>
      </c>
      <c r="BI360" s="2">
        <v>1</v>
      </c>
      <c r="BJ360" s="2" t="s">
        <v>426</v>
      </c>
      <c r="BK360" s="2"/>
      <c r="BL360" s="2"/>
      <c r="BM360" s="2">
        <v>148</v>
      </c>
      <c r="BN360" s="2">
        <v>0</v>
      </c>
      <c r="BO360" s="2" t="s">
        <v>3</v>
      </c>
      <c r="BP360" s="2">
        <v>0</v>
      </c>
      <c r="BQ360" s="2">
        <v>30</v>
      </c>
      <c r="BR360" s="2">
        <v>0</v>
      </c>
      <c r="BS360" s="2">
        <v>1</v>
      </c>
      <c r="BT360" s="2">
        <v>1</v>
      </c>
      <c r="BU360" s="2">
        <v>1</v>
      </c>
      <c r="BV360" s="2">
        <v>1</v>
      </c>
      <c r="BW360" s="2">
        <v>1</v>
      </c>
      <c r="BX360" s="2">
        <v>1</v>
      </c>
      <c r="BY360" s="2" t="s">
        <v>3</v>
      </c>
      <c r="BZ360" s="2">
        <v>161</v>
      </c>
      <c r="CA360" s="2">
        <v>107</v>
      </c>
      <c r="CB360" s="2" t="s">
        <v>3</v>
      </c>
      <c r="CC360" s="2"/>
      <c r="CD360" s="2"/>
      <c r="CE360" s="2">
        <v>30</v>
      </c>
      <c r="CF360" s="2">
        <v>0</v>
      </c>
      <c r="CG360" s="2">
        <v>0</v>
      </c>
      <c r="CH360" s="2"/>
      <c r="CI360" s="2"/>
      <c r="CJ360" s="2"/>
      <c r="CK360" s="2"/>
      <c r="CL360" s="2"/>
      <c r="CM360" s="2">
        <v>0</v>
      </c>
      <c r="CN360" s="2" t="s">
        <v>671</v>
      </c>
      <c r="CO360" s="2">
        <v>0</v>
      </c>
      <c r="CP360" s="2">
        <f t="shared" si="318"/>
        <v>0</v>
      </c>
      <c r="CQ360" s="2">
        <f t="shared" si="319"/>
        <v>3186.33</v>
      </c>
      <c r="CR360" s="2">
        <f>(ROUND((ROUND((((ET360*1.1))*AV360*1),2)*BB360),2)+ROUND((ROUND(((AE360-((EU360*1.1)))*AV360*1),2)*BS360),2))</f>
        <v>125.87</v>
      </c>
      <c r="CS360" s="2">
        <f t="shared" si="321"/>
        <v>11.9</v>
      </c>
      <c r="CT360" s="2">
        <f t="shared" si="322"/>
        <v>883.47</v>
      </c>
      <c r="CU360" s="2">
        <f t="shared" si="323"/>
        <v>0</v>
      </c>
      <c r="CV360" s="2">
        <f t="shared" si="324"/>
        <v>80.388660000000002</v>
      </c>
      <c r="CW360" s="2">
        <f t="shared" si="325"/>
        <v>0</v>
      </c>
      <c r="CX360" s="2">
        <f t="shared" si="326"/>
        <v>0</v>
      </c>
      <c r="CY360" s="2">
        <f>((S360*BZ360)/100)</f>
        <v>0</v>
      </c>
      <c r="CZ360" s="2">
        <f>((S360*CA360)/100)</f>
        <v>0</v>
      </c>
      <c r="DA360" s="2"/>
      <c r="DB360" s="2"/>
      <c r="DC360" s="2" t="s">
        <v>3</v>
      </c>
      <c r="DD360" s="2" t="s">
        <v>3</v>
      </c>
      <c r="DE360" s="2" t="s">
        <v>22</v>
      </c>
      <c r="DF360" s="2" t="s">
        <v>22</v>
      </c>
      <c r="DG360" s="2" t="s">
        <v>22</v>
      </c>
      <c r="DH360" s="2" t="s">
        <v>3</v>
      </c>
      <c r="DI360" s="2" t="s">
        <v>22</v>
      </c>
      <c r="DJ360" s="2" t="s">
        <v>22</v>
      </c>
      <c r="DK360" s="2" t="s">
        <v>3</v>
      </c>
      <c r="DL360" s="2" t="s">
        <v>3</v>
      </c>
      <c r="DM360" s="2" t="s">
        <v>3</v>
      </c>
      <c r="DN360" s="2">
        <v>0</v>
      </c>
      <c r="DO360" s="2">
        <v>0</v>
      </c>
      <c r="DP360" s="2">
        <v>1</v>
      </c>
      <c r="DQ360" s="2">
        <v>1</v>
      </c>
      <c r="DR360" s="2"/>
      <c r="DS360" s="2"/>
      <c r="DT360" s="2"/>
      <c r="DU360" s="2">
        <v>1013</v>
      </c>
      <c r="DV360" s="2" t="s">
        <v>425</v>
      </c>
      <c r="DW360" s="2" t="s">
        <v>425</v>
      </c>
      <c r="DX360" s="2">
        <v>1</v>
      </c>
      <c r="DY360" s="2"/>
      <c r="DZ360" s="2" t="s">
        <v>3</v>
      </c>
      <c r="EA360" s="2" t="s">
        <v>3</v>
      </c>
      <c r="EB360" s="2" t="s">
        <v>3</v>
      </c>
      <c r="EC360" s="2" t="s">
        <v>3</v>
      </c>
      <c r="ED360" s="2"/>
      <c r="EE360" s="2">
        <v>51696187</v>
      </c>
      <c r="EF360" s="2">
        <v>30</v>
      </c>
      <c r="EG360" s="2" t="s">
        <v>16</v>
      </c>
      <c r="EH360" s="2">
        <v>0</v>
      </c>
      <c r="EI360" s="2" t="s">
        <v>3</v>
      </c>
      <c r="EJ360" s="2">
        <v>1</v>
      </c>
      <c r="EK360" s="2">
        <v>148</v>
      </c>
      <c r="EL360" s="2" t="s">
        <v>427</v>
      </c>
      <c r="EM360" s="2" t="s">
        <v>428</v>
      </c>
      <c r="EN360" s="2"/>
      <c r="EO360" s="2" t="s">
        <v>25</v>
      </c>
      <c r="EP360" s="2"/>
      <c r="EQ360" s="2">
        <v>131072</v>
      </c>
      <c r="ER360" s="2">
        <v>3969.91</v>
      </c>
      <c r="ES360" s="2">
        <v>3093.52</v>
      </c>
      <c r="ET360" s="2">
        <v>109.29</v>
      </c>
      <c r="EU360" s="2">
        <v>10.33</v>
      </c>
      <c r="EV360" s="2">
        <v>767.1</v>
      </c>
      <c r="EW360" s="2">
        <v>69.8</v>
      </c>
      <c r="EX360" s="2">
        <v>0</v>
      </c>
      <c r="EY360" s="2">
        <v>0</v>
      </c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>
        <v>0</v>
      </c>
      <c r="FR360" s="2">
        <v>0</v>
      </c>
      <c r="FS360" s="2">
        <v>0</v>
      </c>
      <c r="FT360" s="2"/>
      <c r="FU360" s="2"/>
      <c r="FV360" s="2"/>
      <c r="FW360" s="2"/>
      <c r="FX360" s="2">
        <v>161</v>
      </c>
      <c r="FY360" s="2">
        <v>107</v>
      </c>
      <c r="FZ360" s="2"/>
      <c r="GA360" s="2" t="s">
        <v>3</v>
      </c>
      <c r="GB360" s="2"/>
      <c r="GC360" s="2"/>
      <c r="GD360" s="2">
        <v>0</v>
      </c>
      <c r="GE360" s="2"/>
      <c r="GF360" s="2">
        <v>1981713923</v>
      </c>
      <c r="GG360" s="2">
        <v>2</v>
      </c>
      <c r="GH360" s="2">
        <v>1</v>
      </c>
      <c r="GI360" s="2">
        <v>-2</v>
      </c>
      <c r="GJ360" s="2">
        <v>0</v>
      </c>
      <c r="GK360" s="2">
        <f>ROUND(R360*(R12)/100,2)</f>
        <v>0</v>
      </c>
      <c r="GL360" s="2">
        <f t="shared" si="327"/>
        <v>0</v>
      </c>
      <c r="GM360" s="2">
        <f t="shared" si="328"/>
        <v>0</v>
      </c>
      <c r="GN360" s="2">
        <f t="shared" si="329"/>
        <v>0</v>
      </c>
      <c r="GO360" s="2">
        <f t="shared" si="330"/>
        <v>0</v>
      </c>
      <c r="GP360" s="2">
        <f t="shared" si="331"/>
        <v>0</v>
      </c>
      <c r="GQ360" s="2"/>
      <c r="GR360" s="2">
        <v>0</v>
      </c>
      <c r="GS360" s="2">
        <v>0</v>
      </c>
      <c r="GT360" s="2">
        <v>0</v>
      </c>
      <c r="GU360" s="2" t="s">
        <v>3</v>
      </c>
      <c r="GV360" s="2">
        <f t="shared" si="332"/>
        <v>0</v>
      </c>
      <c r="GW360" s="2">
        <v>1</v>
      </c>
      <c r="GX360" s="2">
        <f t="shared" si="333"/>
        <v>0</v>
      </c>
      <c r="GY360" s="2"/>
      <c r="GZ360" s="2"/>
      <c r="HA360" s="2">
        <v>0</v>
      </c>
      <c r="HB360" s="2">
        <v>0</v>
      </c>
      <c r="HC360" s="2">
        <f t="shared" si="334"/>
        <v>0</v>
      </c>
      <c r="HD360" s="2"/>
      <c r="HE360" s="2" t="s">
        <v>3</v>
      </c>
      <c r="HF360" s="2" t="s">
        <v>3</v>
      </c>
      <c r="HG360" s="2"/>
      <c r="HH360" s="2"/>
      <c r="HI360" s="2"/>
      <c r="HJ360" s="2"/>
      <c r="HK360" s="2"/>
      <c r="HL360" s="2"/>
      <c r="HM360" s="2" t="s">
        <v>3</v>
      </c>
      <c r="HN360" s="2" t="s">
        <v>3</v>
      </c>
      <c r="HO360" s="2" t="s">
        <v>3</v>
      </c>
      <c r="HP360" s="2" t="s">
        <v>3</v>
      </c>
      <c r="HQ360" s="2" t="s">
        <v>3</v>
      </c>
      <c r="HR360" s="2"/>
      <c r="HS360" s="2">
        <v>0</v>
      </c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>
        <v>0</v>
      </c>
      <c r="IL360" s="2"/>
      <c r="IM360" s="2"/>
      <c r="IN360" s="2"/>
      <c r="IO360" s="2"/>
      <c r="IP360" s="2"/>
      <c r="IQ360" s="2"/>
      <c r="IR360" s="2"/>
      <c r="IS360" s="2"/>
      <c r="IT360" s="2"/>
      <c r="IU360" s="2"/>
    </row>
    <row r="361" spans="1:255" x14ac:dyDescent="0.2">
      <c r="A361">
        <v>17</v>
      </c>
      <c r="B361">
        <v>1</v>
      </c>
      <c r="D361">
        <f>ROW(EtalonRes!A1190)</f>
        <v>1190</v>
      </c>
      <c r="E361" t="s">
        <v>422</v>
      </c>
      <c r="F361" t="s">
        <v>423</v>
      </c>
      <c r="G361" t="s">
        <v>424</v>
      </c>
      <c r="H361" t="s">
        <v>425</v>
      </c>
      <c r="I361">
        <v>0</v>
      </c>
      <c r="J361">
        <v>0</v>
      </c>
      <c r="K361">
        <v>0</v>
      </c>
      <c r="O361">
        <f t="shared" si="300"/>
        <v>0</v>
      </c>
      <c r="P361">
        <f t="shared" si="301"/>
        <v>0</v>
      </c>
      <c r="Q361">
        <f>(ROUND((ROUND((((ET361*1.1))*AV361*I361),2)*BB361),2)+ROUND((ROUND(((AE361-((EU361*1.1)))*AV361*I361),2)*BS361),2))</f>
        <v>0</v>
      </c>
      <c r="R361">
        <f t="shared" si="303"/>
        <v>0</v>
      </c>
      <c r="S361">
        <f t="shared" si="304"/>
        <v>0</v>
      </c>
      <c r="T361">
        <f t="shared" si="305"/>
        <v>0</v>
      </c>
      <c r="U361">
        <f t="shared" si="306"/>
        <v>0</v>
      </c>
      <c r="V361">
        <f t="shared" si="307"/>
        <v>0</v>
      </c>
      <c r="W361">
        <f t="shared" si="308"/>
        <v>0</v>
      </c>
      <c r="X361">
        <f t="shared" si="309"/>
        <v>0</v>
      </c>
      <c r="Y361">
        <f t="shared" si="310"/>
        <v>0</v>
      </c>
      <c r="AA361">
        <v>56616093</v>
      </c>
      <c r="AB361">
        <f t="shared" si="311"/>
        <v>4057.549</v>
      </c>
      <c r="AC361">
        <f t="shared" si="312"/>
        <v>3093.52</v>
      </c>
      <c r="AD361">
        <f>ROUND(((((ET361*1.1))-((EU361*1.1)))+AE361),6)</f>
        <v>120.21899999999999</v>
      </c>
      <c r="AE361">
        <f t="shared" si="335"/>
        <v>11.363</v>
      </c>
      <c r="AF361">
        <f t="shared" si="335"/>
        <v>843.81</v>
      </c>
      <c r="AG361">
        <f t="shared" si="315"/>
        <v>0</v>
      </c>
      <c r="AH361">
        <f t="shared" si="336"/>
        <v>76.78</v>
      </c>
      <c r="AI361">
        <f t="shared" si="336"/>
        <v>0</v>
      </c>
      <c r="AJ361">
        <f t="shared" si="317"/>
        <v>0</v>
      </c>
      <c r="AK361">
        <v>3969.91</v>
      </c>
      <c r="AL361">
        <v>3093.52</v>
      </c>
      <c r="AM361">
        <v>109.29</v>
      </c>
      <c r="AN361">
        <v>10.33</v>
      </c>
      <c r="AO361">
        <v>767.1</v>
      </c>
      <c r="AP361">
        <v>0</v>
      </c>
      <c r="AQ361">
        <v>69.8</v>
      </c>
      <c r="AR361">
        <v>0</v>
      </c>
      <c r="AS361">
        <v>0</v>
      </c>
      <c r="AT361">
        <v>134</v>
      </c>
      <c r="AU361">
        <v>55</v>
      </c>
      <c r="AV361">
        <v>1.0469999999999999</v>
      </c>
      <c r="AW361">
        <v>1.03</v>
      </c>
      <c r="AZ361">
        <v>1</v>
      </c>
      <c r="BA361">
        <v>34.51</v>
      </c>
      <c r="BB361">
        <v>11.46</v>
      </c>
      <c r="BC361">
        <v>8.0500000000000007</v>
      </c>
      <c r="BD361" t="s">
        <v>3</v>
      </c>
      <c r="BE361" t="s">
        <v>3</v>
      </c>
      <c r="BF361" t="s">
        <v>3</v>
      </c>
      <c r="BG361" t="s">
        <v>3</v>
      </c>
      <c r="BH361">
        <v>0</v>
      </c>
      <c r="BI361">
        <v>1</v>
      </c>
      <c r="BJ361" t="s">
        <v>426</v>
      </c>
      <c r="BM361">
        <v>148</v>
      </c>
      <c r="BN361">
        <v>0</v>
      </c>
      <c r="BO361" t="s">
        <v>423</v>
      </c>
      <c r="BP361">
        <v>1</v>
      </c>
      <c r="BQ361">
        <v>30</v>
      </c>
      <c r="BR361">
        <v>0</v>
      </c>
      <c r="BS361">
        <v>34.51</v>
      </c>
      <c r="BT361">
        <v>1</v>
      </c>
      <c r="BU361">
        <v>1</v>
      </c>
      <c r="BV361">
        <v>1</v>
      </c>
      <c r="BW361">
        <v>1</v>
      </c>
      <c r="BX361">
        <v>1</v>
      </c>
      <c r="BY361" t="s">
        <v>3</v>
      </c>
      <c r="BZ361">
        <v>134</v>
      </c>
      <c r="CA361">
        <v>55</v>
      </c>
      <c r="CB361" t="s">
        <v>3</v>
      </c>
      <c r="CE361">
        <v>30</v>
      </c>
      <c r="CF361">
        <v>0</v>
      </c>
      <c r="CG361">
        <v>0</v>
      </c>
      <c r="CM361">
        <v>0</v>
      </c>
      <c r="CN361" t="s">
        <v>671</v>
      </c>
      <c r="CO361">
        <v>0</v>
      </c>
      <c r="CP361">
        <f t="shared" si="318"/>
        <v>0</v>
      </c>
      <c r="CQ361">
        <f t="shared" si="319"/>
        <v>25649.96</v>
      </c>
      <c r="CR361">
        <f>(ROUND((ROUND((((ET361*1.1))*AV361*1),2)*BB361),2)+ROUND((ROUND(((AE361-((EU361*1.1)))*AV361*1),2)*BS361),2))</f>
        <v>1442.47</v>
      </c>
      <c r="CS361">
        <f t="shared" si="321"/>
        <v>410.67</v>
      </c>
      <c r="CT361">
        <f t="shared" si="322"/>
        <v>30488.55</v>
      </c>
      <c r="CU361">
        <f t="shared" si="323"/>
        <v>0</v>
      </c>
      <c r="CV361">
        <f t="shared" si="324"/>
        <v>80.388660000000002</v>
      </c>
      <c r="CW361">
        <f t="shared" si="325"/>
        <v>0</v>
      </c>
      <c r="CX361">
        <f t="shared" si="326"/>
        <v>0</v>
      </c>
      <c r="CY361">
        <f>S361*(BZ361/100)</f>
        <v>0</v>
      </c>
      <c r="CZ361">
        <f>S361*(CA361/100)</f>
        <v>0</v>
      </c>
      <c r="DC361" t="s">
        <v>3</v>
      </c>
      <c r="DD361" t="s">
        <v>3</v>
      </c>
      <c r="DE361" t="s">
        <v>22</v>
      </c>
      <c r="DF361" t="s">
        <v>22</v>
      </c>
      <c r="DG361" t="s">
        <v>22</v>
      </c>
      <c r="DH361" t="s">
        <v>3</v>
      </c>
      <c r="DI361" t="s">
        <v>22</v>
      </c>
      <c r="DJ361" t="s">
        <v>22</v>
      </c>
      <c r="DK361" t="s">
        <v>3</v>
      </c>
      <c r="DL361" t="s">
        <v>3</v>
      </c>
      <c r="DM361" t="s">
        <v>3</v>
      </c>
      <c r="DN361">
        <v>161</v>
      </c>
      <c r="DO361">
        <v>107</v>
      </c>
      <c r="DP361">
        <v>1.0469999999999999</v>
      </c>
      <c r="DQ361">
        <v>1.03</v>
      </c>
      <c r="DU361">
        <v>1013</v>
      </c>
      <c r="DV361" t="s">
        <v>425</v>
      </c>
      <c r="DW361" t="s">
        <v>425</v>
      </c>
      <c r="DX361">
        <v>1</v>
      </c>
      <c r="DZ361" t="s">
        <v>3</v>
      </c>
      <c r="EA361" t="s">
        <v>3</v>
      </c>
      <c r="EB361" t="s">
        <v>3</v>
      </c>
      <c r="EC361" t="s">
        <v>3</v>
      </c>
      <c r="EE361">
        <v>51696187</v>
      </c>
      <c r="EF361">
        <v>30</v>
      </c>
      <c r="EG361" t="s">
        <v>16</v>
      </c>
      <c r="EH361">
        <v>0</v>
      </c>
      <c r="EI361" t="s">
        <v>3</v>
      </c>
      <c r="EJ361">
        <v>1</v>
      </c>
      <c r="EK361">
        <v>148</v>
      </c>
      <c r="EL361" t="s">
        <v>427</v>
      </c>
      <c r="EM361" t="s">
        <v>428</v>
      </c>
      <c r="EO361" t="s">
        <v>25</v>
      </c>
      <c r="EQ361">
        <v>131072</v>
      </c>
      <c r="ER361">
        <v>3969.91</v>
      </c>
      <c r="ES361">
        <v>3093.52</v>
      </c>
      <c r="ET361">
        <v>109.29</v>
      </c>
      <c r="EU361">
        <v>10.33</v>
      </c>
      <c r="EV361">
        <v>767.1</v>
      </c>
      <c r="EW361">
        <v>69.8</v>
      </c>
      <c r="EX361">
        <v>0</v>
      </c>
      <c r="EY361">
        <v>0</v>
      </c>
      <c r="FQ361">
        <v>0</v>
      </c>
      <c r="FR361">
        <v>0</v>
      </c>
      <c r="FS361">
        <v>0</v>
      </c>
      <c r="FX361">
        <v>161</v>
      </c>
      <c r="FY361">
        <v>107</v>
      </c>
      <c r="GA361" t="s">
        <v>3</v>
      </c>
      <c r="GD361">
        <v>0</v>
      </c>
      <c r="GF361">
        <v>1981713923</v>
      </c>
      <c r="GG361">
        <v>2</v>
      </c>
      <c r="GH361">
        <v>1</v>
      </c>
      <c r="GI361">
        <v>2</v>
      </c>
      <c r="GJ361">
        <v>0</v>
      </c>
      <c r="GK361">
        <f>ROUND(R361*(S12)/100,2)</f>
        <v>0</v>
      </c>
      <c r="GL361">
        <f t="shared" si="327"/>
        <v>0</v>
      </c>
      <c r="GM361">
        <f t="shared" si="328"/>
        <v>0</v>
      </c>
      <c r="GN361">
        <f t="shared" si="329"/>
        <v>0</v>
      </c>
      <c r="GO361">
        <f t="shared" si="330"/>
        <v>0</v>
      </c>
      <c r="GP361">
        <f t="shared" si="331"/>
        <v>0</v>
      </c>
      <c r="GR361">
        <v>0</v>
      </c>
      <c r="GS361">
        <v>3</v>
      </c>
      <c r="GT361">
        <v>0</v>
      </c>
      <c r="GU361" t="s">
        <v>3</v>
      </c>
      <c r="GV361">
        <f t="shared" si="332"/>
        <v>0</v>
      </c>
      <c r="GW361">
        <v>1</v>
      </c>
      <c r="GX361">
        <f t="shared" si="333"/>
        <v>0</v>
      </c>
      <c r="HA361">
        <v>0</v>
      </c>
      <c r="HB361">
        <v>0</v>
      </c>
      <c r="HC361">
        <f t="shared" si="334"/>
        <v>0</v>
      </c>
      <c r="HE361" t="s">
        <v>3</v>
      </c>
      <c r="HF361" t="s">
        <v>3</v>
      </c>
      <c r="HM361" t="s">
        <v>3</v>
      </c>
      <c r="HN361" t="s">
        <v>3</v>
      </c>
      <c r="HO361" t="s">
        <v>3</v>
      </c>
      <c r="HP361" t="s">
        <v>3</v>
      </c>
      <c r="HQ361" t="s">
        <v>3</v>
      </c>
      <c r="HS361">
        <v>0</v>
      </c>
      <c r="IK361">
        <v>0</v>
      </c>
    </row>
    <row r="363" spans="1:255" x14ac:dyDescent="0.2">
      <c r="A363" s="3">
        <v>51</v>
      </c>
      <c r="B363" s="3">
        <f>B332</f>
        <v>1</v>
      </c>
      <c r="C363" s="3">
        <f>A332</f>
        <v>5</v>
      </c>
      <c r="D363" s="3">
        <f>ROW(A332)</f>
        <v>332</v>
      </c>
      <c r="E363" s="3"/>
      <c r="F363" s="3" t="str">
        <f>IF(F332&lt;&gt;"",F332,"")</f>
        <v>Новый подраздел</v>
      </c>
      <c r="G363" s="3" t="str">
        <f>IF(G332&lt;&gt;"",G332,"")</f>
        <v>Тротуар</v>
      </c>
      <c r="H363" s="3">
        <v>0</v>
      </c>
      <c r="I363" s="3"/>
      <c r="J363" s="3"/>
      <c r="K363" s="3"/>
      <c r="L363" s="3"/>
      <c r="M363" s="3"/>
      <c r="N363" s="3"/>
      <c r="O363" s="3">
        <f t="shared" ref="O363:T363" si="337">ROUND(AB363,2)</f>
        <v>0</v>
      </c>
      <c r="P363" s="3">
        <f t="shared" si="337"/>
        <v>0</v>
      </c>
      <c r="Q363" s="3">
        <f t="shared" si="337"/>
        <v>0</v>
      </c>
      <c r="R363" s="3">
        <f t="shared" si="337"/>
        <v>0</v>
      </c>
      <c r="S363" s="3">
        <f t="shared" si="337"/>
        <v>0</v>
      </c>
      <c r="T363" s="3">
        <f t="shared" si="337"/>
        <v>0</v>
      </c>
      <c r="U363" s="3">
        <f>AH363</f>
        <v>0</v>
      </c>
      <c r="V363" s="3">
        <f>AI363</f>
        <v>0</v>
      </c>
      <c r="W363" s="3">
        <f>ROUND(AJ363,2)</f>
        <v>0</v>
      </c>
      <c r="X363" s="3">
        <f>ROUND(AK363,2)</f>
        <v>0</v>
      </c>
      <c r="Y363" s="3">
        <f>ROUND(AL363,2)</f>
        <v>0</v>
      </c>
      <c r="Z363" s="3"/>
      <c r="AA363" s="3"/>
      <c r="AB363" s="3">
        <f>ROUND(SUMIF(AA336:AA361,"=56622586",O336:O361),2)</f>
        <v>0</v>
      </c>
      <c r="AC363" s="3">
        <f>ROUND(SUMIF(AA336:AA361,"=56622586",P336:P361),2)</f>
        <v>0</v>
      </c>
      <c r="AD363" s="3">
        <f>ROUND(SUMIF(AA336:AA361,"=56622586",Q336:Q361),2)</f>
        <v>0</v>
      </c>
      <c r="AE363" s="3">
        <f>ROUND(SUMIF(AA336:AA361,"=56622586",R336:R361),2)</f>
        <v>0</v>
      </c>
      <c r="AF363" s="3">
        <f>ROUND(SUMIF(AA336:AA361,"=56622586",S336:S361),2)</f>
        <v>0</v>
      </c>
      <c r="AG363" s="3">
        <f>ROUND(SUMIF(AA336:AA361,"=56622586",T336:T361),2)</f>
        <v>0</v>
      </c>
      <c r="AH363" s="3">
        <f>SUMIF(AA336:AA361,"=56622586",U336:U361)</f>
        <v>0</v>
      </c>
      <c r="AI363" s="3">
        <f>SUMIF(AA336:AA361,"=56622586",V336:V361)</f>
        <v>0</v>
      </c>
      <c r="AJ363" s="3">
        <f>ROUND(SUMIF(AA336:AA361,"=56622586",W336:W361),2)</f>
        <v>0</v>
      </c>
      <c r="AK363" s="3">
        <f>ROUND(SUMIF(AA336:AA361,"=56622586",X336:X361),2)</f>
        <v>0</v>
      </c>
      <c r="AL363" s="3">
        <f>ROUND(SUMIF(AA336:AA361,"=56622586",Y336:Y361),2)</f>
        <v>0</v>
      </c>
      <c r="AM363" s="3"/>
      <c r="AN363" s="3"/>
      <c r="AO363" s="3">
        <f t="shared" ref="AO363:BD363" si="338">ROUND(BX363,2)</f>
        <v>0</v>
      </c>
      <c r="AP363" s="3">
        <f t="shared" si="338"/>
        <v>0</v>
      </c>
      <c r="AQ363" s="3">
        <f t="shared" si="338"/>
        <v>0</v>
      </c>
      <c r="AR363" s="3">
        <f t="shared" si="338"/>
        <v>0</v>
      </c>
      <c r="AS363" s="3">
        <f t="shared" si="338"/>
        <v>0</v>
      </c>
      <c r="AT363" s="3">
        <f t="shared" si="338"/>
        <v>0</v>
      </c>
      <c r="AU363" s="3">
        <f t="shared" si="338"/>
        <v>0</v>
      </c>
      <c r="AV363" s="3">
        <f t="shared" si="338"/>
        <v>0</v>
      </c>
      <c r="AW363" s="3">
        <f t="shared" si="338"/>
        <v>0</v>
      </c>
      <c r="AX363" s="3">
        <f t="shared" si="338"/>
        <v>0</v>
      </c>
      <c r="AY363" s="3">
        <f t="shared" si="338"/>
        <v>0</v>
      </c>
      <c r="AZ363" s="3">
        <f t="shared" si="338"/>
        <v>0</v>
      </c>
      <c r="BA363" s="3">
        <f t="shared" si="338"/>
        <v>0</v>
      </c>
      <c r="BB363" s="3">
        <f t="shared" si="338"/>
        <v>0</v>
      </c>
      <c r="BC363" s="3">
        <f t="shared" si="338"/>
        <v>0</v>
      </c>
      <c r="BD363" s="3">
        <f t="shared" si="338"/>
        <v>0</v>
      </c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>
        <f>ROUND(SUMIF(AA336:AA361,"=56622586",FQ336:FQ361),2)</f>
        <v>0</v>
      </c>
      <c r="BY363" s="3">
        <f>ROUND(SUMIF(AA336:AA361,"=56622586",FR336:FR361),2)</f>
        <v>0</v>
      </c>
      <c r="BZ363" s="3">
        <f>ROUND(SUMIF(AA336:AA361,"=56622586",GL336:GL361),2)</f>
        <v>0</v>
      </c>
      <c r="CA363" s="3">
        <f>ROUND(SUMIF(AA336:AA361,"=56622586",GM336:GM361),2)</f>
        <v>0</v>
      </c>
      <c r="CB363" s="3">
        <f>ROUND(SUMIF(AA336:AA361,"=56622586",GN336:GN361),2)</f>
        <v>0</v>
      </c>
      <c r="CC363" s="3">
        <f>ROUND(SUMIF(AA336:AA361,"=56622586",GO336:GO361),2)</f>
        <v>0</v>
      </c>
      <c r="CD363" s="3">
        <f>ROUND(SUMIF(AA336:AA361,"=56622586",GP336:GP361),2)</f>
        <v>0</v>
      </c>
      <c r="CE363" s="3">
        <f>AC363-BX363</f>
        <v>0</v>
      </c>
      <c r="CF363" s="3">
        <f>AC363-BY363</f>
        <v>0</v>
      </c>
      <c r="CG363" s="3">
        <f>BX363-BZ363</f>
        <v>0</v>
      </c>
      <c r="CH363" s="3">
        <f>AC363-BX363-BY363+BZ363</f>
        <v>0</v>
      </c>
      <c r="CI363" s="3">
        <f>BY363-BZ363</f>
        <v>0</v>
      </c>
      <c r="CJ363" s="3">
        <f>ROUND(SUMIF(AA336:AA361,"=56622586",GX336:GX361),2)</f>
        <v>0</v>
      </c>
      <c r="CK363" s="3">
        <f>ROUND(SUMIF(AA336:AA361,"=56622586",GY336:GY361),2)</f>
        <v>0</v>
      </c>
      <c r="CL363" s="3">
        <f>ROUND(SUMIF(AA336:AA361,"=56622586",GZ336:GZ361),2)</f>
        <v>0</v>
      </c>
      <c r="CM363" s="3">
        <f>ROUND(SUMIF(AA336:AA361,"=56622586",HD336:HD361),2)</f>
        <v>0</v>
      </c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4">
        <f t="shared" ref="DG363:DL363" si="339">ROUND(DT363,2)</f>
        <v>0</v>
      </c>
      <c r="DH363" s="4">
        <f t="shared" si="339"/>
        <v>0</v>
      </c>
      <c r="DI363" s="4">
        <f t="shared" si="339"/>
        <v>0</v>
      </c>
      <c r="DJ363" s="4">
        <f t="shared" si="339"/>
        <v>0</v>
      </c>
      <c r="DK363" s="4">
        <f t="shared" si="339"/>
        <v>0</v>
      </c>
      <c r="DL363" s="4">
        <f t="shared" si="339"/>
        <v>0</v>
      </c>
      <c r="DM363" s="4">
        <f>DZ363</f>
        <v>0</v>
      </c>
      <c r="DN363" s="4">
        <f>EA363</f>
        <v>0</v>
      </c>
      <c r="DO363" s="4">
        <f>ROUND(EB363,2)</f>
        <v>0</v>
      </c>
      <c r="DP363" s="4">
        <f>ROUND(EC363,2)</f>
        <v>0</v>
      </c>
      <c r="DQ363" s="4">
        <f>ROUND(ED363,2)</f>
        <v>0</v>
      </c>
      <c r="DR363" s="4"/>
      <c r="DS363" s="4"/>
      <c r="DT363" s="4">
        <f>ROUND(SUMIF(AA336:AA361,"=56616093",O336:O361),2)</f>
        <v>0</v>
      </c>
      <c r="DU363" s="4">
        <f>ROUND(SUMIF(AA336:AA361,"=56616093",P336:P361),2)</f>
        <v>0</v>
      </c>
      <c r="DV363" s="4">
        <f>ROUND(SUMIF(AA336:AA361,"=56616093",Q336:Q361),2)</f>
        <v>0</v>
      </c>
      <c r="DW363" s="4">
        <f>ROUND(SUMIF(AA336:AA361,"=56616093",R336:R361),2)</f>
        <v>0</v>
      </c>
      <c r="DX363" s="4">
        <f>ROUND(SUMIF(AA336:AA361,"=56616093",S336:S361),2)</f>
        <v>0</v>
      </c>
      <c r="DY363" s="4">
        <f>ROUND(SUMIF(AA336:AA361,"=56616093",T336:T361),2)</f>
        <v>0</v>
      </c>
      <c r="DZ363" s="4">
        <f>SUMIF(AA336:AA361,"=56616093",U336:U361)</f>
        <v>0</v>
      </c>
      <c r="EA363" s="4">
        <f>SUMIF(AA336:AA361,"=56616093",V336:V361)</f>
        <v>0</v>
      </c>
      <c r="EB363" s="4">
        <f>ROUND(SUMIF(AA336:AA361,"=56616093",W336:W361),2)</f>
        <v>0</v>
      </c>
      <c r="EC363" s="4">
        <f>ROUND(SUMIF(AA336:AA361,"=56616093",X336:X361),2)</f>
        <v>0</v>
      </c>
      <c r="ED363" s="4">
        <f>ROUND(SUMIF(AA336:AA361,"=56616093",Y336:Y361),2)</f>
        <v>0</v>
      </c>
      <c r="EE363" s="4"/>
      <c r="EF363" s="4"/>
      <c r="EG363" s="4">
        <f t="shared" ref="EG363:EV363" si="340">ROUND(FP363,2)</f>
        <v>0</v>
      </c>
      <c r="EH363" s="4">
        <f t="shared" si="340"/>
        <v>0</v>
      </c>
      <c r="EI363" s="4">
        <f t="shared" si="340"/>
        <v>0</v>
      </c>
      <c r="EJ363" s="4">
        <f t="shared" si="340"/>
        <v>0</v>
      </c>
      <c r="EK363" s="4">
        <f t="shared" si="340"/>
        <v>0</v>
      </c>
      <c r="EL363" s="4">
        <f t="shared" si="340"/>
        <v>0</v>
      </c>
      <c r="EM363" s="4">
        <f t="shared" si="340"/>
        <v>0</v>
      </c>
      <c r="EN363" s="4">
        <f t="shared" si="340"/>
        <v>0</v>
      </c>
      <c r="EO363" s="4">
        <f t="shared" si="340"/>
        <v>0</v>
      </c>
      <c r="EP363" s="4">
        <f t="shared" si="340"/>
        <v>0</v>
      </c>
      <c r="EQ363" s="4">
        <f t="shared" si="340"/>
        <v>0</v>
      </c>
      <c r="ER363" s="4">
        <f t="shared" si="340"/>
        <v>0</v>
      </c>
      <c r="ES363" s="4">
        <f t="shared" si="340"/>
        <v>0</v>
      </c>
      <c r="ET363" s="4">
        <f t="shared" si="340"/>
        <v>0</v>
      </c>
      <c r="EU363" s="4">
        <f t="shared" si="340"/>
        <v>0</v>
      </c>
      <c r="EV363" s="4">
        <f t="shared" si="340"/>
        <v>0</v>
      </c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>
        <f>ROUND(SUMIF(AA336:AA361,"=56616093",FQ336:FQ361),2)</f>
        <v>0</v>
      </c>
      <c r="FQ363" s="4">
        <f>ROUND(SUMIF(AA336:AA361,"=56616093",FR336:FR361),2)</f>
        <v>0</v>
      </c>
      <c r="FR363" s="4">
        <f>ROUND(SUMIF(AA336:AA361,"=56616093",GL336:GL361),2)</f>
        <v>0</v>
      </c>
      <c r="FS363" s="4">
        <f>ROUND(SUMIF(AA336:AA361,"=56616093",GM336:GM361),2)</f>
        <v>0</v>
      </c>
      <c r="FT363" s="4">
        <f>ROUND(SUMIF(AA336:AA361,"=56616093",GN336:GN361),2)</f>
        <v>0</v>
      </c>
      <c r="FU363" s="4">
        <f>ROUND(SUMIF(AA336:AA361,"=56616093",GO336:GO361),2)</f>
        <v>0</v>
      </c>
      <c r="FV363" s="4">
        <f>ROUND(SUMIF(AA336:AA361,"=56616093",GP336:GP361),2)</f>
        <v>0</v>
      </c>
      <c r="FW363" s="4">
        <f>DU363-FP363</f>
        <v>0</v>
      </c>
      <c r="FX363" s="4">
        <f>DU363-FQ363</f>
        <v>0</v>
      </c>
      <c r="FY363" s="4">
        <f>FP363-FR363</f>
        <v>0</v>
      </c>
      <c r="FZ363" s="4">
        <f>DU363-FP363-FQ363+FR363</f>
        <v>0</v>
      </c>
      <c r="GA363" s="4">
        <f>FQ363-FR363</f>
        <v>0</v>
      </c>
      <c r="GB363" s="4">
        <f>ROUND(SUMIF(AA336:AA361,"=56616093",GX336:GX361),2)</f>
        <v>0</v>
      </c>
      <c r="GC363" s="4">
        <f>ROUND(SUMIF(AA336:AA361,"=56616093",GY336:GY361),2)</f>
        <v>0</v>
      </c>
      <c r="GD363" s="4">
        <f>ROUND(SUMIF(AA336:AA361,"=56616093",GZ336:GZ361),2)</f>
        <v>0</v>
      </c>
      <c r="GE363" s="4">
        <f>ROUND(SUMIF(AA336:AA361,"=56616093",HD336:HD361),2)</f>
        <v>0</v>
      </c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>
        <v>0</v>
      </c>
    </row>
    <row r="365" spans="1:255" x14ac:dyDescent="0.2">
      <c r="A365" s="5">
        <v>50</v>
      </c>
      <c r="B365" s="5">
        <v>0</v>
      </c>
      <c r="C365" s="5">
        <v>0</v>
      </c>
      <c r="D365" s="5">
        <v>1</v>
      </c>
      <c r="E365" s="5">
        <v>201</v>
      </c>
      <c r="F365" s="5">
        <f>ROUND(Source!O363,O365)</f>
        <v>0</v>
      </c>
      <c r="G365" s="5" t="s">
        <v>106</v>
      </c>
      <c r="H365" s="5" t="s">
        <v>107</v>
      </c>
      <c r="I365" s="5"/>
      <c r="J365" s="5"/>
      <c r="K365" s="5">
        <v>201</v>
      </c>
      <c r="L365" s="5">
        <v>1</v>
      </c>
      <c r="M365" s="5">
        <v>3</v>
      </c>
      <c r="N365" s="5" t="s">
        <v>3</v>
      </c>
      <c r="O365" s="5">
        <v>2</v>
      </c>
      <c r="P365" s="5">
        <f>ROUND(Source!DG363,O365)</f>
        <v>0</v>
      </c>
      <c r="Q365" s="5"/>
      <c r="R365" s="5"/>
      <c r="S365" s="5"/>
      <c r="T365" s="5"/>
      <c r="U365" s="5"/>
      <c r="V365" s="5"/>
      <c r="W365" s="5">
        <v>0</v>
      </c>
      <c r="X365" s="5">
        <v>1</v>
      </c>
      <c r="Y365" s="5">
        <v>0</v>
      </c>
      <c r="Z365" s="5">
        <v>0</v>
      </c>
      <c r="AA365" s="5">
        <v>1</v>
      </c>
      <c r="AB365" s="5">
        <v>0</v>
      </c>
    </row>
    <row r="366" spans="1:255" x14ac:dyDescent="0.2">
      <c r="A366" s="5">
        <v>50</v>
      </c>
      <c r="B366" s="5">
        <v>0</v>
      </c>
      <c r="C366" s="5">
        <v>0</v>
      </c>
      <c r="D366" s="5">
        <v>1</v>
      </c>
      <c r="E366" s="5">
        <v>202</v>
      </c>
      <c r="F366" s="5">
        <f>ROUND(Source!P363,O366)</f>
        <v>0</v>
      </c>
      <c r="G366" s="5" t="s">
        <v>108</v>
      </c>
      <c r="H366" s="5" t="s">
        <v>109</v>
      </c>
      <c r="I366" s="5"/>
      <c r="J366" s="5"/>
      <c r="K366" s="5">
        <v>202</v>
      </c>
      <c r="L366" s="5">
        <v>2</v>
      </c>
      <c r="M366" s="5">
        <v>3</v>
      </c>
      <c r="N366" s="5" t="s">
        <v>3</v>
      </c>
      <c r="O366" s="5">
        <v>2</v>
      </c>
      <c r="P366" s="5">
        <f>ROUND(Source!DH363,O366)</f>
        <v>0</v>
      </c>
      <c r="Q366" s="5"/>
      <c r="R366" s="5"/>
      <c r="S366" s="5"/>
      <c r="T366" s="5"/>
      <c r="U366" s="5"/>
      <c r="V366" s="5"/>
      <c r="W366" s="5">
        <v>0</v>
      </c>
      <c r="X366" s="5">
        <v>1</v>
      </c>
      <c r="Y366" s="5">
        <v>0</v>
      </c>
      <c r="Z366" s="5">
        <v>0</v>
      </c>
      <c r="AA366" s="5">
        <v>1</v>
      </c>
      <c r="AB366" s="5">
        <v>0</v>
      </c>
    </row>
    <row r="367" spans="1:255" x14ac:dyDescent="0.2">
      <c r="A367" s="5">
        <v>50</v>
      </c>
      <c r="B367" s="5">
        <v>0</v>
      </c>
      <c r="C367" s="5">
        <v>0</v>
      </c>
      <c r="D367" s="5">
        <v>1</v>
      </c>
      <c r="E367" s="5">
        <v>222</v>
      </c>
      <c r="F367" s="5">
        <f>ROUND(Source!AO363,O367)</f>
        <v>0</v>
      </c>
      <c r="G367" s="5" t="s">
        <v>110</v>
      </c>
      <c r="H367" s="5" t="s">
        <v>111</v>
      </c>
      <c r="I367" s="5"/>
      <c r="J367" s="5"/>
      <c r="K367" s="5">
        <v>222</v>
      </c>
      <c r="L367" s="5">
        <v>3</v>
      </c>
      <c r="M367" s="5">
        <v>3</v>
      </c>
      <c r="N367" s="5" t="s">
        <v>3</v>
      </c>
      <c r="O367" s="5">
        <v>2</v>
      </c>
      <c r="P367" s="5">
        <f>ROUND(Source!EG363,O367)</f>
        <v>0</v>
      </c>
      <c r="Q367" s="5"/>
      <c r="R367" s="5"/>
      <c r="S367" s="5"/>
      <c r="T367" s="5"/>
      <c r="U367" s="5"/>
      <c r="V367" s="5"/>
      <c r="W367" s="5">
        <v>0</v>
      </c>
      <c r="X367" s="5">
        <v>1</v>
      </c>
      <c r="Y367" s="5">
        <v>0</v>
      </c>
      <c r="Z367" s="5">
        <v>0</v>
      </c>
      <c r="AA367" s="5">
        <v>1</v>
      </c>
      <c r="AB367" s="5">
        <v>0</v>
      </c>
    </row>
    <row r="368" spans="1:255" x14ac:dyDescent="0.2">
      <c r="A368" s="5">
        <v>50</v>
      </c>
      <c r="B368" s="5">
        <v>0</v>
      </c>
      <c r="C368" s="5">
        <v>0</v>
      </c>
      <c r="D368" s="5">
        <v>1</v>
      </c>
      <c r="E368" s="5">
        <v>225</v>
      </c>
      <c r="F368" s="5">
        <f>ROUND(Source!AV363,O368)</f>
        <v>0</v>
      </c>
      <c r="G368" s="5" t="s">
        <v>112</v>
      </c>
      <c r="H368" s="5" t="s">
        <v>113</v>
      </c>
      <c r="I368" s="5"/>
      <c r="J368" s="5"/>
      <c r="K368" s="5">
        <v>225</v>
      </c>
      <c r="L368" s="5">
        <v>4</v>
      </c>
      <c r="M368" s="5">
        <v>3</v>
      </c>
      <c r="N368" s="5" t="s">
        <v>3</v>
      </c>
      <c r="O368" s="5">
        <v>2</v>
      </c>
      <c r="P368" s="5">
        <f>ROUND(Source!EN363,O368)</f>
        <v>0</v>
      </c>
      <c r="Q368" s="5"/>
      <c r="R368" s="5"/>
      <c r="S368" s="5"/>
      <c r="T368" s="5"/>
      <c r="U368" s="5"/>
      <c r="V368" s="5"/>
      <c r="W368" s="5">
        <v>0</v>
      </c>
      <c r="X368" s="5">
        <v>1</v>
      </c>
      <c r="Y368" s="5">
        <v>0</v>
      </c>
      <c r="Z368" s="5">
        <v>0</v>
      </c>
      <c r="AA368" s="5">
        <v>1</v>
      </c>
      <c r="AB368" s="5">
        <v>0</v>
      </c>
    </row>
    <row r="369" spans="1:28" x14ac:dyDescent="0.2">
      <c r="A369" s="5">
        <v>50</v>
      </c>
      <c r="B369" s="5">
        <v>0</v>
      </c>
      <c r="C369" s="5">
        <v>0</v>
      </c>
      <c r="D369" s="5">
        <v>1</v>
      </c>
      <c r="E369" s="5">
        <v>226</v>
      </c>
      <c r="F369" s="5">
        <f>ROUND(Source!AW363,O369)</f>
        <v>0</v>
      </c>
      <c r="G369" s="5" t="s">
        <v>114</v>
      </c>
      <c r="H369" s="5" t="s">
        <v>115</v>
      </c>
      <c r="I369" s="5"/>
      <c r="J369" s="5"/>
      <c r="K369" s="5">
        <v>226</v>
      </c>
      <c r="L369" s="5">
        <v>5</v>
      </c>
      <c r="M369" s="5">
        <v>3</v>
      </c>
      <c r="N369" s="5" t="s">
        <v>3</v>
      </c>
      <c r="O369" s="5">
        <v>2</v>
      </c>
      <c r="P369" s="5">
        <f>ROUND(Source!EO363,O369)</f>
        <v>0</v>
      </c>
      <c r="Q369" s="5"/>
      <c r="R369" s="5"/>
      <c r="S369" s="5"/>
      <c r="T369" s="5"/>
      <c r="U369" s="5"/>
      <c r="V369" s="5"/>
      <c r="W369" s="5">
        <v>0</v>
      </c>
      <c r="X369" s="5">
        <v>1</v>
      </c>
      <c r="Y369" s="5">
        <v>0</v>
      </c>
      <c r="Z369" s="5">
        <v>0</v>
      </c>
      <c r="AA369" s="5">
        <v>1</v>
      </c>
      <c r="AB369" s="5">
        <v>0</v>
      </c>
    </row>
    <row r="370" spans="1:28" x14ac:dyDescent="0.2">
      <c r="A370" s="5">
        <v>50</v>
      </c>
      <c r="B370" s="5">
        <v>0</v>
      </c>
      <c r="C370" s="5">
        <v>0</v>
      </c>
      <c r="D370" s="5">
        <v>1</v>
      </c>
      <c r="E370" s="5">
        <v>227</v>
      </c>
      <c r="F370" s="5">
        <f>ROUND(Source!AX363,O370)</f>
        <v>0</v>
      </c>
      <c r="G370" s="5" t="s">
        <v>116</v>
      </c>
      <c r="H370" s="5" t="s">
        <v>117</v>
      </c>
      <c r="I370" s="5"/>
      <c r="J370" s="5"/>
      <c r="K370" s="5">
        <v>227</v>
      </c>
      <c r="L370" s="5">
        <v>6</v>
      </c>
      <c r="M370" s="5">
        <v>3</v>
      </c>
      <c r="N370" s="5" t="s">
        <v>3</v>
      </c>
      <c r="O370" s="5">
        <v>2</v>
      </c>
      <c r="P370" s="5">
        <f>ROUND(Source!EP363,O370)</f>
        <v>0</v>
      </c>
      <c r="Q370" s="5"/>
      <c r="R370" s="5"/>
      <c r="S370" s="5"/>
      <c r="T370" s="5"/>
      <c r="U370" s="5"/>
      <c r="V370" s="5"/>
      <c r="W370" s="5">
        <v>0</v>
      </c>
      <c r="X370" s="5">
        <v>1</v>
      </c>
      <c r="Y370" s="5">
        <v>0</v>
      </c>
      <c r="Z370" s="5">
        <v>0</v>
      </c>
      <c r="AA370" s="5">
        <v>1</v>
      </c>
      <c r="AB370" s="5">
        <v>0</v>
      </c>
    </row>
    <row r="371" spans="1:28" x14ac:dyDescent="0.2">
      <c r="A371" s="5">
        <v>50</v>
      </c>
      <c r="B371" s="5">
        <v>0</v>
      </c>
      <c r="C371" s="5">
        <v>0</v>
      </c>
      <c r="D371" s="5">
        <v>1</v>
      </c>
      <c r="E371" s="5">
        <v>228</v>
      </c>
      <c r="F371" s="5">
        <f>ROUND(Source!AY363,O371)</f>
        <v>0</v>
      </c>
      <c r="G371" s="5" t="s">
        <v>118</v>
      </c>
      <c r="H371" s="5" t="s">
        <v>119</v>
      </c>
      <c r="I371" s="5"/>
      <c r="J371" s="5"/>
      <c r="K371" s="5">
        <v>228</v>
      </c>
      <c r="L371" s="5">
        <v>7</v>
      </c>
      <c r="M371" s="5">
        <v>3</v>
      </c>
      <c r="N371" s="5" t="s">
        <v>3</v>
      </c>
      <c r="O371" s="5">
        <v>2</v>
      </c>
      <c r="P371" s="5">
        <f>ROUND(Source!EQ363,O371)</f>
        <v>0</v>
      </c>
      <c r="Q371" s="5"/>
      <c r="R371" s="5"/>
      <c r="S371" s="5"/>
      <c r="T371" s="5"/>
      <c r="U371" s="5"/>
      <c r="V371" s="5"/>
      <c r="W371" s="5">
        <v>0</v>
      </c>
      <c r="X371" s="5">
        <v>1</v>
      </c>
      <c r="Y371" s="5">
        <v>0</v>
      </c>
      <c r="Z371" s="5">
        <v>0</v>
      </c>
      <c r="AA371" s="5">
        <v>1</v>
      </c>
      <c r="AB371" s="5">
        <v>0</v>
      </c>
    </row>
    <row r="372" spans="1:28" x14ac:dyDescent="0.2">
      <c r="A372" s="5">
        <v>50</v>
      </c>
      <c r="B372" s="5">
        <v>0</v>
      </c>
      <c r="C372" s="5">
        <v>0</v>
      </c>
      <c r="D372" s="5">
        <v>1</v>
      </c>
      <c r="E372" s="5">
        <v>216</v>
      </c>
      <c r="F372" s="5">
        <f>ROUND(Source!AP363,O372)</f>
        <v>0</v>
      </c>
      <c r="G372" s="5" t="s">
        <v>120</v>
      </c>
      <c r="H372" s="5" t="s">
        <v>121</v>
      </c>
      <c r="I372" s="5"/>
      <c r="J372" s="5"/>
      <c r="K372" s="5">
        <v>216</v>
      </c>
      <c r="L372" s="5">
        <v>8</v>
      </c>
      <c r="M372" s="5">
        <v>3</v>
      </c>
      <c r="N372" s="5" t="s">
        <v>3</v>
      </c>
      <c r="O372" s="5">
        <v>2</v>
      </c>
      <c r="P372" s="5">
        <f>ROUND(Source!EH363,O372)</f>
        <v>0</v>
      </c>
      <c r="Q372" s="5"/>
      <c r="R372" s="5"/>
      <c r="S372" s="5"/>
      <c r="T372" s="5"/>
      <c r="U372" s="5"/>
      <c r="V372" s="5"/>
      <c r="W372" s="5">
        <v>0</v>
      </c>
      <c r="X372" s="5">
        <v>1</v>
      </c>
      <c r="Y372" s="5">
        <v>0</v>
      </c>
      <c r="Z372" s="5">
        <v>0</v>
      </c>
      <c r="AA372" s="5">
        <v>1</v>
      </c>
      <c r="AB372" s="5">
        <v>0</v>
      </c>
    </row>
    <row r="373" spans="1:28" x14ac:dyDescent="0.2">
      <c r="A373" s="5">
        <v>50</v>
      </c>
      <c r="B373" s="5">
        <v>0</v>
      </c>
      <c r="C373" s="5">
        <v>0</v>
      </c>
      <c r="D373" s="5">
        <v>1</v>
      </c>
      <c r="E373" s="5">
        <v>223</v>
      </c>
      <c r="F373" s="5">
        <f>ROUND(Source!AQ363,O373)</f>
        <v>0</v>
      </c>
      <c r="G373" s="5" t="s">
        <v>122</v>
      </c>
      <c r="H373" s="5" t="s">
        <v>123</v>
      </c>
      <c r="I373" s="5"/>
      <c r="J373" s="5"/>
      <c r="K373" s="5">
        <v>223</v>
      </c>
      <c r="L373" s="5">
        <v>9</v>
      </c>
      <c r="M373" s="5">
        <v>3</v>
      </c>
      <c r="N373" s="5" t="s">
        <v>3</v>
      </c>
      <c r="O373" s="5">
        <v>2</v>
      </c>
      <c r="P373" s="5">
        <f>ROUND(Source!EI363,O373)</f>
        <v>0</v>
      </c>
      <c r="Q373" s="5"/>
      <c r="R373" s="5"/>
      <c r="S373" s="5"/>
      <c r="T373" s="5"/>
      <c r="U373" s="5"/>
      <c r="V373" s="5"/>
      <c r="W373" s="5">
        <v>0</v>
      </c>
      <c r="X373" s="5">
        <v>1</v>
      </c>
      <c r="Y373" s="5">
        <v>0</v>
      </c>
      <c r="Z373" s="5">
        <v>0</v>
      </c>
      <c r="AA373" s="5">
        <v>1</v>
      </c>
      <c r="AB373" s="5">
        <v>0</v>
      </c>
    </row>
    <row r="374" spans="1:28" x14ac:dyDescent="0.2">
      <c r="A374" s="5">
        <v>50</v>
      </c>
      <c r="B374" s="5">
        <v>0</v>
      </c>
      <c r="C374" s="5">
        <v>0</v>
      </c>
      <c r="D374" s="5">
        <v>1</v>
      </c>
      <c r="E374" s="5">
        <v>229</v>
      </c>
      <c r="F374" s="5">
        <f>ROUND(Source!AZ363,O374)</f>
        <v>0</v>
      </c>
      <c r="G374" s="5" t="s">
        <v>124</v>
      </c>
      <c r="H374" s="5" t="s">
        <v>125</v>
      </c>
      <c r="I374" s="5"/>
      <c r="J374" s="5"/>
      <c r="K374" s="5">
        <v>229</v>
      </c>
      <c r="L374" s="5">
        <v>10</v>
      </c>
      <c r="M374" s="5">
        <v>3</v>
      </c>
      <c r="N374" s="5" t="s">
        <v>3</v>
      </c>
      <c r="O374" s="5">
        <v>2</v>
      </c>
      <c r="P374" s="5">
        <f>ROUND(Source!ER363,O374)</f>
        <v>0</v>
      </c>
      <c r="Q374" s="5"/>
      <c r="R374" s="5"/>
      <c r="S374" s="5"/>
      <c r="T374" s="5"/>
      <c r="U374" s="5"/>
      <c r="V374" s="5"/>
      <c r="W374" s="5">
        <v>0</v>
      </c>
      <c r="X374" s="5">
        <v>1</v>
      </c>
      <c r="Y374" s="5">
        <v>0</v>
      </c>
      <c r="Z374" s="5">
        <v>0</v>
      </c>
      <c r="AA374" s="5">
        <v>1</v>
      </c>
      <c r="AB374" s="5">
        <v>0</v>
      </c>
    </row>
    <row r="375" spans="1:28" x14ac:dyDescent="0.2">
      <c r="A375" s="5">
        <v>50</v>
      </c>
      <c r="B375" s="5">
        <v>0</v>
      </c>
      <c r="C375" s="5">
        <v>0</v>
      </c>
      <c r="D375" s="5">
        <v>1</v>
      </c>
      <c r="E375" s="5">
        <v>203</v>
      </c>
      <c r="F375" s="5">
        <f>ROUND(Source!Q363,O375)</f>
        <v>0</v>
      </c>
      <c r="G375" s="5" t="s">
        <v>126</v>
      </c>
      <c r="H375" s="5" t="s">
        <v>127</v>
      </c>
      <c r="I375" s="5"/>
      <c r="J375" s="5"/>
      <c r="K375" s="5">
        <v>203</v>
      </c>
      <c r="L375" s="5">
        <v>11</v>
      </c>
      <c r="M375" s="5">
        <v>3</v>
      </c>
      <c r="N375" s="5" t="s">
        <v>3</v>
      </c>
      <c r="O375" s="5">
        <v>2</v>
      </c>
      <c r="P375" s="5">
        <f>ROUND(Source!DI363,O375)</f>
        <v>0</v>
      </c>
      <c r="Q375" s="5"/>
      <c r="R375" s="5"/>
      <c r="S375" s="5"/>
      <c r="T375" s="5"/>
      <c r="U375" s="5"/>
      <c r="V375" s="5"/>
      <c r="W375" s="5">
        <v>0</v>
      </c>
      <c r="X375" s="5">
        <v>1</v>
      </c>
      <c r="Y375" s="5">
        <v>0</v>
      </c>
      <c r="Z375" s="5">
        <v>0</v>
      </c>
      <c r="AA375" s="5">
        <v>1</v>
      </c>
      <c r="AB375" s="5">
        <v>0</v>
      </c>
    </row>
    <row r="376" spans="1:28" x14ac:dyDescent="0.2">
      <c r="A376" s="5">
        <v>50</v>
      </c>
      <c r="B376" s="5">
        <v>0</v>
      </c>
      <c r="C376" s="5">
        <v>0</v>
      </c>
      <c r="D376" s="5">
        <v>1</v>
      </c>
      <c r="E376" s="5">
        <v>231</v>
      </c>
      <c r="F376" s="5">
        <f>ROUND(Source!BB363,O376)</f>
        <v>0</v>
      </c>
      <c r="G376" s="5" t="s">
        <v>128</v>
      </c>
      <c r="H376" s="5" t="s">
        <v>129</v>
      </c>
      <c r="I376" s="5"/>
      <c r="J376" s="5"/>
      <c r="K376" s="5">
        <v>231</v>
      </c>
      <c r="L376" s="5">
        <v>12</v>
      </c>
      <c r="M376" s="5">
        <v>3</v>
      </c>
      <c r="N376" s="5" t="s">
        <v>3</v>
      </c>
      <c r="O376" s="5">
        <v>2</v>
      </c>
      <c r="P376" s="5">
        <f>ROUND(Source!ET363,O376)</f>
        <v>0</v>
      </c>
      <c r="Q376" s="5"/>
      <c r="R376" s="5"/>
      <c r="S376" s="5"/>
      <c r="T376" s="5"/>
      <c r="U376" s="5"/>
      <c r="V376" s="5"/>
      <c r="W376" s="5">
        <v>0</v>
      </c>
      <c r="X376" s="5">
        <v>1</v>
      </c>
      <c r="Y376" s="5">
        <v>0</v>
      </c>
      <c r="Z376" s="5">
        <v>0</v>
      </c>
      <c r="AA376" s="5">
        <v>1</v>
      </c>
      <c r="AB376" s="5">
        <v>0</v>
      </c>
    </row>
    <row r="377" spans="1:28" x14ac:dyDescent="0.2">
      <c r="A377" s="5">
        <v>50</v>
      </c>
      <c r="B377" s="5">
        <v>0</v>
      </c>
      <c r="C377" s="5">
        <v>0</v>
      </c>
      <c r="D377" s="5">
        <v>1</v>
      </c>
      <c r="E377" s="5">
        <v>204</v>
      </c>
      <c r="F377" s="5">
        <f>ROUND(Source!R363,O377)</f>
        <v>0</v>
      </c>
      <c r="G377" s="5" t="s">
        <v>130</v>
      </c>
      <c r="H377" s="5" t="s">
        <v>131</v>
      </c>
      <c r="I377" s="5"/>
      <c r="J377" s="5"/>
      <c r="K377" s="5">
        <v>204</v>
      </c>
      <c r="L377" s="5">
        <v>13</v>
      </c>
      <c r="M377" s="5">
        <v>3</v>
      </c>
      <c r="N377" s="5" t="s">
        <v>3</v>
      </c>
      <c r="O377" s="5">
        <v>2</v>
      </c>
      <c r="P377" s="5">
        <f>ROUND(Source!DJ363,O377)</f>
        <v>0</v>
      </c>
      <c r="Q377" s="5"/>
      <c r="R377" s="5"/>
      <c r="S377" s="5"/>
      <c r="T377" s="5"/>
      <c r="U377" s="5"/>
      <c r="V377" s="5"/>
      <c r="W377" s="5">
        <v>0</v>
      </c>
      <c r="X377" s="5">
        <v>1</v>
      </c>
      <c r="Y377" s="5">
        <v>0</v>
      </c>
      <c r="Z377" s="5">
        <v>0</v>
      </c>
      <c r="AA377" s="5">
        <v>1</v>
      </c>
      <c r="AB377" s="5">
        <v>0</v>
      </c>
    </row>
    <row r="378" spans="1:28" x14ac:dyDescent="0.2">
      <c r="A378" s="5">
        <v>50</v>
      </c>
      <c r="B378" s="5">
        <v>0</v>
      </c>
      <c r="C378" s="5">
        <v>0</v>
      </c>
      <c r="D378" s="5">
        <v>1</v>
      </c>
      <c r="E378" s="5">
        <v>205</v>
      </c>
      <c r="F378" s="5">
        <f>ROUND(Source!S363,O378)</f>
        <v>0</v>
      </c>
      <c r="G378" s="5" t="s">
        <v>132</v>
      </c>
      <c r="H378" s="5" t="s">
        <v>133</v>
      </c>
      <c r="I378" s="5"/>
      <c r="J378" s="5"/>
      <c r="K378" s="5">
        <v>205</v>
      </c>
      <c r="L378" s="5">
        <v>14</v>
      </c>
      <c r="M378" s="5">
        <v>3</v>
      </c>
      <c r="N378" s="5" t="s">
        <v>3</v>
      </c>
      <c r="O378" s="5">
        <v>2</v>
      </c>
      <c r="P378" s="5">
        <f>ROUND(Source!DK363,O378)</f>
        <v>0</v>
      </c>
      <c r="Q378" s="5"/>
      <c r="R378" s="5"/>
      <c r="S378" s="5"/>
      <c r="T378" s="5"/>
      <c r="U378" s="5"/>
      <c r="V378" s="5"/>
      <c r="W378" s="5">
        <v>0</v>
      </c>
      <c r="X378" s="5">
        <v>1</v>
      </c>
      <c r="Y378" s="5">
        <v>0</v>
      </c>
      <c r="Z378" s="5">
        <v>0</v>
      </c>
      <c r="AA378" s="5">
        <v>1</v>
      </c>
      <c r="AB378" s="5">
        <v>0</v>
      </c>
    </row>
    <row r="379" spans="1:28" x14ac:dyDescent="0.2">
      <c r="A379" s="5">
        <v>50</v>
      </c>
      <c r="B379" s="5">
        <v>0</v>
      </c>
      <c r="C379" s="5">
        <v>0</v>
      </c>
      <c r="D379" s="5">
        <v>1</v>
      </c>
      <c r="E379" s="5">
        <v>232</v>
      </c>
      <c r="F379" s="5">
        <f>ROUND(Source!BC363,O379)</f>
        <v>0</v>
      </c>
      <c r="G379" s="5" t="s">
        <v>134</v>
      </c>
      <c r="H379" s="5" t="s">
        <v>135</v>
      </c>
      <c r="I379" s="5"/>
      <c r="J379" s="5"/>
      <c r="K379" s="5">
        <v>232</v>
      </c>
      <c r="L379" s="5">
        <v>15</v>
      </c>
      <c r="M379" s="5">
        <v>3</v>
      </c>
      <c r="N379" s="5" t="s">
        <v>3</v>
      </c>
      <c r="O379" s="5">
        <v>2</v>
      </c>
      <c r="P379" s="5">
        <f>ROUND(Source!EU363,O379)</f>
        <v>0</v>
      </c>
      <c r="Q379" s="5"/>
      <c r="R379" s="5"/>
      <c r="S379" s="5"/>
      <c r="T379" s="5"/>
      <c r="U379" s="5"/>
      <c r="V379" s="5"/>
      <c r="W379" s="5">
        <v>0</v>
      </c>
      <c r="X379" s="5">
        <v>1</v>
      </c>
      <c r="Y379" s="5">
        <v>0</v>
      </c>
      <c r="Z379" s="5">
        <v>0</v>
      </c>
      <c r="AA379" s="5">
        <v>1</v>
      </c>
      <c r="AB379" s="5">
        <v>0</v>
      </c>
    </row>
    <row r="380" spans="1:28" x14ac:dyDescent="0.2">
      <c r="A380" s="5">
        <v>50</v>
      </c>
      <c r="B380" s="5">
        <v>0</v>
      </c>
      <c r="C380" s="5">
        <v>0</v>
      </c>
      <c r="D380" s="5">
        <v>1</v>
      </c>
      <c r="E380" s="5">
        <v>214</v>
      </c>
      <c r="F380" s="5">
        <f>ROUND(Source!AS363,O380)</f>
        <v>0</v>
      </c>
      <c r="G380" s="5" t="s">
        <v>136</v>
      </c>
      <c r="H380" s="5" t="s">
        <v>137</v>
      </c>
      <c r="I380" s="5"/>
      <c r="J380" s="5"/>
      <c r="K380" s="5">
        <v>214</v>
      </c>
      <c r="L380" s="5">
        <v>16</v>
      </c>
      <c r="M380" s="5">
        <v>3</v>
      </c>
      <c r="N380" s="5" t="s">
        <v>3</v>
      </c>
      <c r="O380" s="5">
        <v>2</v>
      </c>
      <c r="P380" s="5">
        <f>ROUND(Source!EK363,O380)</f>
        <v>0</v>
      </c>
      <c r="Q380" s="5"/>
      <c r="R380" s="5"/>
      <c r="S380" s="5"/>
      <c r="T380" s="5"/>
      <c r="U380" s="5"/>
      <c r="V380" s="5"/>
      <c r="W380" s="5">
        <v>0</v>
      </c>
      <c r="X380" s="5">
        <v>1</v>
      </c>
      <c r="Y380" s="5">
        <v>0</v>
      </c>
      <c r="Z380" s="5">
        <v>0</v>
      </c>
      <c r="AA380" s="5">
        <v>1</v>
      </c>
      <c r="AB380" s="5">
        <v>0</v>
      </c>
    </row>
    <row r="381" spans="1:28" x14ac:dyDescent="0.2">
      <c r="A381" s="5">
        <v>50</v>
      </c>
      <c r="B381" s="5">
        <v>0</v>
      </c>
      <c r="C381" s="5">
        <v>0</v>
      </c>
      <c r="D381" s="5">
        <v>1</v>
      </c>
      <c r="E381" s="5">
        <v>215</v>
      </c>
      <c r="F381" s="5">
        <f>ROUND(Source!AT363,O381)</f>
        <v>0</v>
      </c>
      <c r="G381" s="5" t="s">
        <v>138</v>
      </c>
      <c r="H381" s="5" t="s">
        <v>139</v>
      </c>
      <c r="I381" s="5"/>
      <c r="J381" s="5"/>
      <c r="K381" s="5">
        <v>215</v>
      </c>
      <c r="L381" s="5">
        <v>17</v>
      </c>
      <c r="M381" s="5">
        <v>3</v>
      </c>
      <c r="N381" s="5" t="s">
        <v>3</v>
      </c>
      <c r="O381" s="5">
        <v>2</v>
      </c>
      <c r="P381" s="5">
        <f>ROUND(Source!EL363,O381)</f>
        <v>0</v>
      </c>
      <c r="Q381" s="5"/>
      <c r="R381" s="5"/>
      <c r="S381" s="5"/>
      <c r="T381" s="5"/>
      <c r="U381" s="5"/>
      <c r="V381" s="5"/>
      <c r="W381" s="5">
        <v>0</v>
      </c>
      <c r="X381" s="5">
        <v>1</v>
      </c>
      <c r="Y381" s="5">
        <v>0</v>
      </c>
      <c r="Z381" s="5">
        <v>0</v>
      </c>
      <c r="AA381" s="5">
        <v>1</v>
      </c>
      <c r="AB381" s="5">
        <v>0</v>
      </c>
    </row>
    <row r="382" spans="1:28" x14ac:dyDescent="0.2">
      <c r="A382" s="5">
        <v>50</v>
      </c>
      <c r="B382" s="5">
        <v>0</v>
      </c>
      <c r="C382" s="5">
        <v>0</v>
      </c>
      <c r="D382" s="5">
        <v>1</v>
      </c>
      <c r="E382" s="5">
        <v>217</v>
      </c>
      <c r="F382" s="5">
        <f>ROUND(Source!AU363,O382)</f>
        <v>0</v>
      </c>
      <c r="G382" s="5" t="s">
        <v>140</v>
      </c>
      <c r="H382" s="5" t="s">
        <v>141</v>
      </c>
      <c r="I382" s="5"/>
      <c r="J382" s="5"/>
      <c r="K382" s="5">
        <v>217</v>
      </c>
      <c r="L382" s="5">
        <v>18</v>
      </c>
      <c r="M382" s="5">
        <v>3</v>
      </c>
      <c r="N382" s="5" t="s">
        <v>3</v>
      </c>
      <c r="O382" s="5">
        <v>2</v>
      </c>
      <c r="P382" s="5">
        <f>ROUND(Source!EM363,O382)</f>
        <v>0</v>
      </c>
      <c r="Q382" s="5"/>
      <c r="R382" s="5"/>
      <c r="S382" s="5"/>
      <c r="T382" s="5"/>
      <c r="U382" s="5"/>
      <c r="V382" s="5"/>
      <c r="W382" s="5">
        <v>0</v>
      </c>
      <c r="X382" s="5">
        <v>1</v>
      </c>
      <c r="Y382" s="5">
        <v>0</v>
      </c>
      <c r="Z382" s="5">
        <v>0</v>
      </c>
      <c r="AA382" s="5">
        <v>1</v>
      </c>
      <c r="AB382" s="5">
        <v>0</v>
      </c>
    </row>
    <row r="383" spans="1:28" x14ac:dyDescent="0.2">
      <c r="A383" s="5">
        <v>50</v>
      </c>
      <c r="B383" s="5">
        <v>0</v>
      </c>
      <c r="C383" s="5">
        <v>0</v>
      </c>
      <c r="D383" s="5">
        <v>1</v>
      </c>
      <c r="E383" s="5">
        <v>230</v>
      </c>
      <c r="F383" s="5">
        <f>ROUND(Source!BA363,O383)</f>
        <v>0</v>
      </c>
      <c r="G383" s="5" t="s">
        <v>142</v>
      </c>
      <c r="H383" s="5" t="s">
        <v>143</v>
      </c>
      <c r="I383" s="5"/>
      <c r="J383" s="5"/>
      <c r="K383" s="5">
        <v>230</v>
      </c>
      <c r="L383" s="5">
        <v>19</v>
      </c>
      <c r="M383" s="5">
        <v>3</v>
      </c>
      <c r="N383" s="5" t="s">
        <v>3</v>
      </c>
      <c r="O383" s="5">
        <v>2</v>
      </c>
      <c r="P383" s="5">
        <f>ROUND(Source!ES363,O383)</f>
        <v>0</v>
      </c>
      <c r="Q383" s="5"/>
      <c r="R383" s="5"/>
      <c r="S383" s="5"/>
      <c r="T383" s="5"/>
      <c r="U383" s="5"/>
      <c r="V383" s="5"/>
      <c r="W383" s="5">
        <v>0</v>
      </c>
      <c r="X383" s="5">
        <v>1</v>
      </c>
      <c r="Y383" s="5">
        <v>0</v>
      </c>
      <c r="Z383" s="5">
        <v>0</v>
      </c>
      <c r="AA383" s="5">
        <v>1</v>
      </c>
      <c r="AB383" s="5">
        <v>0</v>
      </c>
    </row>
    <row r="384" spans="1:28" x14ac:dyDescent="0.2">
      <c r="A384" s="5">
        <v>50</v>
      </c>
      <c r="B384" s="5">
        <v>0</v>
      </c>
      <c r="C384" s="5">
        <v>0</v>
      </c>
      <c r="D384" s="5">
        <v>1</v>
      </c>
      <c r="E384" s="5">
        <v>206</v>
      </c>
      <c r="F384" s="5">
        <f>ROUND(Source!T363,O384)</f>
        <v>0</v>
      </c>
      <c r="G384" s="5" t="s">
        <v>144</v>
      </c>
      <c r="H384" s="5" t="s">
        <v>145</v>
      </c>
      <c r="I384" s="5"/>
      <c r="J384" s="5"/>
      <c r="K384" s="5">
        <v>206</v>
      </c>
      <c r="L384" s="5">
        <v>20</v>
      </c>
      <c r="M384" s="5">
        <v>3</v>
      </c>
      <c r="N384" s="5" t="s">
        <v>3</v>
      </c>
      <c r="O384" s="5">
        <v>2</v>
      </c>
      <c r="P384" s="5">
        <f>ROUND(Source!DL363,O384)</f>
        <v>0</v>
      </c>
      <c r="Q384" s="5"/>
      <c r="R384" s="5"/>
      <c r="S384" s="5"/>
      <c r="T384" s="5"/>
      <c r="U384" s="5"/>
      <c r="V384" s="5"/>
      <c r="W384" s="5">
        <v>0</v>
      </c>
      <c r="X384" s="5">
        <v>1</v>
      </c>
      <c r="Y384" s="5">
        <v>0</v>
      </c>
      <c r="Z384" s="5">
        <v>0</v>
      </c>
      <c r="AA384" s="5">
        <v>1</v>
      </c>
      <c r="AB384" s="5">
        <v>0</v>
      </c>
    </row>
    <row r="385" spans="1:206" x14ac:dyDescent="0.2">
      <c r="A385" s="5">
        <v>50</v>
      </c>
      <c r="B385" s="5">
        <v>0</v>
      </c>
      <c r="C385" s="5">
        <v>0</v>
      </c>
      <c r="D385" s="5">
        <v>1</v>
      </c>
      <c r="E385" s="5">
        <v>207</v>
      </c>
      <c r="F385" s="5">
        <f>Source!U363</f>
        <v>0</v>
      </c>
      <c r="G385" s="5" t="s">
        <v>146</v>
      </c>
      <c r="H385" s="5" t="s">
        <v>147</v>
      </c>
      <c r="I385" s="5"/>
      <c r="J385" s="5"/>
      <c r="K385" s="5">
        <v>207</v>
      </c>
      <c r="L385" s="5">
        <v>21</v>
      </c>
      <c r="M385" s="5">
        <v>3</v>
      </c>
      <c r="N385" s="5" t="s">
        <v>3</v>
      </c>
      <c r="O385" s="5">
        <v>-1</v>
      </c>
      <c r="P385" s="5">
        <f>Source!DM363</f>
        <v>0</v>
      </c>
      <c r="Q385" s="5"/>
      <c r="R385" s="5"/>
      <c r="S385" s="5"/>
      <c r="T385" s="5"/>
      <c r="U385" s="5"/>
      <c r="V385" s="5"/>
      <c r="W385" s="5">
        <v>0</v>
      </c>
      <c r="X385" s="5">
        <v>1</v>
      </c>
      <c r="Y385" s="5">
        <v>0</v>
      </c>
      <c r="Z385" s="5">
        <v>0</v>
      </c>
      <c r="AA385" s="5">
        <v>1</v>
      </c>
      <c r="AB385" s="5">
        <v>0</v>
      </c>
    </row>
    <row r="386" spans="1:206" x14ac:dyDescent="0.2">
      <c r="A386" s="5">
        <v>50</v>
      </c>
      <c r="B386" s="5">
        <v>0</v>
      </c>
      <c r="C386" s="5">
        <v>0</v>
      </c>
      <c r="D386" s="5">
        <v>1</v>
      </c>
      <c r="E386" s="5">
        <v>208</v>
      </c>
      <c r="F386" s="5">
        <f>Source!V363</f>
        <v>0</v>
      </c>
      <c r="G386" s="5" t="s">
        <v>148</v>
      </c>
      <c r="H386" s="5" t="s">
        <v>149</v>
      </c>
      <c r="I386" s="5"/>
      <c r="J386" s="5"/>
      <c r="K386" s="5">
        <v>208</v>
      </c>
      <c r="L386" s="5">
        <v>22</v>
      </c>
      <c r="M386" s="5">
        <v>3</v>
      </c>
      <c r="N386" s="5" t="s">
        <v>3</v>
      </c>
      <c r="O386" s="5">
        <v>-1</v>
      </c>
      <c r="P386" s="5">
        <f>Source!DN363</f>
        <v>0</v>
      </c>
      <c r="Q386" s="5"/>
      <c r="R386" s="5"/>
      <c r="S386" s="5"/>
      <c r="T386" s="5"/>
      <c r="U386" s="5"/>
      <c r="V386" s="5"/>
      <c r="W386" s="5">
        <v>0</v>
      </c>
      <c r="X386" s="5">
        <v>1</v>
      </c>
      <c r="Y386" s="5">
        <v>0</v>
      </c>
      <c r="Z386" s="5">
        <v>0</v>
      </c>
      <c r="AA386" s="5">
        <v>1</v>
      </c>
      <c r="AB386" s="5">
        <v>0</v>
      </c>
    </row>
    <row r="387" spans="1:206" x14ac:dyDescent="0.2">
      <c r="A387" s="5">
        <v>50</v>
      </c>
      <c r="B387" s="5">
        <v>0</v>
      </c>
      <c r="C387" s="5">
        <v>0</v>
      </c>
      <c r="D387" s="5">
        <v>1</v>
      </c>
      <c r="E387" s="5">
        <v>209</v>
      </c>
      <c r="F387" s="5">
        <f>ROUND(Source!W363,O387)</f>
        <v>0</v>
      </c>
      <c r="G387" s="5" t="s">
        <v>150</v>
      </c>
      <c r="H387" s="5" t="s">
        <v>151</v>
      </c>
      <c r="I387" s="5"/>
      <c r="J387" s="5"/>
      <c r="K387" s="5">
        <v>209</v>
      </c>
      <c r="L387" s="5">
        <v>23</v>
      </c>
      <c r="M387" s="5">
        <v>3</v>
      </c>
      <c r="N387" s="5" t="s">
        <v>3</v>
      </c>
      <c r="O387" s="5">
        <v>2</v>
      </c>
      <c r="P387" s="5">
        <f>ROUND(Source!DO363,O387)</f>
        <v>0</v>
      </c>
      <c r="Q387" s="5"/>
      <c r="R387" s="5"/>
      <c r="S387" s="5"/>
      <c r="T387" s="5"/>
      <c r="U387" s="5"/>
      <c r="V387" s="5"/>
      <c r="W387" s="5">
        <v>0</v>
      </c>
      <c r="X387" s="5">
        <v>1</v>
      </c>
      <c r="Y387" s="5">
        <v>0</v>
      </c>
      <c r="Z387" s="5">
        <v>0</v>
      </c>
      <c r="AA387" s="5">
        <v>1</v>
      </c>
      <c r="AB387" s="5">
        <v>0</v>
      </c>
    </row>
    <row r="388" spans="1:206" x14ac:dyDescent="0.2">
      <c r="A388" s="5">
        <v>50</v>
      </c>
      <c r="B388" s="5">
        <v>0</v>
      </c>
      <c r="C388" s="5">
        <v>0</v>
      </c>
      <c r="D388" s="5">
        <v>1</v>
      </c>
      <c r="E388" s="5">
        <v>233</v>
      </c>
      <c r="F388" s="5">
        <f>ROUND(Source!BD363,O388)</f>
        <v>0</v>
      </c>
      <c r="G388" s="5" t="s">
        <v>152</v>
      </c>
      <c r="H388" s="5" t="s">
        <v>153</v>
      </c>
      <c r="I388" s="5"/>
      <c r="J388" s="5"/>
      <c r="K388" s="5">
        <v>233</v>
      </c>
      <c r="L388" s="5">
        <v>24</v>
      </c>
      <c r="M388" s="5">
        <v>3</v>
      </c>
      <c r="N388" s="5" t="s">
        <v>3</v>
      </c>
      <c r="O388" s="5">
        <v>2</v>
      </c>
      <c r="P388" s="5">
        <f>ROUND(Source!EV363,O388)</f>
        <v>0</v>
      </c>
      <c r="Q388" s="5"/>
      <c r="R388" s="5"/>
      <c r="S388" s="5"/>
      <c r="T388" s="5"/>
      <c r="U388" s="5"/>
      <c r="V388" s="5"/>
      <c r="W388" s="5">
        <v>0</v>
      </c>
      <c r="X388" s="5">
        <v>1</v>
      </c>
      <c r="Y388" s="5">
        <v>0</v>
      </c>
      <c r="Z388" s="5">
        <v>0</v>
      </c>
      <c r="AA388" s="5">
        <v>1</v>
      </c>
      <c r="AB388" s="5">
        <v>0</v>
      </c>
    </row>
    <row r="389" spans="1:206" x14ac:dyDescent="0.2">
      <c r="A389" s="5">
        <v>50</v>
      </c>
      <c r="B389" s="5">
        <v>0</v>
      </c>
      <c r="C389" s="5">
        <v>0</v>
      </c>
      <c r="D389" s="5">
        <v>1</v>
      </c>
      <c r="E389" s="5">
        <v>210</v>
      </c>
      <c r="F389" s="5">
        <f>ROUND(Source!X363,O389)</f>
        <v>0</v>
      </c>
      <c r="G389" s="5" t="s">
        <v>154</v>
      </c>
      <c r="H389" s="5" t="s">
        <v>155</v>
      </c>
      <c r="I389" s="5"/>
      <c r="J389" s="5"/>
      <c r="K389" s="5">
        <v>210</v>
      </c>
      <c r="L389" s="5">
        <v>25</v>
      </c>
      <c r="M389" s="5">
        <v>3</v>
      </c>
      <c r="N389" s="5" t="s">
        <v>3</v>
      </c>
      <c r="O389" s="5">
        <v>2</v>
      </c>
      <c r="P389" s="5">
        <f>ROUND(Source!DP363,O389)</f>
        <v>0</v>
      </c>
      <c r="Q389" s="5"/>
      <c r="R389" s="5"/>
      <c r="S389" s="5"/>
      <c r="T389" s="5"/>
      <c r="U389" s="5"/>
      <c r="V389" s="5"/>
      <c r="W389" s="5">
        <v>0</v>
      </c>
      <c r="X389" s="5">
        <v>1</v>
      </c>
      <c r="Y389" s="5">
        <v>0</v>
      </c>
      <c r="Z389" s="5">
        <v>0</v>
      </c>
      <c r="AA389" s="5">
        <v>1</v>
      </c>
      <c r="AB389" s="5">
        <v>0</v>
      </c>
    </row>
    <row r="390" spans="1:206" x14ac:dyDescent="0.2">
      <c r="A390" s="5">
        <v>50</v>
      </c>
      <c r="B390" s="5">
        <v>0</v>
      </c>
      <c r="C390" s="5">
        <v>0</v>
      </c>
      <c r="D390" s="5">
        <v>1</v>
      </c>
      <c r="E390" s="5">
        <v>211</v>
      </c>
      <c r="F390" s="5">
        <f>ROUND(Source!Y363,O390)</f>
        <v>0</v>
      </c>
      <c r="G390" s="5" t="s">
        <v>156</v>
      </c>
      <c r="H390" s="5" t="s">
        <v>157</v>
      </c>
      <c r="I390" s="5"/>
      <c r="J390" s="5"/>
      <c r="K390" s="5">
        <v>211</v>
      </c>
      <c r="L390" s="5">
        <v>26</v>
      </c>
      <c r="M390" s="5">
        <v>3</v>
      </c>
      <c r="N390" s="5" t="s">
        <v>3</v>
      </c>
      <c r="O390" s="5">
        <v>2</v>
      </c>
      <c r="P390" s="5">
        <f>ROUND(Source!DQ363,O390)</f>
        <v>0</v>
      </c>
      <c r="Q390" s="5"/>
      <c r="R390" s="5"/>
      <c r="S390" s="5"/>
      <c r="T390" s="5"/>
      <c r="U390" s="5"/>
      <c r="V390" s="5"/>
      <c r="W390" s="5">
        <v>0</v>
      </c>
      <c r="X390" s="5">
        <v>1</v>
      </c>
      <c r="Y390" s="5">
        <v>0</v>
      </c>
      <c r="Z390" s="5">
        <v>0</v>
      </c>
      <c r="AA390" s="5">
        <v>1</v>
      </c>
      <c r="AB390" s="5">
        <v>0</v>
      </c>
    </row>
    <row r="391" spans="1:206" x14ac:dyDescent="0.2">
      <c r="A391" s="5">
        <v>50</v>
      </c>
      <c r="B391" s="5">
        <v>0</v>
      </c>
      <c r="C391" s="5">
        <v>0</v>
      </c>
      <c r="D391" s="5">
        <v>1</v>
      </c>
      <c r="E391" s="5">
        <v>224</v>
      </c>
      <c r="F391" s="5">
        <f>ROUND(Source!AR363,O391)</f>
        <v>0</v>
      </c>
      <c r="G391" s="5" t="s">
        <v>158</v>
      </c>
      <c r="H391" s="5" t="s">
        <v>159</v>
      </c>
      <c r="I391" s="5"/>
      <c r="J391" s="5"/>
      <c r="K391" s="5">
        <v>224</v>
      </c>
      <c r="L391" s="5">
        <v>27</v>
      </c>
      <c r="M391" s="5">
        <v>3</v>
      </c>
      <c r="N391" s="5" t="s">
        <v>3</v>
      </c>
      <c r="O391" s="5">
        <v>2</v>
      </c>
      <c r="P391" s="5">
        <f>ROUND(Source!EJ363,O391)</f>
        <v>0</v>
      </c>
      <c r="Q391" s="5"/>
      <c r="R391" s="5"/>
      <c r="S391" s="5"/>
      <c r="T391" s="5"/>
      <c r="U391" s="5"/>
      <c r="V391" s="5"/>
      <c r="W391" s="5">
        <v>0</v>
      </c>
      <c r="X391" s="5">
        <v>1</v>
      </c>
      <c r="Y391" s="5">
        <v>0</v>
      </c>
      <c r="Z391" s="5">
        <v>0</v>
      </c>
      <c r="AA391" s="5">
        <v>1</v>
      </c>
      <c r="AB391" s="5">
        <v>0</v>
      </c>
    </row>
    <row r="393" spans="1:206" x14ac:dyDescent="0.2">
      <c r="A393" s="3">
        <v>51</v>
      </c>
      <c r="B393" s="3">
        <f>B259</f>
        <v>1</v>
      </c>
      <c r="C393" s="3">
        <f>A259</f>
        <v>4</v>
      </c>
      <c r="D393" s="3">
        <f>ROW(A259)</f>
        <v>259</v>
      </c>
      <c r="E393" s="3"/>
      <c r="F393" s="3" t="str">
        <f>IF(F259&lt;&gt;"",F259,"")</f>
        <v>Новый раздел</v>
      </c>
      <c r="G393" s="3" t="str">
        <f>IF(G259&lt;&gt;"",G259,"")</f>
        <v>Благоустройство</v>
      </c>
      <c r="H393" s="3">
        <v>0</v>
      </c>
      <c r="I393" s="3"/>
      <c r="J393" s="3"/>
      <c r="K393" s="3"/>
      <c r="L393" s="3"/>
      <c r="M393" s="3"/>
      <c r="N393" s="3"/>
      <c r="O393" s="3">
        <f t="shared" ref="O393:T393" si="341">ROUND(O302+O363+AB393,2)</f>
        <v>0</v>
      </c>
      <c r="P393" s="3">
        <f t="shared" si="341"/>
        <v>0</v>
      </c>
      <c r="Q393" s="3">
        <f t="shared" si="341"/>
        <v>0</v>
      </c>
      <c r="R393" s="3">
        <f t="shared" si="341"/>
        <v>0</v>
      </c>
      <c r="S393" s="3">
        <f t="shared" si="341"/>
        <v>0</v>
      </c>
      <c r="T393" s="3">
        <f t="shared" si="341"/>
        <v>0</v>
      </c>
      <c r="U393" s="3">
        <f>U302+U363+AH393</f>
        <v>0</v>
      </c>
      <c r="V393" s="3">
        <f>V302+V363+AI393</f>
        <v>0</v>
      </c>
      <c r="W393" s="3">
        <f>ROUND(W302+W363+AJ393,2)</f>
        <v>0</v>
      </c>
      <c r="X393" s="3">
        <f>ROUND(X302+X363+AK393,2)</f>
        <v>0</v>
      </c>
      <c r="Y393" s="3">
        <f>ROUND(Y302+Y363+AL393,2)</f>
        <v>0</v>
      </c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>
        <f t="shared" ref="AO393:BD393" si="342">ROUND(AO302+AO363+BX393,2)</f>
        <v>0</v>
      </c>
      <c r="AP393" s="3">
        <f t="shared" si="342"/>
        <v>0</v>
      </c>
      <c r="AQ393" s="3">
        <f t="shared" si="342"/>
        <v>0</v>
      </c>
      <c r="AR393" s="3">
        <f t="shared" si="342"/>
        <v>0</v>
      </c>
      <c r="AS393" s="3">
        <f t="shared" si="342"/>
        <v>0</v>
      </c>
      <c r="AT393" s="3">
        <f t="shared" si="342"/>
        <v>0</v>
      </c>
      <c r="AU393" s="3">
        <f t="shared" si="342"/>
        <v>0</v>
      </c>
      <c r="AV393" s="3">
        <f t="shared" si="342"/>
        <v>0</v>
      </c>
      <c r="AW393" s="3">
        <f t="shared" si="342"/>
        <v>0</v>
      </c>
      <c r="AX393" s="3">
        <f t="shared" si="342"/>
        <v>0</v>
      </c>
      <c r="AY393" s="3">
        <f t="shared" si="342"/>
        <v>0</v>
      </c>
      <c r="AZ393" s="3">
        <f t="shared" si="342"/>
        <v>0</v>
      </c>
      <c r="BA393" s="3">
        <f t="shared" si="342"/>
        <v>0</v>
      </c>
      <c r="BB393" s="3">
        <f t="shared" si="342"/>
        <v>0</v>
      </c>
      <c r="BC393" s="3">
        <f t="shared" si="342"/>
        <v>0</v>
      </c>
      <c r="BD393" s="3">
        <f t="shared" si="342"/>
        <v>0</v>
      </c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4">
        <f t="shared" ref="DG393:DL393" si="343">ROUND(DG302+DG363+DT393,2)</f>
        <v>0</v>
      </c>
      <c r="DH393" s="4">
        <f t="shared" si="343"/>
        <v>0</v>
      </c>
      <c r="DI393" s="4">
        <f t="shared" si="343"/>
        <v>0</v>
      </c>
      <c r="DJ393" s="4">
        <f t="shared" si="343"/>
        <v>0</v>
      </c>
      <c r="DK393" s="4">
        <f t="shared" si="343"/>
        <v>0</v>
      </c>
      <c r="DL393" s="4">
        <f t="shared" si="343"/>
        <v>0</v>
      </c>
      <c r="DM393" s="4">
        <f>DM302+DM363+DZ393</f>
        <v>0</v>
      </c>
      <c r="DN393" s="4">
        <f>DN302+DN363+EA393</f>
        <v>0</v>
      </c>
      <c r="DO393" s="4">
        <f>ROUND(DO302+DO363+EB393,2)</f>
        <v>0</v>
      </c>
      <c r="DP393" s="4">
        <f>ROUND(DP302+DP363+EC393,2)</f>
        <v>0</v>
      </c>
      <c r="DQ393" s="4">
        <f>ROUND(DQ302+DQ363+ED393,2)</f>
        <v>0</v>
      </c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>
        <f t="shared" ref="EG393:EV393" si="344">ROUND(EG302+EG363+FP393,2)</f>
        <v>0</v>
      </c>
      <c r="EH393" s="4">
        <f t="shared" si="344"/>
        <v>0</v>
      </c>
      <c r="EI393" s="4">
        <f t="shared" si="344"/>
        <v>0</v>
      </c>
      <c r="EJ393" s="4">
        <f t="shared" si="344"/>
        <v>0</v>
      </c>
      <c r="EK393" s="4">
        <f t="shared" si="344"/>
        <v>0</v>
      </c>
      <c r="EL393" s="4">
        <f t="shared" si="344"/>
        <v>0</v>
      </c>
      <c r="EM393" s="4">
        <f t="shared" si="344"/>
        <v>0</v>
      </c>
      <c r="EN393" s="4">
        <f t="shared" si="344"/>
        <v>0</v>
      </c>
      <c r="EO393" s="4">
        <f t="shared" si="344"/>
        <v>0</v>
      </c>
      <c r="EP393" s="4">
        <f t="shared" si="344"/>
        <v>0</v>
      </c>
      <c r="EQ393" s="4">
        <f t="shared" si="344"/>
        <v>0</v>
      </c>
      <c r="ER393" s="4">
        <f t="shared" si="344"/>
        <v>0</v>
      </c>
      <c r="ES393" s="4">
        <f t="shared" si="344"/>
        <v>0</v>
      </c>
      <c r="ET393" s="4">
        <f t="shared" si="344"/>
        <v>0</v>
      </c>
      <c r="EU393" s="4">
        <f t="shared" si="344"/>
        <v>0</v>
      </c>
      <c r="EV393" s="4">
        <f t="shared" si="344"/>
        <v>0</v>
      </c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>
        <v>0</v>
      </c>
    </row>
    <row r="395" spans="1:206" x14ac:dyDescent="0.2">
      <c r="A395" s="5">
        <v>50</v>
      </c>
      <c r="B395" s="5">
        <v>0</v>
      </c>
      <c r="C395" s="5">
        <v>0</v>
      </c>
      <c r="D395" s="5">
        <v>1</v>
      </c>
      <c r="E395" s="5">
        <v>201</v>
      </c>
      <c r="F395" s="5">
        <f>ROUND(Source!O393,O395)</f>
        <v>0</v>
      </c>
      <c r="G395" s="5" t="s">
        <v>106</v>
      </c>
      <c r="H395" s="5" t="s">
        <v>107</v>
      </c>
      <c r="I395" s="5"/>
      <c r="J395" s="5"/>
      <c r="K395" s="5">
        <v>201</v>
      </c>
      <c r="L395" s="5">
        <v>1</v>
      </c>
      <c r="M395" s="5">
        <v>3</v>
      </c>
      <c r="N395" s="5" t="s">
        <v>3</v>
      </c>
      <c r="O395" s="5">
        <v>2</v>
      </c>
      <c r="P395" s="5">
        <f>ROUND(Source!DG393,O395)</f>
        <v>0</v>
      </c>
      <c r="Q395" s="5"/>
      <c r="R395" s="5"/>
      <c r="S395" s="5"/>
      <c r="T395" s="5"/>
      <c r="U395" s="5"/>
      <c r="V395" s="5"/>
      <c r="W395" s="5">
        <v>0</v>
      </c>
      <c r="X395" s="5">
        <v>1</v>
      </c>
      <c r="Y395" s="5">
        <v>0</v>
      </c>
      <c r="Z395" s="5">
        <v>0</v>
      </c>
      <c r="AA395" s="5">
        <v>1</v>
      </c>
      <c r="AB395" s="5">
        <v>0</v>
      </c>
    </row>
    <row r="396" spans="1:206" x14ac:dyDescent="0.2">
      <c r="A396" s="5">
        <v>50</v>
      </c>
      <c r="B396" s="5">
        <v>0</v>
      </c>
      <c r="C396" s="5">
        <v>0</v>
      </c>
      <c r="D396" s="5">
        <v>1</v>
      </c>
      <c r="E396" s="5">
        <v>202</v>
      </c>
      <c r="F396" s="5">
        <f>ROUND(Source!P393,O396)</f>
        <v>0</v>
      </c>
      <c r="G396" s="5" t="s">
        <v>108</v>
      </c>
      <c r="H396" s="5" t="s">
        <v>109</v>
      </c>
      <c r="I396" s="5"/>
      <c r="J396" s="5"/>
      <c r="K396" s="5">
        <v>202</v>
      </c>
      <c r="L396" s="5">
        <v>2</v>
      </c>
      <c r="M396" s="5">
        <v>3</v>
      </c>
      <c r="N396" s="5" t="s">
        <v>3</v>
      </c>
      <c r="O396" s="5">
        <v>2</v>
      </c>
      <c r="P396" s="5">
        <f>ROUND(Source!DH393,O396)</f>
        <v>0</v>
      </c>
      <c r="Q396" s="5"/>
      <c r="R396" s="5"/>
      <c r="S396" s="5"/>
      <c r="T396" s="5"/>
      <c r="U396" s="5"/>
      <c r="V396" s="5"/>
      <c r="W396" s="5">
        <v>0</v>
      </c>
      <c r="X396" s="5">
        <v>1</v>
      </c>
      <c r="Y396" s="5">
        <v>0</v>
      </c>
      <c r="Z396" s="5">
        <v>0</v>
      </c>
      <c r="AA396" s="5">
        <v>1</v>
      </c>
      <c r="AB396" s="5">
        <v>0</v>
      </c>
    </row>
    <row r="397" spans="1:206" x14ac:dyDescent="0.2">
      <c r="A397" s="5">
        <v>50</v>
      </c>
      <c r="B397" s="5">
        <v>0</v>
      </c>
      <c r="C397" s="5">
        <v>0</v>
      </c>
      <c r="D397" s="5">
        <v>1</v>
      </c>
      <c r="E397" s="5">
        <v>222</v>
      </c>
      <c r="F397" s="5">
        <f>ROUND(Source!AO393,O397)</f>
        <v>0</v>
      </c>
      <c r="G397" s="5" t="s">
        <v>110</v>
      </c>
      <c r="H397" s="5" t="s">
        <v>111</v>
      </c>
      <c r="I397" s="5"/>
      <c r="J397" s="5"/>
      <c r="K397" s="5">
        <v>222</v>
      </c>
      <c r="L397" s="5">
        <v>3</v>
      </c>
      <c r="M397" s="5">
        <v>3</v>
      </c>
      <c r="N397" s="5" t="s">
        <v>3</v>
      </c>
      <c r="O397" s="5">
        <v>2</v>
      </c>
      <c r="P397" s="5">
        <f>ROUND(Source!EG393,O397)</f>
        <v>0</v>
      </c>
      <c r="Q397" s="5"/>
      <c r="R397" s="5"/>
      <c r="S397" s="5"/>
      <c r="T397" s="5"/>
      <c r="U397" s="5"/>
      <c r="V397" s="5"/>
      <c r="W397" s="5">
        <v>0</v>
      </c>
      <c r="X397" s="5">
        <v>1</v>
      </c>
      <c r="Y397" s="5">
        <v>0</v>
      </c>
      <c r="Z397" s="5">
        <v>0</v>
      </c>
      <c r="AA397" s="5">
        <v>1</v>
      </c>
      <c r="AB397" s="5">
        <v>0</v>
      </c>
    </row>
    <row r="398" spans="1:206" x14ac:dyDescent="0.2">
      <c r="A398" s="5">
        <v>50</v>
      </c>
      <c r="B398" s="5">
        <v>0</v>
      </c>
      <c r="C398" s="5">
        <v>0</v>
      </c>
      <c r="D398" s="5">
        <v>1</v>
      </c>
      <c r="E398" s="5">
        <v>225</v>
      </c>
      <c r="F398" s="5">
        <f>ROUND(Source!AV393,O398)</f>
        <v>0</v>
      </c>
      <c r="G398" s="5" t="s">
        <v>112</v>
      </c>
      <c r="H398" s="5" t="s">
        <v>113</v>
      </c>
      <c r="I398" s="5"/>
      <c r="J398" s="5"/>
      <c r="K398" s="5">
        <v>225</v>
      </c>
      <c r="L398" s="5">
        <v>4</v>
      </c>
      <c r="M398" s="5">
        <v>3</v>
      </c>
      <c r="N398" s="5" t="s">
        <v>3</v>
      </c>
      <c r="O398" s="5">
        <v>2</v>
      </c>
      <c r="P398" s="5">
        <f>ROUND(Source!EN393,O398)</f>
        <v>0</v>
      </c>
      <c r="Q398" s="5"/>
      <c r="R398" s="5"/>
      <c r="S398" s="5"/>
      <c r="T398" s="5"/>
      <c r="U398" s="5"/>
      <c r="V398" s="5"/>
      <c r="W398" s="5">
        <v>0</v>
      </c>
      <c r="X398" s="5">
        <v>1</v>
      </c>
      <c r="Y398" s="5">
        <v>0</v>
      </c>
      <c r="Z398" s="5">
        <v>0</v>
      </c>
      <c r="AA398" s="5">
        <v>1</v>
      </c>
      <c r="AB398" s="5">
        <v>0</v>
      </c>
    </row>
    <row r="399" spans="1:206" x14ac:dyDescent="0.2">
      <c r="A399" s="5">
        <v>50</v>
      </c>
      <c r="B399" s="5">
        <v>0</v>
      </c>
      <c r="C399" s="5">
        <v>0</v>
      </c>
      <c r="D399" s="5">
        <v>1</v>
      </c>
      <c r="E399" s="5">
        <v>226</v>
      </c>
      <c r="F399" s="5">
        <f>ROUND(Source!AW393,O399)</f>
        <v>0</v>
      </c>
      <c r="G399" s="5" t="s">
        <v>114</v>
      </c>
      <c r="H399" s="5" t="s">
        <v>115</v>
      </c>
      <c r="I399" s="5"/>
      <c r="J399" s="5"/>
      <c r="K399" s="5">
        <v>226</v>
      </c>
      <c r="L399" s="5">
        <v>5</v>
      </c>
      <c r="M399" s="5">
        <v>3</v>
      </c>
      <c r="N399" s="5" t="s">
        <v>3</v>
      </c>
      <c r="O399" s="5">
        <v>2</v>
      </c>
      <c r="P399" s="5">
        <f>ROUND(Source!EO393,O399)</f>
        <v>0</v>
      </c>
      <c r="Q399" s="5"/>
      <c r="R399" s="5"/>
      <c r="S399" s="5"/>
      <c r="T399" s="5"/>
      <c r="U399" s="5"/>
      <c r="V399" s="5"/>
      <c r="W399" s="5">
        <v>0</v>
      </c>
      <c r="X399" s="5">
        <v>1</v>
      </c>
      <c r="Y399" s="5">
        <v>0</v>
      </c>
      <c r="Z399" s="5">
        <v>0</v>
      </c>
      <c r="AA399" s="5">
        <v>1</v>
      </c>
      <c r="AB399" s="5">
        <v>0</v>
      </c>
    </row>
    <row r="400" spans="1:206" x14ac:dyDescent="0.2">
      <c r="A400" s="5">
        <v>50</v>
      </c>
      <c r="B400" s="5">
        <v>0</v>
      </c>
      <c r="C400" s="5">
        <v>0</v>
      </c>
      <c r="D400" s="5">
        <v>1</v>
      </c>
      <c r="E400" s="5">
        <v>227</v>
      </c>
      <c r="F400" s="5">
        <f>ROUND(Source!AX393,O400)</f>
        <v>0</v>
      </c>
      <c r="G400" s="5" t="s">
        <v>116</v>
      </c>
      <c r="H400" s="5" t="s">
        <v>117</v>
      </c>
      <c r="I400" s="5"/>
      <c r="J400" s="5"/>
      <c r="K400" s="5">
        <v>227</v>
      </c>
      <c r="L400" s="5">
        <v>6</v>
      </c>
      <c r="M400" s="5">
        <v>3</v>
      </c>
      <c r="N400" s="5" t="s">
        <v>3</v>
      </c>
      <c r="O400" s="5">
        <v>2</v>
      </c>
      <c r="P400" s="5">
        <f>ROUND(Source!EP393,O400)</f>
        <v>0</v>
      </c>
      <c r="Q400" s="5"/>
      <c r="R400" s="5"/>
      <c r="S400" s="5"/>
      <c r="T400" s="5"/>
      <c r="U400" s="5"/>
      <c r="V400" s="5"/>
      <c r="W400" s="5">
        <v>0</v>
      </c>
      <c r="X400" s="5">
        <v>1</v>
      </c>
      <c r="Y400" s="5">
        <v>0</v>
      </c>
      <c r="Z400" s="5">
        <v>0</v>
      </c>
      <c r="AA400" s="5">
        <v>1</v>
      </c>
      <c r="AB400" s="5">
        <v>0</v>
      </c>
    </row>
    <row r="401" spans="1:28" x14ac:dyDescent="0.2">
      <c r="A401" s="5">
        <v>50</v>
      </c>
      <c r="B401" s="5">
        <v>0</v>
      </c>
      <c r="C401" s="5">
        <v>0</v>
      </c>
      <c r="D401" s="5">
        <v>1</v>
      </c>
      <c r="E401" s="5">
        <v>228</v>
      </c>
      <c r="F401" s="5">
        <f>ROUND(Source!AY393,O401)</f>
        <v>0</v>
      </c>
      <c r="G401" s="5" t="s">
        <v>118</v>
      </c>
      <c r="H401" s="5" t="s">
        <v>119</v>
      </c>
      <c r="I401" s="5"/>
      <c r="J401" s="5"/>
      <c r="K401" s="5">
        <v>228</v>
      </c>
      <c r="L401" s="5">
        <v>7</v>
      </c>
      <c r="M401" s="5">
        <v>3</v>
      </c>
      <c r="N401" s="5" t="s">
        <v>3</v>
      </c>
      <c r="O401" s="5">
        <v>2</v>
      </c>
      <c r="P401" s="5">
        <f>ROUND(Source!EQ393,O401)</f>
        <v>0</v>
      </c>
      <c r="Q401" s="5"/>
      <c r="R401" s="5"/>
      <c r="S401" s="5"/>
      <c r="T401" s="5"/>
      <c r="U401" s="5"/>
      <c r="V401" s="5"/>
      <c r="W401" s="5">
        <v>0</v>
      </c>
      <c r="X401" s="5">
        <v>1</v>
      </c>
      <c r="Y401" s="5">
        <v>0</v>
      </c>
      <c r="Z401" s="5">
        <v>0</v>
      </c>
      <c r="AA401" s="5">
        <v>1</v>
      </c>
      <c r="AB401" s="5">
        <v>0</v>
      </c>
    </row>
    <row r="402" spans="1:28" x14ac:dyDescent="0.2">
      <c r="A402" s="5">
        <v>50</v>
      </c>
      <c r="B402" s="5">
        <v>0</v>
      </c>
      <c r="C402" s="5">
        <v>0</v>
      </c>
      <c r="D402" s="5">
        <v>1</v>
      </c>
      <c r="E402" s="5">
        <v>216</v>
      </c>
      <c r="F402" s="5">
        <f>ROUND(Source!AP393,O402)</f>
        <v>0</v>
      </c>
      <c r="G402" s="5" t="s">
        <v>120</v>
      </c>
      <c r="H402" s="5" t="s">
        <v>121</v>
      </c>
      <c r="I402" s="5"/>
      <c r="J402" s="5"/>
      <c r="K402" s="5">
        <v>216</v>
      </c>
      <c r="L402" s="5">
        <v>8</v>
      </c>
      <c r="M402" s="5">
        <v>3</v>
      </c>
      <c r="N402" s="5" t="s">
        <v>3</v>
      </c>
      <c r="O402" s="5">
        <v>2</v>
      </c>
      <c r="P402" s="5">
        <f>ROUND(Source!EH393,O402)</f>
        <v>0</v>
      </c>
      <c r="Q402" s="5"/>
      <c r="R402" s="5"/>
      <c r="S402" s="5"/>
      <c r="T402" s="5"/>
      <c r="U402" s="5"/>
      <c r="V402" s="5"/>
      <c r="W402" s="5">
        <v>0</v>
      </c>
      <c r="X402" s="5">
        <v>1</v>
      </c>
      <c r="Y402" s="5">
        <v>0</v>
      </c>
      <c r="Z402" s="5">
        <v>0</v>
      </c>
      <c r="AA402" s="5">
        <v>1</v>
      </c>
      <c r="AB402" s="5">
        <v>0</v>
      </c>
    </row>
    <row r="403" spans="1:28" x14ac:dyDescent="0.2">
      <c r="A403" s="5">
        <v>50</v>
      </c>
      <c r="B403" s="5">
        <v>0</v>
      </c>
      <c r="C403" s="5">
        <v>0</v>
      </c>
      <c r="D403" s="5">
        <v>1</v>
      </c>
      <c r="E403" s="5">
        <v>223</v>
      </c>
      <c r="F403" s="5">
        <f>ROUND(Source!AQ393,O403)</f>
        <v>0</v>
      </c>
      <c r="G403" s="5" t="s">
        <v>122</v>
      </c>
      <c r="H403" s="5" t="s">
        <v>123</v>
      </c>
      <c r="I403" s="5"/>
      <c r="J403" s="5"/>
      <c r="K403" s="5">
        <v>223</v>
      </c>
      <c r="L403" s="5">
        <v>9</v>
      </c>
      <c r="M403" s="5">
        <v>3</v>
      </c>
      <c r="N403" s="5" t="s">
        <v>3</v>
      </c>
      <c r="O403" s="5">
        <v>2</v>
      </c>
      <c r="P403" s="5">
        <f>ROUND(Source!EI393,O403)</f>
        <v>0</v>
      </c>
      <c r="Q403" s="5"/>
      <c r="R403" s="5"/>
      <c r="S403" s="5"/>
      <c r="T403" s="5"/>
      <c r="U403" s="5"/>
      <c r="V403" s="5"/>
      <c r="W403" s="5">
        <v>0</v>
      </c>
      <c r="X403" s="5">
        <v>1</v>
      </c>
      <c r="Y403" s="5">
        <v>0</v>
      </c>
      <c r="Z403" s="5">
        <v>0</v>
      </c>
      <c r="AA403" s="5">
        <v>1</v>
      </c>
      <c r="AB403" s="5">
        <v>0</v>
      </c>
    </row>
    <row r="404" spans="1:28" x14ac:dyDescent="0.2">
      <c r="A404" s="5">
        <v>50</v>
      </c>
      <c r="B404" s="5">
        <v>0</v>
      </c>
      <c r="C404" s="5">
        <v>0</v>
      </c>
      <c r="D404" s="5">
        <v>1</v>
      </c>
      <c r="E404" s="5">
        <v>229</v>
      </c>
      <c r="F404" s="5">
        <f>ROUND(Source!AZ393,O404)</f>
        <v>0</v>
      </c>
      <c r="G404" s="5" t="s">
        <v>124</v>
      </c>
      <c r="H404" s="5" t="s">
        <v>125</v>
      </c>
      <c r="I404" s="5"/>
      <c r="J404" s="5"/>
      <c r="K404" s="5">
        <v>229</v>
      </c>
      <c r="L404" s="5">
        <v>10</v>
      </c>
      <c r="M404" s="5">
        <v>3</v>
      </c>
      <c r="N404" s="5" t="s">
        <v>3</v>
      </c>
      <c r="O404" s="5">
        <v>2</v>
      </c>
      <c r="P404" s="5">
        <f>ROUND(Source!ER393,O404)</f>
        <v>0</v>
      </c>
      <c r="Q404" s="5"/>
      <c r="R404" s="5"/>
      <c r="S404" s="5"/>
      <c r="T404" s="5"/>
      <c r="U404" s="5"/>
      <c r="V404" s="5"/>
      <c r="W404" s="5">
        <v>0</v>
      </c>
      <c r="X404" s="5">
        <v>1</v>
      </c>
      <c r="Y404" s="5">
        <v>0</v>
      </c>
      <c r="Z404" s="5">
        <v>0</v>
      </c>
      <c r="AA404" s="5">
        <v>1</v>
      </c>
      <c r="AB404" s="5">
        <v>0</v>
      </c>
    </row>
    <row r="405" spans="1:28" x14ac:dyDescent="0.2">
      <c r="A405" s="5">
        <v>50</v>
      </c>
      <c r="B405" s="5">
        <v>0</v>
      </c>
      <c r="C405" s="5">
        <v>0</v>
      </c>
      <c r="D405" s="5">
        <v>1</v>
      </c>
      <c r="E405" s="5">
        <v>203</v>
      </c>
      <c r="F405" s="5">
        <f>ROUND(Source!Q393,O405)</f>
        <v>0</v>
      </c>
      <c r="G405" s="5" t="s">
        <v>126</v>
      </c>
      <c r="H405" s="5" t="s">
        <v>127</v>
      </c>
      <c r="I405" s="5"/>
      <c r="J405" s="5"/>
      <c r="K405" s="5">
        <v>203</v>
      </c>
      <c r="L405" s="5">
        <v>11</v>
      </c>
      <c r="M405" s="5">
        <v>3</v>
      </c>
      <c r="N405" s="5" t="s">
        <v>3</v>
      </c>
      <c r="O405" s="5">
        <v>2</v>
      </c>
      <c r="P405" s="5">
        <f>ROUND(Source!DI393,O405)</f>
        <v>0</v>
      </c>
      <c r="Q405" s="5"/>
      <c r="R405" s="5"/>
      <c r="S405" s="5"/>
      <c r="T405" s="5"/>
      <c r="U405" s="5"/>
      <c r="V405" s="5"/>
      <c r="W405" s="5">
        <v>0</v>
      </c>
      <c r="X405" s="5">
        <v>1</v>
      </c>
      <c r="Y405" s="5">
        <v>0</v>
      </c>
      <c r="Z405" s="5">
        <v>0</v>
      </c>
      <c r="AA405" s="5">
        <v>1</v>
      </c>
      <c r="AB405" s="5">
        <v>0</v>
      </c>
    </row>
    <row r="406" spans="1:28" x14ac:dyDescent="0.2">
      <c r="A406" s="5">
        <v>50</v>
      </c>
      <c r="B406" s="5">
        <v>0</v>
      </c>
      <c r="C406" s="5">
        <v>0</v>
      </c>
      <c r="D406" s="5">
        <v>1</v>
      </c>
      <c r="E406" s="5">
        <v>231</v>
      </c>
      <c r="F406" s="5">
        <f>ROUND(Source!BB393,O406)</f>
        <v>0</v>
      </c>
      <c r="G406" s="5" t="s">
        <v>128</v>
      </c>
      <c r="H406" s="5" t="s">
        <v>129</v>
      </c>
      <c r="I406" s="5"/>
      <c r="J406" s="5"/>
      <c r="K406" s="5">
        <v>231</v>
      </c>
      <c r="L406" s="5">
        <v>12</v>
      </c>
      <c r="M406" s="5">
        <v>3</v>
      </c>
      <c r="N406" s="5" t="s">
        <v>3</v>
      </c>
      <c r="O406" s="5">
        <v>2</v>
      </c>
      <c r="P406" s="5">
        <f>ROUND(Source!ET393,O406)</f>
        <v>0</v>
      </c>
      <c r="Q406" s="5"/>
      <c r="R406" s="5"/>
      <c r="S406" s="5"/>
      <c r="T406" s="5"/>
      <c r="U406" s="5"/>
      <c r="V406" s="5"/>
      <c r="W406" s="5">
        <v>0</v>
      </c>
      <c r="X406" s="5">
        <v>1</v>
      </c>
      <c r="Y406" s="5">
        <v>0</v>
      </c>
      <c r="Z406" s="5">
        <v>0</v>
      </c>
      <c r="AA406" s="5">
        <v>1</v>
      </c>
      <c r="AB406" s="5">
        <v>0</v>
      </c>
    </row>
    <row r="407" spans="1:28" x14ac:dyDescent="0.2">
      <c r="A407" s="5">
        <v>50</v>
      </c>
      <c r="B407" s="5">
        <v>0</v>
      </c>
      <c r="C407" s="5">
        <v>0</v>
      </c>
      <c r="D407" s="5">
        <v>1</v>
      </c>
      <c r="E407" s="5">
        <v>204</v>
      </c>
      <c r="F407" s="5">
        <f>ROUND(Source!R393,O407)</f>
        <v>0</v>
      </c>
      <c r="G407" s="5" t="s">
        <v>130</v>
      </c>
      <c r="H407" s="5" t="s">
        <v>131</v>
      </c>
      <c r="I407" s="5"/>
      <c r="J407" s="5"/>
      <c r="K407" s="5">
        <v>204</v>
      </c>
      <c r="L407" s="5">
        <v>13</v>
      </c>
      <c r="M407" s="5">
        <v>3</v>
      </c>
      <c r="N407" s="5" t="s">
        <v>3</v>
      </c>
      <c r="O407" s="5">
        <v>2</v>
      </c>
      <c r="P407" s="5">
        <f>ROUND(Source!DJ393,O407)</f>
        <v>0</v>
      </c>
      <c r="Q407" s="5"/>
      <c r="R407" s="5"/>
      <c r="S407" s="5"/>
      <c r="T407" s="5"/>
      <c r="U407" s="5"/>
      <c r="V407" s="5"/>
      <c r="W407" s="5">
        <v>0</v>
      </c>
      <c r="X407" s="5">
        <v>1</v>
      </c>
      <c r="Y407" s="5">
        <v>0</v>
      </c>
      <c r="Z407" s="5">
        <v>0</v>
      </c>
      <c r="AA407" s="5">
        <v>1</v>
      </c>
      <c r="AB407" s="5">
        <v>0</v>
      </c>
    </row>
    <row r="408" spans="1:28" x14ac:dyDescent="0.2">
      <c r="A408" s="5">
        <v>50</v>
      </c>
      <c r="B408" s="5">
        <v>0</v>
      </c>
      <c r="C408" s="5">
        <v>0</v>
      </c>
      <c r="D408" s="5">
        <v>1</v>
      </c>
      <c r="E408" s="5">
        <v>205</v>
      </c>
      <c r="F408" s="5">
        <f>ROUND(Source!S393,O408)</f>
        <v>0</v>
      </c>
      <c r="G408" s="5" t="s">
        <v>132</v>
      </c>
      <c r="H408" s="5" t="s">
        <v>133</v>
      </c>
      <c r="I408" s="5"/>
      <c r="J408" s="5"/>
      <c r="K408" s="5">
        <v>205</v>
      </c>
      <c r="L408" s="5">
        <v>14</v>
      </c>
      <c r="M408" s="5">
        <v>3</v>
      </c>
      <c r="N408" s="5" t="s">
        <v>3</v>
      </c>
      <c r="O408" s="5">
        <v>2</v>
      </c>
      <c r="P408" s="5">
        <f>ROUND(Source!DK393,O408)</f>
        <v>0</v>
      </c>
      <c r="Q408" s="5"/>
      <c r="R408" s="5"/>
      <c r="S408" s="5"/>
      <c r="T408" s="5"/>
      <c r="U408" s="5"/>
      <c r="V408" s="5"/>
      <c r="W408" s="5">
        <v>0</v>
      </c>
      <c r="X408" s="5">
        <v>1</v>
      </c>
      <c r="Y408" s="5">
        <v>0</v>
      </c>
      <c r="Z408" s="5">
        <v>0</v>
      </c>
      <c r="AA408" s="5">
        <v>1</v>
      </c>
      <c r="AB408" s="5">
        <v>0</v>
      </c>
    </row>
    <row r="409" spans="1:28" x14ac:dyDescent="0.2">
      <c r="A409" s="5">
        <v>50</v>
      </c>
      <c r="B409" s="5">
        <v>0</v>
      </c>
      <c r="C409" s="5">
        <v>0</v>
      </c>
      <c r="D409" s="5">
        <v>1</v>
      </c>
      <c r="E409" s="5">
        <v>232</v>
      </c>
      <c r="F409" s="5">
        <f>ROUND(Source!BC393,O409)</f>
        <v>0</v>
      </c>
      <c r="G409" s="5" t="s">
        <v>134</v>
      </c>
      <c r="H409" s="5" t="s">
        <v>135</v>
      </c>
      <c r="I409" s="5"/>
      <c r="J409" s="5"/>
      <c r="K409" s="5">
        <v>232</v>
      </c>
      <c r="L409" s="5">
        <v>15</v>
      </c>
      <c r="M409" s="5">
        <v>3</v>
      </c>
      <c r="N409" s="5" t="s">
        <v>3</v>
      </c>
      <c r="O409" s="5">
        <v>2</v>
      </c>
      <c r="P409" s="5">
        <f>ROUND(Source!EU393,O409)</f>
        <v>0</v>
      </c>
      <c r="Q409" s="5"/>
      <c r="R409" s="5"/>
      <c r="S409" s="5"/>
      <c r="T409" s="5"/>
      <c r="U409" s="5"/>
      <c r="V409" s="5"/>
      <c r="W409" s="5">
        <v>0</v>
      </c>
      <c r="X409" s="5">
        <v>1</v>
      </c>
      <c r="Y409" s="5">
        <v>0</v>
      </c>
      <c r="Z409" s="5">
        <v>0</v>
      </c>
      <c r="AA409" s="5">
        <v>1</v>
      </c>
      <c r="AB409" s="5">
        <v>0</v>
      </c>
    </row>
    <row r="410" spans="1:28" x14ac:dyDescent="0.2">
      <c r="A410" s="5">
        <v>50</v>
      </c>
      <c r="B410" s="5">
        <v>0</v>
      </c>
      <c r="C410" s="5">
        <v>0</v>
      </c>
      <c r="D410" s="5">
        <v>1</v>
      </c>
      <c r="E410" s="5">
        <v>214</v>
      </c>
      <c r="F410" s="5">
        <f>ROUND(Source!AS393,O410)</f>
        <v>0</v>
      </c>
      <c r="G410" s="5" t="s">
        <v>136</v>
      </c>
      <c r="H410" s="5" t="s">
        <v>137</v>
      </c>
      <c r="I410" s="5"/>
      <c r="J410" s="5"/>
      <c r="K410" s="5">
        <v>214</v>
      </c>
      <c r="L410" s="5">
        <v>16</v>
      </c>
      <c r="M410" s="5">
        <v>3</v>
      </c>
      <c r="N410" s="5" t="s">
        <v>3</v>
      </c>
      <c r="O410" s="5">
        <v>2</v>
      </c>
      <c r="P410" s="5">
        <f>ROUND(Source!EK393,O410)</f>
        <v>0</v>
      </c>
      <c r="Q410" s="5"/>
      <c r="R410" s="5"/>
      <c r="S410" s="5"/>
      <c r="T410" s="5"/>
      <c r="U410" s="5"/>
      <c r="V410" s="5"/>
      <c r="W410" s="5">
        <v>0</v>
      </c>
      <c r="X410" s="5">
        <v>1</v>
      </c>
      <c r="Y410" s="5">
        <v>0</v>
      </c>
      <c r="Z410" s="5">
        <v>0</v>
      </c>
      <c r="AA410" s="5">
        <v>1</v>
      </c>
      <c r="AB410" s="5">
        <v>0</v>
      </c>
    </row>
    <row r="411" spans="1:28" x14ac:dyDescent="0.2">
      <c r="A411" s="5">
        <v>50</v>
      </c>
      <c r="B411" s="5">
        <v>0</v>
      </c>
      <c r="C411" s="5">
        <v>0</v>
      </c>
      <c r="D411" s="5">
        <v>1</v>
      </c>
      <c r="E411" s="5">
        <v>215</v>
      </c>
      <c r="F411" s="5">
        <f>ROUND(Source!AT393,O411)</f>
        <v>0</v>
      </c>
      <c r="G411" s="5" t="s">
        <v>138</v>
      </c>
      <c r="H411" s="5" t="s">
        <v>139</v>
      </c>
      <c r="I411" s="5"/>
      <c r="J411" s="5"/>
      <c r="K411" s="5">
        <v>215</v>
      </c>
      <c r="L411" s="5">
        <v>17</v>
      </c>
      <c r="M411" s="5">
        <v>3</v>
      </c>
      <c r="N411" s="5" t="s">
        <v>3</v>
      </c>
      <c r="O411" s="5">
        <v>2</v>
      </c>
      <c r="P411" s="5">
        <f>ROUND(Source!EL393,O411)</f>
        <v>0</v>
      </c>
      <c r="Q411" s="5"/>
      <c r="R411" s="5"/>
      <c r="S411" s="5"/>
      <c r="T411" s="5"/>
      <c r="U411" s="5"/>
      <c r="V411" s="5"/>
      <c r="W411" s="5">
        <v>0</v>
      </c>
      <c r="X411" s="5">
        <v>1</v>
      </c>
      <c r="Y411" s="5">
        <v>0</v>
      </c>
      <c r="Z411" s="5">
        <v>0</v>
      </c>
      <c r="AA411" s="5">
        <v>1</v>
      </c>
      <c r="AB411" s="5">
        <v>0</v>
      </c>
    </row>
    <row r="412" spans="1:28" x14ac:dyDescent="0.2">
      <c r="A412" s="5">
        <v>50</v>
      </c>
      <c r="B412" s="5">
        <v>0</v>
      </c>
      <c r="C412" s="5">
        <v>0</v>
      </c>
      <c r="D412" s="5">
        <v>1</v>
      </c>
      <c r="E412" s="5">
        <v>217</v>
      </c>
      <c r="F412" s="5">
        <f>ROUND(Source!AU393,O412)</f>
        <v>0</v>
      </c>
      <c r="G412" s="5" t="s">
        <v>140</v>
      </c>
      <c r="H412" s="5" t="s">
        <v>141</v>
      </c>
      <c r="I412" s="5"/>
      <c r="J412" s="5"/>
      <c r="K412" s="5">
        <v>217</v>
      </c>
      <c r="L412" s="5">
        <v>18</v>
      </c>
      <c r="M412" s="5">
        <v>3</v>
      </c>
      <c r="N412" s="5" t="s">
        <v>3</v>
      </c>
      <c r="O412" s="5">
        <v>2</v>
      </c>
      <c r="P412" s="5">
        <f>ROUND(Source!EM393,O412)</f>
        <v>0</v>
      </c>
      <c r="Q412" s="5"/>
      <c r="R412" s="5"/>
      <c r="S412" s="5"/>
      <c r="T412" s="5"/>
      <c r="U412" s="5"/>
      <c r="V412" s="5"/>
      <c r="W412" s="5">
        <v>0</v>
      </c>
      <c r="X412" s="5">
        <v>1</v>
      </c>
      <c r="Y412" s="5">
        <v>0</v>
      </c>
      <c r="Z412" s="5">
        <v>0</v>
      </c>
      <c r="AA412" s="5">
        <v>1</v>
      </c>
      <c r="AB412" s="5">
        <v>0</v>
      </c>
    </row>
    <row r="413" spans="1:28" x14ac:dyDescent="0.2">
      <c r="A413" s="5">
        <v>50</v>
      </c>
      <c r="B413" s="5">
        <v>0</v>
      </c>
      <c r="C413" s="5">
        <v>0</v>
      </c>
      <c r="D413" s="5">
        <v>1</v>
      </c>
      <c r="E413" s="5">
        <v>230</v>
      </c>
      <c r="F413" s="5">
        <f>ROUND(Source!BA393,O413)</f>
        <v>0</v>
      </c>
      <c r="G413" s="5" t="s">
        <v>142</v>
      </c>
      <c r="H413" s="5" t="s">
        <v>143</v>
      </c>
      <c r="I413" s="5"/>
      <c r="J413" s="5"/>
      <c r="K413" s="5">
        <v>230</v>
      </c>
      <c r="L413" s="5">
        <v>19</v>
      </c>
      <c r="M413" s="5">
        <v>3</v>
      </c>
      <c r="N413" s="5" t="s">
        <v>3</v>
      </c>
      <c r="O413" s="5">
        <v>2</v>
      </c>
      <c r="P413" s="5">
        <f>ROUND(Source!ES393,O413)</f>
        <v>0</v>
      </c>
      <c r="Q413" s="5"/>
      <c r="R413" s="5"/>
      <c r="S413" s="5"/>
      <c r="T413" s="5"/>
      <c r="U413" s="5"/>
      <c r="V413" s="5"/>
      <c r="W413" s="5">
        <v>0</v>
      </c>
      <c r="X413" s="5">
        <v>1</v>
      </c>
      <c r="Y413" s="5">
        <v>0</v>
      </c>
      <c r="Z413" s="5">
        <v>0</v>
      </c>
      <c r="AA413" s="5">
        <v>1</v>
      </c>
      <c r="AB413" s="5">
        <v>0</v>
      </c>
    </row>
    <row r="414" spans="1:28" x14ac:dyDescent="0.2">
      <c r="A414" s="5">
        <v>50</v>
      </c>
      <c r="B414" s="5">
        <v>0</v>
      </c>
      <c r="C414" s="5">
        <v>0</v>
      </c>
      <c r="D414" s="5">
        <v>1</v>
      </c>
      <c r="E414" s="5">
        <v>206</v>
      </c>
      <c r="F414" s="5">
        <f>ROUND(Source!T393,O414)</f>
        <v>0</v>
      </c>
      <c r="G414" s="5" t="s">
        <v>144</v>
      </c>
      <c r="H414" s="5" t="s">
        <v>145</v>
      </c>
      <c r="I414" s="5"/>
      <c r="J414" s="5"/>
      <c r="K414" s="5">
        <v>206</v>
      </c>
      <c r="L414" s="5">
        <v>20</v>
      </c>
      <c r="M414" s="5">
        <v>3</v>
      </c>
      <c r="N414" s="5" t="s">
        <v>3</v>
      </c>
      <c r="O414" s="5">
        <v>2</v>
      </c>
      <c r="P414" s="5">
        <f>ROUND(Source!DL393,O414)</f>
        <v>0</v>
      </c>
      <c r="Q414" s="5"/>
      <c r="R414" s="5"/>
      <c r="S414" s="5"/>
      <c r="T414" s="5"/>
      <c r="U414" s="5"/>
      <c r="V414" s="5"/>
      <c r="W414" s="5">
        <v>0</v>
      </c>
      <c r="X414" s="5">
        <v>1</v>
      </c>
      <c r="Y414" s="5">
        <v>0</v>
      </c>
      <c r="Z414" s="5">
        <v>0</v>
      </c>
      <c r="AA414" s="5">
        <v>1</v>
      </c>
      <c r="AB414" s="5">
        <v>0</v>
      </c>
    </row>
    <row r="415" spans="1:28" x14ac:dyDescent="0.2">
      <c r="A415" s="5">
        <v>50</v>
      </c>
      <c r="B415" s="5">
        <v>0</v>
      </c>
      <c r="C415" s="5">
        <v>0</v>
      </c>
      <c r="D415" s="5">
        <v>1</v>
      </c>
      <c r="E415" s="5">
        <v>207</v>
      </c>
      <c r="F415" s="5">
        <f>Source!U393</f>
        <v>0</v>
      </c>
      <c r="G415" s="5" t="s">
        <v>146</v>
      </c>
      <c r="H415" s="5" t="s">
        <v>147</v>
      </c>
      <c r="I415" s="5"/>
      <c r="J415" s="5"/>
      <c r="K415" s="5">
        <v>207</v>
      </c>
      <c r="L415" s="5">
        <v>21</v>
      </c>
      <c r="M415" s="5">
        <v>3</v>
      </c>
      <c r="N415" s="5" t="s">
        <v>3</v>
      </c>
      <c r="O415" s="5">
        <v>-1</v>
      </c>
      <c r="P415" s="5">
        <f>Source!DM393</f>
        <v>0</v>
      </c>
      <c r="Q415" s="5"/>
      <c r="R415" s="5"/>
      <c r="S415" s="5"/>
      <c r="T415" s="5"/>
      <c r="U415" s="5"/>
      <c r="V415" s="5"/>
      <c r="W415" s="5">
        <v>0</v>
      </c>
      <c r="X415" s="5">
        <v>1</v>
      </c>
      <c r="Y415" s="5">
        <v>0</v>
      </c>
      <c r="Z415" s="5">
        <v>0</v>
      </c>
      <c r="AA415" s="5">
        <v>1</v>
      </c>
      <c r="AB415" s="5">
        <v>0</v>
      </c>
    </row>
    <row r="416" spans="1:28" x14ac:dyDescent="0.2">
      <c r="A416" s="5">
        <v>50</v>
      </c>
      <c r="B416" s="5">
        <v>0</v>
      </c>
      <c r="C416" s="5">
        <v>0</v>
      </c>
      <c r="D416" s="5">
        <v>1</v>
      </c>
      <c r="E416" s="5">
        <v>208</v>
      </c>
      <c r="F416" s="5">
        <f>Source!V393</f>
        <v>0</v>
      </c>
      <c r="G416" s="5" t="s">
        <v>148</v>
      </c>
      <c r="H416" s="5" t="s">
        <v>149</v>
      </c>
      <c r="I416" s="5"/>
      <c r="J416" s="5"/>
      <c r="K416" s="5">
        <v>208</v>
      </c>
      <c r="L416" s="5">
        <v>22</v>
      </c>
      <c r="M416" s="5">
        <v>3</v>
      </c>
      <c r="N416" s="5" t="s">
        <v>3</v>
      </c>
      <c r="O416" s="5">
        <v>-1</v>
      </c>
      <c r="P416" s="5">
        <f>Source!DN393</f>
        <v>0</v>
      </c>
      <c r="Q416" s="5"/>
      <c r="R416" s="5"/>
      <c r="S416" s="5"/>
      <c r="T416" s="5"/>
      <c r="U416" s="5"/>
      <c r="V416" s="5"/>
      <c r="W416" s="5">
        <v>0</v>
      </c>
      <c r="X416" s="5">
        <v>1</v>
      </c>
      <c r="Y416" s="5">
        <v>0</v>
      </c>
      <c r="Z416" s="5">
        <v>0</v>
      </c>
      <c r="AA416" s="5">
        <v>1</v>
      </c>
      <c r="AB416" s="5">
        <v>0</v>
      </c>
    </row>
    <row r="417" spans="1:206" x14ac:dyDescent="0.2">
      <c r="A417" s="5">
        <v>50</v>
      </c>
      <c r="B417" s="5">
        <v>0</v>
      </c>
      <c r="C417" s="5">
        <v>0</v>
      </c>
      <c r="D417" s="5">
        <v>1</v>
      </c>
      <c r="E417" s="5">
        <v>209</v>
      </c>
      <c r="F417" s="5">
        <f>ROUND(Source!W393,O417)</f>
        <v>0</v>
      </c>
      <c r="G417" s="5" t="s">
        <v>150</v>
      </c>
      <c r="H417" s="5" t="s">
        <v>151</v>
      </c>
      <c r="I417" s="5"/>
      <c r="J417" s="5"/>
      <c r="K417" s="5">
        <v>209</v>
      </c>
      <c r="L417" s="5">
        <v>23</v>
      </c>
      <c r="M417" s="5">
        <v>3</v>
      </c>
      <c r="N417" s="5" t="s">
        <v>3</v>
      </c>
      <c r="O417" s="5">
        <v>2</v>
      </c>
      <c r="P417" s="5">
        <f>ROUND(Source!DO393,O417)</f>
        <v>0</v>
      </c>
      <c r="Q417" s="5"/>
      <c r="R417" s="5"/>
      <c r="S417" s="5"/>
      <c r="T417" s="5"/>
      <c r="U417" s="5"/>
      <c r="V417" s="5"/>
      <c r="W417" s="5">
        <v>0</v>
      </c>
      <c r="X417" s="5">
        <v>1</v>
      </c>
      <c r="Y417" s="5">
        <v>0</v>
      </c>
      <c r="Z417" s="5">
        <v>0</v>
      </c>
      <c r="AA417" s="5">
        <v>1</v>
      </c>
      <c r="AB417" s="5">
        <v>0</v>
      </c>
    </row>
    <row r="418" spans="1:206" x14ac:dyDescent="0.2">
      <c r="A418" s="5">
        <v>50</v>
      </c>
      <c r="B418" s="5">
        <v>0</v>
      </c>
      <c r="C418" s="5">
        <v>0</v>
      </c>
      <c r="D418" s="5">
        <v>1</v>
      </c>
      <c r="E418" s="5">
        <v>233</v>
      </c>
      <c r="F418" s="5">
        <f>ROUND(Source!BD393,O418)</f>
        <v>0</v>
      </c>
      <c r="G418" s="5" t="s">
        <v>152</v>
      </c>
      <c r="H418" s="5" t="s">
        <v>153</v>
      </c>
      <c r="I418" s="5"/>
      <c r="J418" s="5"/>
      <c r="K418" s="5">
        <v>233</v>
      </c>
      <c r="L418" s="5">
        <v>24</v>
      </c>
      <c r="M418" s="5">
        <v>3</v>
      </c>
      <c r="N418" s="5" t="s">
        <v>3</v>
      </c>
      <c r="O418" s="5">
        <v>2</v>
      </c>
      <c r="P418" s="5">
        <f>ROUND(Source!EV393,O418)</f>
        <v>0</v>
      </c>
      <c r="Q418" s="5"/>
      <c r="R418" s="5"/>
      <c r="S418" s="5"/>
      <c r="T418" s="5"/>
      <c r="U418" s="5"/>
      <c r="V418" s="5"/>
      <c r="W418" s="5">
        <v>0</v>
      </c>
      <c r="X418" s="5">
        <v>1</v>
      </c>
      <c r="Y418" s="5">
        <v>0</v>
      </c>
      <c r="Z418" s="5">
        <v>0</v>
      </c>
      <c r="AA418" s="5">
        <v>1</v>
      </c>
      <c r="AB418" s="5">
        <v>0</v>
      </c>
    </row>
    <row r="419" spans="1:206" x14ac:dyDescent="0.2">
      <c r="A419" s="5">
        <v>50</v>
      </c>
      <c r="B419" s="5">
        <v>0</v>
      </c>
      <c r="C419" s="5">
        <v>0</v>
      </c>
      <c r="D419" s="5">
        <v>1</v>
      </c>
      <c r="E419" s="5">
        <v>210</v>
      </c>
      <c r="F419" s="5">
        <f>ROUND(Source!X393,O419)</f>
        <v>0</v>
      </c>
      <c r="G419" s="5" t="s">
        <v>154</v>
      </c>
      <c r="H419" s="5" t="s">
        <v>155</v>
      </c>
      <c r="I419" s="5"/>
      <c r="J419" s="5"/>
      <c r="K419" s="5">
        <v>210</v>
      </c>
      <c r="L419" s="5">
        <v>25</v>
      </c>
      <c r="M419" s="5">
        <v>3</v>
      </c>
      <c r="N419" s="5" t="s">
        <v>3</v>
      </c>
      <c r="O419" s="5">
        <v>2</v>
      </c>
      <c r="P419" s="5">
        <f>ROUND(Source!DP393,O419)</f>
        <v>0</v>
      </c>
      <c r="Q419" s="5"/>
      <c r="R419" s="5"/>
      <c r="S419" s="5"/>
      <c r="T419" s="5"/>
      <c r="U419" s="5"/>
      <c r="V419" s="5"/>
      <c r="W419" s="5">
        <v>0</v>
      </c>
      <c r="X419" s="5">
        <v>1</v>
      </c>
      <c r="Y419" s="5">
        <v>0</v>
      </c>
      <c r="Z419" s="5">
        <v>0</v>
      </c>
      <c r="AA419" s="5">
        <v>1</v>
      </c>
      <c r="AB419" s="5">
        <v>0</v>
      </c>
    </row>
    <row r="420" spans="1:206" x14ac:dyDescent="0.2">
      <c r="A420" s="5">
        <v>50</v>
      </c>
      <c r="B420" s="5">
        <v>0</v>
      </c>
      <c r="C420" s="5">
        <v>0</v>
      </c>
      <c r="D420" s="5">
        <v>1</v>
      </c>
      <c r="E420" s="5">
        <v>211</v>
      </c>
      <c r="F420" s="5">
        <f>ROUND(Source!Y393,O420)</f>
        <v>0</v>
      </c>
      <c r="G420" s="5" t="s">
        <v>156</v>
      </c>
      <c r="H420" s="5" t="s">
        <v>157</v>
      </c>
      <c r="I420" s="5"/>
      <c r="J420" s="5"/>
      <c r="K420" s="5">
        <v>211</v>
      </c>
      <c r="L420" s="5">
        <v>26</v>
      </c>
      <c r="M420" s="5">
        <v>3</v>
      </c>
      <c r="N420" s="5" t="s">
        <v>3</v>
      </c>
      <c r="O420" s="5">
        <v>2</v>
      </c>
      <c r="P420" s="5">
        <f>ROUND(Source!DQ393,O420)</f>
        <v>0</v>
      </c>
      <c r="Q420" s="5"/>
      <c r="R420" s="5"/>
      <c r="S420" s="5"/>
      <c r="T420" s="5"/>
      <c r="U420" s="5"/>
      <c r="V420" s="5"/>
      <c r="W420" s="5">
        <v>0</v>
      </c>
      <c r="X420" s="5">
        <v>1</v>
      </c>
      <c r="Y420" s="5">
        <v>0</v>
      </c>
      <c r="Z420" s="5">
        <v>0</v>
      </c>
      <c r="AA420" s="5">
        <v>1</v>
      </c>
      <c r="AB420" s="5">
        <v>0</v>
      </c>
    </row>
    <row r="421" spans="1:206" x14ac:dyDescent="0.2">
      <c r="A421" s="5">
        <v>50</v>
      </c>
      <c r="B421" s="5">
        <v>0</v>
      </c>
      <c r="C421" s="5">
        <v>0</v>
      </c>
      <c r="D421" s="5">
        <v>1</v>
      </c>
      <c r="E421" s="5">
        <v>224</v>
      </c>
      <c r="F421" s="5">
        <f>ROUND(Source!AR393,O421)</f>
        <v>0</v>
      </c>
      <c r="G421" s="5" t="s">
        <v>158</v>
      </c>
      <c r="H421" s="5" t="s">
        <v>159</v>
      </c>
      <c r="I421" s="5"/>
      <c r="J421" s="5"/>
      <c r="K421" s="5">
        <v>224</v>
      </c>
      <c r="L421" s="5">
        <v>27</v>
      </c>
      <c r="M421" s="5">
        <v>3</v>
      </c>
      <c r="N421" s="5" t="s">
        <v>3</v>
      </c>
      <c r="O421" s="5">
        <v>2</v>
      </c>
      <c r="P421" s="5">
        <f>ROUND(Source!EJ393,O421)</f>
        <v>0</v>
      </c>
      <c r="Q421" s="5"/>
      <c r="R421" s="5"/>
      <c r="S421" s="5"/>
      <c r="T421" s="5"/>
      <c r="U421" s="5"/>
      <c r="V421" s="5"/>
      <c r="W421" s="5">
        <v>0</v>
      </c>
      <c r="X421" s="5">
        <v>1</v>
      </c>
      <c r="Y421" s="5">
        <v>0</v>
      </c>
      <c r="Z421" s="5">
        <v>0</v>
      </c>
      <c r="AA421" s="5">
        <v>1</v>
      </c>
      <c r="AB421" s="5">
        <v>0</v>
      </c>
    </row>
    <row r="423" spans="1:206" x14ac:dyDescent="0.2">
      <c r="A423" s="3">
        <v>51</v>
      </c>
      <c r="B423" s="3">
        <f>B20</f>
        <v>1</v>
      </c>
      <c r="C423" s="3">
        <f>A20</f>
        <v>3</v>
      </c>
      <c r="D423" s="3">
        <f>ROW(A20)</f>
        <v>20</v>
      </c>
      <c r="E423" s="3"/>
      <c r="F423" s="3" t="str">
        <f>IF(F20&lt;&gt;"",F20,"")</f>
        <v>Новая локальная смета</v>
      </c>
      <c r="G423" s="3" t="str">
        <f>IF(G20&lt;&gt;"",G20,"")</f>
        <v>Новая локальная смета</v>
      </c>
      <c r="H423" s="3">
        <v>0</v>
      </c>
      <c r="I423" s="3"/>
      <c r="J423" s="3"/>
      <c r="K423" s="3"/>
      <c r="L423" s="3"/>
      <c r="M423" s="3"/>
      <c r="N423" s="3"/>
      <c r="O423" s="3">
        <f t="shared" ref="O423:T423" si="345">ROUND(O63+O174+O229+O393+AB423,2)</f>
        <v>94437.81</v>
      </c>
      <c r="P423" s="3">
        <f t="shared" si="345"/>
        <v>87962.58</v>
      </c>
      <c r="Q423" s="3">
        <f t="shared" si="345"/>
        <v>2268.35</v>
      </c>
      <c r="R423" s="3">
        <f t="shared" si="345"/>
        <v>231.35</v>
      </c>
      <c r="S423" s="3">
        <f t="shared" si="345"/>
        <v>4206.88</v>
      </c>
      <c r="T423" s="3">
        <f t="shared" si="345"/>
        <v>0</v>
      </c>
      <c r="U423" s="3">
        <f>U63+U174+U229+U393+AH423</f>
        <v>345.40756158964001</v>
      </c>
      <c r="V423" s="3">
        <f>V63+V174+V229+V393+AI423</f>
        <v>0</v>
      </c>
      <c r="W423" s="3">
        <f>ROUND(W63+W174+W229+W393+AJ423,2)</f>
        <v>0</v>
      </c>
      <c r="X423" s="3">
        <f>ROUND(X63+X174+X229+X393+AK423,2)</f>
        <v>4653.75</v>
      </c>
      <c r="Y423" s="3">
        <f>ROUND(Y63+Y174+Y229+Y393+AL423,2)</f>
        <v>3001.63</v>
      </c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>
        <f t="shared" ref="AO423:BD423" si="346">ROUND(AO63+AO174+AO229+AO393+BX423,2)</f>
        <v>0</v>
      </c>
      <c r="AP423" s="3">
        <f t="shared" si="346"/>
        <v>0</v>
      </c>
      <c r="AQ423" s="3">
        <f t="shared" si="346"/>
        <v>0</v>
      </c>
      <c r="AR423" s="3">
        <f t="shared" si="346"/>
        <v>102498.07</v>
      </c>
      <c r="AS423" s="3">
        <f t="shared" si="346"/>
        <v>81819.429999999993</v>
      </c>
      <c r="AT423" s="3">
        <f t="shared" si="346"/>
        <v>20678.64</v>
      </c>
      <c r="AU423" s="3">
        <f t="shared" si="346"/>
        <v>0</v>
      </c>
      <c r="AV423" s="3">
        <f t="shared" si="346"/>
        <v>87962.58</v>
      </c>
      <c r="AW423" s="3">
        <f t="shared" si="346"/>
        <v>87962.58</v>
      </c>
      <c r="AX423" s="3">
        <f t="shared" si="346"/>
        <v>0</v>
      </c>
      <c r="AY423" s="3">
        <f t="shared" si="346"/>
        <v>87962.58</v>
      </c>
      <c r="AZ423" s="3">
        <f t="shared" si="346"/>
        <v>0</v>
      </c>
      <c r="BA423" s="3">
        <f t="shared" si="346"/>
        <v>0</v>
      </c>
      <c r="BB423" s="3">
        <f t="shared" si="346"/>
        <v>0</v>
      </c>
      <c r="BC423" s="3">
        <f t="shared" si="346"/>
        <v>0</v>
      </c>
      <c r="BD423" s="3">
        <f t="shared" si="346"/>
        <v>0</v>
      </c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4">
        <f t="shared" ref="DG423:DL423" si="347">ROUND(DG63+DG174+DG229+DG393+DT423,2)</f>
        <v>936535.5</v>
      </c>
      <c r="DH423" s="4">
        <f t="shared" si="347"/>
        <v>766829.47</v>
      </c>
      <c r="DI423" s="4">
        <f t="shared" si="347"/>
        <v>24526.59</v>
      </c>
      <c r="DJ423" s="4">
        <f t="shared" si="347"/>
        <v>7983.9</v>
      </c>
      <c r="DK423" s="4">
        <f t="shared" si="347"/>
        <v>145179.44</v>
      </c>
      <c r="DL423" s="4">
        <f t="shared" si="347"/>
        <v>0</v>
      </c>
      <c r="DM423" s="4">
        <f>DM63+DM174+DM229+DM393+DZ423</f>
        <v>345.40756158964001</v>
      </c>
      <c r="DN423" s="4">
        <f>DN63+DN174+DN229+DN393+EA423</f>
        <v>0</v>
      </c>
      <c r="DO423" s="4">
        <f>ROUND(DO63+DO174+DO229+DO393+EB423,2)</f>
        <v>0</v>
      </c>
      <c r="DP423" s="4">
        <f>ROUND(DP63+DP174+DP229+DP393+EC423,2)</f>
        <v>132204.71</v>
      </c>
      <c r="DQ423" s="4">
        <f>ROUND(DQ63+DQ174+DQ229+DQ393+ED423,2)</f>
        <v>61493.4</v>
      </c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>
        <f t="shared" ref="EG423:EV423" si="348">ROUND(EG63+EG174+EG229+EG393+FP423,2)</f>
        <v>0</v>
      </c>
      <c r="EH423" s="4">
        <f t="shared" si="348"/>
        <v>0</v>
      </c>
      <c r="EI423" s="4">
        <f t="shared" si="348"/>
        <v>0</v>
      </c>
      <c r="EJ423" s="4">
        <f t="shared" si="348"/>
        <v>1143007.8600000001</v>
      </c>
      <c r="EK423" s="4">
        <f t="shared" si="348"/>
        <v>873224.33</v>
      </c>
      <c r="EL423" s="4">
        <f t="shared" si="348"/>
        <v>269783.53000000003</v>
      </c>
      <c r="EM423" s="4">
        <f t="shared" si="348"/>
        <v>0</v>
      </c>
      <c r="EN423" s="4">
        <f t="shared" si="348"/>
        <v>766829.47</v>
      </c>
      <c r="EO423" s="4">
        <f t="shared" si="348"/>
        <v>766829.47</v>
      </c>
      <c r="EP423" s="4">
        <f t="shared" si="348"/>
        <v>0</v>
      </c>
      <c r="EQ423" s="4">
        <f t="shared" si="348"/>
        <v>766829.47</v>
      </c>
      <c r="ER423" s="4">
        <f t="shared" si="348"/>
        <v>0</v>
      </c>
      <c r="ES423" s="4">
        <f t="shared" si="348"/>
        <v>0</v>
      </c>
      <c r="ET423" s="4">
        <f t="shared" si="348"/>
        <v>0</v>
      </c>
      <c r="EU423" s="4">
        <f t="shared" si="348"/>
        <v>0</v>
      </c>
      <c r="EV423" s="4">
        <f t="shared" si="348"/>
        <v>0</v>
      </c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>
        <v>0</v>
      </c>
    </row>
    <row r="425" spans="1:206" x14ac:dyDescent="0.2">
      <c r="A425" s="5">
        <v>50</v>
      </c>
      <c r="B425" s="5">
        <v>0</v>
      </c>
      <c r="C425" s="5">
        <v>0</v>
      </c>
      <c r="D425" s="5">
        <v>1</v>
      </c>
      <c r="E425" s="5">
        <v>201</v>
      </c>
      <c r="F425" s="5">
        <f>ROUND(Source!O423,O425)</f>
        <v>94437.81</v>
      </c>
      <c r="G425" s="5" t="s">
        <v>106</v>
      </c>
      <c r="H425" s="5" t="s">
        <v>107</v>
      </c>
      <c r="I425" s="5"/>
      <c r="J425" s="5"/>
      <c r="K425" s="5">
        <v>201</v>
      </c>
      <c r="L425" s="5">
        <v>1</v>
      </c>
      <c r="M425" s="5">
        <v>3</v>
      </c>
      <c r="N425" s="5" t="s">
        <v>3</v>
      </c>
      <c r="O425" s="5">
        <v>2</v>
      </c>
      <c r="P425" s="5">
        <f>ROUND(Source!DG423,O425)</f>
        <v>936535.5</v>
      </c>
      <c r="Q425" s="5"/>
      <c r="R425" s="5"/>
      <c r="S425" s="5"/>
      <c r="T425" s="5"/>
      <c r="U425" s="5"/>
      <c r="V425" s="5"/>
      <c r="W425" s="5">
        <v>94437.81</v>
      </c>
      <c r="X425" s="5">
        <v>1</v>
      </c>
      <c r="Y425" s="5">
        <v>94437.81</v>
      </c>
      <c r="Z425" s="5">
        <v>936535.5</v>
      </c>
      <c r="AA425" s="5">
        <v>1</v>
      </c>
      <c r="AB425" s="5">
        <v>936535.5</v>
      </c>
    </row>
    <row r="426" spans="1:206" x14ac:dyDescent="0.2">
      <c r="A426" s="5">
        <v>50</v>
      </c>
      <c r="B426" s="5">
        <v>0</v>
      </c>
      <c r="C426" s="5">
        <v>0</v>
      </c>
      <c r="D426" s="5">
        <v>1</v>
      </c>
      <c r="E426" s="5">
        <v>202</v>
      </c>
      <c r="F426" s="5">
        <f>ROUND(Source!P423,O426)</f>
        <v>87962.58</v>
      </c>
      <c r="G426" s="5" t="s">
        <v>108</v>
      </c>
      <c r="H426" s="5" t="s">
        <v>109</v>
      </c>
      <c r="I426" s="5"/>
      <c r="J426" s="5"/>
      <c r="K426" s="5">
        <v>202</v>
      </c>
      <c r="L426" s="5">
        <v>2</v>
      </c>
      <c r="M426" s="5">
        <v>3</v>
      </c>
      <c r="N426" s="5" t="s">
        <v>3</v>
      </c>
      <c r="O426" s="5">
        <v>2</v>
      </c>
      <c r="P426" s="5">
        <f>ROUND(Source!DH423,O426)</f>
        <v>766829.47</v>
      </c>
      <c r="Q426" s="5"/>
      <c r="R426" s="5"/>
      <c r="S426" s="5"/>
      <c r="T426" s="5"/>
      <c r="U426" s="5"/>
      <c r="V426" s="5"/>
      <c r="W426" s="5">
        <v>87962.58</v>
      </c>
      <c r="X426" s="5">
        <v>1</v>
      </c>
      <c r="Y426" s="5">
        <v>87962.58</v>
      </c>
      <c r="Z426" s="5">
        <v>766829.47</v>
      </c>
      <c r="AA426" s="5">
        <v>1</v>
      </c>
      <c r="AB426" s="5">
        <v>766829.47</v>
      </c>
    </row>
    <row r="427" spans="1:206" x14ac:dyDescent="0.2">
      <c r="A427" s="5">
        <v>50</v>
      </c>
      <c r="B427" s="5">
        <v>0</v>
      </c>
      <c r="C427" s="5">
        <v>0</v>
      </c>
      <c r="D427" s="5">
        <v>1</v>
      </c>
      <c r="E427" s="5">
        <v>222</v>
      </c>
      <c r="F427" s="5">
        <f>ROUND(Source!AO423,O427)</f>
        <v>0</v>
      </c>
      <c r="G427" s="5" t="s">
        <v>110</v>
      </c>
      <c r="H427" s="5" t="s">
        <v>111</v>
      </c>
      <c r="I427" s="5"/>
      <c r="J427" s="5"/>
      <c r="K427" s="5">
        <v>222</v>
      </c>
      <c r="L427" s="5">
        <v>3</v>
      </c>
      <c r="M427" s="5">
        <v>3</v>
      </c>
      <c r="N427" s="5" t="s">
        <v>3</v>
      </c>
      <c r="O427" s="5">
        <v>2</v>
      </c>
      <c r="P427" s="5">
        <f>ROUND(Source!EG423,O427)</f>
        <v>0</v>
      </c>
      <c r="Q427" s="5"/>
      <c r="R427" s="5"/>
      <c r="S427" s="5"/>
      <c r="T427" s="5"/>
      <c r="U427" s="5"/>
      <c r="V427" s="5"/>
      <c r="W427" s="5">
        <v>0</v>
      </c>
      <c r="X427" s="5">
        <v>1</v>
      </c>
      <c r="Y427" s="5">
        <v>0</v>
      </c>
      <c r="Z427" s="5">
        <v>0</v>
      </c>
      <c r="AA427" s="5">
        <v>1</v>
      </c>
      <c r="AB427" s="5">
        <v>0</v>
      </c>
    </row>
    <row r="428" spans="1:206" x14ac:dyDescent="0.2">
      <c r="A428" s="5">
        <v>50</v>
      </c>
      <c r="B428" s="5">
        <v>0</v>
      </c>
      <c r="C428" s="5">
        <v>0</v>
      </c>
      <c r="D428" s="5">
        <v>1</v>
      </c>
      <c r="E428" s="5">
        <v>225</v>
      </c>
      <c r="F428" s="5">
        <f>ROUND(Source!AV423,O428)</f>
        <v>87962.58</v>
      </c>
      <c r="G428" s="5" t="s">
        <v>112</v>
      </c>
      <c r="H428" s="5" t="s">
        <v>113</v>
      </c>
      <c r="I428" s="5"/>
      <c r="J428" s="5"/>
      <c r="K428" s="5">
        <v>225</v>
      </c>
      <c r="L428" s="5">
        <v>4</v>
      </c>
      <c r="M428" s="5">
        <v>3</v>
      </c>
      <c r="N428" s="5" t="s">
        <v>3</v>
      </c>
      <c r="O428" s="5">
        <v>2</v>
      </c>
      <c r="P428" s="5">
        <f>ROUND(Source!EN423,O428)</f>
        <v>766829.47</v>
      </c>
      <c r="Q428" s="5"/>
      <c r="R428" s="5"/>
      <c r="S428" s="5"/>
      <c r="T428" s="5"/>
      <c r="U428" s="5"/>
      <c r="V428" s="5"/>
      <c r="W428" s="5">
        <v>87962.58</v>
      </c>
      <c r="X428" s="5">
        <v>1</v>
      </c>
      <c r="Y428" s="5">
        <v>87962.58</v>
      </c>
      <c r="Z428" s="5">
        <v>766829.47</v>
      </c>
      <c r="AA428" s="5">
        <v>1</v>
      </c>
      <c r="AB428" s="5">
        <v>766829.47</v>
      </c>
    </row>
    <row r="429" spans="1:206" x14ac:dyDescent="0.2">
      <c r="A429" s="5">
        <v>50</v>
      </c>
      <c r="B429" s="5">
        <v>0</v>
      </c>
      <c r="C429" s="5">
        <v>0</v>
      </c>
      <c r="D429" s="5">
        <v>1</v>
      </c>
      <c r="E429" s="5">
        <v>226</v>
      </c>
      <c r="F429" s="5">
        <f>ROUND(Source!AW423,O429)</f>
        <v>87962.58</v>
      </c>
      <c r="G429" s="5" t="s">
        <v>114</v>
      </c>
      <c r="H429" s="5" t="s">
        <v>115</v>
      </c>
      <c r="I429" s="5"/>
      <c r="J429" s="5"/>
      <c r="K429" s="5">
        <v>226</v>
      </c>
      <c r="L429" s="5">
        <v>5</v>
      </c>
      <c r="M429" s="5">
        <v>3</v>
      </c>
      <c r="N429" s="5" t="s">
        <v>3</v>
      </c>
      <c r="O429" s="5">
        <v>2</v>
      </c>
      <c r="P429" s="5">
        <f>ROUND(Source!EO423,O429)</f>
        <v>766829.47</v>
      </c>
      <c r="Q429" s="5"/>
      <c r="R429" s="5"/>
      <c r="S429" s="5"/>
      <c r="T429" s="5"/>
      <c r="U429" s="5"/>
      <c r="V429" s="5"/>
      <c r="W429" s="5">
        <v>87962.58</v>
      </c>
      <c r="X429" s="5">
        <v>1</v>
      </c>
      <c r="Y429" s="5">
        <v>87962.58</v>
      </c>
      <c r="Z429" s="5">
        <v>766829.47</v>
      </c>
      <c r="AA429" s="5">
        <v>1</v>
      </c>
      <c r="AB429" s="5">
        <v>766829.47</v>
      </c>
    </row>
    <row r="430" spans="1:206" x14ac:dyDescent="0.2">
      <c r="A430" s="5">
        <v>50</v>
      </c>
      <c r="B430" s="5">
        <v>0</v>
      </c>
      <c r="C430" s="5">
        <v>0</v>
      </c>
      <c r="D430" s="5">
        <v>1</v>
      </c>
      <c r="E430" s="5">
        <v>227</v>
      </c>
      <c r="F430" s="5">
        <f>ROUND(Source!AX423,O430)</f>
        <v>0</v>
      </c>
      <c r="G430" s="5" t="s">
        <v>116</v>
      </c>
      <c r="H430" s="5" t="s">
        <v>117</v>
      </c>
      <c r="I430" s="5"/>
      <c r="J430" s="5"/>
      <c r="K430" s="5">
        <v>227</v>
      </c>
      <c r="L430" s="5">
        <v>6</v>
      </c>
      <c r="M430" s="5">
        <v>3</v>
      </c>
      <c r="N430" s="5" t="s">
        <v>3</v>
      </c>
      <c r="O430" s="5">
        <v>2</v>
      </c>
      <c r="P430" s="5">
        <f>ROUND(Source!EP423,O430)</f>
        <v>0</v>
      </c>
      <c r="Q430" s="5"/>
      <c r="R430" s="5"/>
      <c r="S430" s="5"/>
      <c r="T430" s="5"/>
      <c r="U430" s="5"/>
      <c r="V430" s="5"/>
      <c r="W430" s="5">
        <v>0</v>
      </c>
      <c r="X430" s="5">
        <v>1</v>
      </c>
      <c r="Y430" s="5">
        <v>0</v>
      </c>
      <c r="Z430" s="5">
        <v>0</v>
      </c>
      <c r="AA430" s="5">
        <v>1</v>
      </c>
      <c r="AB430" s="5">
        <v>0</v>
      </c>
    </row>
    <row r="431" spans="1:206" x14ac:dyDescent="0.2">
      <c r="A431" s="5">
        <v>50</v>
      </c>
      <c r="B431" s="5">
        <v>0</v>
      </c>
      <c r="C431" s="5">
        <v>0</v>
      </c>
      <c r="D431" s="5">
        <v>1</v>
      </c>
      <c r="E431" s="5">
        <v>228</v>
      </c>
      <c r="F431" s="5">
        <f>ROUND(Source!AY423,O431)</f>
        <v>87962.58</v>
      </c>
      <c r="G431" s="5" t="s">
        <v>118</v>
      </c>
      <c r="H431" s="5" t="s">
        <v>119</v>
      </c>
      <c r="I431" s="5"/>
      <c r="J431" s="5"/>
      <c r="K431" s="5">
        <v>228</v>
      </c>
      <c r="L431" s="5">
        <v>7</v>
      </c>
      <c r="M431" s="5">
        <v>3</v>
      </c>
      <c r="N431" s="5" t="s">
        <v>3</v>
      </c>
      <c r="O431" s="5">
        <v>2</v>
      </c>
      <c r="P431" s="5">
        <f>ROUND(Source!EQ423,O431)</f>
        <v>766829.47</v>
      </c>
      <c r="Q431" s="5"/>
      <c r="R431" s="5"/>
      <c r="S431" s="5"/>
      <c r="T431" s="5"/>
      <c r="U431" s="5"/>
      <c r="V431" s="5"/>
      <c r="W431" s="5">
        <v>87962.58</v>
      </c>
      <c r="X431" s="5">
        <v>1</v>
      </c>
      <c r="Y431" s="5">
        <v>87962.58</v>
      </c>
      <c r="Z431" s="5">
        <v>766829.47</v>
      </c>
      <c r="AA431" s="5">
        <v>1</v>
      </c>
      <c r="AB431" s="5">
        <v>766829.47</v>
      </c>
    </row>
    <row r="432" spans="1:206" x14ac:dyDescent="0.2">
      <c r="A432" s="5">
        <v>50</v>
      </c>
      <c r="B432" s="5">
        <v>0</v>
      </c>
      <c r="C432" s="5">
        <v>0</v>
      </c>
      <c r="D432" s="5">
        <v>1</v>
      </c>
      <c r="E432" s="5">
        <v>216</v>
      </c>
      <c r="F432" s="5">
        <f>ROUND(Source!AP423,O432)</f>
        <v>0</v>
      </c>
      <c r="G432" s="5" t="s">
        <v>120</v>
      </c>
      <c r="H432" s="5" t="s">
        <v>121</v>
      </c>
      <c r="I432" s="5"/>
      <c r="J432" s="5"/>
      <c r="K432" s="5">
        <v>216</v>
      </c>
      <c r="L432" s="5">
        <v>8</v>
      </c>
      <c r="M432" s="5">
        <v>3</v>
      </c>
      <c r="N432" s="5" t="s">
        <v>3</v>
      </c>
      <c r="O432" s="5">
        <v>2</v>
      </c>
      <c r="P432" s="5">
        <f>ROUND(Source!EH423,O432)</f>
        <v>0</v>
      </c>
      <c r="Q432" s="5"/>
      <c r="R432" s="5"/>
      <c r="S432" s="5"/>
      <c r="T432" s="5"/>
      <c r="U432" s="5"/>
      <c r="V432" s="5"/>
      <c r="W432" s="5">
        <v>0</v>
      </c>
      <c r="X432" s="5">
        <v>1</v>
      </c>
      <c r="Y432" s="5">
        <v>0</v>
      </c>
      <c r="Z432" s="5">
        <v>0</v>
      </c>
      <c r="AA432" s="5">
        <v>1</v>
      </c>
      <c r="AB432" s="5">
        <v>0</v>
      </c>
    </row>
    <row r="433" spans="1:28" x14ac:dyDescent="0.2">
      <c r="A433" s="5">
        <v>50</v>
      </c>
      <c r="B433" s="5">
        <v>0</v>
      </c>
      <c r="C433" s="5">
        <v>0</v>
      </c>
      <c r="D433" s="5">
        <v>1</v>
      </c>
      <c r="E433" s="5">
        <v>223</v>
      </c>
      <c r="F433" s="5">
        <f>ROUND(Source!AQ423,O433)</f>
        <v>0</v>
      </c>
      <c r="G433" s="5" t="s">
        <v>122</v>
      </c>
      <c r="H433" s="5" t="s">
        <v>123</v>
      </c>
      <c r="I433" s="5"/>
      <c r="J433" s="5"/>
      <c r="K433" s="5">
        <v>223</v>
      </c>
      <c r="L433" s="5">
        <v>9</v>
      </c>
      <c r="M433" s="5">
        <v>3</v>
      </c>
      <c r="N433" s="5" t="s">
        <v>3</v>
      </c>
      <c r="O433" s="5">
        <v>2</v>
      </c>
      <c r="P433" s="5">
        <f>ROUND(Source!EI423,O433)</f>
        <v>0</v>
      </c>
      <c r="Q433" s="5"/>
      <c r="R433" s="5"/>
      <c r="S433" s="5"/>
      <c r="T433" s="5"/>
      <c r="U433" s="5"/>
      <c r="V433" s="5"/>
      <c r="W433" s="5">
        <v>0</v>
      </c>
      <c r="X433" s="5">
        <v>1</v>
      </c>
      <c r="Y433" s="5">
        <v>0</v>
      </c>
      <c r="Z433" s="5">
        <v>0</v>
      </c>
      <c r="AA433" s="5">
        <v>1</v>
      </c>
      <c r="AB433" s="5">
        <v>0</v>
      </c>
    </row>
    <row r="434" spans="1:28" x14ac:dyDescent="0.2">
      <c r="A434" s="5">
        <v>50</v>
      </c>
      <c r="B434" s="5">
        <v>0</v>
      </c>
      <c r="C434" s="5">
        <v>0</v>
      </c>
      <c r="D434" s="5">
        <v>1</v>
      </c>
      <c r="E434" s="5">
        <v>229</v>
      </c>
      <c r="F434" s="5">
        <f>ROUND(Source!AZ423,O434)</f>
        <v>0</v>
      </c>
      <c r="G434" s="5" t="s">
        <v>124</v>
      </c>
      <c r="H434" s="5" t="s">
        <v>125</v>
      </c>
      <c r="I434" s="5"/>
      <c r="J434" s="5"/>
      <c r="K434" s="5">
        <v>229</v>
      </c>
      <c r="L434" s="5">
        <v>10</v>
      </c>
      <c r="M434" s="5">
        <v>3</v>
      </c>
      <c r="N434" s="5" t="s">
        <v>3</v>
      </c>
      <c r="O434" s="5">
        <v>2</v>
      </c>
      <c r="P434" s="5">
        <f>ROUND(Source!ER423,O434)</f>
        <v>0</v>
      </c>
      <c r="Q434" s="5"/>
      <c r="R434" s="5"/>
      <c r="S434" s="5"/>
      <c r="T434" s="5"/>
      <c r="U434" s="5"/>
      <c r="V434" s="5"/>
      <c r="W434" s="5">
        <v>0</v>
      </c>
      <c r="X434" s="5">
        <v>1</v>
      </c>
      <c r="Y434" s="5">
        <v>0</v>
      </c>
      <c r="Z434" s="5">
        <v>0</v>
      </c>
      <c r="AA434" s="5">
        <v>1</v>
      </c>
      <c r="AB434" s="5">
        <v>0</v>
      </c>
    </row>
    <row r="435" spans="1:28" x14ac:dyDescent="0.2">
      <c r="A435" s="5">
        <v>50</v>
      </c>
      <c r="B435" s="5">
        <v>0</v>
      </c>
      <c r="C435" s="5">
        <v>0</v>
      </c>
      <c r="D435" s="5">
        <v>1</v>
      </c>
      <c r="E435" s="5">
        <v>203</v>
      </c>
      <c r="F435" s="5">
        <f>ROUND(Source!Q423,O435)</f>
        <v>2268.35</v>
      </c>
      <c r="G435" s="5" t="s">
        <v>126</v>
      </c>
      <c r="H435" s="5" t="s">
        <v>127</v>
      </c>
      <c r="I435" s="5"/>
      <c r="J435" s="5"/>
      <c r="K435" s="5">
        <v>203</v>
      </c>
      <c r="L435" s="5">
        <v>11</v>
      </c>
      <c r="M435" s="5">
        <v>3</v>
      </c>
      <c r="N435" s="5" t="s">
        <v>3</v>
      </c>
      <c r="O435" s="5">
        <v>2</v>
      </c>
      <c r="P435" s="5">
        <f>ROUND(Source!DI423,O435)</f>
        <v>24526.59</v>
      </c>
      <c r="Q435" s="5"/>
      <c r="R435" s="5"/>
      <c r="S435" s="5"/>
      <c r="T435" s="5"/>
      <c r="U435" s="5"/>
      <c r="V435" s="5"/>
      <c r="W435" s="5">
        <v>2268.35</v>
      </c>
      <c r="X435" s="5">
        <v>1</v>
      </c>
      <c r="Y435" s="5">
        <v>2268.35</v>
      </c>
      <c r="Z435" s="5">
        <v>24526.59</v>
      </c>
      <c r="AA435" s="5">
        <v>1</v>
      </c>
      <c r="AB435" s="5">
        <v>24526.59</v>
      </c>
    </row>
    <row r="436" spans="1:28" x14ac:dyDescent="0.2">
      <c r="A436" s="5">
        <v>50</v>
      </c>
      <c r="B436" s="5">
        <v>0</v>
      </c>
      <c r="C436" s="5">
        <v>0</v>
      </c>
      <c r="D436" s="5">
        <v>1</v>
      </c>
      <c r="E436" s="5">
        <v>231</v>
      </c>
      <c r="F436" s="5">
        <f>ROUND(Source!BB423,O436)</f>
        <v>0</v>
      </c>
      <c r="G436" s="5" t="s">
        <v>128</v>
      </c>
      <c r="H436" s="5" t="s">
        <v>129</v>
      </c>
      <c r="I436" s="5"/>
      <c r="J436" s="5"/>
      <c r="K436" s="5">
        <v>231</v>
      </c>
      <c r="L436" s="5">
        <v>12</v>
      </c>
      <c r="M436" s="5">
        <v>3</v>
      </c>
      <c r="N436" s="5" t="s">
        <v>3</v>
      </c>
      <c r="O436" s="5">
        <v>2</v>
      </c>
      <c r="P436" s="5">
        <f>ROUND(Source!ET423,O436)</f>
        <v>0</v>
      </c>
      <c r="Q436" s="5"/>
      <c r="R436" s="5"/>
      <c r="S436" s="5"/>
      <c r="T436" s="5"/>
      <c r="U436" s="5"/>
      <c r="V436" s="5"/>
      <c r="W436" s="5">
        <v>0</v>
      </c>
      <c r="X436" s="5">
        <v>1</v>
      </c>
      <c r="Y436" s="5">
        <v>0</v>
      </c>
      <c r="Z436" s="5">
        <v>0</v>
      </c>
      <c r="AA436" s="5">
        <v>1</v>
      </c>
      <c r="AB436" s="5">
        <v>0</v>
      </c>
    </row>
    <row r="437" spans="1:28" x14ac:dyDescent="0.2">
      <c r="A437" s="5">
        <v>50</v>
      </c>
      <c r="B437" s="5">
        <v>0</v>
      </c>
      <c r="C437" s="5">
        <v>0</v>
      </c>
      <c r="D437" s="5">
        <v>1</v>
      </c>
      <c r="E437" s="5">
        <v>204</v>
      </c>
      <c r="F437" s="5">
        <f>ROUND(Source!R423,O437)</f>
        <v>231.35</v>
      </c>
      <c r="G437" s="5" t="s">
        <v>130</v>
      </c>
      <c r="H437" s="5" t="s">
        <v>131</v>
      </c>
      <c r="I437" s="5"/>
      <c r="J437" s="5"/>
      <c r="K437" s="5">
        <v>204</v>
      </c>
      <c r="L437" s="5">
        <v>13</v>
      </c>
      <c r="M437" s="5">
        <v>3</v>
      </c>
      <c r="N437" s="5" t="s">
        <v>3</v>
      </c>
      <c r="O437" s="5">
        <v>2</v>
      </c>
      <c r="P437" s="5">
        <f>ROUND(Source!DJ423,O437)</f>
        <v>7983.9</v>
      </c>
      <c r="Q437" s="5"/>
      <c r="R437" s="5"/>
      <c r="S437" s="5"/>
      <c r="T437" s="5"/>
      <c r="U437" s="5"/>
      <c r="V437" s="5"/>
      <c r="W437" s="5">
        <v>231.35</v>
      </c>
      <c r="X437" s="5">
        <v>1</v>
      </c>
      <c r="Y437" s="5">
        <v>231.35</v>
      </c>
      <c r="Z437" s="5">
        <v>7983.9</v>
      </c>
      <c r="AA437" s="5">
        <v>1</v>
      </c>
      <c r="AB437" s="5">
        <v>7983.9</v>
      </c>
    </row>
    <row r="438" spans="1:28" x14ac:dyDescent="0.2">
      <c r="A438" s="5">
        <v>50</v>
      </c>
      <c r="B438" s="5">
        <v>0</v>
      </c>
      <c r="C438" s="5">
        <v>0</v>
      </c>
      <c r="D438" s="5">
        <v>1</v>
      </c>
      <c r="E438" s="5">
        <v>205</v>
      </c>
      <c r="F438" s="5">
        <f>ROUND(Source!S423,O438)</f>
        <v>4206.88</v>
      </c>
      <c r="G438" s="5" t="s">
        <v>132</v>
      </c>
      <c r="H438" s="5" t="s">
        <v>133</v>
      </c>
      <c r="I438" s="5"/>
      <c r="J438" s="5"/>
      <c r="K438" s="5">
        <v>205</v>
      </c>
      <c r="L438" s="5">
        <v>14</v>
      </c>
      <c r="M438" s="5">
        <v>3</v>
      </c>
      <c r="N438" s="5" t="s">
        <v>3</v>
      </c>
      <c r="O438" s="5">
        <v>2</v>
      </c>
      <c r="P438" s="5">
        <f>ROUND(Source!DK423,O438)</f>
        <v>145179.44</v>
      </c>
      <c r="Q438" s="5"/>
      <c r="R438" s="5"/>
      <c r="S438" s="5"/>
      <c r="T438" s="5"/>
      <c r="U438" s="5"/>
      <c r="V438" s="5"/>
      <c r="W438" s="5">
        <v>4206.88</v>
      </c>
      <c r="X438" s="5">
        <v>1</v>
      </c>
      <c r="Y438" s="5">
        <v>4206.88</v>
      </c>
      <c r="Z438" s="5">
        <v>145179.44</v>
      </c>
      <c r="AA438" s="5">
        <v>1</v>
      </c>
      <c r="AB438" s="5">
        <v>145179.44</v>
      </c>
    </row>
    <row r="439" spans="1:28" x14ac:dyDescent="0.2">
      <c r="A439" s="5">
        <v>50</v>
      </c>
      <c r="B439" s="5">
        <v>0</v>
      </c>
      <c r="C439" s="5">
        <v>0</v>
      </c>
      <c r="D439" s="5">
        <v>1</v>
      </c>
      <c r="E439" s="5">
        <v>232</v>
      </c>
      <c r="F439" s="5">
        <f>ROUND(Source!BC423,O439)</f>
        <v>0</v>
      </c>
      <c r="G439" s="5" t="s">
        <v>134</v>
      </c>
      <c r="H439" s="5" t="s">
        <v>135</v>
      </c>
      <c r="I439" s="5"/>
      <c r="J439" s="5"/>
      <c r="K439" s="5">
        <v>232</v>
      </c>
      <c r="L439" s="5">
        <v>15</v>
      </c>
      <c r="M439" s="5">
        <v>3</v>
      </c>
      <c r="N439" s="5" t="s">
        <v>3</v>
      </c>
      <c r="O439" s="5">
        <v>2</v>
      </c>
      <c r="P439" s="5">
        <f>ROUND(Source!EU423,O439)</f>
        <v>0</v>
      </c>
      <c r="Q439" s="5"/>
      <c r="R439" s="5"/>
      <c r="S439" s="5"/>
      <c r="T439" s="5"/>
      <c r="U439" s="5"/>
      <c r="V439" s="5"/>
      <c r="W439" s="5">
        <v>0</v>
      </c>
      <c r="X439" s="5">
        <v>1</v>
      </c>
      <c r="Y439" s="5">
        <v>0</v>
      </c>
      <c r="Z439" s="5">
        <v>0</v>
      </c>
      <c r="AA439" s="5">
        <v>1</v>
      </c>
      <c r="AB439" s="5">
        <v>0</v>
      </c>
    </row>
    <row r="440" spans="1:28" x14ac:dyDescent="0.2">
      <c r="A440" s="5">
        <v>50</v>
      </c>
      <c r="B440" s="5">
        <v>0</v>
      </c>
      <c r="C440" s="5">
        <v>0</v>
      </c>
      <c r="D440" s="5">
        <v>1</v>
      </c>
      <c r="E440" s="5">
        <v>214</v>
      </c>
      <c r="F440" s="5">
        <f>ROUND(Source!AS423,O440)</f>
        <v>81819.429999999993</v>
      </c>
      <c r="G440" s="5" t="s">
        <v>136</v>
      </c>
      <c r="H440" s="5" t="s">
        <v>137</v>
      </c>
      <c r="I440" s="5"/>
      <c r="J440" s="5"/>
      <c r="K440" s="5">
        <v>214</v>
      </c>
      <c r="L440" s="5">
        <v>16</v>
      </c>
      <c r="M440" s="5">
        <v>3</v>
      </c>
      <c r="N440" s="5" t="s">
        <v>3</v>
      </c>
      <c r="O440" s="5">
        <v>2</v>
      </c>
      <c r="P440" s="5">
        <f>ROUND(Source!EK423,O440)</f>
        <v>873224.33</v>
      </c>
      <c r="Q440" s="5"/>
      <c r="R440" s="5"/>
      <c r="S440" s="5"/>
      <c r="T440" s="5"/>
      <c r="U440" s="5"/>
      <c r="V440" s="5"/>
      <c r="W440" s="5">
        <v>81819.429999999993</v>
      </c>
      <c r="X440" s="5">
        <v>1</v>
      </c>
      <c r="Y440" s="5">
        <v>81819.429999999993</v>
      </c>
      <c r="Z440" s="5">
        <v>873224.33</v>
      </c>
      <c r="AA440" s="5">
        <v>1</v>
      </c>
      <c r="AB440" s="5">
        <v>873224.33</v>
      </c>
    </row>
    <row r="441" spans="1:28" x14ac:dyDescent="0.2">
      <c r="A441" s="5">
        <v>50</v>
      </c>
      <c r="B441" s="5">
        <v>0</v>
      </c>
      <c r="C441" s="5">
        <v>0</v>
      </c>
      <c r="D441" s="5">
        <v>1</v>
      </c>
      <c r="E441" s="5">
        <v>215</v>
      </c>
      <c r="F441" s="5">
        <f>ROUND(Source!AT423,O441)</f>
        <v>20678.64</v>
      </c>
      <c r="G441" s="5" t="s">
        <v>138</v>
      </c>
      <c r="H441" s="5" t="s">
        <v>139</v>
      </c>
      <c r="I441" s="5"/>
      <c r="J441" s="5"/>
      <c r="K441" s="5">
        <v>215</v>
      </c>
      <c r="L441" s="5">
        <v>17</v>
      </c>
      <c r="M441" s="5">
        <v>3</v>
      </c>
      <c r="N441" s="5" t="s">
        <v>3</v>
      </c>
      <c r="O441" s="5">
        <v>2</v>
      </c>
      <c r="P441" s="5">
        <f>ROUND(Source!EL423,O441)</f>
        <v>269783.53000000003</v>
      </c>
      <c r="Q441" s="5"/>
      <c r="R441" s="5"/>
      <c r="S441" s="5"/>
      <c r="T441" s="5"/>
      <c r="U441" s="5"/>
      <c r="V441" s="5"/>
      <c r="W441" s="5">
        <v>20678.64</v>
      </c>
      <c r="X441" s="5">
        <v>1</v>
      </c>
      <c r="Y441" s="5">
        <v>20678.64</v>
      </c>
      <c r="Z441" s="5">
        <v>269783.53000000003</v>
      </c>
      <c r="AA441" s="5">
        <v>1</v>
      </c>
      <c r="AB441" s="5">
        <v>269783.53000000003</v>
      </c>
    </row>
    <row r="442" spans="1:28" x14ac:dyDescent="0.2">
      <c r="A442" s="5">
        <v>50</v>
      </c>
      <c r="B442" s="5">
        <v>0</v>
      </c>
      <c r="C442" s="5">
        <v>0</v>
      </c>
      <c r="D442" s="5">
        <v>1</v>
      </c>
      <c r="E442" s="5">
        <v>217</v>
      </c>
      <c r="F442" s="5">
        <f>ROUND(Source!AU423,O442)</f>
        <v>0</v>
      </c>
      <c r="G442" s="5" t="s">
        <v>140</v>
      </c>
      <c r="H442" s="5" t="s">
        <v>141</v>
      </c>
      <c r="I442" s="5"/>
      <c r="J442" s="5"/>
      <c r="K442" s="5">
        <v>217</v>
      </c>
      <c r="L442" s="5">
        <v>18</v>
      </c>
      <c r="M442" s="5">
        <v>3</v>
      </c>
      <c r="N442" s="5" t="s">
        <v>3</v>
      </c>
      <c r="O442" s="5">
        <v>2</v>
      </c>
      <c r="P442" s="5">
        <f>ROUND(Source!EM423,O442)</f>
        <v>0</v>
      </c>
      <c r="Q442" s="5"/>
      <c r="R442" s="5"/>
      <c r="S442" s="5"/>
      <c r="T442" s="5"/>
      <c r="U442" s="5"/>
      <c r="V442" s="5"/>
      <c r="W442" s="5">
        <v>0</v>
      </c>
      <c r="X442" s="5">
        <v>1</v>
      </c>
      <c r="Y442" s="5">
        <v>0</v>
      </c>
      <c r="Z442" s="5">
        <v>0</v>
      </c>
      <c r="AA442" s="5">
        <v>1</v>
      </c>
      <c r="AB442" s="5">
        <v>0</v>
      </c>
    </row>
    <row r="443" spans="1:28" x14ac:dyDescent="0.2">
      <c r="A443" s="5">
        <v>50</v>
      </c>
      <c r="B443" s="5">
        <v>0</v>
      </c>
      <c r="C443" s="5">
        <v>0</v>
      </c>
      <c r="D443" s="5">
        <v>1</v>
      </c>
      <c r="E443" s="5">
        <v>230</v>
      </c>
      <c r="F443" s="5">
        <f>ROUND(Source!BA423,O443)</f>
        <v>0</v>
      </c>
      <c r="G443" s="5" t="s">
        <v>142</v>
      </c>
      <c r="H443" s="5" t="s">
        <v>143</v>
      </c>
      <c r="I443" s="5"/>
      <c r="J443" s="5"/>
      <c r="K443" s="5">
        <v>230</v>
      </c>
      <c r="L443" s="5">
        <v>19</v>
      </c>
      <c r="M443" s="5">
        <v>3</v>
      </c>
      <c r="N443" s="5" t="s">
        <v>3</v>
      </c>
      <c r="O443" s="5">
        <v>2</v>
      </c>
      <c r="P443" s="5">
        <f>ROUND(Source!ES423,O443)</f>
        <v>0</v>
      </c>
      <c r="Q443" s="5"/>
      <c r="R443" s="5"/>
      <c r="S443" s="5"/>
      <c r="T443" s="5"/>
      <c r="U443" s="5"/>
      <c r="V443" s="5"/>
      <c r="W443" s="5">
        <v>0</v>
      </c>
      <c r="X443" s="5">
        <v>1</v>
      </c>
      <c r="Y443" s="5">
        <v>0</v>
      </c>
      <c r="Z443" s="5">
        <v>0</v>
      </c>
      <c r="AA443" s="5">
        <v>1</v>
      </c>
      <c r="AB443" s="5">
        <v>0</v>
      </c>
    </row>
    <row r="444" spans="1:28" x14ac:dyDescent="0.2">
      <c r="A444" s="5">
        <v>50</v>
      </c>
      <c r="B444" s="5">
        <v>0</v>
      </c>
      <c r="C444" s="5">
        <v>0</v>
      </c>
      <c r="D444" s="5">
        <v>1</v>
      </c>
      <c r="E444" s="5">
        <v>206</v>
      </c>
      <c r="F444" s="5">
        <f>ROUND(Source!T423,O444)</f>
        <v>0</v>
      </c>
      <c r="G444" s="5" t="s">
        <v>144</v>
      </c>
      <c r="H444" s="5" t="s">
        <v>145</v>
      </c>
      <c r="I444" s="5"/>
      <c r="J444" s="5"/>
      <c r="K444" s="5">
        <v>206</v>
      </c>
      <c r="L444" s="5">
        <v>20</v>
      </c>
      <c r="M444" s="5">
        <v>3</v>
      </c>
      <c r="N444" s="5" t="s">
        <v>3</v>
      </c>
      <c r="O444" s="5">
        <v>2</v>
      </c>
      <c r="P444" s="5">
        <f>ROUND(Source!DL423,O444)</f>
        <v>0</v>
      </c>
      <c r="Q444" s="5"/>
      <c r="R444" s="5"/>
      <c r="S444" s="5"/>
      <c r="T444" s="5"/>
      <c r="U444" s="5"/>
      <c r="V444" s="5"/>
      <c r="W444" s="5">
        <v>0</v>
      </c>
      <c r="X444" s="5">
        <v>1</v>
      </c>
      <c r="Y444" s="5">
        <v>0</v>
      </c>
      <c r="Z444" s="5">
        <v>0</v>
      </c>
      <c r="AA444" s="5">
        <v>1</v>
      </c>
      <c r="AB444" s="5">
        <v>0</v>
      </c>
    </row>
    <row r="445" spans="1:28" x14ac:dyDescent="0.2">
      <c r="A445" s="5">
        <v>50</v>
      </c>
      <c r="B445" s="5">
        <v>0</v>
      </c>
      <c r="C445" s="5">
        <v>0</v>
      </c>
      <c r="D445" s="5">
        <v>1</v>
      </c>
      <c r="E445" s="5">
        <v>207</v>
      </c>
      <c r="F445" s="5">
        <f>Source!U423</f>
        <v>345.40756158964001</v>
      </c>
      <c r="G445" s="5" t="s">
        <v>146</v>
      </c>
      <c r="H445" s="5" t="s">
        <v>147</v>
      </c>
      <c r="I445" s="5"/>
      <c r="J445" s="5"/>
      <c r="K445" s="5">
        <v>207</v>
      </c>
      <c r="L445" s="5">
        <v>21</v>
      </c>
      <c r="M445" s="5">
        <v>3</v>
      </c>
      <c r="N445" s="5" t="s">
        <v>3</v>
      </c>
      <c r="O445" s="5">
        <v>-1</v>
      </c>
      <c r="P445" s="5">
        <f>Source!DM423</f>
        <v>345.40756158964001</v>
      </c>
      <c r="Q445" s="5"/>
      <c r="R445" s="5"/>
      <c r="S445" s="5"/>
      <c r="T445" s="5"/>
      <c r="U445" s="5"/>
      <c r="V445" s="5"/>
      <c r="W445" s="5">
        <v>345.40756158963995</v>
      </c>
      <c r="X445" s="5">
        <v>1</v>
      </c>
      <c r="Y445" s="5">
        <v>345.40756158963995</v>
      </c>
      <c r="Z445" s="5">
        <v>345.40756158963995</v>
      </c>
      <c r="AA445" s="5">
        <v>1</v>
      </c>
      <c r="AB445" s="5">
        <v>345.40756158963995</v>
      </c>
    </row>
    <row r="446" spans="1:28" x14ac:dyDescent="0.2">
      <c r="A446" s="5">
        <v>50</v>
      </c>
      <c r="B446" s="5">
        <v>0</v>
      </c>
      <c r="C446" s="5">
        <v>0</v>
      </c>
      <c r="D446" s="5">
        <v>1</v>
      </c>
      <c r="E446" s="5">
        <v>208</v>
      </c>
      <c r="F446" s="5">
        <f>Source!V423</f>
        <v>0</v>
      </c>
      <c r="G446" s="5" t="s">
        <v>148</v>
      </c>
      <c r="H446" s="5" t="s">
        <v>149</v>
      </c>
      <c r="I446" s="5"/>
      <c r="J446" s="5"/>
      <c r="K446" s="5">
        <v>208</v>
      </c>
      <c r="L446" s="5">
        <v>22</v>
      </c>
      <c r="M446" s="5">
        <v>3</v>
      </c>
      <c r="N446" s="5" t="s">
        <v>3</v>
      </c>
      <c r="O446" s="5">
        <v>-1</v>
      </c>
      <c r="P446" s="5">
        <f>Source!DN423</f>
        <v>0</v>
      </c>
      <c r="Q446" s="5"/>
      <c r="R446" s="5"/>
      <c r="S446" s="5"/>
      <c r="T446" s="5"/>
      <c r="U446" s="5"/>
      <c r="V446" s="5"/>
      <c r="W446" s="5">
        <v>0</v>
      </c>
      <c r="X446" s="5">
        <v>1</v>
      </c>
      <c r="Y446" s="5">
        <v>0</v>
      </c>
      <c r="Z446" s="5">
        <v>0</v>
      </c>
      <c r="AA446" s="5">
        <v>1</v>
      </c>
      <c r="AB446" s="5">
        <v>0</v>
      </c>
    </row>
    <row r="447" spans="1:28" x14ac:dyDescent="0.2">
      <c r="A447" s="5">
        <v>50</v>
      </c>
      <c r="B447" s="5">
        <v>0</v>
      </c>
      <c r="C447" s="5">
        <v>0</v>
      </c>
      <c r="D447" s="5">
        <v>1</v>
      </c>
      <c r="E447" s="5">
        <v>209</v>
      </c>
      <c r="F447" s="5">
        <f>ROUND(Source!W423,O447)</f>
        <v>0</v>
      </c>
      <c r="G447" s="5" t="s">
        <v>150</v>
      </c>
      <c r="H447" s="5" t="s">
        <v>151</v>
      </c>
      <c r="I447" s="5"/>
      <c r="J447" s="5"/>
      <c r="K447" s="5">
        <v>209</v>
      </c>
      <c r="L447" s="5">
        <v>23</v>
      </c>
      <c r="M447" s="5">
        <v>3</v>
      </c>
      <c r="N447" s="5" t="s">
        <v>3</v>
      </c>
      <c r="O447" s="5">
        <v>2</v>
      </c>
      <c r="P447" s="5">
        <f>ROUND(Source!DO423,O447)</f>
        <v>0</v>
      </c>
      <c r="Q447" s="5"/>
      <c r="R447" s="5"/>
      <c r="S447" s="5"/>
      <c r="T447" s="5"/>
      <c r="U447" s="5"/>
      <c r="V447" s="5"/>
      <c r="W447" s="5">
        <v>0</v>
      </c>
      <c r="X447" s="5">
        <v>1</v>
      </c>
      <c r="Y447" s="5">
        <v>0</v>
      </c>
      <c r="Z447" s="5">
        <v>0</v>
      </c>
      <c r="AA447" s="5">
        <v>1</v>
      </c>
      <c r="AB447" s="5">
        <v>0</v>
      </c>
    </row>
    <row r="448" spans="1:28" x14ac:dyDescent="0.2">
      <c r="A448" s="5">
        <v>50</v>
      </c>
      <c r="B448" s="5">
        <v>0</v>
      </c>
      <c r="C448" s="5">
        <v>0</v>
      </c>
      <c r="D448" s="5">
        <v>1</v>
      </c>
      <c r="E448" s="5">
        <v>233</v>
      </c>
      <c r="F448" s="5">
        <f>ROUND(Source!BD423,O448)</f>
        <v>0</v>
      </c>
      <c r="G448" s="5" t="s">
        <v>152</v>
      </c>
      <c r="H448" s="5" t="s">
        <v>153</v>
      </c>
      <c r="I448" s="5"/>
      <c r="J448" s="5"/>
      <c r="K448" s="5">
        <v>233</v>
      </c>
      <c r="L448" s="5">
        <v>24</v>
      </c>
      <c r="M448" s="5">
        <v>3</v>
      </c>
      <c r="N448" s="5" t="s">
        <v>3</v>
      </c>
      <c r="O448" s="5">
        <v>2</v>
      </c>
      <c r="P448" s="5">
        <f>ROUND(Source!EV423,O448)</f>
        <v>0</v>
      </c>
      <c r="Q448" s="5"/>
      <c r="R448" s="5"/>
      <c r="S448" s="5"/>
      <c r="T448" s="5"/>
      <c r="U448" s="5"/>
      <c r="V448" s="5"/>
      <c r="W448" s="5">
        <v>0</v>
      </c>
      <c r="X448" s="5">
        <v>1</v>
      </c>
      <c r="Y448" s="5">
        <v>0</v>
      </c>
      <c r="Z448" s="5">
        <v>0</v>
      </c>
      <c r="AA448" s="5">
        <v>1</v>
      </c>
      <c r="AB448" s="5">
        <v>0</v>
      </c>
    </row>
    <row r="449" spans="1:206" x14ac:dyDescent="0.2">
      <c r="A449" s="5">
        <v>50</v>
      </c>
      <c r="B449" s="5">
        <v>0</v>
      </c>
      <c r="C449" s="5">
        <v>0</v>
      </c>
      <c r="D449" s="5">
        <v>1</v>
      </c>
      <c r="E449" s="5">
        <v>210</v>
      </c>
      <c r="F449" s="5">
        <f>ROUND(Source!X423,O449)</f>
        <v>4653.75</v>
      </c>
      <c r="G449" s="5" t="s">
        <v>154</v>
      </c>
      <c r="H449" s="5" t="s">
        <v>155</v>
      </c>
      <c r="I449" s="5"/>
      <c r="J449" s="5"/>
      <c r="K449" s="5">
        <v>210</v>
      </c>
      <c r="L449" s="5">
        <v>25</v>
      </c>
      <c r="M449" s="5">
        <v>3</v>
      </c>
      <c r="N449" s="5" t="s">
        <v>3</v>
      </c>
      <c r="O449" s="5">
        <v>2</v>
      </c>
      <c r="P449" s="5">
        <f>ROUND(Source!DP423,O449)</f>
        <v>132204.71</v>
      </c>
      <c r="Q449" s="5"/>
      <c r="R449" s="5"/>
      <c r="S449" s="5"/>
      <c r="T449" s="5"/>
      <c r="U449" s="5"/>
      <c r="V449" s="5"/>
      <c r="W449" s="5">
        <v>4653.75</v>
      </c>
      <c r="X449" s="5">
        <v>1</v>
      </c>
      <c r="Y449" s="5">
        <v>4653.75</v>
      </c>
      <c r="Z449" s="5">
        <v>132204.71</v>
      </c>
      <c r="AA449" s="5">
        <v>1</v>
      </c>
      <c r="AB449" s="5">
        <v>132204.71</v>
      </c>
    </row>
    <row r="450" spans="1:206" x14ac:dyDescent="0.2">
      <c r="A450" s="5">
        <v>50</v>
      </c>
      <c r="B450" s="5">
        <v>0</v>
      </c>
      <c r="C450" s="5">
        <v>0</v>
      </c>
      <c r="D450" s="5">
        <v>1</v>
      </c>
      <c r="E450" s="5">
        <v>211</v>
      </c>
      <c r="F450" s="5">
        <f>ROUND(Source!Y423,O450)</f>
        <v>3001.63</v>
      </c>
      <c r="G450" s="5" t="s">
        <v>156</v>
      </c>
      <c r="H450" s="5" t="s">
        <v>157</v>
      </c>
      <c r="I450" s="5"/>
      <c r="J450" s="5"/>
      <c r="K450" s="5">
        <v>211</v>
      </c>
      <c r="L450" s="5">
        <v>26</v>
      </c>
      <c r="M450" s="5">
        <v>3</v>
      </c>
      <c r="N450" s="5" t="s">
        <v>3</v>
      </c>
      <c r="O450" s="5">
        <v>2</v>
      </c>
      <c r="P450" s="5">
        <f>ROUND(Source!DQ423,O450)</f>
        <v>61493.4</v>
      </c>
      <c r="Q450" s="5"/>
      <c r="R450" s="5"/>
      <c r="S450" s="5"/>
      <c r="T450" s="5"/>
      <c r="U450" s="5"/>
      <c r="V450" s="5"/>
      <c r="W450" s="5">
        <v>3001.63</v>
      </c>
      <c r="X450" s="5">
        <v>1</v>
      </c>
      <c r="Y450" s="5">
        <v>3001.63</v>
      </c>
      <c r="Z450" s="5">
        <v>61493.4</v>
      </c>
      <c r="AA450" s="5">
        <v>1</v>
      </c>
      <c r="AB450" s="5">
        <v>61493.4</v>
      </c>
    </row>
    <row r="451" spans="1:206" x14ac:dyDescent="0.2">
      <c r="A451" s="5">
        <v>50</v>
      </c>
      <c r="B451" s="5">
        <v>0</v>
      </c>
      <c r="C451" s="5">
        <v>0</v>
      </c>
      <c r="D451" s="5">
        <v>1</v>
      </c>
      <c r="E451" s="5">
        <v>224</v>
      </c>
      <c r="F451" s="5">
        <f>ROUND(Source!AR423,O451)</f>
        <v>102498.07</v>
      </c>
      <c r="G451" s="5" t="s">
        <v>158</v>
      </c>
      <c r="H451" s="5" t="s">
        <v>159</v>
      </c>
      <c r="I451" s="5"/>
      <c r="J451" s="5"/>
      <c r="K451" s="5">
        <v>224</v>
      </c>
      <c r="L451" s="5">
        <v>27</v>
      </c>
      <c r="M451" s="5">
        <v>3</v>
      </c>
      <c r="N451" s="5" t="s">
        <v>3</v>
      </c>
      <c r="O451" s="5">
        <v>2</v>
      </c>
      <c r="P451" s="5">
        <f>ROUND(Source!EJ423,O451)</f>
        <v>1143007.8600000001</v>
      </c>
      <c r="Q451" s="5"/>
      <c r="R451" s="5"/>
      <c r="S451" s="5"/>
      <c r="T451" s="5"/>
      <c r="U451" s="5"/>
      <c r="V451" s="5"/>
      <c r="W451" s="5">
        <v>102498.07</v>
      </c>
      <c r="X451" s="5">
        <v>1</v>
      </c>
      <c r="Y451" s="5">
        <v>102498.07</v>
      </c>
      <c r="Z451" s="5">
        <v>1143007.8600000001</v>
      </c>
      <c r="AA451" s="5">
        <v>1</v>
      </c>
      <c r="AB451" s="5">
        <v>1143007.8600000001</v>
      </c>
    </row>
    <row r="453" spans="1:206" x14ac:dyDescent="0.2">
      <c r="A453" s="3">
        <v>51</v>
      </c>
      <c r="B453" s="3">
        <f>B12</f>
        <v>489</v>
      </c>
      <c r="C453" s="3">
        <f>A12</f>
        <v>1</v>
      </c>
      <c r="D453" s="3">
        <f>ROW(A12)</f>
        <v>12</v>
      </c>
      <c r="E453" s="3"/>
      <c r="F453" s="3" t="str">
        <f>IF(F12&lt;&gt;"",F12,"")</f>
        <v>02-01-05 КЛ 0,4 кВ труба</v>
      </c>
      <c r="G453" s="3" t="str">
        <f>IF(G12&lt;&gt;"",G12,"")</f>
        <v>02-01-05 Строительство  КЛ 0,4 кВ труба</v>
      </c>
      <c r="H453" s="3">
        <v>0</v>
      </c>
      <c r="I453" s="3"/>
      <c r="J453" s="3"/>
      <c r="K453" s="3"/>
      <c r="L453" s="3"/>
      <c r="M453" s="3"/>
      <c r="N453" s="3"/>
      <c r="O453" s="3">
        <f t="shared" ref="O453:T453" si="349">ROUND(O423,2)</f>
        <v>94437.81</v>
      </c>
      <c r="P453" s="3">
        <f t="shared" si="349"/>
        <v>87962.58</v>
      </c>
      <c r="Q453" s="3">
        <f t="shared" si="349"/>
        <v>2268.35</v>
      </c>
      <c r="R453" s="3">
        <f t="shared" si="349"/>
        <v>231.35</v>
      </c>
      <c r="S453" s="3">
        <f t="shared" si="349"/>
        <v>4206.88</v>
      </c>
      <c r="T453" s="3">
        <f t="shared" si="349"/>
        <v>0</v>
      </c>
      <c r="U453" s="3">
        <f>U423</f>
        <v>345.40756158964001</v>
      </c>
      <c r="V453" s="3">
        <f>V423</f>
        <v>0</v>
      </c>
      <c r="W453" s="3">
        <f>ROUND(W423,2)</f>
        <v>0</v>
      </c>
      <c r="X453" s="3">
        <f>ROUND(X423,2)</f>
        <v>4653.75</v>
      </c>
      <c r="Y453" s="3">
        <f>ROUND(Y423,2)</f>
        <v>3001.63</v>
      </c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>
        <f t="shared" ref="AO453:BD453" si="350">ROUND(AO423,2)</f>
        <v>0</v>
      </c>
      <c r="AP453" s="3">
        <f t="shared" si="350"/>
        <v>0</v>
      </c>
      <c r="AQ453" s="3">
        <f t="shared" si="350"/>
        <v>0</v>
      </c>
      <c r="AR453" s="3">
        <f t="shared" si="350"/>
        <v>102498.07</v>
      </c>
      <c r="AS453" s="3">
        <f t="shared" si="350"/>
        <v>81819.429999999993</v>
      </c>
      <c r="AT453" s="3">
        <f t="shared" si="350"/>
        <v>20678.64</v>
      </c>
      <c r="AU453" s="3">
        <f t="shared" si="350"/>
        <v>0</v>
      </c>
      <c r="AV453" s="3">
        <f t="shared" si="350"/>
        <v>87962.58</v>
      </c>
      <c r="AW453" s="3">
        <f t="shared" si="350"/>
        <v>87962.58</v>
      </c>
      <c r="AX453" s="3">
        <f t="shared" si="350"/>
        <v>0</v>
      </c>
      <c r="AY453" s="3">
        <f t="shared" si="350"/>
        <v>87962.58</v>
      </c>
      <c r="AZ453" s="3">
        <f t="shared" si="350"/>
        <v>0</v>
      </c>
      <c r="BA453" s="3">
        <f t="shared" si="350"/>
        <v>0</v>
      </c>
      <c r="BB453" s="3">
        <f t="shared" si="350"/>
        <v>0</v>
      </c>
      <c r="BC453" s="3">
        <f t="shared" si="350"/>
        <v>0</v>
      </c>
      <c r="BD453" s="3">
        <f t="shared" si="350"/>
        <v>0</v>
      </c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4">
        <f t="shared" ref="DG453:DL453" si="351">ROUND(DG423,2)</f>
        <v>936535.5</v>
      </c>
      <c r="DH453" s="4">
        <f t="shared" si="351"/>
        <v>766829.47</v>
      </c>
      <c r="DI453" s="4">
        <f t="shared" si="351"/>
        <v>24526.59</v>
      </c>
      <c r="DJ453" s="4">
        <f t="shared" si="351"/>
        <v>7983.9</v>
      </c>
      <c r="DK453" s="4">
        <f t="shared" si="351"/>
        <v>145179.44</v>
      </c>
      <c r="DL453" s="4">
        <f t="shared" si="351"/>
        <v>0</v>
      </c>
      <c r="DM453" s="4">
        <f>DM423</f>
        <v>345.40756158964001</v>
      </c>
      <c r="DN453" s="4">
        <f>DN423</f>
        <v>0</v>
      </c>
      <c r="DO453" s="4">
        <f>ROUND(DO423,2)</f>
        <v>0</v>
      </c>
      <c r="DP453" s="4">
        <f>ROUND(DP423,2)</f>
        <v>132204.71</v>
      </c>
      <c r="DQ453" s="4">
        <f>ROUND(DQ423,2)</f>
        <v>61493.4</v>
      </c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>
        <f t="shared" ref="EG453:EV453" si="352">ROUND(EG423,2)</f>
        <v>0</v>
      </c>
      <c r="EH453" s="4">
        <f t="shared" si="352"/>
        <v>0</v>
      </c>
      <c r="EI453" s="4">
        <f t="shared" si="352"/>
        <v>0</v>
      </c>
      <c r="EJ453" s="4">
        <f t="shared" si="352"/>
        <v>1143007.8600000001</v>
      </c>
      <c r="EK453" s="4">
        <f t="shared" si="352"/>
        <v>873224.33</v>
      </c>
      <c r="EL453" s="4">
        <f t="shared" si="352"/>
        <v>269783.53000000003</v>
      </c>
      <c r="EM453" s="4">
        <f t="shared" si="352"/>
        <v>0</v>
      </c>
      <c r="EN453" s="4">
        <f t="shared" si="352"/>
        <v>766829.47</v>
      </c>
      <c r="EO453" s="4">
        <f t="shared" si="352"/>
        <v>766829.47</v>
      </c>
      <c r="EP453" s="4">
        <f t="shared" si="352"/>
        <v>0</v>
      </c>
      <c r="EQ453" s="4">
        <f t="shared" si="352"/>
        <v>766829.47</v>
      </c>
      <c r="ER453" s="4">
        <f t="shared" si="352"/>
        <v>0</v>
      </c>
      <c r="ES453" s="4">
        <f t="shared" si="352"/>
        <v>0</v>
      </c>
      <c r="ET453" s="4">
        <f t="shared" si="352"/>
        <v>0</v>
      </c>
      <c r="EU453" s="4">
        <f t="shared" si="352"/>
        <v>0</v>
      </c>
      <c r="EV453" s="4">
        <f t="shared" si="352"/>
        <v>0</v>
      </c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>
        <v>0</v>
      </c>
    </row>
    <row r="455" spans="1:206" x14ac:dyDescent="0.2">
      <c r="A455" s="5">
        <v>50</v>
      </c>
      <c r="B455" s="5">
        <v>0</v>
      </c>
      <c r="C455" s="5">
        <v>0</v>
      </c>
      <c r="D455" s="5">
        <v>1</v>
      </c>
      <c r="E455" s="5">
        <v>201</v>
      </c>
      <c r="F455" s="5">
        <f>ROUND(Source!O453,O455)</f>
        <v>94437.81</v>
      </c>
      <c r="G455" s="5" t="s">
        <v>106</v>
      </c>
      <c r="H455" s="5" t="s">
        <v>107</v>
      </c>
      <c r="I455" s="5"/>
      <c r="J455" s="5"/>
      <c r="K455" s="5">
        <v>201</v>
      </c>
      <c r="L455" s="5">
        <v>1</v>
      </c>
      <c r="M455" s="5">
        <v>3</v>
      </c>
      <c r="N455" s="5" t="s">
        <v>3</v>
      </c>
      <c r="O455" s="5">
        <v>2</v>
      </c>
      <c r="P455" s="5">
        <f>ROUND(Source!DG453,O455)</f>
        <v>936535.5</v>
      </c>
      <c r="Q455" s="5"/>
      <c r="R455" s="5"/>
      <c r="S455" s="5"/>
      <c r="T455" s="5"/>
      <c r="U455" s="5"/>
      <c r="V455" s="5"/>
      <c r="W455" s="5">
        <v>94437.81</v>
      </c>
      <c r="X455" s="5">
        <v>1</v>
      </c>
      <c r="Y455" s="5">
        <v>94437.81</v>
      </c>
      <c r="Z455" s="5">
        <v>936535.5</v>
      </c>
      <c r="AA455" s="5">
        <v>1</v>
      </c>
      <c r="AB455" s="5">
        <v>936535.5</v>
      </c>
    </row>
    <row r="456" spans="1:206" x14ac:dyDescent="0.2">
      <c r="A456" s="5">
        <v>50</v>
      </c>
      <c r="B456" s="5">
        <v>0</v>
      </c>
      <c r="C456" s="5">
        <v>0</v>
      </c>
      <c r="D456" s="5">
        <v>1</v>
      </c>
      <c r="E456" s="5">
        <v>202</v>
      </c>
      <c r="F456" s="5">
        <f>ROUND(Source!P453,O456)</f>
        <v>87962.58</v>
      </c>
      <c r="G456" s="5" t="s">
        <v>108</v>
      </c>
      <c r="H456" s="5" t="s">
        <v>109</v>
      </c>
      <c r="I456" s="5"/>
      <c r="J456" s="5"/>
      <c r="K456" s="5">
        <v>202</v>
      </c>
      <c r="L456" s="5">
        <v>2</v>
      </c>
      <c r="M456" s="5">
        <v>3</v>
      </c>
      <c r="N456" s="5" t="s">
        <v>3</v>
      </c>
      <c r="O456" s="5">
        <v>2</v>
      </c>
      <c r="P456" s="5">
        <f>ROUND(Source!DH453,O456)</f>
        <v>766829.47</v>
      </c>
      <c r="Q456" s="5"/>
      <c r="R456" s="5"/>
      <c r="S456" s="5"/>
      <c r="T456" s="5"/>
      <c r="U456" s="5"/>
      <c r="V456" s="5"/>
      <c r="W456" s="5">
        <v>87962.58</v>
      </c>
      <c r="X456" s="5">
        <v>1</v>
      </c>
      <c r="Y456" s="5">
        <v>87962.58</v>
      </c>
      <c r="Z456" s="5">
        <v>766829.47</v>
      </c>
      <c r="AA456" s="5">
        <v>1</v>
      </c>
      <c r="AB456" s="5">
        <v>766829.47</v>
      </c>
    </row>
    <row r="457" spans="1:206" x14ac:dyDescent="0.2">
      <c r="A457" s="5">
        <v>50</v>
      </c>
      <c r="B457" s="5">
        <v>0</v>
      </c>
      <c r="C457" s="5">
        <v>0</v>
      </c>
      <c r="D457" s="5">
        <v>1</v>
      </c>
      <c r="E457" s="5">
        <v>222</v>
      </c>
      <c r="F457" s="5">
        <f>ROUND(Source!AO453,O457)</f>
        <v>0</v>
      </c>
      <c r="G457" s="5" t="s">
        <v>110</v>
      </c>
      <c r="H457" s="5" t="s">
        <v>111</v>
      </c>
      <c r="I457" s="5"/>
      <c r="J457" s="5"/>
      <c r="K457" s="5">
        <v>222</v>
      </c>
      <c r="L457" s="5">
        <v>3</v>
      </c>
      <c r="M457" s="5">
        <v>3</v>
      </c>
      <c r="N457" s="5" t="s">
        <v>3</v>
      </c>
      <c r="O457" s="5">
        <v>2</v>
      </c>
      <c r="P457" s="5">
        <f>ROUND(Source!EG453,O457)</f>
        <v>0</v>
      </c>
      <c r="Q457" s="5"/>
      <c r="R457" s="5"/>
      <c r="S457" s="5"/>
      <c r="T457" s="5"/>
      <c r="U457" s="5"/>
      <c r="V457" s="5"/>
      <c r="W457" s="5">
        <v>0</v>
      </c>
      <c r="X457" s="5">
        <v>1</v>
      </c>
      <c r="Y457" s="5">
        <v>0</v>
      </c>
      <c r="Z457" s="5">
        <v>0</v>
      </c>
      <c r="AA457" s="5">
        <v>1</v>
      </c>
      <c r="AB457" s="5">
        <v>0</v>
      </c>
    </row>
    <row r="458" spans="1:206" x14ac:dyDescent="0.2">
      <c r="A458" s="5">
        <v>50</v>
      </c>
      <c r="B458" s="5">
        <v>0</v>
      </c>
      <c r="C458" s="5">
        <v>0</v>
      </c>
      <c r="D458" s="5">
        <v>1</v>
      </c>
      <c r="E458" s="5">
        <v>225</v>
      </c>
      <c r="F458" s="5">
        <f>ROUND(Source!AV453,O458)</f>
        <v>87962.58</v>
      </c>
      <c r="G458" s="5" t="s">
        <v>112</v>
      </c>
      <c r="H458" s="5" t="s">
        <v>113</v>
      </c>
      <c r="I458" s="5"/>
      <c r="J458" s="5"/>
      <c r="K458" s="5">
        <v>225</v>
      </c>
      <c r="L458" s="5">
        <v>4</v>
      </c>
      <c r="M458" s="5">
        <v>3</v>
      </c>
      <c r="N458" s="5" t="s">
        <v>3</v>
      </c>
      <c r="O458" s="5">
        <v>2</v>
      </c>
      <c r="P458" s="5">
        <f>ROUND(Source!EN453,O458)</f>
        <v>766829.47</v>
      </c>
      <c r="Q458" s="5"/>
      <c r="R458" s="5"/>
      <c r="S458" s="5"/>
      <c r="T458" s="5"/>
      <c r="U458" s="5"/>
      <c r="V458" s="5"/>
      <c r="W458" s="5">
        <v>87962.58</v>
      </c>
      <c r="X458" s="5">
        <v>1</v>
      </c>
      <c r="Y458" s="5">
        <v>87962.58</v>
      </c>
      <c r="Z458" s="5">
        <v>766829.47</v>
      </c>
      <c r="AA458" s="5">
        <v>1</v>
      </c>
      <c r="AB458" s="5">
        <v>766829.47</v>
      </c>
    </row>
    <row r="459" spans="1:206" x14ac:dyDescent="0.2">
      <c r="A459" s="5">
        <v>50</v>
      </c>
      <c r="B459" s="5">
        <v>0</v>
      </c>
      <c r="C459" s="5">
        <v>0</v>
      </c>
      <c r="D459" s="5">
        <v>1</v>
      </c>
      <c r="E459" s="5">
        <v>226</v>
      </c>
      <c r="F459" s="5">
        <f>ROUND(Source!AW453,O459)</f>
        <v>87962.58</v>
      </c>
      <c r="G459" s="5" t="s">
        <v>114</v>
      </c>
      <c r="H459" s="5" t="s">
        <v>115</v>
      </c>
      <c r="I459" s="5"/>
      <c r="J459" s="5"/>
      <c r="K459" s="5">
        <v>226</v>
      </c>
      <c r="L459" s="5">
        <v>5</v>
      </c>
      <c r="M459" s="5">
        <v>3</v>
      </c>
      <c r="N459" s="5" t="s">
        <v>3</v>
      </c>
      <c r="O459" s="5">
        <v>2</v>
      </c>
      <c r="P459" s="5">
        <f>ROUND(Source!EO453,O459)</f>
        <v>766829.47</v>
      </c>
      <c r="Q459" s="5"/>
      <c r="R459" s="5"/>
      <c r="S459" s="5"/>
      <c r="T459" s="5"/>
      <c r="U459" s="5"/>
      <c r="V459" s="5"/>
      <c r="W459" s="5">
        <v>87962.58</v>
      </c>
      <c r="X459" s="5">
        <v>1</v>
      </c>
      <c r="Y459" s="5">
        <v>87962.58</v>
      </c>
      <c r="Z459" s="5">
        <v>766829.47</v>
      </c>
      <c r="AA459" s="5">
        <v>1</v>
      </c>
      <c r="AB459" s="5">
        <v>766829.47</v>
      </c>
    </row>
    <row r="460" spans="1:206" x14ac:dyDescent="0.2">
      <c r="A460" s="5">
        <v>50</v>
      </c>
      <c r="B460" s="5">
        <v>0</v>
      </c>
      <c r="C460" s="5">
        <v>0</v>
      </c>
      <c r="D460" s="5">
        <v>1</v>
      </c>
      <c r="E460" s="5">
        <v>227</v>
      </c>
      <c r="F460" s="5">
        <f>ROUND(Source!AX453,O460)</f>
        <v>0</v>
      </c>
      <c r="G460" s="5" t="s">
        <v>116</v>
      </c>
      <c r="H460" s="5" t="s">
        <v>117</v>
      </c>
      <c r="I460" s="5"/>
      <c r="J460" s="5"/>
      <c r="K460" s="5">
        <v>227</v>
      </c>
      <c r="L460" s="5">
        <v>6</v>
      </c>
      <c r="M460" s="5">
        <v>3</v>
      </c>
      <c r="N460" s="5" t="s">
        <v>3</v>
      </c>
      <c r="O460" s="5">
        <v>2</v>
      </c>
      <c r="P460" s="5">
        <f>ROUND(Source!EP453,O460)</f>
        <v>0</v>
      </c>
      <c r="Q460" s="5"/>
      <c r="R460" s="5"/>
      <c r="S460" s="5"/>
      <c r="T460" s="5"/>
      <c r="U460" s="5"/>
      <c r="V460" s="5"/>
      <c r="W460" s="5">
        <v>0</v>
      </c>
      <c r="X460" s="5">
        <v>1</v>
      </c>
      <c r="Y460" s="5">
        <v>0</v>
      </c>
      <c r="Z460" s="5">
        <v>0</v>
      </c>
      <c r="AA460" s="5">
        <v>1</v>
      </c>
      <c r="AB460" s="5">
        <v>0</v>
      </c>
    </row>
    <row r="461" spans="1:206" x14ac:dyDescent="0.2">
      <c r="A461" s="5">
        <v>50</v>
      </c>
      <c r="B461" s="5">
        <v>0</v>
      </c>
      <c r="C461" s="5">
        <v>0</v>
      </c>
      <c r="D461" s="5">
        <v>1</v>
      </c>
      <c r="E461" s="5">
        <v>228</v>
      </c>
      <c r="F461" s="5">
        <f>ROUND(Source!AY453,O461)</f>
        <v>87962.58</v>
      </c>
      <c r="G461" s="5" t="s">
        <v>118</v>
      </c>
      <c r="H461" s="5" t="s">
        <v>119</v>
      </c>
      <c r="I461" s="5"/>
      <c r="J461" s="5"/>
      <c r="K461" s="5">
        <v>228</v>
      </c>
      <c r="L461" s="5">
        <v>7</v>
      </c>
      <c r="M461" s="5">
        <v>3</v>
      </c>
      <c r="N461" s="5" t="s">
        <v>3</v>
      </c>
      <c r="O461" s="5">
        <v>2</v>
      </c>
      <c r="P461" s="5">
        <f>ROUND(Source!EQ453,O461)</f>
        <v>766829.47</v>
      </c>
      <c r="Q461" s="5"/>
      <c r="R461" s="5"/>
      <c r="S461" s="5"/>
      <c r="T461" s="5"/>
      <c r="U461" s="5"/>
      <c r="V461" s="5"/>
      <c r="W461" s="5">
        <v>87962.58</v>
      </c>
      <c r="X461" s="5">
        <v>1</v>
      </c>
      <c r="Y461" s="5">
        <v>87962.58</v>
      </c>
      <c r="Z461" s="5">
        <v>766829.47</v>
      </c>
      <c r="AA461" s="5">
        <v>1</v>
      </c>
      <c r="AB461" s="5">
        <v>766829.47</v>
      </c>
    </row>
    <row r="462" spans="1:206" x14ac:dyDescent="0.2">
      <c r="A462" s="5">
        <v>50</v>
      </c>
      <c r="B462" s="5">
        <v>0</v>
      </c>
      <c r="C462" s="5">
        <v>0</v>
      </c>
      <c r="D462" s="5">
        <v>1</v>
      </c>
      <c r="E462" s="5">
        <v>216</v>
      </c>
      <c r="F462" s="5">
        <f>ROUND(Source!AP453,O462)</f>
        <v>0</v>
      </c>
      <c r="G462" s="5" t="s">
        <v>120</v>
      </c>
      <c r="H462" s="5" t="s">
        <v>121</v>
      </c>
      <c r="I462" s="5"/>
      <c r="J462" s="5"/>
      <c r="K462" s="5">
        <v>216</v>
      </c>
      <c r="L462" s="5">
        <v>8</v>
      </c>
      <c r="M462" s="5">
        <v>3</v>
      </c>
      <c r="N462" s="5" t="s">
        <v>3</v>
      </c>
      <c r="O462" s="5">
        <v>2</v>
      </c>
      <c r="P462" s="5">
        <f>ROUND(Source!EH453,O462)</f>
        <v>0</v>
      </c>
      <c r="Q462" s="5"/>
      <c r="R462" s="5"/>
      <c r="S462" s="5"/>
      <c r="T462" s="5"/>
      <c r="U462" s="5"/>
      <c r="V462" s="5"/>
      <c r="W462" s="5">
        <v>0</v>
      </c>
      <c r="X462" s="5">
        <v>1</v>
      </c>
      <c r="Y462" s="5">
        <v>0</v>
      </c>
      <c r="Z462" s="5">
        <v>0</v>
      </c>
      <c r="AA462" s="5">
        <v>1</v>
      </c>
      <c r="AB462" s="5">
        <v>0</v>
      </c>
    </row>
    <row r="463" spans="1:206" x14ac:dyDescent="0.2">
      <c r="A463" s="5">
        <v>50</v>
      </c>
      <c r="B463" s="5">
        <v>0</v>
      </c>
      <c r="C463" s="5">
        <v>0</v>
      </c>
      <c r="D463" s="5">
        <v>1</v>
      </c>
      <c r="E463" s="5">
        <v>223</v>
      </c>
      <c r="F463" s="5">
        <f>ROUND(Source!AQ453,O463)</f>
        <v>0</v>
      </c>
      <c r="G463" s="5" t="s">
        <v>122</v>
      </c>
      <c r="H463" s="5" t="s">
        <v>123</v>
      </c>
      <c r="I463" s="5"/>
      <c r="J463" s="5"/>
      <c r="K463" s="5">
        <v>223</v>
      </c>
      <c r="L463" s="5">
        <v>9</v>
      </c>
      <c r="M463" s="5">
        <v>3</v>
      </c>
      <c r="N463" s="5" t="s">
        <v>3</v>
      </c>
      <c r="O463" s="5">
        <v>2</v>
      </c>
      <c r="P463" s="5">
        <f>ROUND(Source!EI453,O463)</f>
        <v>0</v>
      </c>
      <c r="Q463" s="5"/>
      <c r="R463" s="5"/>
      <c r="S463" s="5"/>
      <c r="T463" s="5"/>
      <c r="U463" s="5"/>
      <c r="V463" s="5"/>
      <c r="W463" s="5">
        <v>0</v>
      </c>
      <c r="X463" s="5">
        <v>1</v>
      </c>
      <c r="Y463" s="5">
        <v>0</v>
      </c>
      <c r="Z463" s="5">
        <v>0</v>
      </c>
      <c r="AA463" s="5">
        <v>1</v>
      </c>
      <c r="AB463" s="5">
        <v>0</v>
      </c>
    </row>
    <row r="464" spans="1:206" x14ac:dyDescent="0.2">
      <c r="A464" s="5">
        <v>50</v>
      </c>
      <c r="B464" s="5">
        <v>0</v>
      </c>
      <c r="C464" s="5">
        <v>0</v>
      </c>
      <c r="D464" s="5">
        <v>1</v>
      </c>
      <c r="E464" s="5">
        <v>229</v>
      </c>
      <c r="F464" s="5">
        <f>ROUND(Source!AZ453,O464)</f>
        <v>0</v>
      </c>
      <c r="G464" s="5" t="s">
        <v>124</v>
      </c>
      <c r="H464" s="5" t="s">
        <v>125</v>
      </c>
      <c r="I464" s="5"/>
      <c r="J464" s="5"/>
      <c r="K464" s="5">
        <v>229</v>
      </c>
      <c r="L464" s="5">
        <v>10</v>
      </c>
      <c r="M464" s="5">
        <v>3</v>
      </c>
      <c r="N464" s="5" t="s">
        <v>3</v>
      </c>
      <c r="O464" s="5">
        <v>2</v>
      </c>
      <c r="P464" s="5">
        <f>ROUND(Source!ER453,O464)</f>
        <v>0</v>
      </c>
      <c r="Q464" s="5"/>
      <c r="R464" s="5"/>
      <c r="S464" s="5"/>
      <c r="T464" s="5"/>
      <c r="U464" s="5"/>
      <c r="V464" s="5"/>
      <c r="W464" s="5">
        <v>0</v>
      </c>
      <c r="X464" s="5">
        <v>1</v>
      </c>
      <c r="Y464" s="5">
        <v>0</v>
      </c>
      <c r="Z464" s="5">
        <v>0</v>
      </c>
      <c r="AA464" s="5">
        <v>1</v>
      </c>
      <c r="AB464" s="5">
        <v>0</v>
      </c>
    </row>
    <row r="465" spans="1:28" x14ac:dyDescent="0.2">
      <c r="A465" s="5">
        <v>50</v>
      </c>
      <c r="B465" s="5">
        <v>0</v>
      </c>
      <c r="C465" s="5">
        <v>0</v>
      </c>
      <c r="D465" s="5">
        <v>1</v>
      </c>
      <c r="E465" s="5">
        <v>203</v>
      </c>
      <c r="F465" s="5">
        <f>ROUND(Source!Q453,O465)</f>
        <v>2268.35</v>
      </c>
      <c r="G465" s="5" t="s">
        <v>126</v>
      </c>
      <c r="H465" s="5" t="s">
        <v>127</v>
      </c>
      <c r="I465" s="5"/>
      <c r="J465" s="5"/>
      <c r="K465" s="5">
        <v>203</v>
      </c>
      <c r="L465" s="5">
        <v>11</v>
      </c>
      <c r="M465" s="5">
        <v>3</v>
      </c>
      <c r="N465" s="5" t="s">
        <v>3</v>
      </c>
      <c r="O465" s="5">
        <v>2</v>
      </c>
      <c r="P465" s="5">
        <f>ROUND(Source!DI453,O465)</f>
        <v>24526.59</v>
      </c>
      <c r="Q465" s="5"/>
      <c r="R465" s="5"/>
      <c r="S465" s="5"/>
      <c r="T465" s="5"/>
      <c r="U465" s="5"/>
      <c r="V465" s="5"/>
      <c r="W465" s="5">
        <v>2268.35</v>
      </c>
      <c r="X465" s="5">
        <v>1</v>
      </c>
      <c r="Y465" s="5">
        <v>2268.35</v>
      </c>
      <c r="Z465" s="5">
        <v>24526.59</v>
      </c>
      <c r="AA465" s="5">
        <v>1</v>
      </c>
      <c r="AB465" s="5">
        <v>24526.59</v>
      </c>
    </row>
    <row r="466" spans="1:28" x14ac:dyDescent="0.2">
      <c r="A466" s="5">
        <v>50</v>
      </c>
      <c r="B466" s="5">
        <v>0</v>
      </c>
      <c r="C466" s="5">
        <v>0</v>
      </c>
      <c r="D466" s="5">
        <v>1</v>
      </c>
      <c r="E466" s="5">
        <v>231</v>
      </c>
      <c r="F466" s="5">
        <f>ROUND(Source!BB453,O466)</f>
        <v>0</v>
      </c>
      <c r="G466" s="5" t="s">
        <v>128</v>
      </c>
      <c r="H466" s="5" t="s">
        <v>129</v>
      </c>
      <c r="I466" s="5"/>
      <c r="J466" s="5"/>
      <c r="K466" s="5">
        <v>231</v>
      </c>
      <c r="L466" s="5">
        <v>12</v>
      </c>
      <c r="M466" s="5">
        <v>3</v>
      </c>
      <c r="N466" s="5" t="s">
        <v>3</v>
      </c>
      <c r="O466" s="5">
        <v>2</v>
      </c>
      <c r="P466" s="5">
        <f>ROUND(Source!ET453,O466)</f>
        <v>0</v>
      </c>
      <c r="Q466" s="5"/>
      <c r="R466" s="5"/>
      <c r="S466" s="5"/>
      <c r="T466" s="5"/>
      <c r="U466" s="5"/>
      <c r="V466" s="5"/>
      <c r="W466" s="5">
        <v>0</v>
      </c>
      <c r="X466" s="5">
        <v>1</v>
      </c>
      <c r="Y466" s="5">
        <v>0</v>
      </c>
      <c r="Z466" s="5">
        <v>0</v>
      </c>
      <c r="AA466" s="5">
        <v>1</v>
      </c>
      <c r="AB466" s="5">
        <v>0</v>
      </c>
    </row>
    <row r="467" spans="1:28" x14ac:dyDescent="0.2">
      <c r="A467" s="5">
        <v>50</v>
      </c>
      <c r="B467" s="5">
        <v>0</v>
      </c>
      <c r="C467" s="5">
        <v>0</v>
      </c>
      <c r="D467" s="5">
        <v>1</v>
      </c>
      <c r="E467" s="5">
        <v>204</v>
      </c>
      <c r="F467" s="5">
        <f>ROUND(Source!R453,O467)</f>
        <v>231.35</v>
      </c>
      <c r="G467" s="5" t="s">
        <v>130</v>
      </c>
      <c r="H467" s="5" t="s">
        <v>131</v>
      </c>
      <c r="I467" s="5"/>
      <c r="J467" s="5"/>
      <c r="K467" s="5">
        <v>204</v>
      </c>
      <c r="L467" s="5">
        <v>13</v>
      </c>
      <c r="M467" s="5">
        <v>3</v>
      </c>
      <c r="N467" s="5" t="s">
        <v>3</v>
      </c>
      <c r="O467" s="5">
        <v>2</v>
      </c>
      <c r="P467" s="5">
        <f>ROUND(Source!DJ453,O467)</f>
        <v>7983.9</v>
      </c>
      <c r="Q467" s="5"/>
      <c r="R467" s="5"/>
      <c r="S467" s="5"/>
      <c r="T467" s="5"/>
      <c r="U467" s="5"/>
      <c r="V467" s="5"/>
      <c r="W467" s="5">
        <v>231.35</v>
      </c>
      <c r="X467" s="5">
        <v>1</v>
      </c>
      <c r="Y467" s="5">
        <v>231.35</v>
      </c>
      <c r="Z467" s="5">
        <v>7983.9</v>
      </c>
      <c r="AA467" s="5">
        <v>1</v>
      </c>
      <c r="AB467" s="5">
        <v>7983.9</v>
      </c>
    </row>
    <row r="468" spans="1:28" x14ac:dyDescent="0.2">
      <c r="A468" s="5">
        <v>50</v>
      </c>
      <c r="B468" s="5">
        <v>0</v>
      </c>
      <c r="C468" s="5">
        <v>0</v>
      </c>
      <c r="D468" s="5">
        <v>1</v>
      </c>
      <c r="E468" s="5">
        <v>205</v>
      </c>
      <c r="F468" s="5">
        <f>ROUND(Source!S453,O468)</f>
        <v>4206.88</v>
      </c>
      <c r="G468" s="5" t="s">
        <v>132</v>
      </c>
      <c r="H468" s="5" t="s">
        <v>133</v>
      </c>
      <c r="I468" s="5"/>
      <c r="J468" s="5"/>
      <c r="K468" s="5">
        <v>205</v>
      </c>
      <c r="L468" s="5">
        <v>14</v>
      </c>
      <c r="M468" s="5">
        <v>3</v>
      </c>
      <c r="N468" s="5" t="s">
        <v>3</v>
      </c>
      <c r="O468" s="5">
        <v>2</v>
      </c>
      <c r="P468" s="5">
        <f>ROUND(Source!DK453,O468)</f>
        <v>145179.44</v>
      </c>
      <c r="Q468" s="5"/>
      <c r="R468" s="5"/>
      <c r="S468" s="5"/>
      <c r="T468" s="5"/>
      <c r="U468" s="5"/>
      <c r="V468" s="5"/>
      <c r="W468" s="5">
        <v>4206.88</v>
      </c>
      <c r="X468" s="5">
        <v>1</v>
      </c>
      <c r="Y468" s="5">
        <v>4206.88</v>
      </c>
      <c r="Z468" s="5">
        <v>145179.44</v>
      </c>
      <c r="AA468" s="5">
        <v>1</v>
      </c>
      <c r="AB468" s="5">
        <v>145179.44</v>
      </c>
    </row>
    <row r="469" spans="1:28" x14ac:dyDescent="0.2">
      <c r="A469" s="5">
        <v>50</v>
      </c>
      <c r="B469" s="5">
        <v>0</v>
      </c>
      <c r="C469" s="5">
        <v>0</v>
      </c>
      <c r="D469" s="5">
        <v>1</v>
      </c>
      <c r="E469" s="5">
        <v>232</v>
      </c>
      <c r="F469" s="5">
        <f>ROUND(Source!BC453,O469)</f>
        <v>0</v>
      </c>
      <c r="G469" s="5" t="s">
        <v>134</v>
      </c>
      <c r="H469" s="5" t="s">
        <v>135</v>
      </c>
      <c r="I469" s="5"/>
      <c r="J469" s="5"/>
      <c r="K469" s="5">
        <v>232</v>
      </c>
      <c r="L469" s="5">
        <v>15</v>
      </c>
      <c r="M469" s="5">
        <v>3</v>
      </c>
      <c r="N469" s="5" t="s">
        <v>3</v>
      </c>
      <c r="O469" s="5">
        <v>2</v>
      </c>
      <c r="P469" s="5">
        <f>ROUND(Source!EU453,O469)</f>
        <v>0</v>
      </c>
      <c r="Q469" s="5"/>
      <c r="R469" s="5"/>
      <c r="S469" s="5"/>
      <c r="T469" s="5"/>
      <c r="U469" s="5"/>
      <c r="V469" s="5"/>
      <c r="W469" s="5">
        <v>0</v>
      </c>
      <c r="X469" s="5">
        <v>1</v>
      </c>
      <c r="Y469" s="5">
        <v>0</v>
      </c>
      <c r="Z469" s="5">
        <v>0</v>
      </c>
      <c r="AA469" s="5">
        <v>1</v>
      </c>
      <c r="AB469" s="5">
        <v>0</v>
      </c>
    </row>
    <row r="470" spans="1:28" x14ac:dyDescent="0.2">
      <c r="A470" s="5">
        <v>50</v>
      </c>
      <c r="B470" s="5">
        <v>0</v>
      </c>
      <c r="C470" s="5">
        <v>0</v>
      </c>
      <c r="D470" s="5">
        <v>1</v>
      </c>
      <c r="E470" s="5">
        <v>214</v>
      </c>
      <c r="F470" s="5">
        <f>ROUND(Source!AS453,O470)</f>
        <v>81819.429999999993</v>
      </c>
      <c r="G470" s="5" t="s">
        <v>136</v>
      </c>
      <c r="H470" s="5" t="s">
        <v>137</v>
      </c>
      <c r="I470" s="5"/>
      <c r="J470" s="5"/>
      <c r="K470" s="5">
        <v>214</v>
      </c>
      <c r="L470" s="5">
        <v>16</v>
      </c>
      <c r="M470" s="5">
        <v>3</v>
      </c>
      <c r="N470" s="5" t="s">
        <v>3</v>
      </c>
      <c r="O470" s="5">
        <v>2</v>
      </c>
      <c r="P470" s="5">
        <f>ROUND(Source!EK453,O470)</f>
        <v>873224.33</v>
      </c>
      <c r="Q470" s="5"/>
      <c r="R470" s="5"/>
      <c r="S470" s="5"/>
      <c r="T470" s="5"/>
      <c r="U470" s="5"/>
      <c r="V470" s="5"/>
      <c r="W470" s="5">
        <v>81819.429999999993</v>
      </c>
      <c r="X470" s="5">
        <v>1</v>
      </c>
      <c r="Y470" s="5">
        <v>81819.429999999993</v>
      </c>
      <c r="Z470" s="5">
        <v>873224.33</v>
      </c>
      <c r="AA470" s="5">
        <v>1</v>
      </c>
      <c r="AB470" s="5">
        <v>873224.33</v>
      </c>
    </row>
    <row r="471" spans="1:28" x14ac:dyDescent="0.2">
      <c r="A471" s="5">
        <v>50</v>
      </c>
      <c r="B471" s="5">
        <v>0</v>
      </c>
      <c r="C471" s="5">
        <v>0</v>
      </c>
      <c r="D471" s="5">
        <v>1</v>
      </c>
      <c r="E471" s="5">
        <v>215</v>
      </c>
      <c r="F471" s="5">
        <f>ROUND(Source!AT453,O471)</f>
        <v>20678.64</v>
      </c>
      <c r="G471" s="5" t="s">
        <v>138</v>
      </c>
      <c r="H471" s="5" t="s">
        <v>139</v>
      </c>
      <c r="I471" s="5"/>
      <c r="J471" s="5"/>
      <c r="K471" s="5">
        <v>215</v>
      </c>
      <c r="L471" s="5">
        <v>17</v>
      </c>
      <c r="M471" s="5">
        <v>3</v>
      </c>
      <c r="N471" s="5" t="s">
        <v>3</v>
      </c>
      <c r="O471" s="5">
        <v>2</v>
      </c>
      <c r="P471" s="5">
        <f>ROUND(Source!EL453,O471)</f>
        <v>269783.53000000003</v>
      </c>
      <c r="Q471" s="5"/>
      <c r="R471" s="5"/>
      <c r="S471" s="5"/>
      <c r="T471" s="5"/>
      <c r="U471" s="5"/>
      <c r="V471" s="5"/>
      <c r="W471" s="5">
        <v>20678.64</v>
      </c>
      <c r="X471" s="5">
        <v>1</v>
      </c>
      <c r="Y471" s="5">
        <v>20678.64</v>
      </c>
      <c r="Z471" s="5">
        <v>269783.53000000003</v>
      </c>
      <c r="AA471" s="5">
        <v>1</v>
      </c>
      <c r="AB471" s="5">
        <v>269783.53000000003</v>
      </c>
    </row>
    <row r="472" spans="1:28" x14ac:dyDescent="0.2">
      <c r="A472" s="5">
        <v>50</v>
      </c>
      <c r="B472" s="5">
        <v>0</v>
      </c>
      <c r="C472" s="5">
        <v>0</v>
      </c>
      <c r="D472" s="5">
        <v>1</v>
      </c>
      <c r="E472" s="5">
        <v>217</v>
      </c>
      <c r="F472" s="5">
        <f>ROUND(Source!AU453,O472)</f>
        <v>0</v>
      </c>
      <c r="G472" s="5" t="s">
        <v>140</v>
      </c>
      <c r="H472" s="5" t="s">
        <v>141</v>
      </c>
      <c r="I472" s="5"/>
      <c r="J472" s="5"/>
      <c r="K472" s="5">
        <v>217</v>
      </c>
      <c r="L472" s="5">
        <v>18</v>
      </c>
      <c r="M472" s="5">
        <v>3</v>
      </c>
      <c r="N472" s="5" t="s">
        <v>3</v>
      </c>
      <c r="O472" s="5">
        <v>2</v>
      </c>
      <c r="P472" s="5">
        <f>ROUND(Source!EM453,O472)</f>
        <v>0</v>
      </c>
      <c r="Q472" s="5"/>
      <c r="R472" s="5"/>
      <c r="S472" s="5"/>
      <c r="T472" s="5"/>
      <c r="U472" s="5"/>
      <c r="V472" s="5"/>
      <c r="W472" s="5">
        <v>0</v>
      </c>
      <c r="X472" s="5">
        <v>1</v>
      </c>
      <c r="Y472" s="5">
        <v>0</v>
      </c>
      <c r="Z472" s="5">
        <v>0</v>
      </c>
      <c r="AA472" s="5">
        <v>1</v>
      </c>
      <c r="AB472" s="5">
        <v>0</v>
      </c>
    </row>
    <row r="473" spans="1:28" x14ac:dyDescent="0.2">
      <c r="A473" s="5">
        <v>50</v>
      </c>
      <c r="B473" s="5">
        <v>0</v>
      </c>
      <c r="C473" s="5">
        <v>0</v>
      </c>
      <c r="D473" s="5">
        <v>1</v>
      </c>
      <c r="E473" s="5">
        <v>230</v>
      </c>
      <c r="F473" s="5">
        <f>ROUND(Source!BA453,O473)</f>
        <v>0</v>
      </c>
      <c r="G473" s="5" t="s">
        <v>142</v>
      </c>
      <c r="H473" s="5" t="s">
        <v>143</v>
      </c>
      <c r="I473" s="5"/>
      <c r="J473" s="5"/>
      <c r="K473" s="5">
        <v>230</v>
      </c>
      <c r="L473" s="5">
        <v>19</v>
      </c>
      <c r="M473" s="5">
        <v>3</v>
      </c>
      <c r="N473" s="5" t="s">
        <v>3</v>
      </c>
      <c r="O473" s="5">
        <v>2</v>
      </c>
      <c r="P473" s="5">
        <f>ROUND(Source!ES453,O473)</f>
        <v>0</v>
      </c>
      <c r="Q473" s="5"/>
      <c r="R473" s="5"/>
      <c r="S473" s="5"/>
      <c r="T473" s="5"/>
      <c r="U473" s="5"/>
      <c r="V473" s="5"/>
      <c r="W473" s="5">
        <v>0</v>
      </c>
      <c r="X473" s="5">
        <v>1</v>
      </c>
      <c r="Y473" s="5">
        <v>0</v>
      </c>
      <c r="Z473" s="5">
        <v>0</v>
      </c>
      <c r="AA473" s="5">
        <v>1</v>
      </c>
      <c r="AB473" s="5">
        <v>0</v>
      </c>
    </row>
    <row r="474" spans="1:28" x14ac:dyDescent="0.2">
      <c r="A474" s="5">
        <v>50</v>
      </c>
      <c r="B474" s="5">
        <v>0</v>
      </c>
      <c r="C474" s="5">
        <v>0</v>
      </c>
      <c r="D474" s="5">
        <v>1</v>
      </c>
      <c r="E474" s="5">
        <v>206</v>
      </c>
      <c r="F474" s="5">
        <f>ROUND(Source!T453,O474)</f>
        <v>0</v>
      </c>
      <c r="G474" s="5" t="s">
        <v>144</v>
      </c>
      <c r="H474" s="5" t="s">
        <v>145</v>
      </c>
      <c r="I474" s="5"/>
      <c r="J474" s="5"/>
      <c r="K474" s="5">
        <v>206</v>
      </c>
      <c r="L474" s="5">
        <v>20</v>
      </c>
      <c r="M474" s="5">
        <v>3</v>
      </c>
      <c r="N474" s="5" t="s">
        <v>3</v>
      </c>
      <c r="O474" s="5">
        <v>2</v>
      </c>
      <c r="P474" s="5">
        <f>ROUND(Source!DL453,O474)</f>
        <v>0</v>
      </c>
      <c r="Q474" s="5"/>
      <c r="R474" s="5"/>
      <c r="S474" s="5"/>
      <c r="T474" s="5"/>
      <c r="U474" s="5"/>
      <c r="V474" s="5"/>
      <c r="W474" s="5">
        <v>0</v>
      </c>
      <c r="X474" s="5">
        <v>1</v>
      </c>
      <c r="Y474" s="5">
        <v>0</v>
      </c>
      <c r="Z474" s="5">
        <v>0</v>
      </c>
      <c r="AA474" s="5">
        <v>1</v>
      </c>
      <c r="AB474" s="5">
        <v>0</v>
      </c>
    </row>
    <row r="475" spans="1:28" x14ac:dyDescent="0.2">
      <c r="A475" s="5">
        <v>50</v>
      </c>
      <c r="B475" s="5">
        <v>0</v>
      </c>
      <c r="C475" s="5">
        <v>0</v>
      </c>
      <c r="D475" s="5">
        <v>1</v>
      </c>
      <c r="E475" s="5">
        <v>207</v>
      </c>
      <c r="F475" s="5">
        <f>Source!U453</f>
        <v>345.40756158964001</v>
      </c>
      <c r="G475" s="5" t="s">
        <v>146</v>
      </c>
      <c r="H475" s="5" t="s">
        <v>147</v>
      </c>
      <c r="I475" s="5"/>
      <c r="J475" s="5"/>
      <c r="K475" s="5">
        <v>207</v>
      </c>
      <c r="L475" s="5">
        <v>21</v>
      </c>
      <c r="M475" s="5">
        <v>3</v>
      </c>
      <c r="N475" s="5" t="s">
        <v>3</v>
      </c>
      <c r="O475" s="5">
        <v>-1</v>
      </c>
      <c r="P475" s="5">
        <f>Source!DM453</f>
        <v>345.40756158964001</v>
      </c>
      <c r="Q475" s="5"/>
      <c r="R475" s="5"/>
      <c r="S475" s="5"/>
      <c r="T475" s="5"/>
      <c r="U475" s="5"/>
      <c r="V475" s="5"/>
      <c r="W475" s="5">
        <v>345.40756158963995</v>
      </c>
      <c r="X475" s="5">
        <v>1</v>
      </c>
      <c r="Y475" s="5">
        <v>345.40756158963995</v>
      </c>
      <c r="Z475" s="5">
        <v>345.40756158963995</v>
      </c>
      <c r="AA475" s="5">
        <v>1</v>
      </c>
      <c r="AB475" s="5">
        <v>345.40756158963995</v>
      </c>
    </row>
    <row r="476" spans="1:28" x14ac:dyDescent="0.2">
      <c r="A476" s="5">
        <v>50</v>
      </c>
      <c r="B476" s="5">
        <v>0</v>
      </c>
      <c r="C476" s="5">
        <v>0</v>
      </c>
      <c r="D476" s="5">
        <v>1</v>
      </c>
      <c r="E476" s="5">
        <v>208</v>
      </c>
      <c r="F476" s="5">
        <f>Source!V453</f>
        <v>0</v>
      </c>
      <c r="G476" s="5" t="s">
        <v>148</v>
      </c>
      <c r="H476" s="5" t="s">
        <v>149</v>
      </c>
      <c r="I476" s="5"/>
      <c r="J476" s="5"/>
      <c r="K476" s="5">
        <v>208</v>
      </c>
      <c r="L476" s="5">
        <v>22</v>
      </c>
      <c r="M476" s="5">
        <v>3</v>
      </c>
      <c r="N476" s="5" t="s">
        <v>3</v>
      </c>
      <c r="O476" s="5">
        <v>-1</v>
      </c>
      <c r="P476" s="5">
        <f>Source!DN453</f>
        <v>0</v>
      </c>
      <c r="Q476" s="5"/>
      <c r="R476" s="5"/>
      <c r="S476" s="5"/>
      <c r="T476" s="5"/>
      <c r="U476" s="5"/>
      <c r="V476" s="5"/>
      <c r="W476" s="5">
        <v>0</v>
      </c>
      <c r="X476" s="5">
        <v>1</v>
      </c>
      <c r="Y476" s="5">
        <v>0</v>
      </c>
      <c r="Z476" s="5">
        <v>0</v>
      </c>
      <c r="AA476" s="5">
        <v>1</v>
      </c>
      <c r="AB476" s="5">
        <v>0</v>
      </c>
    </row>
    <row r="477" spans="1:28" x14ac:dyDescent="0.2">
      <c r="A477" s="5">
        <v>50</v>
      </c>
      <c r="B477" s="5">
        <v>0</v>
      </c>
      <c r="C477" s="5">
        <v>0</v>
      </c>
      <c r="D477" s="5">
        <v>1</v>
      </c>
      <c r="E477" s="5">
        <v>209</v>
      </c>
      <c r="F477" s="5">
        <f>ROUND(Source!W453,O477)</f>
        <v>0</v>
      </c>
      <c r="G477" s="5" t="s">
        <v>150</v>
      </c>
      <c r="H477" s="5" t="s">
        <v>151</v>
      </c>
      <c r="I477" s="5"/>
      <c r="J477" s="5"/>
      <c r="K477" s="5">
        <v>209</v>
      </c>
      <c r="L477" s="5">
        <v>23</v>
      </c>
      <c r="M477" s="5">
        <v>3</v>
      </c>
      <c r="N477" s="5" t="s">
        <v>3</v>
      </c>
      <c r="O477" s="5">
        <v>2</v>
      </c>
      <c r="P477" s="5">
        <f>ROUND(Source!DO453,O477)</f>
        <v>0</v>
      </c>
      <c r="Q477" s="5"/>
      <c r="R477" s="5"/>
      <c r="S477" s="5"/>
      <c r="T477" s="5"/>
      <c r="U477" s="5"/>
      <c r="V477" s="5"/>
      <c r="W477" s="5">
        <v>0</v>
      </c>
      <c r="X477" s="5">
        <v>1</v>
      </c>
      <c r="Y477" s="5">
        <v>0</v>
      </c>
      <c r="Z477" s="5">
        <v>0</v>
      </c>
      <c r="AA477" s="5">
        <v>1</v>
      </c>
      <c r="AB477" s="5">
        <v>0</v>
      </c>
    </row>
    <row r="478" spans="1:28" x14ac:dyDescent="0.2">
      <c r="A478" s="5">
        <v>50</v>
      </c>
      <c r="B478" s="5">
        <v>0</v>
      </c>
      <c r="C478" s="5">
        <v>0</v>
      </c>
      <c r="D478" s="5">
        <v>1</v>
      </c>
      <c r="E478" s="5">
        <v>233</v>
      </c>
      <c r="F478" s="5">
        <f>ROUND(Source!BD453,O478)</f>
        <v>0</v>
      </c>
      <c r="G478" s="5" t="s">
        <v>152</v>
      </c>
      <c r="H478" s="5" t="s">
        <v>153</v>
      </c>
      <c r="I478" s="5"/>
      <c r="J478" s="5"/>
      <c r="K478" s="5">
        <v>233</v>
      </c>
      <c r="L478" s="5">
        <v>24</v>
      </c>
      <c r="M478" s="5">
        <v>3</v>
      </c>
      <c r="N478" s="5" t="s">
        <v>3</v>
      </c>
      <c r="O478" s="5">
        <v>2</v>
      </c>
      <c r="P478" s="5">
        <f>ROUND(Source!EV453,O478)</f>
        <v>0</v>
      </c>
      <c r="Q478" s="5"/>
      <c r="R478" s="5"/>
      <c r="S478" s="5"/>
      <c r="T478" s="5"/>
      <c r="U478" s="5"/>
      <c r="V478" s="5"/>
      <c r="W478" s="5">
        <v>0</v>
      </c>
      <c r="X478" s="5">
        <v>1</v>
      </c>
      <c r="Y478" s="5">
        <v>0</v>
      </c>
      <c r="Z478" s="5">
        <v>0</v>
      </c>
      <c r="AA478" s="5">
        <v>1</v>
      </c>
      <c r="AB478" s="5">
        <v>0</v>
      </c>
    </row>
    <row r="479" spans="1:28" x14ac:dyDescent="0.2">
      <c r="A479" s="5">
        <v>50</v>
      </c>
      <c r="B479" s="5">
        <v>0</v>
      </c>
      <c r="C479" s="5">
        <v>0</v>
      </c>
      <c r="D479" s="5">
        <v>1</v>
      </c>
      <c r="E479" s="5">
        <v>210</v>
      </c>
      <c r="F479" s="5">
        <f>ROUND(Source!X453,O479)</f>
        <v>4653.75</v>
      </c>
      <c r="G479" s="5" t="s">
        <v>154</v>
      </c>
      <c r="H479" s="5" t="s">
        <v>155</v>
      </c>
      <c r="I479" s="5"/>
      <c r="J479" s="5"/>
      <c r="K479" s="5">
        <v>210</v>
      </c>
      <c r="L479" s="5">
        <v>25</v>
      </c>
      <c r="M479" s="5">
        <v>3</v>
      </c>
      <c r="N479" s="5" t="s">
        <v>3</v>
      </c>
      <c r="O479" s="5">
        <v>2</v>
      </c>
      <c r="P479" s="5">
        <f>ROUND(Source!DP453,O479)</f>
        <v>132204.71</v>
      </c>
      <c r="Q479" s="5"/>
      <c r="R479" s="5"/>
      <c r="S479" s="5"/>
      <c r="T479" s="5"/>
      <c r="U479" s="5"/>
      <c r="V479" s="5"/>
      <c r="W479" s="5">
        <v>4653.75</v>
      </c>
      <c r="X479" s="5">
        <v>1</v>
      </c>
      <c r="Y479" s="5">
        <v>4653.75</v>
      </c>
      <c r="Z479" s="5">
        <v>132204.71</v>
      </c>
      <c r="AA479" s="5">
        <v>1</v>
      </c>
      <c r="AB479" s="5">
        <v>132204.71</v>
      </c>
    </row>
    <row r="480" spans="1:28" x14ac:dyDescent="0.2">
      <c r="A480" s="5">
        <v>50</v>
      </c>
      <c r="B480" s="5">
        <v>0</v>
      </c>
      <c r="C480" s="5">
        <v>0</v>
      </c>
      <c r="D480" s="5">
        <v>1</v>
      </c>
      <c r="E480" s="5">
        <v>211</v>
      </c>
      <c r="F480" s="5">
        <f>ROUND(Source!Y453,O480)</f>
        <v>3001.63</v>
      </c>
      <c r="G480" s="5" t="s">
        <v>156</v>
      </c>
      <c r="H480" s="5" t="s">
        <v>157</v>
      </c>
      <c r="I480" s="5"/>
      <c r="J480" s="5"/>
      <c r="K480" s="5">
        <v>211</v>
      </c>
      <c r="L480" s="5">
        <v>26</v>
      </c>
      <c r="M480" s="5">
        <v>3</v>
      </c>
      <c r="N480" s="5" t="s">
        <v>3</v>
      </c>
      <c r="O480" s="5">
        <v>2</v>
      </c>
      <c r="P480" s="5">
        <f>ROUND(Source!DQ453,O480)</f>
        <v>61493.4</v>
      </c>
      <c r="Q480" s="5"/>
      <c r="R480" s="5"/>
      <c r="S480" s="5"/>
      <c r="T480" s="5"/>
      <c r="U480" s="5"/>
      <c r="V480" s="5"/>
      <c r="W480" s="5">
        <v>3001.63</v>
      </c>
      <c r="X480" s="5">
        <v>1</v>
      </c>
      <c r="Y480" s="5">
        <v>3001.63</v>
      </c>
      <c r="Z480" s="5">
        <v>61493.4</v>
      </c>
      <c r="AA480" s="5">
        <v>1</v>
      </c>
      <c r="AB480" s="5">
        <v>61493.4</v>
      </c>
    </row>
    <row r="481" spans="1:50" x14ac:dyDescent="0.2">
      <c r="A481" s="5">
        <v>50</v>
      </c>
      <c r="B481" s="5">
        <v>0</v>
      </c>
      <c r="C481" s="5">
        <v>0</v>
      </c>
      <c r="D481" s="5">
        <v>1</v>
      </c>
      <c r="E481" s="5">
        <v>224</v>
      </c>
      <c r="F481" s="5">
        <f>ROUND(Source!AR453,O481)</f>
        <v>102498.07</v>
      </c>
      <c r="G481" s="5" t="s">
        <v>158</v>
      </c>
      <c r="H481" s="5" t="s">
        <v>159</v>
      </c>
      <c r="I481" s="5"/>
      <c r="J481" s="5"/>
      <c r="K481" s="5">
        <v>224</v>
      </c>
      <c r="L481" s="5">
        <v>27</v>
      </c>
      <c r="M481" s="5">
        <v>3</v>
      </c>
      <c r="N481" s="5" t="s">
        <v>3</v>
      </c>
      <c r="O481" s="5">
        <v>2</v>
      </c>
      <c r="P481" s="5">
        <f>ROUND(Source!EJ453,O481)</f>
        <v>1143007.8600000001</v>
      </c>
      <c r="Q481" s="5"/>
      <c r="R481" s="5"/>
      <c r="S481" s="5"/>
      <c r="T481" s="5"/>
      <c r="U481" s="5"/>
      <c r="V481" s="5"/>
      <c r="W481" s="5">
        <v>102498.07</v>
      </c>
      <c r="X481" s="5">
        <v>1</v>
      </c>
      <c r="Y481" s="5">
        <v>102498.07</v>
      </c>
      <c r="Z481" s="5">
        <v>1143007.8600000001</v>
      </c>
      <c r="AA481" s="5">
        <v>1</v>
      </c>
      <c r="AB481" s="5">
        <v>1143007.8600000001</v>
      </c>
    </row>
    <row r="482" spans="1:50" x14ac:dyDescent="0.2">
      <c r="A482" s="5">
        <v>50</v>
      </c>
      <c r="B482" s="5">
        <v>1</v>
      </c>
      <c r="C482" s="5">
        <v>0</v>
      </c>
      <c r="D482" s="5">
        <v>2</v>
      </c>
      <c r="E482" s="5">
        <v>0</v>
      </c>
      <c r="F482" s="5">
        <f>ROUND(F481,O482)</f>
        <v>102498.07</v>
      </c>
      <c r="G482" s="5" t="s">
        <v>429</v>
      </c>
      <c r="H482" s="5" t="s">
        <v>430</v>
      </c>
      <c r="I482" s="5"/>
      <c r="J482" s="5"/>
      <c r="K482" s="5">
        <v>212</v>
      </c>
      <c r="L482" s="5">
        <v>28</v>
      </c>
      <c r="M482" s="5">
        <v>0</v>
      </c>
      <c r="N482" s="5" t="s">
        <v>3</v>
      </c>
      <c r="O482" s="5">
        <v>2</v>
      </c>
      <c r="P482" s="5">
        <f>ROUND(P481,O482)</f>
        <v>1143007.8600000001</v>
      </c>
      <c r="Q482" s="5"/>
      <c r="R482" s="5"/>
      <c r="S482" s="5"/>
      <c r="T482" s="5"/>
      <c r="U482" s="5"/>
      <c r="V482" s="5"/>
      <c r="W482" s="5">
        <v>102498.07</v>
      </c>
      <c r="X482" s="5">
        <v>1</v>
      </c>
      <c r="Y482" s="5">
        <v>102498.07</v>
      </c>
      <c r="Z482" s="5">
        <v>1143007.8600000001</v>
      </c>
      <c r="AA482" s="5">
        <v>1</v>
      </c>
      <c r="AB482" s="5">
        <v>1143007.8600000001</v>
      </c>
    </row>
    <row r="485" spans="1:50" x14ac:dyDescent="0.2">
      <c r="A485">
        <v>70</v>
      </c>
      <c r="B485">
        <v>1</v>
      </c>
      <c r="D485">
        <v>1</v>
      </c>
      <c r="E485" t="s">
        <v>431</v>
      </c>
      <c r="F485" t="s">
        <v>432</v>
      </c>
      <c r="G485">
        <v>0</v>
      </c>
      <c r="H485">
        <v>0</v>
      </c>
      <c r="I485" t="s">
        <v>3</v>
      </c>
      <c r="J485">
        <v>0</v>
      </c>
      <c r="K485">
        <v>0</v>
      </c>
      <c r="L485" t="s">
        <v>3</v>
      </c>
      <c r="M485" t="s">
        <v>3</v>
      </c>
      <c r="N485">
        <v>0</v>
      </c>
      <c r="O485">
        <v>0</v>
      </c>
      <c r="P485" t="s">
        <v>3</v>
      </c>
    </row>
    <row r="487" spans="1:50" x14ac:dyDescent="0.2">
      <c r="A487">
        <v>-1</v>
      </c>
    </row>
    <row r="489" spans="1:50" x14ac:dyDescent="0.2">
      <c r="A489" s="4">
        <v>75</v>
      </c>
      <c r="B489" s="4" t="s">
        <v>433</v>
      </c>
      <c r="C489" s="4">
        <v>2000</v>
      </c>
      <c r="D489" s="4">
        <v>0</v>
      </c>
      <c r="E489" s="4">
        <v>1</v>
      </c>
      <c r="F489" s="4"/>
      <c r="G489" s="4">
        <v>0</v>
      </c>
      <c r="H489" s="4">
        <v>1</v>
      </c>
      <c r="I489" s="4">
        <v>0</v>
      </c>
      <c r="J489" s="4">
        <v>1</v>
      </c>
      <c r="K489" s="4">
        <v>98</v>
      </c>
      <c r="L489" s="4">
        <v>77</v>
      </c>
      <c r="M489" s="4">
        <v>0</v>
      </c>
      <c r="N489" s="4">
        <v>56622586</v>
      </c>
      <c r="O489" s="4">
        <v>1</v>
      </c>
    </row>
    <row r="490" spans="1:50" x14ac:dyDescent="0.2">
      <c r="A490" s="4">
        <v>75</v>
      </c>
      <c r="B490" s="4" t="s">
        <v>434</v>
      </c>
      <c r="C490" s="4">
        <v>2024</v>
      </c>
      <c r="D490" s="4">
        <v>0</v>
      </c>
      <c r="E490" s="4">
        <v>4</v>
      </c>
      <c r="F490" s="4"/>
      <c r="G490" s="4">
        <v>0</v>
      </c>
      <c r="H490" s="4">
        <v>2</v>
      </c>
      <c r="I490" s="4">
        <v>1</v>
      </c>
      <c r="J490" s="4">
        <v>1</v>
      </c>
      <c r="K490" s="4">
        <v>95</v>
      </c>
      <c r="L490" s="4">
        <v>65</v>
      </c>
      <c r="M490" s="4">
        <v>1</v>
      </c>
      <c r="N490" s="4">
        <v>56616093</v>
      </c>
      <c r="O490" s="4">
        <v>2</v>
      </c>
    </row>
    <row r="491" spans="1:50" x14ac:dyDescent="0.2">
      <c r="A491" s="6">
        <v>1</v>
      </c>
      <c r="B491" s="6" t="s">
        <v>435</v>
      </c>
      <c r="C491" s="6" t="s">
        <v>436</v>
      </c>
      <c r="D491" s="6">
        <v>2024</v>
      </c>
      <c r="E491" s="6">
        <v>7</v>
      </c>
      <c r="F491" s="6">
        <v>1</v>
      </c>
      <c r="G491" s="6">
        <v>1</v>
      </c>
      <c r="H491" s="6">
        <v>0</v>
      </c>
      <c r="I491" s="6">
        <v>2</v>
      </c>
      <c r="J491" s="6">
        <v>1</v>
      </c>
      <c r="K491" s="6">
        <v>1</v>
      </c>
      <c r="L491" s="6">
        <v>1</v>
      </c>
      <c r="M491" s="6">
        <v>1</v>
      </c>
      <c r="N491" s="6">
        <v>1</v>
      </c>
      <c r="O491" s="6">
        <v>1</v>
      </c>
      <c r="P491" s="6">
        <v>1</v>
      </c>
      <c r="Q491" s="6">
        <v>1</v>
      </c>
      <c r="R491" s="6" t="s">
        <v>3</v>
      </c>
      <c r="S491" s="6" t="s">
        <v>3</v>
      </c>
      <c r="T491" s="6" t="s">
        <v>3</v>
      </c>
      <c r="U491" s="6" t="s">
        <v>3</v>
      </c>
      <c r="V491" s="6" t="s">
        <v>3</v>
      </c>
      <c r="W491" s="6" t="s">
        <v>3</v>
      </c>
      <c r="X491" s="6" t="s">
        <v>3</v>
      </c>
      <c r="Y491" s="6" t="s">
        <v>3</v>
      </c>
      <c r="Z491" s="6" t="s">
        <v>3</v>
      </c>
      <c r="AA491" s="6" t="s">
        <v>437</v>
      </c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>
        <v>56616094</v>
      </c>
      <c r="AO491" s="6"/>
      <c r="AP491" s="6"/>
      <c r="AQ491" s="6"/>
      <c r="AR491" s="6"/>
      <c r="AS491" s="6"/>
      <c r="AT491" s="6"/>
      <c r="AU491" s="6"/>
      <c r="AV491" s="6"/>
      <c r="AW491" s="6"/>
      <c r="AX491" s="6"/>
    </row>
    <row r="495" spans="1:50" x14ac:dyDescent="0.2">
      <c r="A495">
        <v>65</v>
      </c>
      <c r="C495">
        <v>1</v>
      </c>
      <c r="D495">
        <v>0</v>
      </c>
      <c r="E495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4943-BA8C-4B90-B943-37C237AEAAEB}">
  <dimension ref="A1:EC5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438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75112</v>
      </c>
      <c r="M1">
        <v>10</v>
      </c>
      <c r="N1">
        <v>11</v>
      </c>
      <c r="O1">
        <v>15</v>
      </c>
      <c r="P1">
        <v>0</v>
      </c>
      <c r="Q1">
        <v>0</v>
      </c>
    </row>
    <row r="12" spans="1:133" x14ac:dyDescent="0.2">
      <c r="A12" s="1">
        <v>1</v>
      </c>
      <c r="B12" s="1">
        <v>52</v>
      </c>
      <c r="C12" s="1">
        <v>1</v>
      </c>
      <c r="D12" s="1"/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175</v>
      </c>
      <c r="S12" s="1">
        <v>160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8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10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78</v>
      </c>
      <c r="CL12" s="1"/>
      <c r="CM12" s="1"/>
      <c r="CN12" s="1"/>
      <c r="CO12" s="1"/>
      <c r="CP12" s="1"/>
      <c r="CQ12" s="1" t="s">
        <v>11</v>
      </c>
      <c r="CR12" s="1" t="s">
        <v>12</v>
      </c>
      <c r="CS12" s="1">
        <v>41660</v>
      </c>
      <c r="CT12" s="1">
        <v>1</v>
      </c>
      <c r="CU12" s="1">
        <v>73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56622586</v>
      </c>
      <c r="E14" s="1">
        <v>56616093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13</v>
      </c>
      <c r="D16" s="7" t="s">
        <v>13</v>
      </c>
      <c r="E16" s="8">
        <f>ROUND((Source!F440)/1000,2)</f>
        <v>81.819999999999993</v>
      </c>
      <c r="F16" s="8">
        <f>ROUND((Source!F441)/1000,2)</f>
        <v>20.68</v>
      </c>
      <c r="G16" s="8">
        <f>ROUND((Source!F432)/1000,2)</f>
        <v>0</v>
      </c>
      <c r="H16" s="8">
        <f>ROUND((Source!F442)/1000+(Source!F443)/1000,2)</f>
        <v>0</v>
      </c>
      <c r="I16" s="8">
        <f>E16+F16+G16+H16</f>
        <v>102.5</v>
      </c>
      <c r="J16" s="8">
        <f>ROUND((Source!F438+Source!F437)/1000,2)</f>
        <v>4.4400000000000004</v>
      </c>
      <c r="K16" s="8">
        <v>182.4</v>
      </c>
      <c r="L16" s="8">
        <v>0</v>
      </c>
      <c r="M16" s="8">
        <v>0</v>
      </c>
      <c r="N16" s="8">
        <f>I16+L16+M16</f>
        <v>102.5</v>
      </c>
      <c r="T16" s="9">
        <f>ROUND((Source!P440)/1000,2)</f>
        <v>873.22</v>
      </c>
      <c r="U16" s="9">
        <f>ROUND((Source!P441)/1000,2)</f>
        <v>269.77999999999997</v>
      </c>
      <c r="V16" s="9">
        <f>ROUND((Source!P432)/1000,2)</f>
        <v>0</v>
      </c>
      <c r="W16" s="9">
        <f>ROUND((Source!P442)/1000+(Source!P443)/1000,2)</f>
        <v>0</v>
      </c>
      <c r="X16" s="9">
        <f>T16+U16+V16+W16</f>
        <v>1143</v>
      </c>
      <c r="Y16" s="9">
        <f>ROUND((Source!P438+Source!P437)/1000,2)</f>
        <v>153.16</v>
      </c>
      <c r="Z16" s="9">
        <v>1703.36</v>
      </c>
      <c r="AA16" s="9">
        <v>0</v>
      </c>
      <c r="AB16" s="9">
        <v>0</v>
      </c>
      <c r="AC16" s="9">
        <f>X16+AA16+AB16</f>
        <v>1143</v>
      </c>
      <c r="AI16" s="7">
        <v>0</v>
      </c>
      <c r="AJ16" s="7">
        <v>0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94437.81</v>
      </c>
      <c r="AU16" s="8">
        <v>87962.58</v>
      </c>
      <c r="AV16" s="8">
        <v>0</v>
      </c>
      <c r="AW16" s="8">
        <v>0</v>
      </c>
      <c r="AX16" s="8">
        <v>0</v>
      </c>
      <c r="AY16" s="8">
        <v>2268.35</v>
      </c>
      <c r="AZ16" s="8">
        <v>231.35</v>
      </c>
      <c r="BA16" s="8">
        <v>4206.88</v>
      </c>
      <c r="BB16" s="8">
        <v>81819.429999999993</v>
      </c>
      <c r="BC16" s="8">
        <v>20678.64</v>
      </c>
      <c r="BD16" s="8">
        <v>0</v>
      </c>
      <c r="BE16" s="8">
        <v>0</v>
      </c>
      <c r="BF16" s="8">
        <v>345.40756158963995</v>
      </c>
      <c r="BG16" s="8">
        <v>0</v>
      </c>
      <c r="BH16" s="8">
        <v>0</v>
      </c>
      <c r="BI16" s="8">
        <v>4653.75</v>
      </c>
      <c r="BJ16" s="8">
        <v>3001.63</v>
      </c>
      <c r="BK16" s="8">
        <v>102498.07</v>
      </c>
      <c r="BR16" s="9">
        <v>936535.5</v>
      </c>
      <c r="BS16" s="9">
        <v>766829.47</v>
      </c>
      <c r="BT16" s="9">
        <v>0</v>
      </c>
      <c r="BU16" s="9">
        <v>0</v>
      </c>
      <c r="BV16" s="9">
        <v>0</v>
      </c>
      <c r="BW16" s="9">
        <v>24526.59</v>
      </c>
      <c r="BX16" s="9">
        <v>7983.9</v>
      </c>
      <c r="BY16" s="9">
        <v>145179.44</v>
      </c>
      <c r="BZ16" s="9">
        <v>873224.33</v>
      </c>
      <c r="CA16" s="9">
        <v>269783.53000000003</v>
      </c>
      <c r="CB16" s="9">
        <v>0</v>
      </c>
      <c r="CC16" s="9">
        <v>0</v>
      </c>
      <c r="CD16" s="9">
        <v>345.40756158963995</v>
      </c>
      <c r="CE16" s="9">
        <v>0</v>
      </c>
      <c r="CF16" s="9">
        <v>0</v>
      </c>
      <c r="CG16" s="9">
        <v>132204.71</v>
      </c>
      <c r="CH16" s="9">
        <v>61493.4</v>
      </c>
      <c r="CI16" s="9">
        <v>1143007.8600000001</v>
      </c>
    </row>
    <row r="18" spans="1:29" x14ac:dyDescent="0.2">
      <c r="A18">
        <v>51</v>
      </c>
      <c r="E18">
        <v>81.819999999999993</v>
      </c>
      <c r="F18">
        <v>20.68</v>
      </c>
      <c r="G18">
        <v>0</v>
      </c>
      <c r="H18">
        <v>0</v>
      </c>
      <c r="I18">
        <v>102.5</v>
      </c>
      <c r="J18">
        <v>4.4400000000000004</v>
      </c>
      <c r="K18">
        <v>182.4</v>
      </c>
      <c r="L18">
        <v>0</v>
      </c>
      <c r="M18">
        <v>0</v>
      </c>
      <c r="N18">
        <v>102.5</v>
      </c>
      <c r="T18">
        <v>873.22</v>
      </c>
      <c r="U18">
        <v>269.77999999999997</v>
      </c>
      <c r="V18">
        <v>0</v>
      </c>
      <c r="W18">
        <v>0</v>
      </c>
      <c r="X18">
        <v>1143</v>
      </c>
      <c r="Y18">
        <v>153.16</v>
      </c>
      <c r="Z18">
        <v>1703.36</v>
      </c>
      <c r="AA18">
        <v>0</v>
      </c>
      <c r="AB18">
        <v>0</v>
      </c>
      <c r="AC18">
        <v>1143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94437.81</v>
      </c>
      <c r="G20" s="5" t="s">
        <v>106</v>
      </c>
      <c r="H20" s="5" t="s">
        <v>107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936535.5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87962.58</v>
      </c>
      <c r="G21" s="5" t="s">
        <v>108</v>
      </c>
      <c r="H21" s="5" t="s">
        <v>109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766829.47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110</v>
      </c>
      <c r="H22" s="5" t="s">
        <v>111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87962.58</v>
      </c>
      <c r="G23" s="5" t="s">
        <v>112</v>
      </c>
      <c r="H23" s="5" t="s">
        <v>113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766829.47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87962.58</v>
      </c>
      <c r="G24" s="5" t="s">
        <v>114</v>
      </c>
      <c r="H24" s="5" t="s">
        <v>115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766829.47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116</v>
      </c>
      <c r="H25" s="5" t="s">
        <v>117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87962.58</v>
      </c>
      <c r="G26" s="5" t="s">
        <v>118</v>
      </c>
      <c r="H26" s="5" t="s">
        <v>119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766829.47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0</v>
      </c>
      <c r="G27" s="5" t="s">
        <v>120</v>
      </c>
      <c r="H27" s="5" t="s">
        <v>121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0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122</v>
      </c>
      <c r="H28" s="5" t="s">
        <v>123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0</v>
      </c>
      <c r="G29" s="5" t="s">
        <v>124</v>
      </c>
      <c r="H29" s="5" t="s">
        <v>125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0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2268.35</v>
      </c>
      <c r="G30" s="5" t="s">
        <v>126</v>
      </c>
      <c r="H30" s="5" t="s">
        <v>127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24526.59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128</v>
      </c>
      <c r="H31" s="5" t="s">
        <v>129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231.35</v>
      </c>
      <c r="G32" s="5" t="s">
        <v>130</v>
      </c>
      <c r="H32" s="5" t="s">
        <v>131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7983.9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4206.88</v>
      </c>
      <c r="G33" s="5" t="s">
        <v>132</v>
      </c>
      <c r="H33" s="5" t="s">
        <v>133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145179.44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134</v>
      </c>
      <c r="H34" s="5" t="s">
        <v>135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81819.429999999993</v>
      </c>
      <c r="G35" s="5" t="s">
        <v>136</v>
      </c>
      <c r="H35" s="5" t="s">
        <v>137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873224.33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20678.64</v>
      </c>
      <c r="G36" s="5" t="s">
        <v>138</v>
      </c>
      <c r="H36" s="5" t="s">
        <v>139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269783.53000000003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140</v>
      </c>
      <c r="H37" s="5" t="s">
        <v>141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142</v>
      </c>
      <c r="H38" s="5" t="s">
        <v>143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144</v>
      </c>
      <c r="H39" s="5" t="s">
        <v>145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345.40756158963995</v>
      </c>
      <c r="G40" s="5" t="s">
        <v>146</v>
      </c>
      <c r="H40" s="5" t="s">
        <v>147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345.40756158963995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148</v>
      </c>
      <c r="H41" s="5" t="s">
        <v>149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150</v>
      </c>
      <c r="H42" s="5" t="s">
        <v>151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152</v>
      </c>
      <c r="H43" s="5" t="s">
        <v>153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4653.75</v>
      </c>
      <c r="G44" s="5" t="s">
        <v>154</v>
      </c>
      <c r="H44" s="5" t="s">
        <v>155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132204.71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3001.63</v>
      </c>
      <c r="G45" s="5" t="s">
        <v>156</v>
      </c>
      <c r="H45" s="5" t="s">
        <v>157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61493.4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102498.07</v>
      </c>
      <c r="G46" s="5" t="s">
        <v>158</v>
      </c>
      <c r="H46" s="5" t="s">
        <v>159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1143007.8600000001</v>
      </c>
    </row>
    <row r="47" spans="1:16" x14ac:dyDescent="0.2">
      <c r="A47" s="5">
        <v>50</v>
      </c>
      <c r="B47" s="5">
        <v>1</v>
      </c>
      <c r="C47" s="5">
        <v>0</v>
      </c>
      <c r="D47" s="5">
        <v>2</v>
      </c>
      <c r="E47" s="5">
        <v>0</v>
      </c>
      <c r="F47" s="5">
        <v>102498.07</v>
      </c>
      <c r="G47" s="5" t="s">
        <v>429</v>
      </c>
      <c r="H47" s="5" t="s">
        <v>430</v>
      </c>
      <c r="I47" s="5"/>
      <c r="J47" s="5"/>
      <c r="K47" s="5">
        <v>212</v>
      </c>
      <c r="L47" s="5">
        <v>28</v>
      </c>
      <c r="M47" s="5">
        <v>0</v>
      </c>
      <c r="N47" s="5" t="s">
        <v>3</v>
      </c>
      <c r="O47" s="5">
        <v>2</v>
      </c>
      <c r="P47" s="5">
        <v>1143007.8600000001</v>
      </c>
    </row>
    <row r="49" spans="1:50" x14ac:dyDescent="0.2">
      <c r="A49">
        <v>-1</v>
      </c>
    </row>
    <row r="52" spans="1:50" x14ac:dyDescent="0.2">
      <c r="A52" s="4">
        <v>75</v>
      </c>
      <c r="B52" s="4" t="s">
        <v>433</v>
      </c>
      <c r="C52" s="4">
        <v>2000</v>
      </c>
      <c r="D52" s="4">
        <v>0</v>
      </c>
      <c r="E52" s="4">
        <v>1</v>
      </c>
      <c r="F52" s="4"/>
      <c r="G52" s="4">
        <v>0</v>
      </c>
      <c r="H52" s="4">
        <v>1</v>
      </c>
      <c r="I52" s="4">
        <v>0</v>
      </c>
      <c r="J52" s="4">
        <v>1</v>
      </c>
      <c r="K52" s="4">
        <v>98</v>
      </c>
      <c r="L52" s="4">
        <v>77</v>
      </c>
      <c r="M52" s="4">
        <v>0</v>
      </c>
      <c r="N52" s="4">
        <v>56622586</v>
      </c>
      <c r="O52" s="4">
        <v>1</v>
      </c>
    </row>
    <row r="53" spans="1:50" x14ac:dyDescent="0.2">
      <c r="A53" s="4">
        <v>75</v>
      </c>
      <c r="B53" s="4" t="s">
        <v>434</v>
      </c>
      <c r="C53" s="4">
        <v>2024</v>
      </c>
      <c r="D53" s="4">
        <v>0</v>
      </c>
      <c r="E53" s="4">
        <v>4</v>
      </c>
      <c r="F53" s="4"/>
      <c r="G53" s="4">
        <v>0</v>
      </c>
      <c r="H53" s="4">
        <v>2</v>
      </c>
      <c r="I53" s="4">
        <v>1</v>
      </c>
      <c r="J53" s="4">
        <v>1</v>
      </c>
      <c r="K53" s="4">
        <v>95</v>
      </c>
      <c r="L53" s="4">
        <v>65</v>
      </c>
      <c r="M53" s="4">
        <v>1</v>
      </c>
      <c r="N53" s="4">
        <v>56616093</v>
      </c>
      <c r="O53" s="4">
        <v>2</v>
      </c>
    </row>
    <row r="54" spans="1:50" x14ac:dyDescent="0.2">
      <c r="A54" s="6">
        <v>1</v>
      </c>
      <c r="B54" s="6" t="s">
        <v>435</v>
      </c>
      <c r="C54" s="6" t="s">
        <v>436</v>
      </c>
      <c r="D54" s="6">
        <v>2024</v>
      </c>
      <c r="E54" s="6">
        <v>7</v>
      </c>
      <c r="F54" s="6">
        <v>1</v>
      </c>
      <c r="G54" s="6">
        <v>1</v>
      </c>
      <c r="H54" s="6">
        <v>0</v>
      </c>
      <c r="I54" s="6">
        <v>2</v>
      </c>
      <c r="J54" s="6">
        <v>1</v>
      </c>
      <c r="K54" s="6">
        <v>1</v>
      </c>
      <c r="L54" s="6">
        <v>1</v>
      </c>
      <c r="M54" s="6">
        <v>1</v>
      </c>
      <c r="N54" s="6">
        <v>1</v>
      </c>
      <c r="O54" s="6">
        <v>1</v>
      </c>
      <c r="P54" s="6">
        <v>1</v>
      </c>
      <c r="Q54" s="6">
        <v>1</v>
      </c>
      <c r="R54" s="6" t="s">
        <v>3</v>
      </c>
      <c r="S54" s="6" t="s">
        <v>3</v>
      </c>
      <c r="T54" s="6" t="s">
        <v>3</v>
      </c>
      <c r="U54" s="6" t="s">
        <v>3</v>
      </c>
      <c r="V54" s="6" t="s">
        <v>3</v>
      </c>
      <c r="W54" s="6" t="s">
        <v>3</v>
      </c>
      <c r="X54" s="6" t="s">
        <v>3</v>
      </c>
      <c r="Y54" s="6" t="s">
        <v>3</v>
      </c>
      <c r="Z54" s="6" t="s">
        <v>3</v>
      </c>
      <c r="AA54" s="6" t="s">
        <v>437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>
        <v>56616094</v>
      </c>
      <c r="AO54" s="6"/>
      <c r="AP54" s="6"/>
      <c r="AQ54" s="6"/>
      <c r="AR54" s="6"/>
      <c r="AS54" s="6"/>
      <c r="AT54" s="6"/>
      <c r="AU54" s="6"/>
      <c r="AV54" s="6"/>
      <c r="AW54" s="6"/>
      <c r="AX54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42C1-7222-4685-95A1-7BA3D9B475DE}">
  <dimension ref="A1:DO21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56622586</v>
      </c>
      <c r="C1">
        <v>56616503</v>
      </c>
      <c r="D1">
        <v>47634407</v>
      </c>
      <c r="E1">
        <v>27786564</v>
      </c>
      <c r="F1">
        <v>1</v>
      </c>
      <c r="G1">
        <v>27786564</v>
      </c>
      <c r="H1">
        <v>1</v>
      </c>
      <c r="I1" t="s">
        <v>439</v>
      </c>
      <c r="J1" t="s">
        <v>3</v>
      </c>
      <c r="K1" t="s">
        <v>440</v>
      </c>
      <c r="L1">
        <v>1191</v>
      </c>
      <c r="N1">
        <v>1013</v>
      </c>
      <c r="O1" t="s">
        <v>441</v>
      </c>
      <c r="P1" t="s">
        <v>441</v>
      </c>
      <c r="Q1">
        <v>1</v>
      </c>
      <c r="W1">
        <v>0</v>
      </c>
      <c r="X1">
        <v>476480486</v>
      </c>
      <c r="Y1">
        <f t="shared" ref="Y1:Y16" si="0">(AT1*1.1)</f>
        <v>211.97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192.7</v>
      </c>
      <c r="AU1" t="s">
        <v>22</v>
      </c>
      <c r="AV1">
        <v>1</v>
      </c>
      <c r="AW1">
        <v>2</v>
      </c>
      <c r="AX1">
        <v>56616505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45.206841900000001</v>
      </c>
      <c r="CW1">
        <v>0</v>
      </c>
      <c r="CX1">
        <f>ROUND(Y1*Source!I28,9)</f>
        <v>45.206841900000001</v>
      </c>
      <c r="CY1">
        <f>AD1</f>
        <v>0</v>
      </c>
      <c r="CZ1">
        <f>AH1</f>
        <v>0</v>
      </c>
      <c r="DA1">
        <f>AL1</f>
        <v>1</v>
      </c>
      <c r="DB1">
        <f t="shared" ref="DB1:DB16" si="1">ROUND((ROUND(AT1*CZ1,2)*1.1),6)</f>
        <v>0</v>
      </c>
      <c r="DC1">
        <f t="shared" ref="DC1:DC16" si="2">ROUND((ROUND(AT1*AG1,2)*1.1),6)</f>
        <v>0</v>
      </c>
      <c r="DD1" t="s">
        <v>3</v>
      </c>
      <c r="DE1" t="s">
        <v>3</v>
      </c>
      <c r="DF1">
        <f t="shared" ref="DF1:DF25" si="3">ROUND(ROUND(AE1,2)*CX1,2)</f>
        <v>0</v>
      </c>
      <c r="DG1">
        <f t="shared" ref="DG1:DG7" si="4">ROUND(ROUND(AF1,2)*CX1,2)</f>
        <v>0</v>
      </c>
      <c r="DH1">
        <f t="shared" ref="DH1:DH7" si="5">ROUND(ROUND(AG1,2)*CX1,2)</f>
        <v>0</v>
      </c>
      <c r="DI1">
        <f t="shared" ref="DI1:DI64" si="6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ROW(Source!A29)</f>
        <v>29</v>
      </c>
      <c r="B2">
        <v>56616093</v>
      </c>
      <c r="C2">
        <v>56616503</v>
      </c>
      <c r="D2">
        <v>47634407</v>
      </c>
      <c r="E2">
        <v>27786564</v>
      </c>
      <c r="F2">
        <v>1</v>
      </c>
      <c r="G2">
        <v>27786564</v>
      </c>
      <c r="H2">
        <v>1</v>
      </c>
      <c r="I2" t="s">
        <v>439</v>
      </c>
      <c r="J2" t="s">
        <v>3</v>
      </c>
      <c r="K2" t="s">
        <v>440</v>
      </c>
      <c r="L2">
        <v>1191</v>
      </c>
      <c r="N2">
        <v>1013</v>
      </c>
      <c r="O2" t="s">
        <v>441</v>
      </c>
      <c r="P2" t="s">
        <v>441</v>
      </c>
      <c r="Q2">
        <v>1</v>
      </c>
      <c r="W2">
        <v>0</v>
      </c>
      <c r="X2">
        <v>476480486</v>
      </c>
      <c r="Y2">
        <f t="shared" si="0"/>
        <v>211.97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192.7</v>
      </c>
      <c r="AU2" t="s">
        <v>22</v>
      </c>
      <c r="AV2">
        <v>1</v>
      </c>
      <c r="AW2">
        <v>2</v>
      </c>
      <c r="AX2">
        <v>56616505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U2">
        <f>ROUND(AT2*Source!I29*AH2*AL2,2)</f>
        <v>0</v>
      </c>
      <c r="CV2">
        <f>ROUND(Y2*Source!I29,9)</f>
        <v>45.206841900000001</v>
      </c>
      <c r="CW2">
        <v>0</v>
      </c>
      <c r="CX2">
        <f>ROUND(Y2*Source!I29,9)</f>
        <v>45.206841900000001</v>
      </c>
      <c r="CY2">
        <f>AD2</f>
        <v>0</v>
      </c>
      <c r="CZ2">
        <f>AH2</f>
        <v>0</v>
      </c>
      <c r="DA2">
        <f>AL2</f>
        <v>1</v>
      </c>
      <c r="DB2">
        <f t="shared" si="1"/>
        <v>0</v>
      </c>
      <c r="DC2">
        <f t="shared" si="2"/>
        <v>0</v>
      </c>
      <c r="DD2" t="s">
        <v>3</v>
      </c>
      <c r="DE2" t="s">
        <v>3</v>
      </c>
      <c r="DF2">
        <f t="shared" si="3"/>
        <v>0</v>
      </c>
      <c r="DG2">
        <f t="shared" si="4"/>
        <v>0</v>
      </c>
      <c r="DH2">
        <f t="shared" si="5"/>
        <v>0</v>
      </c>
      <c r="DI2">
        <f t="shared" si="6"/>
        <v>0</v>
      </c>
      <c r="DJ2">
        <f>DI2</f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ROW(Source!A30)</f>
        <v>30</v>
      </c>
      <c r="B3">
        <v>56622586</v>
      </c>
      <c r="C3">
        <v>56616506</v>
      </c>
      <c r="D3">
        <v>47634407</v>
      </c>
      <c r="E3">
        <v>27786564</v>
      </c>
      <c r="F3">
        <v>1</v>
      </c>
      <c r="G3">
        <v>27786564</v>
      </c>
      <c r="H3">
        <v>1</v>
      </c>
      <c r="I3" t="s">
        <v>439</v>
      </c>
      <c r="J3" t="s">
        <v>3</v>
      </c>
      <c r="K3" t="s">
        <v>440</v>
      </c>
      <c r="L3">
        <v>1191</v>
      </c>
      <c r="N3">
        <v>1013</v>
      </c>
      <c r="O3" t="s">
        <v>441</v>
      </c>
      <c r="P3" t="s">
        <v>441</v>
      </c>
      <c r="Q3">
        <v>1</v>
      </c>
      <c r="W3">
        <v>0</v>
      </c>
      <c r="X3">
        <v>476480486</v>
      </c>
      <c r="Y3">
        <f t="shared" si="0"/>
        <v>3.2450000000000006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2.95</v>
      </c>
      <c r="AU3" t="s">
        <v>22</v>
      </c>
      <c r="AV3">
        <v>1</v>
      </c>
      <c r="AW3">
        <v>2</v>
      </c>
      <c r="AX3">
        <v>56616511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U3">
        <f>ROUND(AT3*Source!I30*AH3*AL3,2)</f>
        <v>0</v>
      </c>
      <c r="CV3">
        <f>ROUND(Y3*Source!I30,9)</f>
        <v>0.83039549999999995</v>
      </c>
      <c r="CW3">
        <v>0</v>
      </c>
      <c r="CX3">
        <f>ROUND(Y3*Source!I30,9)</f>
        <v>0.83039549999999995</v>
      </c>
      <c r="CY3">
        <f>AD3</f>
        <v>0</v>
      </c>
      <c r="CZ3">
        <f>AH3</f>
        <v>0</v>
      </c>
      <c r="DA3">
        <f>AL3</f>
        <v>1</v>
      </c>
      <c r="DB3">
        <f t="shared" si="1"/>
        <v>0</v>
      </c>
      <c r="DC3">
        <f t="shared" si="2"/>
        <v>0</v>
      </c>
      <c r="DD3" t="s">
        <v>3</v>
      </c>
      <c r="DE3" t="s">
        <v>3</v>
      </c>
      <c r="DF3">
        <f t="shared" si="3"/>
        <v>0</v>
      </c>
      <c r="DG3">
        <f t="shared" si="4"/>
        <v>0</v>
      </c>
      <c r="DH3">
        <f t="shared" si="5"/>
        <v>0</v>
      </c>
      <c r="DI3">
        <f t="shared" si="6"/>
        <v>0</v>
      </c>
      <c r="DJ3">
        <f>DI3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ROW(Source!A30)</f>
        <v>30</v>
      </c>
      <c r="B4">
        <v>56622586</v>
      </c>
      <c r="C4">
        <v>56616506</v>
      </c>
      <c r="D4">
        <v>47766391</v>
      </c>
      <c r="E4">
        <v>1</v>
      </c>
      <c r="F4">
        <v>1</v>
      </c>
      <c r="G4">
        <v>27786564</v>
      </c>
      <c r="H4">
        <v>2</v>
      </c>
      <c r="I4" t="s">
        <v>442</v>
      </c>
      <c r="J4" t="s">
        <v>443</v>
      </c>
      <c r="K4" t="s">
        <v>444</v>
      </c>
      <c r="L4">
        <v>1368</v>
      </c>
      <c r="N4">
        <v>1011</v>
      </c>
      <c r="O4" t="s">
        <v>445</v>
      </c>
      <c r="P4" t="s">
        <v>445</v>
      </c>
      <c r="Q4">
        <v>1</v>
      </c>
      <c r="W4">
        <v>0</v>
      </c>
      <c r="X4">
        <v>-1037611556</v>
      </c>
      <c r="Y4">
        <f t="shared" si="0"/>
        <v>8.1554000000000002</v>
      </c>
      <c r="AA4">
        <v>0</v>
      </c>
      <c r="AB4">
        <v>147.49</v>
      </c>
      <c r="AC4">
        <v>14.54</v>
      </c>
      <c r="AD4">
        <v>0</v>
      </c>
      <c r="AE4">
        <v>0</v>
      </c>
      <c r="AF4">
        <v>147.49</v>
      </c>
      <c r="AG4">
        <v>14.54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7.4139999999999997</v>
      </c>
      <c r="AU4" t="s">
        <v>22</v>
      </c>
      <c r="AV4">
        <v>0</v>
      </c>
      <c r="AW4">
        <v>2</v>
      </c>
      <c r="AX4">
        <v>56616512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f>ROUND(Y4*Source!I30*DO4,9)</f>
        <v>0</v>
      </c>
      <c r="CX4">
        <f>ROUND(Y4*Source!I30,9)</f>
        <v>2.08696686</v>
      </c>
      <c r="CY4">
        <f>AB4</f>
        <v>147.49</v>
      </c>
      <c r="CZ4">
        <f>AF4</f>
        <v>147.49</v>
      </c>
      <c r="DA4">
        <f>AJ4</f>
        <v>1</v>
      </c>
      <c r="DB4">
        <f t="shared" si="1"/>
        <v>1202.8389999999999</v>
      </c>
      <c r="DC4">
        <f t="shared" si="2"/>
        <v>118.58</v>
      </c>
      <c r="DD4" t="s">
        <v>3</v>
      </c>
      <c r="DE4" t="s">
        <v>3</v>
      </c>
      <c r="DF4">
        <f t="shared" si="3"/>
        <v>0</v>
      </c>
      <c r="DG4">
        <f t="shared" si="4"/>
        <v>307.81</v>
      </c>
      <c r="DH4">
        <f t="shared" si="5"/>
        <v>30.34</v>
      </c>
      <c r="DI4">
        <f t="shared" si="6"/>
        <v>0</v>
      </c>
      <c r="DJ4">
        <f>DG4</f>
        <v>307.81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ROW(Source!A30)</f>
        <v>30</v>
      </c>
      <c r="B5">
        <v>56622586</v>
      </c>
      <c r="C5">
        <v>56616506</v>
      </c>
      <c r="D5">
        <v>47766400</v>
      </c>
      <c r="E5">
        <v>1</v>
      </c>
      <c r="F5">
        <v>1</v>
      </c>
      <c r="G5">
        <v>27786564</v>
      </c>
      <c r="H5">
        <v>2</v>
      </c>
      <c r="I5" t="s">
        <v>446</v>
      </c>
      <c r="J5" t="s">
        <v>447</v>
      </c>
      <c r="K5" t="s">
        <v>448</v>
      </c>
      <c r="L5">
        <v>1368</v>
      </c>
      <c r="N5">
        <v>1011</v>
      </c>
      <c r="O5" t="s">
        <v>445</v>
      </c>
      <c r="P5" t="s">
        <v>445</v>
      </c>
      <c r="Q5">
        <v>1</v>
      </c>
      <c r="W5">
        <v>0</v>
      </c>
      <c r="X5">
        <v>1717935950</v>
      </c>
      <c r="Y5">
        <f t="shared" si="0"/>
        <v>1.8672500000000001</v>
      </c>
      <c r="AA5">
        <v>0</v>
      </c>
      <c r="AB5">
        <v>145.59</v>
      </c>
      <c r="AC5">
        <v>14.54</v>
      </c>
      <c r="AD5">
        <v>0</v>
      </c>
      <c r="AE5">
        <v>0</v>
      </c>
      <c r="AF5">
        <v>145.59</v>
      </c>
      <c r="AG5">
        <v>14.54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1.6975</v>
      </c>
      <c r="AU5" t="s">
        <v>22</v>
      </c>
      <c r="AV5">
        <v>0</v>
      </c>
      <c r="AW5">
        <v>2</v>
      </c>
      <c r="AX5">
        <v>56616513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f>ROUND(Y5*Source!I30*DO5,9)</f>
        <v>0</v>
      </c>
      <c r="CX5">
        <f>ROUND(Y5*Source!I30,9)</f>
        <v>0.477829275</v>
      </c>
      <c r="CY5">
        <f>AB5</f>
        <v>145.59</v>
      </c>
      <c r="CZ5">
        <f>AF5</f>
        <v>145.59</v>
      </c>
      <c r="DA5">
        <f>AJ5</f>
        <v>1</v>
      </c>
      <c r="DB5">
        <f t="shared" si="1"/>
        <v>271.85399999999998</v>
      </c>
      <c r="DC5">
        <f t="shared" si="2"/>
        <v>27.148</v>
      </c>
      <c r="DD5" t="s">
        <v>3</v>
      </c>
      <c r="DE5" t="s">
        <v>3</v>
      </c>
      <c r="DF5">
        <f t="shared" si="3"/>
        <v>0</v>
      </c>
      <c r="DG5">
        <f t="shared" si="4"/>
        <v>69.569999999999993</v>
      </c>
      <c r="DH5">
        <f t="shared" si="5"/>
        <v>6.95</v>
      </c>
      <c r="DI5">
        <f t="shared" si="6"/>
        <v>0</v>
      </c>
      <c r="DJ5">
        <f>DG5</f>
        <v>69.569999999999993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ROW(Source!A30)</f>
        <v>30</v>
      </c>
      <c r="B6">
        <v>56622586</v>
      </c>
      <c r="C6">
        <v>56616506</v>
      </c>
      <c r="D6">
        <v>47634960</v>
      </c>
      <c r="E6">
        <v>27786564</v>
      </c>
      <c r="F6">
        <v>1</v>
      </c>
      <c r="G6">
        <v>27786564</v>
      </c>
      <c r="H6">
        <v>2</v>
      </c>
      <c r="I6" t="s">
        <v>449</v>
      </c>
      <c r="J6" t="s">
        <v>3</v>
      </c>
      <c r="K6" t="s">
        <v>450</v>
      </c>
      <c r="L6">
        <v>1344</v>
      </c>
      <c r="N6">
        <v>1008</v>
      </c>
      <c r="O6" t="s">
        <v>451</v>
      </c>
      <c r="P6" t="s">
        <v>451</v>
      </c>
      <c r="Q6">
        <v>1</v>
      </c>
      <c r="W6">
        <v>0</v>
      </c>
      <c r="X6">
        <v>-1180195794</v>
      </c>
      <c r="Y6">
        <f t="shared" si="0"/>
        <v>1.1000000000000001E-2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0.01</v>
      </c>
      <c r="AU6" t="s">
        <v>22</v>
      </c>
      <c r="AV6">
        <v>0</v>
      </c>
      <c r="AW6">
        <v>1</v>
      </c>
      <c r="AX6">
        <v>-1</v>
      </c>
      <c r="AY6">
        <v>0</v>
      </c>
      <c r="AZ6">
        <v>0</v>
      </c>
      <c r="BA6" t="s">
        <v>3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f>ROUND(Y6*Source!I30*DO6,9)</f>
        <v>0</v>
      </c>
      <c r="CX6">
        <f>ROUND(Y6*Source!I30,9)</f>
        <v>2.8149E-3</v>
      </c>
      <c r="CY6">
        <f>AB6</f>
        <v>1</v>
      </c>
      <c r="CZ6">
        <f>AF6</f>
        <v>1</v>
      </c>
      <c r="DA6">
        <f>AJ6</f>
        <v>1</v>
      </c>
      <c r="DB6">
        <f t="shared" si="1"/>
        <v>1.0999999999999999E-2</v>
      </c>
      <c r="DC6">
        <f t="shared" si="2"/>
        <v>0</v>
      </c>
      <c r="DD6" t="s">
        <v>3</v>
      </c>
      <c r="DE6" t="s">
        <v>3</v>
      </c>
      <c r="DF6">
        <f t="shared" si="3"/>
        <v>0</v>
      </c>
      <c r="DG6">
        <f t="shared" si="4"/>
        <v>0</v>
      </c>
      <c r="DH6">
        <f t="shared" si="5"/>
        <v>0</v>
      </c>
      <c r="DI6">
        <f t="shared" si="6"/>
        <v>0</v>
      </c>
      <c r="DJ6">
        <f>DG6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ROW(Source!A31)</f>
        <v>31</v>
      </c>
      <c r="B7">
        <v>56616093</v>
      </c>
      <c r="C7">
        <v>56616506</v>
      </c>
      <c r="D7">
        <v>47634407</v>
      </c>
      <c r="E7">
        <v>27786564</v>
      </c>
      <c r="F7">
        <v>1</v>
      </c>
      <c r="G7">
        <v>27786564</v>
      </c>
      <c r="H7">
        <v>1</v>
      </c>
      <c r="I7" t="s">
        <v>439</v>
      </c>
      <c r="J7" t="s">
        <v>3</v>
      </c>
      <c r="K7" t="s">
        <v>440</v>
      </c>
      <c r="L7">
        <v>1191</v>
      </c>
      <c r="N7">
        <v>1013</v>
      </c>
      <c r="O7" t="s">
        <v>441</v>
      </c>
      <c r="P7" t="s">
        <v>441</v>
      </c>
      <c r="Q7">
        <v>1</v>
      </c>
      <c r="W7">
        <v>0</v>
      </c>
      <c r="X7">
        <v>476480486</v>
      </c>
      <c r="Y7">
        <f t="shared" si="0"/>
        <v>3.2450000000000006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2.95</v>
      </c>
      <c r="AU7" t="s">
        <v>22</v>
      </c>
      <c r="AV7">
        <v>1</v>
      </c>
      <c r="AW7">
        <v>2</v>
      </c>
      <c r="AX7">
        <v>56616511</v>
      </c>
      <c r="AY7">
        <v>1</v>
      </c>
      <c r="AZ7">
        <v>0</v>
      </c>
      <c r="BA7">
        <v>6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U7">
        <f>ROUND(AT7*Source!I31*AH7*AL7,2)</f>
        <v>0</v>
      </c>
      <c r="CV7">
        <f>ROUND(Y7*Source!I31,9)</f>
        <v>0.83039549999999995</v>
      </c>
      <c r="CW7">
        <v>0</v>
      </c>
      <c r="CX7">
        <f>ROUND(Y7*Source!I31,9)</f>
        <v>0.83039549999999995</v>
      </c>
      <c r="CY7">
        <f>AD7</f>
        <v>0</v>
      </c>
      <c r="CZ7">
        <f>AH7</f>
        <v>0</v>
      </c>
      <c r="DA7">
        <f>AL7</f>
        <v>1</v>
      </c>
      <c r="DB7">
        <f t="shared" si="1"/>
        <v>0</v>
      </c>
      <c r="DC7">
        <f t="shared" si="2"/>
        <v>0</v>
      </c>
      <c r="DD7" t="s">
        <v>3</v>
      </c>
      <c r="DE7" t="s">
        <v>3</v>
      </c>
      <c r="DF7">
        <f t="shared" si="3"/>
        <v>0</v>
      </c>
      <c r="DG7">
        <f t="shared" si="4"/>
        <v>0</v>
      </c>
      <c r="DH7">
        <f t="shared" si="5"/>
        <v>0</v>
      </c>
      <c r="DI7">
        <f t="shared" si="6"/>
        <v>0</v>
      </c>
      <c r="DJ7">
        <f>DI7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ROW(Source!A31)</f>
        <v>31</v>
      </c>
      <c r="B8">
        <v>56616093</v>
      </c>
      <c r="C8">
        <v>56616506</v>
      </c>
      <c r="D8">
        <v>47766391</v>
      </c>
      <c r="E8">
        <v>1</v>
      </c>
      <c r="F8">
        <v>1</v>
      </c>
      <c r="G8">
        <v>27786564</v>
      </c>
      <c r="H8">
        <v>2</v>
      </c>
      <c r="I8" t="s">
        <v>442</v>
      </c>
      <c r="J8" t="s">
        <v>443</v>
      </c>
      <c r="K8" t="s">
        <v>444</v>
      </c>
      <c r="L8">
        <v>1368</v>
      </c>
      <c r="N8">
        <v>1011</v>
      </c>
      <c r="O8" t="s">
        <v>445</v>
      </c>
      <c r="P8" t="s">
        <v>445</v>
      </c>
      <c r="Q8">
        <v>1</v>
      </c>
      <c r="W8">
        <v>0</v>
      </c>
      <c r="X8">
        <v>-1037611556</v>
      </c>
      <c r="Y8">
        <f t="shared" si="0"/>
        <v>8.1554000000000002</v>
      </c>
      <c r="AA8">
        <v>0</v>
      </c>
      <c r="AB8">
        <v>2139.58</v>
      </c>
      <c r="AC8">
        <v>598.12</v>
      </c>
      <c r="AD8">
        <v>0</v>
      </c>
      <c r="AE8">
        <v>0</v>
      </c>
      <c r="AF8">
        <v>147.49</v>
      </c>
      <c r="AG8">
        <v>14.54</v>
      </c>
      <c r="AH8">
        <v>0</v>
      </c>
      <c r="AI8">
        <v>1</v>
      </c>
      <c r="AJ8">
        <v>12.17</v>
      </c>
      <c r="AK8">
        <v>34.51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7.4139999999999997</v>
      </c>
      <c r="AU8" t="s">
        <v>22</v>
      </c>
      <c r="AV8">
        <v>0</v>
      </c>
      <c r="AW8">
        <v>2</v>
      </c>
      <c r="AX8">
        <v>56616512</v>
      </c>
      <c r="AY8">
        <v>1</v>
      </c>
      <c r="AZ8">
        <v>0</v>
      </c>
      <c r="BA8">
        <v>7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f>ROUND(Y8*Source!I31*DO8,9)</f>
        <v>0</v>
      </c>
      <c r="CX8">
        <f>ROUND(Y8*Source!I31,9)</f>
        <v>2.08696686</v>
      </c>
      <c r="CY8">
        <f>AB8</f>
        <v>2139.58</v>
      </c>
      <c r="CZ8">
        <f>AF8</f>
        <v>147.49</v>
      </c>
      <c r="DA8">
        <f>AJ8</f>
        <v>12.17</v>
      </c>
      <c r="DB8">
        <f t="shared" si="1"/>
        <v>1202.8389999999999</v>
      </c>
      <c r="DC8">
        <f t="shared" si="2"/>
        <v>118.58</v>
      </c>
      <c r="DD8" t="s">
        <v>3</v>
      </c>
      <c r="DE8" t="s">
        <v>3</v>
      </c>
      <c r="DF8">
        <f t="shared" si="3"/>
        <v>0</v>
      </c>
      <c r="DG8">
        <f>ROUND(ROUND(AF8*AJ8,2)*CX8,2)</f>
        <v>3746</v>
      </c>
      <c r="DH8">
        <f>ROUND(ROUND(AG8*AK8,2)*CX8,2)</f>
        <v>1047.2</v>
      </c>
      <c r="DI8">
        <f t="shared" si="6"/>
        <v>0</v>
      </c>
      <c r="DJ8">
        <f>DG8</f>
        <v>3746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ROW(Source!A31)</f>
        <v>31</v>
      </c>
      <c r="B9">
        <v>56616093</v>
      </c>
      <c r="C9">
        <v>56616506</v>
      </c>
      <c r="D9">
        <v>47766400</v>
      </c>
      <c r="E9">
        <v>1</v>
      </c>
      <c r="F9">
        <v>1</v>
      </c>
      <c r="G9">
        <v>27786564</v>
      </c>
      <c r="H9">
        <v>2</v>
      </c>
      <c r="I9" t="s">
        <v>446</v>
      </c>
      <c r="J9" t="s">
        <v>447</v>
      </c>
      <c r="K9" t="s">
        <v>448</v>
      </c>
      <c r="L9">
        <v>1368</v>
      </c>
      <c r="N9">
        <v>1011</v>
      </c>
      <c r="O9" t="s">
        <v>445</v>
      </c>
      <c r="P9" t="s">
        <v>445</v>
      </c>
      <c r="Q9">
        <v>1</v>
      </c>
      <c r="W9">
        <v>0</v>
      </c>
      <c r="X9">
        <v>1717935950</v>
      </c>
      <c r="Y9">
        <f t="shared" si="0"/>
        <v>1.8672500000000001</v>
      </c>
      <c r="AA9">
        <v>0</v>
      </c>
      <c r="AB9">
        <v>2096.4</v>
      </c>
      <c r="AC9">
        <v>598.12</v>
      </c>
      <c r="AD9">
        <v>0</v>
      </c>
      <c r="AE9">
        <v>0</v>
      </c>
      <c r="AF9">
        <v>145.59</v>
      </c>
      <c r="AG9">
        <v>14.54</v>
      </c>
      <c r="AH9">
        <v>0</v>
      </c>
      <c r="AI9">
        <v>1</v>
      </c>
      <c r="AJ9">
        <v>12.08</v>
      </c>
      <c r="AK9">
        <v>34.51</v>
      </c>
      <c r="AL9">
        <v>1</v>
      </c>
      <c r="AM9">
        <v>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1.6975</v>
      </c>
      <c r="AU9" t="s">
        <v>22</v>
      </c>
      <c r="AV9">
        <v>0</v>
      </c>
      <c r="AW9">
        <v>2</v>
      </c>
      <c r="AX9">
        <v>56616513</v>
      </c>
      <c r="AY9">
        <v>1</v>
      </c>
      <c r="AZ9">
        <v>0</v>
      </c>
      <c r="BA9">
        <v>8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f>ROUND(Y9*Source!I31*DO9,9)</f>
        <v>0</v>
      </c>
      <c r="CX9">
        <f>ROUND(Y9*Source!I31,9)</f>
        <v>0.477829275</v>
      </c>
      <c r="CY9">
        <f>AB9</f>
        <v>2096.4</v>
      </c>
      <c r="CZ9">
        <f>AF9</f>
        <v>145.59</v>
      </c>
      <c r="DA9">
        <f>AJ9</f>
        <v>12.08</v>
      </c>
      <c r="DB9">
        <f t="shared" si="1"/>
        <v>271.85399999999998</v>
      </c>
      <c r="DC9">
        <f t="shared" si="2"/>
        <v>27.148</v>
      </c>
      <c r="DD9" t="s">
        <v>3</v>
      </c>
      <c r="DE9" t="s">
        <v>3</v>
      </c>
      <c r="DF9">
        <f t="shared" si="3"/>
        <v>0</v>
      </c>
      <c r="DG9">
        <f>ROUND(ROUND(AF9*AJ9,2)*CX9,2)</f>
        <v>840.37</v>
      </c>
      <c r="DH9">
        <f>ROUND(ROUND(AG9*AK9,2)*CX9,2)</f>
        <v>239.77</v>
      </c>
      <c r="DI9">
        <f t="shared" si="6"/>
        <v>0</v>
      </c>
      <c r="DJ9">
        <f>DG9</f>
        <v>840.37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ROW(Source!A31)</f>
        <v>31</v>
      </c>
      <c r="B10">
        <v>56616093</v>
      </c>
      <c r="C10">
        <v>56616506</v>
      </c>
      <c r="D10">
        <v>47634960</v>
      </c>
      <c r="E10">
        <v>27786564</v>
      </c>
      <c r="F10">
        <v>1</v>
      </c>
      <c r="G10">
        <v>27786564</v>
      </c>
      <c r="H10">
        <v>2</v>
      </c>
      <c r="I10" t="s">
        <v>449</v>
      </c>
      <c r="J10" t="s">
        <v>3</v>
      </c>
      <c r="K10" t="s">
        <v>450</v>
      </c>
      <c r="L10">
        <v>1344</v>
      </c>
      <c r="N10">
        <v>1008</v>
      </c>
      <c r="O10" t="s">
        <v>451</v>
      </c>
      <c r="P10" t="s">
        <v>451</v>
      </c>
      <c r="Q10">
        <v>1</v>
      </c>
      <c r="W10">
        <v>0</v>
      </c>
      <c r="X10">
        <v>-1180195794</v>
      </c>
      <c r="Y10">
        <f t="shared" si="0"/>
        <v>1.1000000000000001E-2</v>
      </c>
      <c r="AA10">
        <v>0</v>
      </c>
      <c r="AB10">
        <v>1.19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0.01</v>
      </c>
      <c r="AU10" t="s">
        <v>22</v>
      </c>
      <c r="AV10">
        <v>0</v>
      </c>
      <c r="AW10">
        <v>1</v>
      </c>
      <c r="AX10">
        <v>-1</v>
      </c>
      <c r="AY10">
        <v>0</v>
      </c>
      <c r="AZ10">
        <v>0</v>
      </c>
      <c r="BA10" t="s">
        <v>3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f>ROUND(Y10*Source!I31*DO10,9)</f>
        <v>0</v>
      </c>
      <c r="CX10">
        <f>ROUND(Y10*Source!I31,9)</f>
        <v>2.8149E-3</v>
      </c>
      <c r="CY10">
        <f>AB10</f>
        <v>1.19</v>
      </c>
      <c r="CZ10">
        <f>AF10</f>
        <v>1</v>
      </c>
      <c r="DA10">
        <f>AJ10</f>
        <v>1</v>
      </c>
      <c r="DB10">
        <f t="shared" si="1"/>
        <v>1.0999999999999999E-2</v>
      </c>
      <c r="DC10">
        <f t="shared" si="2"/>
        <v>0</v>
      </c>
      <c r="DD10" t="s">
        <v>3</v>
      </c>
      <c r="DE10" t="s">
        <v>3</v>
      </c>
      <c r="DF10">
        <f t="shared" si="3"/>
        <v>0</v>
      </c>
      <c r="DG10">
        <f>ROUND(ROUND(AF10,2)*CX10,2)</f>
        <v>0</v>
      </c>
      <c r="DH10">
        <f>ROUND(ROUND(AG10,2)*CX10,2)</f>
        <v>0</v>
      </c>
      <c r="DI10">
        <f t="shared" si="6"/>
        <v>0</v>
      </c>
      <c r="DJ10">
        <f>DG10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ROW(Source!A32)</f>
        <v>32</v>
      </c>
      <c r="B11">
        <v>56622586</v>
      </c>
      <c r="C11">
        <v>56616514</v>
      </c>
      <c r="D11">
        <v>47634407</v>
      </c>
      <c r="E11">
        <v>27786564</v>
      </c>
      <c r="F11">
        <v>1</v>
      </c>
      <c r="G11">
        <v>27786564</v>
      </c>
      <c r="H11">
        <v>1</v>
      </c>
      <c r="I11" t="s">
        <v>439</v>
      </c>
      <c r="J11" t="s">
        <v>3</v>
      </c>
      <c r="K11" t="s">
        <v>440</v>
      </c>
      <c r="L11">
        <v>1191</v>
      </c>
      <c r="N11">
        <v>1013</v>
      </c>
      <c r="O11" t="s">
        <v>441</v>
      </c>
      <c r="P11" t="s">
        <v>441</v>
      </c>
      <c r="Q11">
        <v>1</v>
      </c>
      <c r="W11">
        <v>0</v>
      </c>
      <c r="X11">
        <v>476480486</v>
      </c>
      <c r="Y11">
        <f t="shared" si="0"/>
        <v>1.3089999999999999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1.19</v>
      </c>
      <c r="AU11" t="s">
        <v>22</v>
      </c>
      <c r="AV11">
        <v>1</v>
      </c>
      <c r="AW11">
        <v>2</v>
      </c>
      <c r="AX11">
        <v>56616517</v>
      </c>
      <c r="AY11">
        <v>1</v>
      </c>
      <c r="AZ11">
        <v>0</v>
      </c>
      <c r="BA11">
        <v>9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ROUND(AT11*Source!I32*AH11*AL11,2)</f>
        <v>0</v>
      </c>
      <c r="CV11">
        <f>ROUND(Y11*Source!I32,9)</f>
        <v>0.31642457000000002</v>
      </c>
      <c r="CW11">
        <v>0</v>
      </c>
      <c r="CX11">
        <f>ROUND(Y11*Source!I32,9)</f>
        <v>0.31642457000000002</v>
      </c>
      <c r="CY11">
        <f>AD11</f>
        <v>0</v>
      </c>
      <c r="CZ11">
        <f>AH11</f>
        <v>0</v>
      </c>
      <c r="DA11">
        <f>AL11</f>
        <v>1</v>
      </c>
      <c r="DB11">
        <f t="shared" si="1"/>
        <v>0</v>
      </c>
      <c r="DC11">
        <f t="shared" si="2"/>
        <v>0</v>
      </c>
      <c r="DD11" t="s">
        <v>3</v>
      </c>
      <c r="DE11" t="s">
        <v>3</v>
      </c>
      <c r="DF11">
        <f t="shared" si="3"/>
        <v>0</v>
      </c>
      <c r="DG11">
        <f>ROUND(ROUND(AF11,2)*CX11,2)</f>
        <v>0</v>
      </c>
      <c r="DH11">
        <f>ROUND(ROUND(AG11,2)*CX11,2)</f>
        <v>0</v>
      </c>
      <c r="DI11">
        <f t="shared" si="6"/>
        <v>0</v>
      </c>
      <c r="DJ11">
        <f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ROW(Source!A32)</f>
        <v>32</v>
      </c>
      <c r="B12">
        <v>56622586</v>
      </c>
      <c r="C12">
        <v>56616514</v>
      </c>
      <c r="D12">
        <v>47766391</v>
      </c>
      <c r="E12">
        <v>1</v>
      </c>
      <c r="F12">
        <v>1</v>
      </c>
      <c r="G12">
        <v>27786564</v>
      </c>
      <c r="H12">
        <v>2</v>
      </c>
      <c r="I12" t="s">
        <v>442</v>
      </c>
      <c r="J12" t="s">
        <v>443</v>
      </c>
      <c r="K12" t="s">
        <v>444</v>
      </c>
      <c r="L12">
        <v>1368</v>
      </c>
      <c r="N12">
        <v>1011</v>
      </c>
      <c r="O12" t="s">
        <v>445</v>
      </c>
      <c r="P12" t="s">
        <v>445</v>
      </c>
      <c r="Q12">
        <v>1</v>
      </c>
      <c r="W12">
        <v>0</v>
      </c>
      <c r="X12">
        <v>-1037611556</v>
      </c>
      <c r="Y12">
        <f t="shared" si="0"/>
        <v>6.9514500000000004</v>
      </c>
      <c r="AA12">
        <v>0</v>
      </c>
      <c r="AB12">
        <v>147.49</v>
      </c>
      <c r="AC12">
        <v>14.54</v>
      </c>
      <c r="AD12">
        <v>0</v>
      </c>
      <c r="AE12">
        <v>0</v>
      </c>
      <c r="AF12">
        <v>147.49</v>
      </c>
      <c r="AG12">
        <v>14.54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6.3194999999999997</v>
      </c>
      <c r="AU12" t="s">
        <v>22</v>
      </c>
      <c r="AV12">
        <v>0</v>
      </c>
      <c r="AW12">
        <v>2</v>
      </c>
      <c r="AX12">
        <v>56616518</v>
      </c>
      <c r="AY12">
        <v>1</v>
      </c>
      <c r="AZ12">
        <v>0</v>
      </c>
      <c r="BA12">
        <v>10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f>ROUND(Y12*Source!I32*DO12,9)</f>
        <v>0</v>
      </c>
      <c r="CX12">
        <f>ROUND(Y12*Source!I32,9)</f>
        <v>1.6803740089999999</v>
      </c>
      <c r="CY12">
        <f>AB12</f>
        <v>147.49</v>
      </c>
      <c r="CZ12">
        <f>AF12</f>
        <v>147.49</v>
      </c>
      <c r="DA12">
        <f>AJ12</f>
        <v>1</v>
      </c>
      <c r="DB12">
        <f t="shared" si="1"/>
        <v>1025.2660000000001</v>
      </c>
      <c r="DC12">
        <f t="shared" si="2"/>
        <v>101.07899999999999</v>
      </c>
      <c r="DD12" t="s">
        <v>3</v>
      </c>
      <c r="DE12" t="s">
        <v>3</v>
      </c>
      <c r="DF12">
        <f t="shared" si="3"/>
        <v>0</v>
      </c>
      <c r="DG12">
        <f>ROUND(ROUND(AF12,2)*CX12,2)</f>
        <v>247.84</v>
      </c>
      <c r="DH12">
        <f>ROUND(ROUND(AG12,2)*CX12,2)</f>
        <v>24.43</v>
      </c>
      <c r="DI12">
        <f t="shared" si="6"/>
        <v>0</v>
      </c>
      <c r="DJ12">
        <f>DG12</f>
        <v>247.84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ROW(Source!A33)</f>
        <v>33</v>
      </c>
      <c r="B13">
        <v>56616093</v>
      </c>
      <c r="C13">
        <v>56616514</v>
      </c>
      <c r="D13">
        <v>47634407</v>
      </c>
      <c r="E13">
        <v>27786564</v>
      </c>
      <c r="F13">
        <v>1</v>
      </c>
      <c r="G13">
        <v>27786564</v>
      </c>
      <c r="H13">
        <v>1</v>
      </c>
      <c r="I13" t="s">
        <v>439</v>
      </c>
      <c r="J13" t="s">
        <v>3</v>
      </c>
      <c r="K13" t="s">
        <v>440</v>
      </c>
      <c r="L13">
        <v>1191</v>
      </c>
      <c r="N13">
        <v>1013</v>
      </c>
      <c r="O13" t="s">
        <v>441</v>
      </c>
      <c r="P13" t="s">
        <v>441</v>
      </c>
      <c r="Q13">
        <v>1</v>
      </c>
      <c r="W13">
        <v>0</v>
      </c>
      <c r="X13">
        <v>476480486</v>
      </c>
      <c r="Y13">
        <f t="shared" si="0"/>
        <v>1.3089999999999999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1.19</v>
      </c>
      <c r="AU13" t="s">
        <v>22</v>
      </c>
      <c r="AV13">
        <v>1</v>
      </c>
      <c r="AW13">
        <v>2</v>
      </c>
      <c r="AX13">
        <v>56616517</v>
      </c>
      <c r="AY13">
        <v>1</v>
      </c>
      <c r="AZ13">
        <v>0</v>
      </c>
      <c r="BA13">
        <v>11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U13">
        <f>ROUND(AT13*Source!I33*AH13*AL13,2)</f>
        <v>0</v>
      </c>
      <c r="CV13">
        <f>ROUND(Y13*Source!I33,9)</f>
        <v>0.31642457000000002</v>
      </c>
      <c r="CW13">
        <v>0</v>
      </c>
      <c r="CX13">
        <f>ROUND(Y13*Source!I33,9)</f>
        <v>0.31642457000000002</v>
      </c>
      <c r="CY13">
        <f>AD13</f>
        <v>0</v>
      </c>
      <c r="CZ13">
        <f>AH13</f>
        <v>0</v>
      </c>
      <c r="DA13">
        <f>AL13</f>
        <v>1</v>
      </c>
      <c r="DB13">
        <f t="shared" si="1"/>
        <v>0</v>
      </c>
      <c r="DC13">
        <f t="shared" si="2"/>
        <v>0</v>
      </c>
      <c r="DD13" t="s">
        <v>3</v>
      </c>
      <c r="DE13" t="s">
        <v>3</v>
      </c>
      <c r="DF13">
        <f t="shared" si="3"/>
        <v>0</v>
      </c>
      <c r="DG13">
        <f>ROUND(ROUND(AF13,2)*CX13,2)</f>
        <v>0</v>
      </c>
      <c r="DH13">
        <f>ROUND(ROUND(AG13,2)*CX13,2)</f>
        <v>0</v>
      </c>
      <c r="DI13">
        <f t="shared" si="6"/>
        <v>0</v>
      </c>
      <c r="DJ13">
        <f>DI13</f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ROW(Source!A33)</f>
        <v>33</v>
      </c>
      <c r="B14">
        <v>56616093</v>
      </c>
      <c r="C14">
        <v>56616514</v>
      </c>
      <c r="D14">
        <v>47766391</v>
      </c>
      <c r="E14">
        <v>1</v>
      </c>
      <c r="F14">
        <v>1</v>
      </c>
      <c r="G14">
        <v>27786564</v>
      </c>
      <c r="H14">
        <v>2</v>
      </c>
      <c r="I14" t="s">
        <v>442</v>
      </c>
      <c r="J14" t="s">
        <v>443</v>
      </c>
      <c r="K14" t="s">
        <v>444</v>
      </c>
      <c r="L14">
        <v>1368</v>
      </c>
      <c r="N14">
        <v>1011</v>
      </c>
      <c r="O14" t="s">
        <v>445</v>
      </c>
      <c r="P14" t="s">
        <v>445</v>
      </c>
      <c r="Q14">
        <v>1</v>
      </c>
      <c r="W14">
        <v>0</v>
      </c>
      <c r="X14">
        <v>-1037611556</v>
      </c>
      <c r="Y14">
        <f t="shared" si="0"/>
        <v>6.9514500000000004</v>
      </c>
      <c r="AA14">
        <v>0</v>
      </c>
      <c r="AB14">
        <v>2139.58</v>
      </c>
      <c r="AC14">
        <v>598.12</v>
      </c>
      <c r="AD14">
        <v>0</v>
      </c>
      <c r="AE14">
        <v>0</v>
      </c>
      <c r="AF14">
        <v>147.49</v>
      </c>
      <c r="AG14">
        <v>14.54</v>
      </c>
      <c r="AH14">
        <v>0</v>
      </c>
      <c r="AI14">
        <v>1</v>
      </c>
      <c r="AJ14">
        <v>12.17</v>
      </c>
      <c r="AK14">
        <v>34.51</v>
      </c>
      <c r="AL14">
        <v>1</v>
      </c>
      <c r="AM14">
        <v>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6.3194999999999997</v>
      </c>
      <c r="AU14" t="s">
        <v>22</v>
      </c>
      <c r="AV14">
        <v>0</v>
      </c>
      <c r="AW14">
        <v>2</v>
      </c>
      <c r="AX14">
        <v>56616518</v>
      </c>
      <c r="AY14">
        <v>1</v>
      </c>
      <c r="AZ14">
        <v>0</v>
      </c>
      <c r="BA14">
        <v>12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f>ROUND(Y14*Source!I33*DO14,9)</f>
        <v>0</v>
      </c>
      <c r="CX14">
        <f>ROUND(Y14*Source!I33,9)</f>
        <v>1.6803740089999999</v>
      </c>
      <c r="CY14">
        <f>AB14</f>
        <v>2139.58</v>
      </c>
      <c r="CZ14">
        <f>AF14</f>
        <v>147.49</v>
      </c>
      <c r="DA14">
        <f>AJ14</f>
        <v>12.17</v>
      </c>
      <c r="DB14">
        <f t="shared" si="1"/>
        <v>1025.2660000000001</v>
      </c>
      <c r="DC14">
        <f t="shared" si="2"/>
        <v>101.07899999999999</v>
      </c>
      <c r="DD14" t="s">
        <v>3</v>
      </c>
      <c r="DE14" t="s">
        <v>3</v>
      </c>
      <c r="DF14">
        <f t="shared" si="3"/>
        <v>0</v>
      </c>
      <c r="DG14">
        <f>ROUND(ROUND(AF14*AJ14,2)*CX14,2)</f>
        <v>3016.19</v>
      </c>
      <c r="DH14">
        <f>ROUND(ROUND(AG14*AK14,2)*CX14,2)</f>
        <v>843.18</v>
      </c>
      <c r="DI14">
        <f t="shared" si="6"/>
        <v>0</v>
      </c>
      <c r="DJ14">
        <f>DG14</f>
        <v>3016.19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ROW(Source!A34)</f>
        <v>34</v>
      </c>
      <c r="B15">
        <v>56622586</v>
      </c>
      <c r="C15">
        <v>56616519</v>
      </c>
      <c r="D15">
        <v>47634407</v>
      </c>
      <c r="E15">
        <v>27786564</v>
      </c>
      <c r="F15">
        <v>1</v>
      </c>
      <c r="G15">
        <v>27786564</v>
      </c>
      <c r="H15">
        <v>1</v>
      </c>
      <c r="I15" t="s">
        <v>439</v>
      </c>
      <c r="J15" t="s">
        <v>3</v>
      </c>
      <c r="K15" t="s">
        <v>440</v>
      </c>
      <c r="L15">
        <v>1191</v>
      </c>
      <c r="N15">
        <v>1013</v>
      </c>
      <c r="O15" t="s">
        <v>441</v>
      </c>
      <c r="P15" t="s">
        <v>441</v>
      </c>
      <c r="Q15">
        <v>1</v>
      </c>
      <c r="W15">
        <v>0</v>
      </c>
      <c r="X15">
        <v>476480486</v>
      </c>
      <c r="Y15">
        <f t="shared" si="0"/>
        <v>117.74400000000001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107.04</v>
      </c>
      <c r="AU15" t="s">
        <v>22</v>
      </c>
      <c r="AV15">
        <v>1</v>
      </c>
      <c r="AW15">
        <v>2</v>
      </c>
      <c r="AX15">
        <v>56616521</v>
      </c>
      <c r="AY15">
        <v>1</v>
      </c>
      <c r="AZ15">
        <v>0</v>
      </c>
      <c r="BA15">
        <v>13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U15">
        <f>ROUND(AT15*Source!I34*AH15*AL15,2)</f>
        <v>0</v>
      </c>
      <c r="CV15">
        <f>ROUND(Y15*Source!I34,9)</f>
        <v>16.072056</v>
      </c>
      <c r="CW15">
        <v>0</v>
      </c>
      <c r="CX15">
        <f>ROUND(Y15*Source!I34,9)</f>
        <v>16.072056</v>
      </c>
      <c r="CY15">
        <f>AD15</f>
        <v>0</v>
      </c>
      <c r="CZ15">
        <f>AH15</f>
        <v>0</v>
      </c>
      <c r="DA15">
        <f>AL15</f>
        <v>1</v>
      </c>
      <c r="DB15">
        <f t="shared" si="1"/>
        <v>0</v>
      </c>
      <c r="DC15">
        <f t="shared" si="2"/>
        <v>0</v>
      </c>
      <c r="DD15" t="s">
        <v>3</v>
      </c>
      <c r="DE15" t="s">
        <v>3</v>
      </c>
      <c r="DF15">
        <f t="shared" si="3"/>
        <v>0</v>
      </c>
      <c r="DG15">
        <f>ROUND(ROUND(AF15,2)*CX15,2)</f>
        <v>0</v>
      </c>
      <c r="DH15">
        <f>ROUND(ROUND(AG15,2)*CX15,2)</f>
        <v>0</v>
      </c>
      <c r="DI15">
        <f t="shared" si="6"/>
        <v>0</v>
      </c>
      <c r="DJ15">
        <f>DI15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ROW(Source!A35)</f>
        <v>35</v>
      </c>
      <c r="B16">
        <v>56616093</v>
      </c>
      <c r="C16">
        <v>56616519</v>
      </c>
      <c r="D16">
        <v>47634407</v>
      </c>
      <c r="E16">
        <v>27786564</v>
      </c>
      <c r="F16">
        <v>1</v>
      </c>
      <c r="G16">
        <v>27786564</v>
      </c>
      <c r="H16">
        <v>1</v>
      </c>
      <c r="I16" t="s">
        <v>439</v>
      </c>
      <c r="J16" t="s">
        <v>3</v>
      </c>
      <c r="K16" t="s">
        <v>440</v>
      </c>
      <c r="L16">
        <v>1191</v>
      </c>
      <c r="N16">
        <v>1013</v>
      </c>
      <c r="O16" t="s">
        <v>441</v>
      </c>
      <c r="P16" t="s">
        <v>441</v>
      </c>
      <c r="Q16">
        <v>1</v>
      </c>
      <c r="W16">
        <v>0</v>
      </c>
      <c r="X16">
        <v>476480486</v>
      </c>
      <c r="Y16">
        <f t="shared" si="0"/>
        <v>117.74400000000001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-2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107.04</v>
      </c>
      <c r="AU16" t="s">
        <v>22</v>
      </c>
      <c r="AV16">
        <v>1</v>
      </c>
      <c r="AW16">
        <v>2</v>
      </c>
      <c r="AX16">
        <v>56616521</v>
      </c>
      <c r="AY16">
        <v>1</v>
      </c>
      <c r="AZ16">
        <v>0</v>
      </c>
      <c r="BA16">
        <v>14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U16">
        <f>ROUND(AT16*Source!I35*AH16*AL16,2)</f>
        <v>0</v>
      </c>
      <c r="CV16">
        <f>ROUND(Y16*Source!I35,9)</f>
        <v>16.072056</v>
      </c>
      <c r="CW16">
        <v>0</v>
      </c>
      <c r="CX16">
        <f>ROUND(Y16*Source!I35,9)</f>
        <v>16.072056</v>
      </c>
      <c r="CY16">
        <f>AD16</f>
        <v>0</v>
      </c>
      <c r="CZ16">
        <f>AH16</f>
        <v>0</v>
      </c>
      <c r="DA16">
        <f>AL16</f>
        <v>1</v>
      </c>
      <c r="DB16">
        <f t="shared" si="1"/>
        <v>0</v>
      </c>
      <c r="DC16">
        <f t="shared" si="2"/>
        <v>0</v>
      </c>
      <c r="DD16" t="s">
        <v>3</v>
      </c>
      <c r="DE16" t="s">
        <v>3</v>
      </c>
      <c r="DF16">
        <f t="shared" si="3"/>
        <v>0</v>
      </c>
      <c r="DG16">
        <f>ROUND(ROUND(AF16,2)*CX16,2)</f>
        <v>0</v>
      </c>
      <c r="DH16">
        <f>ROUND(ROUND(AG16,2)*CX16,2)</f>
        <v>0</v>
      </c>
      <c r="DI16">
        <f t="shared" si="6"/>
        <v>0</v>
      </c>
      <c r="DJ16">
        <f>DI16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ROW(Source!A36)</f>
        <v>36</v>
      </c>
      <c r="B17">
        <v>56622586</v>
      </c>
      <c r="C17">
        <v>56616522</v>
      </c>
      <c r="D17">
        <v>47634407</v>
      </c>
      <c r="E17">
        <v>27786564</v>
      </c>
      <c r="F17">
        <v>1</v>
      </c>
      <c r="G17">
        <v>27786564</v>
      </c>
      <c r="H17">
        <v>1</v>
      </c>
      <c r="I17" t="s">
        <v>439</v>
      </c>
      <c r="J17" t="s">
        <v>3</v>
      </c>
      <c r="K17" t="s">
        <v>440</v>
      </c>
      <c r="L17">
        <v>1191</v>
      </c>
      <c r="N17">
        <v>1013</v>
      </c>
      <c r="O17" t="s">
        <v>441</v>
      </c>
      <c r="P17" t="s">
        <v>441</v>
      </c>
      <c r="Q17">
        <v>1</v>
      </c>
      <c r="W17">
        <v>0</v>
      </c>
      <c r="X17">
        <v>476480486</v>
      </c>
      <c r="Y17">
        <f>((AT17*1.1)*0.5)</f>
        <v>0.65449999999999997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1.19</v>
      </c>
      <c r="AU17" t="s">
        <v>43</v>
      </c>
      <c r="AV17">
        <v>1</v>
      </c>
      <c r="AW17">
        <v>2</v>
      </c>
      <c r="AX17">
        <v>56616525</v>
      </c>
      <c r="AY17">
        <v>1</v>
      </c>
      <c r="AZ17">
        <v>0</v>
      </c>
      <c r="BA17">
        <v>15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U17">
        <f>ROUND(AT17*Source!I36*AH17*AL17,2)</f>
        <v>0</v>
      </c>
      <c r="CV17">
        <f>ROUND(Y17*Source!I36,9)</f>
        <v>0.20845825000000001</v>
      </c>
      <c r="CW17">
        <v>0</v>
      </c>
      <c r="CX17">
        <f>ROUND(Y17*Source!I36,9)</f>
        <v>0.20845825000000001</v>
      </c>
      <c r="CY17">
        <f>AD17</f>
        <v>0</v>
      </c>
      <c r="CZ17">
        <f>AH17</f>
        <v>0</v>
      </c>
      <c r="DA17">
        <f>AL17</f>
        <v>1</v>
      </c>
      <c r="DB17">
        <f>ROUND(((ROUND(AT17*CZ17,2)*1.1)*0.5),6)</f>
        <v>0</v>
      </c>
      <c r="DC17">
        <f>ROUND(((ROUND(AT17*AG17,2)*1.1)*0.5),6)</f>
        <v>0</v>
      </c>
      <c r="DD17" t="s">
        <v>3</v>
      </c>
      <c r="DE17" t="s">
        <v>3</v>
      </c>
      <c r="DF17">
        <f t="shared" si="3"/>
        <v>0</v>
      </c>
      <c r="DG17">
        <f>ROUND(ROUND(AF17,2)*CX17,2)</f>
        <v>0</v>
      </c>
      <c r="DH17">
        <f>ROUND(ROUND(AG17,2)*CX17,2)</f>
        <v>0</v>
      </c>
      <c r="DI17">
        <f t="shared" si="6"/>
        <v>0</v>
      </c>
      <c r="DJ17">
        <f>DI17</f>
        <v>0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ROW(Source!A36)</f>
        <v>36</v>
      </c>
      <c r="B18">
        <v>56622586</v>
      </c>
      <c r="C18">
        <v>56616522</v>
      </c>
      <c r="D18">
        <v>47766391</v>
      </c>
      <c r="E18">
        <v>1</v>
      </c>
      <c r="F18">
        <v>1</v>
      </c>
      <c r="G18">
        <v>27786564</v>
      </c>
      <c r="H18">
        <v>2</v>
      </c>
      <c r="I18" t="s">
        <v>442</v>
      </c>
      <c r="J18" t="s">
        <v>443</v>
      </c>
      <c r="K18" t="s">
        <v>444</v>
      </c>
      <c r="L18">
        <v>1368</v>
      </c>
      <c r="N18">
        <v>1011</v>
      </c>
      <c r="O18" t="s">
        <v>445</v>
      </c>
      <c r="P18" t="s">
        <v>445</v>
      </c>
      <c r="Q18">
        <v>1</v>
      </c>
      <c r="W18">
        <v>0</v>
      </c>
      <c r="X18">
        <v>-1037611556</v>
      </c>
      <c r="Y18">
        <f>((AT18*1.1)*0.9)</f>
        <v>6.2563050000000002</v>
      </c>
      <c r="AA18">
        <v>0</v>
      </c>
      <c r="AB18">
        <v>147.49</v>
      </c>
      <c r="AC18">
        <v>14.54</v>
      </c>
      <c r="AD18">
        <v>0</v>
      </c>
      <c r="AE18">
        <v>0</v>
      </c>
      <c r="AF18">
        <v>147.49</v>
      </c>
      <c r="AG18">
        <v>14.54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-2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6.3194999999999997</v>
      </c>
      <c r="AU18" t="s">
        <v>42</v>
      </c>
      <c r="AV18">
        <v>0</v>
      </c>
      <c r="AW18">
        <v>2</v>
      </c>
      <c r="AX18">
        <v>56616526</v>
      </c>
      <c r="AY18">
        <v>1</v>
      </c>
      <c r="AZ18">
        <v>0</v>
      </c>
      <c r="BA18">
        <v>16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f>ROUND(Y18*Source!I36*DO18,9)</f>
        <v>0</v>
      </c>
      <c r="CX18">
        <f>ROUND(Y18*Source!I36,9)</f>
        <v>1.9926331429999999</v>
      </c>
      <c r="CY18">
        <f>AB18</f>
        <v>147.49</v>
      </c>
      <c r="CZ18">
        <f>AF18</f>
        <v>147.49</v>
      </c>
      <c r="DA18">
        <f>AJ18</f>
        <v>1</v>
      </c>
      <c r="DB18">
        <f>ROUND(((ROUND(AT18*CZ18,2)*1.1)*0.9),6)</f>
        <v>922.73940000000005</v>
      </c>
      <c r="DC18">
        <f>ROUND(((ROUND(AT18*AG18,2)*1.1)*0.9),6)</f>
        <v>90.971100000000007</v>
      </c>
      <c r="DD18" t="s">
        <v>3</v>
      </c>
      <c r="DE18" t="s">
        <v>3</v>
      </c>
      <c r="DF18">
        <f t="shared" si="3"/>
        <v>0</v>
      </c>
      <c r="DG18">
        <f>ROUND(ROUND(AF18,2)*CX18,2)</f>
        <v>293.89</v>
      </c>
      <c r="DH18">
        <f>ROUND(ROUND(AG18,2)*CX18,2)</f>
        <v>28.97</v>
      </c>
      <c r="DI18">
        <f t="shared" si="6"/>
        <v>0</v>
      </c>
      <c r="DJ18">
        <f>DG18</f>
        <v>293.89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ROW(Source!A37)</f>
        <v>37</v>
      </c>
      <c r="B19">
        <v>56616093</v>
      </c>
      <c r="C19">
        <v>56616522</v>
      </c>
      <c r="D19">
        <v>47634407</v>
      </c>
      <c r="E19">
        <v>27786564</v>
      </c>
      <c r="F19">
        <v>1</v>
      </c>
      <c r="G19">
        <v>27786564</v>
      </c>
      <c r="H19">
        <v>1</v>
      </c>
      <c r="I19" t="s">
        <v>439</v>
      </c>
      <c r="J19" t="s">
        <v>3</v>
      </c>
      <c r="K19" t="s">
        <v>440</v>
      </c>
      <c r="L19">
        <v>1191</v>
      </c>
      <c r="N19">
        <v>1013</v>
      </c>
      <c r="O19" t="s">
        <v>441</v>
      </c>
      <c r="P19" t="s">
        <v>441</v>
      </c>
      <c r="Q19">
        <v>1</v>
      </c>
      <c r="W19">
        <v>0</v>
      </c>
      <c r="X19">
        <v>476480486</v>
      </c>
      <c r="Y19">
        <f>((AT19*1.1)*0.5)</f>
        <v>0.65449999999999997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1.19</v>
      </c>
      <c r="AU19" t="s">
        <v>43</v>
      </c>
      <c r="AV19">
        <v>1</v>
      </c>
      <c r="AW19">
        <v>2</v>
      </c>
      <c r="AX19">
        <v>56616525</v>
      </c>
      <c r="AY19">
        <v>1</v>
      </c>
      <c r="AZ19">
        <v>0</v>
      </c>
      <c r="BA19">
        <v>17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U19">
        <f>ROUND(AT19*Source!I37*AH19*AL19,2)</f>
        <v>0</v>
      </c>
      <c r="CV19">
        <f>ROUND(Y19*Source!I37,9)</f>
        <v>0.20845825000000001</v>
      </c>
      <c r="CW19">
        <v>0</v>
      </c>
      <c r="CX19">
        <f>ROUND(Y19*Source!I37,9)</f>
        <v>0.20845825000000001</v>
      </c>
      <c r="CY19">
        <f>AD19</f>
        <v>0</v>
      </c>
      <c r="CZ19">
        <f>AH19</f>
        <v>0</v>
      </c>
      <c r="DA19">
        <f>AL19</f>
        <v>1</v>
      </c>
      <c r="DB19">
        <f>ROUND(((ROUND(AT19*CZ19,2)*1.1)*0.5),6)</f>
        <v>0</v>
      </c>
      <c r="DC19">
        <f>ROUND(((ROUND(AT19*AG19,2)*1.1)*0.5),6)</f>
        <v>0</v>
      </c>
      <c r="DD19" t="s">
        <v>3</v>
      </c>
      <c r="DE19" t="s">
        <v>3</v>
      </c>
      <c r="DF19">
        <f t="shared" si="3"/>
        <v>0</v>
      </c>
      <c r="DG19">
        <f>ROUND(ROUND(AF19,2)*CX19,2)</f>
        <v>0</v>
      </c>
      <c r="DH19">
        <f>ROUND(ROUND(AG19,2)*CX19,2)</f>
        <v>0</v>
      </c>
      <c r="DI19">
        <f t="shared" si="6"/>
        <v>0</v>
      </c>
      <c r="DJ19">
        <f>DI19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ROW(Source!A37)</f>
        <v>37</v>
      </c>
      <c r="B20">
        <v>56616093</v>
      </c>
      <c r="C20">
        <v>56616522</v>
      </c>
      <c r="D20">
        <v>47766391</v>
      </c>
      <c r="E20">
        <v>1</v>
      </c>
      <c r="F20">
        <v>1</v>
      </c>
      <c r="G20">
        <v>27786564</v>
      </c>
      <c r="H20">
        <v>2</v>
      </c>
      <c r="I20" t="s">
        <v>442</v>
      </c>
      <c r="J20" t="s">
        <v>443</v>
      </c>
      <c r="K20" t="s">
        <v>444</v>
      </c>
      <c r="L20">
        <v>1368</v>
      </c>
      <c r="N20">
        <v>1011</v>
      </c>
      <c r="O20" t="s">
        <v>445</v>
      </c>
      <c r="P20" t="s">
        <v>445</v>
      </c>
      <c r="Q20">
        <v>1</v>
      </c>
      <c r="W20">
        <v>0</v>
      </c>
      <c r="X20">
        <v>-1037611556</v>
      </c>
      <c r="Y20">
        <f>((AT20*1.1)*0.9)</f>
        <v>6.2563050000000002</v>
      </c>
      <c r="AA20">
        <v>0</v>
      </c>
      <c r="AB20">
        <v>2139.58</v>
      </c>
      <c r="AC20">
        <v>598.12</v>
      </c>
      <c r="AD20">
        <v>0</v>
      </c>
      <c r="AE20">
        <v>0</v>
      </c>
      <c r="AF20">
        <v>147.49</v>
      </c>
      <c r="AG20">
        <v>14.54</v>
      </c>
      <c r="AH20">
        <v>0</v>
      </c>
      <c r="AI20">
        <v>1</v>
      </c>
      <c r="AJ20">
        <v>12.17</v>
      </c>
      <c r="AK20">
        <v>34.51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6.3194999999999997</v>
      </c>
      <c r="AU20" t="s">
        <v>42</v>
      </c>
      <c r="AV20">
        <v>0</v>
      </c>
      <c r="AW20">
        <v>2</v>
      </c>
      <c r="AX20">
        <v>56616526</v>
      </c>
      <c r="AY20">
        <v>1</v>
      </c>
      <c r="AZ20">
        <v>0</v>
      </c>
      <c r="BA20">
        <v>18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f>ROUND(Y20*Source!I37*DO20,9)</f>
        <v>0</v>
      </c>
      <c r="CX20">
        <f>ROUND(Y20*Source!I37,9)</f>
        <v>1.9926331429999999</v>
      </c>
      <c r="CY20">
        <f>AB20</f>
        <v>2139.58</v>
      </c>
      <c r="CZ20">
        <f>AF20</f>
        <v>147.49</v>
      </c>
      <c r="DA20">
        <f>AJ20</f>
        <v>12.17</v>
      </c>
      <c r="DB20">
        <f>ROUND(((ROUND(AT20*CZ20,2)*1.1)*0.9),6)</f>
        <v>922.73940000000005</v>
      </c>
      <c r="DC20">
        <f>ROUND(((ROUND(AT20*AG20,2)*1.1)*0.9),6)</f>
        <v>90.971100000000007</v>
      </c>
      <c r="DD20" t="s">
        <v>3</v>
      </c>
      <c r="DE20" t="s">
        <v>3</v>
      </c>
      <c r="DF20">
        <f t="shared" si="3"/>
        <v>0</v>
      </c>
      <c r="DG20">
        <f>ROUND(ROUND(AF20*AJ20,2)*CX20,2)</f>
        <v>3576.68</v>
      </c>
      <c r="DH20">
        <f>ROUND(ROUND(AG20*AK20,2)*CX20,2)</f>
        <v>999.86</v>
      </c>
      <c r="DI20">
        <f t="shared" si="6"/>
        <v>0</v>
      </c>
      <c r="DJ20">
        <f>DG20</f>
        <v>3576.68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ROW(Source!A38)</f>
        <v>38</v>
      </c>
      <c r="B21">
        <v>56622586</v>
      </c>
      <c r="C21">
        <v>56616527</v>
      </c>
      <c r="D21">
        <v>47634407</v>
      </c>
      <c r="E21">
        <v>27786564</v>
      </c>
      <c r="F21">
        <v>1</v>
      </c>
      <c r="G21">
        <v>27786564</v>
      </c>
      <c r="H21">
        <v>1</v>
      </c>
      <c r="I21" t="s">
        <v>439</v>
      </c>
      <c r="J21" t="s">
        <v>3</v>
      </c>
      <c r="K21" t="s">
        <v>440</v>
      </c>
      <c r="L21">
        <v>1191</v>
      </c>
      <c r="N21">
        <v>1013</v>
      </c>
      <c r="O21" t="s">
        <v>441</v>
      </c>
      <c r="P21" t="s">
        <v>441</v>
      </c>
      <c r="Q21">
        <v>1</v>
      </c>
      <c r="W21">
        <v>0</v>
      </c>
      <c r="X21">
        <v>476480486</v>
      </c>
      <c r="Y21">
        <f>(AT21*1.1)</f>
        <v>151.80000000000001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138</v>
      </c>
      <c r="AU21" t="s">
        <v>22</v>
      </c>
      <c r="AV21">
        <v>1</v>
      </c>
      <c r="AW21">
        <v>2</v>
      </c>
      <c r="AX21">
        <v>56616532</v>
      </c>
      <c r="AY21">
        <v>1</v>
      </c>
      <c r="AZ21">
        <v>0</v>
      </c>
      <c r="BA21">
        <v>19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U21">
        <f>ROUND(AT21*Source!I38*AH21*AL21,2)</f>
        <v>0</v>
      </c>
      <c r="CV21">
        <f>ROUND(Y21*Source!I38,9)</f>
        <v>5.0094000000000003</v>
      </c>
      <c r="CW21">
        <v>0</v>
      </c>
      <c r="CX21">
        <f>ROUND(Y21*Source!I38,9)</f>
        <v>5.0094000000000003</v>
      </c>
      <c r="CY21">
        <f>AD21</f>
        <v>0</v>
      </c>
      <c r="CZ21">
        <f>AH21</f>
        <v>0</v>
      </c>
      <c r="DA21">
        <f>AL21</f>
        <v>1</v>
      </c>
      <c r="DB21">
        <f>ROUND((ROUND(AT21*CZ21,2)*1.1),6)</f>
        <v>0</v>
      </c>
      <c r="DC21">
        <f>ROUND((ROUND(AT21*AG21,2)*1.1),6)</f>
        <v>0</v>
      </c>
      <c r="DD21" t="s">
        <v>3</v>
      </c>
      <c r="DE21" t="s">
        <v>3</v>
      </c>
      <c r="DF21">
        <f t="shared" si="3"/>
        <v>0</v>
      </c>
      <c r="DG21">
        <f t="shared" ref="DG21:DG33" si="7">ROUND(ROUND(AF21,2)*CX21,2)</f>
        <v>0</v>
      </c>
      <c r="DH21">
        <f t="shared" ref="DH21:DH33" si="8">ROUND(ROUND(AG21,2)*CX21,2)</f>
        <v>0</v>
      </c>
      <c r="DI21">
        <f t="shared" si="6"/>
        <v>0</v>
      </c>
      <c r="DJ21">
        <f>DI21</f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ROW(Source!A38)</f>
        <v>38</v>
      </c>
      <c r="B22">
        <v>56622586</v>
      </c>
      <c r="C22">
        <v>56616527</v>
      </c>
      <c r="D22">
        <v>49869001</v>
      </c>
      <c r="E22">
        <v>1</v>
      </c>
      <c r="F22">
        <v>1</v>
      </c>
      <c r="G22">
        <v>27786564</v>
      </c>
      <c r="H22">
        <v>3</v>
      </c>
      <c r="I22" t="s">
        <v>53</v>
      </c>
      <c r="J22" t="s">
        <v>56</v>
      </c>
      <c r="K22" t="s">
        <v>54</v>
      </c>
      <c r="L22">
        <v>1301</v>
      </c>
      <c r="N22">
        <v>1003</v>
      </c>
      <c r="O22" t="s">
        <v>55</v>
      </c>
      <c r="P22" t="s">
        <v>55</v>
      </c>
      <c r="Q22">
        <v>1</v>
      </c>
      <c r="W22">
        <v>0</v>
      </c>
      <c r="X22">
        <v>1181244062</v>
      </c>
      <c r="Y22">
        <f>AT22</f>
        <v>990</v>
      </c>
      <c r="AA22">
        <v>15.01</v>
      </c>
      <c r="AB22">
        <v>0</v>
      </c>
      <c r="AC22">
        <v>0</v>
      </c>
      <c r="AD22">
        <v>0</v>
      </c>
      <c r="AE22">
        <v>15.01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-2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990</v>
      </c>
      <c r="AU22" t="s">
        <v>3</v>
      </c>
      <c r="AV22">
        <v>0</v>
      </c>
      <c r="AW22">
        <v>2</v>
      </c>
      <c r="AX22">
        <v>56616533</v>
      </c>
      <c r="AY22">
        <v>1</v>
      </c>
      <c r="AZ22">
        <v>0</v>
      </c>
      <c r="BA22">
        <v>20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ROUND(Y22*Source!I38,9)</f>
        <v>32.67</v>
      </c>
      <c r="CY22">
        <f>AA22</f>
        <v>15.01</v>
      </c>
      <c r="CZ22">
        <f>AE22</f>
        <v>15.01</v>
      </c>
      <c r="DA22">
        <f>AI22</f>
        <v>1</v>
      </c>
      <c r="DB22">
        <f>ROUND(ROUND(AT22*CZ22,2),6)</f>
        <v>14859.9</v>
      </c>
      <c r="DC22">
        <f>ROUND(ROUND(AT22*AG22,2),6)</f>
        <v>0</v>
      </c>
      <c r="DD22" t="s">
        <v>3</v>
      </c>
      <c r="DE22" t="s">
        <v>3</v>
      </c>
      <c r="DF22">
        <f t="shared" si="3"/>
        <v>490.38</v>
      </c>
      <c r="DG22">
        <f t="shared" si="7"/>
        <v>0</v>
      </c>
      <c r="DH22">
        <f t="shared" si="8"/>
        <v>0</v>
      </c>
      <c r="DI22">
        <f t="shared" si="6"/>
        <v>0</v>
      </c>
      <c r="DJ22">
        <f>DF22</f>
        <v>490.38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ROW(Source!A38)</f>
        <v>38</v>
      </c>
      <c r="B23">
        <v>56622586</v>
      </c>
      <c r="C23">
        <v>56616527</v>
      </c>
      <c r="D23">
        <v>46729051</v>
      </c>
      <c r="E23">
        <v>1</v>
      </c>
      <c r="F23">
        <v>1</v>
      </c>
      <c r="G23">
        <v>27786564</v>
      </c>
      <c r="H23">
        <v>3</v>
      </c>
      <c r="I23" t="s">
        <v>452</v>
      </c>
      <c r="J23" t="s">
        <v>453</v>
      </c>
      <c r="K23" t="s">
        <v>454</v>
      </c>
      <c r="L23">
        <v>1358</v>
      </c>
      <c r="N23">
        <v>1010</v>
      </c>
      <c r="O23" t="s">
        <v>455</v>
      </c>
      <c r="P23" t="s">
        <v>455</v>
      </c>
      <c r="Q23">
        <v>10</v>
      </c>
      <c r="W23">
        <v>0</v>
      </c>
      <c r="X23">
        <v>1865740339</v>
      </c>
      <c r="Y23">
        <f>AT23</f>
        <v>32</v>
      </c>
      <c r="AA23">
        <v>144.77000000000001</v>
      </c>
      <c r="AB23">
        <v>0</v>
      </c>
      <c r="AC23">
        <v>0</v>
      </c>
      <c r="AD23">
        <v>0</v>
      </c>
      <c r="AE23">
        <v>144.77000000000001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32</v>
      </c>
      <c r="AU23" t="s">
        <v>3</v>
      </c>
      <c r="AV23">
        <v>0</v>
      </c>
      <c r="AW23">
        <v>2</v>
      </c>
      <c r="AX23">
        <v>56616534</v>
      </c>
      <c r="AY23">
        <v>1</v>
      </c>
      <c r="AZ23">
        <v>0</v>
      </c>
      <c r="BA23">
        <v>21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v>0</v>
      </c>
      <c r="CX23">
        <f>ROUND(Y23*Source!I38,9)</f>
        <v>1.056</v>
      </c>
      <c r="CY23">
        <f>AA23</f>
        <v>144.77000000000001</v>
      </c>
      <c r="CZ23">
        <f>AE23</f>
        <v>144.77000000000001</v>
      </c>
      <c r="DA23">
        <f>AI23</f>
        <v>1</v>
      </c>
      <c r="DB23">
        <f>ROUND(ROUND(AT23*CZ23,2),6)</f>
        <v>4632.6400000000003</v>
      </c>
      <c r="DC23">
        <f>ROUND(ROUND(AT23*AG23,2),6)</f>
        <v>0</v>
      </c>
      <c r="DD23" t="s">
        <v>3</v>
      </c>
      <c r="DE23" t="s">
        <v>3</v>
      </c>
      <c r="DF23">
        <f t="shared" si="3"/>
        <v>152.88</v>
      </c>
      <c r="DG23">
        <f t="shared" si="7"/>
        <v>0</v>
      </c>
      <c r="DH23">
        <f t="shared" si="8"/>
        <v>0</v>
      </c>
      <c r="DI23">
        <f t="shared" si="6"/>
        <v>0</v>
      </c>
      <c r="DJ23">
        <f>DF23</f>
        <v>152.88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ROW(Source!A38)</f>
        <v>38</v>
      </c>
      <c r="B24">
        <v>56622586</v>
      </c>
      <c r="C24">
        <v>56616527</v>
      </c>
      <c r="D24">
        <v>47634908</v>
      </c>
      <c r="E24">
        <v>27786564</v>
      </c>
      <c r="F24">
        <v>1</v>
      </c>
      <c r="G24">
        <v>27786564</v>
      </c>
      <c r="H24">
        <v>3</v>
      </c>
      <c r="I24" t="s">
        <v>456</v>
      </c>
      <c r="J24" t="s">
        <v>3</v>
      </c>
      <c r="K24" t="s">
        <v>457</v>
      </c>
      <c r="L24">
        <v>1344</v>
      </c>
      <c r="N24">
        <v>1008</v>
      </c>
      <c r="O24" t="s">
        <v>451</v>
      </c>
      <c r="P24" t="s">
        <v>451</v>
      </c>
      <c r="Q24">
        <v>1</v>
      </c>
      <c r="W24">
        <v>0</v>
      </c>
      <c r="X24">
        <v>-94250534</v>
      </c>
      <c r="Y24">
        <f>AT24</f>
        <v>61.6</v>
      </c>
      <c r="AA24">
        <v>1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61.6</v>
      </c>
      <c r="AU24" t="s">
        <v>3</v>
      </c>
      <c r="AV24">
        <v>0</v>
      </c>
      <c r="AW24">
        <v>2</v>
      </c>
      <c r="AX24">
        <v>56616535</v>
      </c>
      <c r="AY24">
        <v>1</v>
      </c>
      <c r="AZ24">
        <v>0</v>
      </c>
      <c r="BA24">
        <v>22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ROUND(Y24*Source!I38,9)</f>
        <v>2.0327999999999999</v>
      </c>
      <c r="CY24">
        <f>AA24</f>
        <v>1</v>
      </c>
      <c r="CZ24">
        <f>AE24</f>
        <v>1</v>
      </c>
      <c r="DA24">
        <f>AI24</f>
        <v>1</v>
      </c>
      <c r="DB24">
        <f>ROUND(ROUND(AT24*CZ24,2),6)</f>
        <v>61.6</v>
      </c>
      <c r="DC24">
        <f>ROUND(ROUND(AT24*AG24,2),6)</f>
        <v>0</v>
      </c>
      <c r="DD24" t="s">
        <v>3</v>
      </c>
      <c r="DE24" t="s">
        <v>3</v>
      </c>
      <c r="DF24">
        <f t="shared" si="3"/>
        <v>2.0299999999999998</v>
      </c>
      <c r="DG24">
        <f t="shared" si="7"/>
        <v>0</v>
      </c>
      <c r="DH24">
        <f t="shared" si="8"/>
        <v>0</v>
      </c>
      <c r="DI24">
        <f t="shared" si="6"/>
        <v>0</v>
      </c>
      <c r="DJ24">
        <f>DF24</f>
        <v>2.0299999999999998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ROW(Source!A39)</f>
        <v>39</v>
      </c>
      <c r="B25">
        <v>56616093</v>
      </c>
      <c r="C25">
        <v>56616527</v>
      </c>
      <c r="D25">
        <v>47634407</v>
      </c>
      <c r="E25">
        <v>27786564</v>
      </c>
      <c r="F25">
        <v>1</v>
      </c>
      <c r="G25">
        <v>27786564</v>
      </c>
      <c r="H25">
        <v>1</v>
      </c>
      <c r="I25" t="s">
        <v>439</v>
      </c>
      <c r="J25" t="s">
        <v>3</v>
      </c>
      <c r="K25" t="s">
        <v>440</v>
      </c>
      <c r="L25">
        <v>1191</v>
      </c>
      <c r="N25">
        <v>1013</v>
      </c>
      <c r="O25" t="s">
        <v>441</v>
      </c>
      <c r="P25" t="s">
        <v>441</v>
      </c>
      <c r="Q25">
        <v>1</v>
      </c>
      <c r="W25">
        <v>0</v>
      </c>
      <c r="X25">
        <v>476480486</v>
      </c>
      <c r="Y25">
        <f>(AT25*1.1)</f>
        <v>151.80000000000001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138</v>
      </c>
      <c r="AU25" t="s">
        <v>22</v>
      </c>
      <c r="AV25">
        <v>1</v>
      </c>
      <c r="AW25">
        <v>2</v>
      </c>
      <c r="AX25">
        <v>56616532</v>
      </c>
      <c r="AY25">
        <v>1</v>
      </c>
      <c r="AZ25">
        <v>0</v>
      </c>
      <c r="BA25">
        <v>23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U25">
        <f>ROUND(AT25*Source!I39*AH25*AL25,2)</f>
        <v>0</v>
      </c>
      <c r="CV25">
        <f>ROUND(Y25*Source!I39,9)</f>
        <v>5.0094000000000003</v>
      </c>
      <c r="CW25">
        <v>0</v>
      </c>
      <c r="CX25">
        <f>ROUND(Y25*Source!I39,9)</f>
        <v>5.0094000000000003</v>
      </c>
      <c r="CY25">
        <f>AD25</f>
        <v>0</v>
      </c>
      <c r="CZ25">
        <f>AH25</f>
        <v>0</v>
      </c>
      <c r="DA25">
        <f>AL25</f>
        <v>1</v>
      </c>
      <c r="DB25">
        <f>ROUND((ROUND(AT25*CZ25,2)*1.1),6)</f>
        <v>0</v>
      </c>
      <c r="DC25">
        <f>ROUND((ROUND(AT25*AG25,2)*1.1),6)</f>
        <v>0</v>
      </c>
      <c r="DD25" t="s">
        <v>3</v>
      </c>
      <c r="DE25" t="s">
        <v>3</v>
      </c>
      <c r="DF25">
        <f t="shared" si="3"/>
        <v>0</v>
      </c>
      <c r="DG25">
        <f t="shared" si="7"/>
        <v>0</v>
      </c>
      <c r="DH25">
        <f t="shared" si="8"/>
        <v>0</v>
      </c>
      <c r="DI25">
        <f t="shared" si="6"/>
        <v>0</v>
      </c>
      <c r="DJ25">
        <f>DI25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ROW(Source!A39)</f>
        <v>39</v>
      </c>
      <c r="B26">
        <v>56616093</v>
      </c>
      <c r="C26">
        <v>56616527</v>
      </c>
      <c r="D26">
        <v>49869001</v>
      </c>
      <c r="E26">
        <v>1</v>
      </c>
      <c r="F26">
        <v>1</v>
      </c>
      <c r="G26">
        <v>27786564</v>
      </c>
      <c r="H26">
        <v>3</v>
      </c>
      <c r="I26" t="s">
        <v>53</v>
      </c>
      <c r="J26" t="s">
        <v>56</v>
      </c>
      <c r="K26" t="s">
        <v>54</v>
      </c>
      <c r="L26">
        <v>1301</v>
      </c>
      <c r="N26">
        <v>1003</v>
      </c>
      <c r="O26" t="s">
        <v>55</v>
      </c>
      <c r="P26" t="s">
        <v>55</v>
      </c>
      <c r="Q26">
        <v>1</v>
      </c>
      <c r="W26">
        <v>0</v>
      </c>
      <c r="X26">
        <v>1181244062</v>
      </c>
      <c r="Y26">
        <f>AT26</f>
        <v>990</v>
      </c>
      <c r="AA26">
        <v>147.82</v>
      </c>
      <c r="AB26">
        <v>0</v>
      </c>
      <c r="AC26">
        <v>0</v>
      </c>
      <c r="AD26">
        <v>0</v>
      </c>
      <c r="AE26">
        <v>15.01</v>
      </c>
      <c r="AF26">
        <v>0</v>
      </c>
      <c r="AG26">
        <v>0</v>
      </c>
      <c r="AH26">
        <v>0</v>
      </c>
      <c r="AI26">
        <v>9.11</v>
      </c>
      <c r="AJ26">
        <v>1</v>
      </c>
      <c r="AK26">
        <v>1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990</v>
      </c>
      <c r="AU26" t="s">
        <v>3</v>
      </c>
      <c r="AV26">
        <v>0</v>
      </c>
      <c r="AW26">
        <v>2</v>
      </c>
      <c r="AX26">
        <v>56616533</v>
      </c>
      <c r="AY26">
        <v>1</v>
      </c>
      <c r="AZ26">
        <v>0</v>
      </c>
      <c r="BA26">
        <v>24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ROUND(Y26*Source!I39,9)</f>
        <v>32.67</v>
      </c>
      <c r="CY26">
        <f>AA26</f>
        <v>147.82</v>
      </c>
      <c r="CZ26">
        <f>AE26</f>
        <v>15.01</v>
      </c>
      <c r="DA26">
        <f>AI26</f>
        <v>9.11</v>
      </c>
      <c r="DB26">
        <f>ROUND(ROUND(AT26*CZ26,2),6)</f>
        <v>14859.9</v>
      </c>
      <c r="DC26">
        <f>ROUND(ROUND(AT26*AG26,2),6)</f>
        <v>0</v>
      </c>
      <c r="DD26" t="s">
        <v>3</v>
      </c>
      <c r="DE26" t="s">
        <v>3</v>
      </c>
      <c r="DF26">
        <f>ROUND(ROUND(AE26*AI26,2)*CX26,2)</f>
        <v>4467.3</v>
      </c>
      <c r="DG26">
        <f t="shared" si="7"/>
        <v>0</v>
      </c>
      <c r="DH26">
        <f t="shared" si="8"/>
        <v>0</v>
      </c>
      <c r="DI26">
        <f t="shared" si="6"/>
        <v>0</v>
      </c>
      <c r="DJ26">
        <f>DF26</f>
        <v>4467.3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ROW(Source!A39)</f>
        <v>39</v>
      </c>
      <c r="B27">
        <v>56616093</v>
      </c>
      <c r="C27">
        <v>56616527</v>
      </c>
      <c r="D27">
        <v>46729051</v>
      </c>
      <c r="E27">
        <v>1</v>
      </c>
      <c r="F27">
        <v>1</v>
      </c>
      <c r="G27">
        <v>27786564</v>
      </c>
      <c r="H27">
        <v>3</v>
      </c>
      <c r="I27" t="s">
        <v>452</v>
      </c>
      <c r="J27" t="s">
        <v>453</v>
      </c>
      <c r="K27" t="s">
        <v>454</v>
      </c>
      <c r="L27">
        <v>1358</v>
      </c>
      <c r="N27">
        <v>1010</v>
      </c>
      <c r="O27" t="s">
        <v>455</v>
      </c>
      <c r="P27" t="s">
        <v>455</v>
      </c>
      <c r="Q27">
        <v>10</v>
      </c>
      <c r="W27">
        <v>0</v>
      </c>
      <c r="X27">
        <v>1865740339</v>
      </c>
      <c r="Y27">
        <f>AT27</f>
        <v>32</v>
      </c>
      <c r="AA27">
        <v>460.1</v>
      </c>
      <c r="AB27">
        <v>0</v>
      </c>
      <c r="AC27">
        <v>0</v>
      </c>
      <c r="AD27">
        <v>0</v>
      </c>
      <c r="AE27">
        <v>144.77000000000001</v>
      </c>
      <c r="AF27">
        <v>0</v>
      </c>
      <c r="AG27">
        <v>0</v>
      </c>
      <c r="AH27">
        <v>0</v>
      </c>
      <c r="AI27">
        <v>2.94</v>
      </c>
      <c r="AJ27">
        <v>1</v>
      </c>
      <c r="AK27">
        <v>1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32</v>
      </c>
      <c r="AU27" t="s">
        <v>3</v>
      </c>
      <c r="AV27">
        <v>0</v>
      </c>
      <c r="AW27">
        <v>2</v>
      </c>
      <c r="AX27">
        <v>56616534</v>
      </c>
      <c r="AY27">
        <v>1</v>
      </c>
      <c r="AZ27">
        <v>0</v>
      </c>
      <c r="BA27">
        <v>25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ROUND(Y27*Source!I39,9)</f>
        <v>1.056</v>
      </c>
      <c r="CY27">
        <f>AA27</f>
        <v>460.1</v>
      </c>
      <c r="CZ27">
        <f>AE27</f>
        <v>144.77000000000001</v>
      </c>
      <c r="DA27">
        <f>AI27</f>
        <v>2.94</v>
      </c>
      <c r="DB27">
        <f>ROUND(ROUND(AT27*CZ27,2),6)</f>
        <v>4632.6400000000003</v>
      </c>
      <c r="DC27">
        <f>ROUND(ROUND(AT27*AG27,2),6)</f>
        <v>0</v>
      </c>
      <c r="DD27" t="s">
        <v>3</v>
      </c>
      <c r="DE27" t="s">
        <v>3</v>
      </c>
      <c r="DF27">
        <f>ROUND(ROUND(AE27*AI27,2)*CX27,2)</f>
        <v>449.45</v>
      </c>
      <c r="DG27">
        <f t="shared" si="7"/>
        <v>0</v>
      </c>
      <c r="DH27">
        <f t="shared" si="8"/>
        <v>0</v>
      </c>
      <c r="DI27">
        <f t="shared" si="6"/>
        <v>0</v>
      </c>
      <c r="DJ27">
        <f>DF27</f>
        <v>449.45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ROW(Source!A39)</f>
        <v>39</v>
      </c>
      <c r="B28">
        <v>56616093</v>
      </c>
      <c r="C28">
        <v>56616527</v>
      </c>
      <c r="D28">
        <v>47634908</v>
      </c>
      <c r="E28">
        <v>27786564</v>
      </c>
      <c r="F28">
        <v>1</v>
      </c>
      <c r="G28">
        <v>27786564</v>
      </c>
      <c r="H28">
        <v>3</v>
      </c>
      <c r="I28" t="s">
        <v>456</v>
      </c>
      <c r="J28" t="s">
        <v>3</v>
      </c>
      <c r="K28" t="s">
        <v>457</v>
      </c>
      <c r="L28">
        <v>1344</v>
      </c>
      <c r="N28">
        <v>1008</v>
      </c>
      <c r="O28" t="s">
        <v>451</v>
      </c>
      <c r="P28" t="s">
        <v>451</v>
      </c>
      <c r="Q28">
        <v>1</v>
      </c>
      <c r="W28">
        <v>0</v>
      </c>
      <c r="X28">
        <v>-94250534</v>
      </c>
      <c r="Y28">
        <f>AT28</f>
        <v>61.6</v>
      </c>
      <c r="AA28">
        <v>1.08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61.6</v>
      </c>
      <c r="AU28" t="s">
        <v>3</v>
      </c>
      <c r="AV28">
        <v>0</v>
      </c>
      <c r="AW28">
        <v>2</v>
      </c>
      <c r="AX28">
        <v>56616535</v>
      </c>
      <c r="AY28">
        <v>1</v>
      </c>
      <c r="AZ28">
        <v>0</v>
      </c>
      <c r="BA28">
        <v>26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ROUND(Y28*Source!I39,9)</f>
        <v>2.0327999999999999</v>
      </c>
      <c r="CY28">
        <f>AA28</f>
        <v>1.08</v>
      </c>
      <c r="CZ28">
        <f>AE28</f>
        <v>1</v>
      </c>
      <c r="DA28">
        <f>AI28</f>
        <v>1</v>
      </c>
      <c r="DB28">
        <f>ROUND(ROUND(AT28*CZ28,2),6)</f>
        <v>61.6</v>
      </c>
      <c r="DC28">
        <f>ROUND(ROUND(AT28*AG28,2),6)</f>
        <v>0</v>
      </c>
      <c r="DD28" t="s">
        <v>3</v>
      </c>
      <c r="DE28" t="s">
        <v>3</v>
      </c>
      <c r="DF28">
        <f t="shared" ref="DF28:DF59" si="9">ROUND(ROUND(AE28,2)*CX28,2)</f>
        <v>2.0299999999999998</v>
      </c>
      <c r="DG28">
        <f t="shared" si="7"/>
        <v>0</v>
      </c>
      <c r="DH28">
        <f t="shared" si="8"/>
        <v>0</v>
      </c>
      <c r="DI28">
        <f t="shared" si="6"/>
        <v>0</v>
      </c>
      <c r="DJ28">
        <f>DF28</f>
        <v>2.0299999999999998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ROW(Source!A44)</f>
        <v>44</v>
      </c>
      <c r="B29">
        <v>56622586</v>
      </c>
      <c r="C29">
        <v>56616538</v>
      </c>
      <c r="D29">
        <v>47634407</v>
      </c>
      <c r="E29">
        <v>27786564</v>
      </c>
      <c r="F29">
        <v>1</v>
      </c>
      <c r="G29">
        <v>27786564</v>
      </c>
      <c r="H29">
        <v>1</v>
      </c>
      <c r="I29" t="s">
        <v>439</v>
      </c>
      <c r="J29" t="s">
        <v>3</v>
      </c>
      <c r="K29" t="s">
        <v>440</v>
      </c>
      <c r="L29">
        <v>1191</v>
      </c>
      <c r="N29">
        <v>1013</v>
      </c>
      <c r="O29" t="s">
        <v>441</v>
      </c>
      <c r="P29" t="s">
        <v>441</v>
      </c>
      <c r="Q29">
        <v>1</v>
      </c>
      <c r="W29">
        <v>0</v>
      </c>
      <c r="X29">
        <v>476480486</v>
      </c>
      <c r="Y29">
        <f t="shared" ref="Y29:Y70" si="10">(AT29*1.1)</f>
        <v>162.63500000000002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147.85</v>
      </c>
      <c r="AU29" t="s">
        <v>22</v>
      </c>
      <c r="AV29">
        <v>1</v>
      </c>
      <c r="AW29">
        <v>2</v>
      </c>
      <c r="AX29">
        <v>56616543</v>
      </c>
      <c r="AY29">
        <v>1</v>
      </c>
      <c r="AZ29">
        <v>0</v>
      </c>
      <c r="BA29">
        <v>27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ROUND(AT29*Source!I44*AH29*AL29,2)</f>
        <v>0</v>
      </c>
      <c r="CV29">
        <f>ROUND(Y29*Source!I44,9)</f>
        <v>8.6196549999999998</v>
      </c>
      <c r="CW29">
        <v>0</v>
      </c>
      <c r="CX29">
        <f>ROUND(Y29*Source!I44,9)</f>
        <v>8.6196549999999998</v>
      </c>
      <c r="CY29">
        <f>AD29</f>
        <v>0</v>
      </c>
      <c r="CZ29">
        <f>AH29</f>
        <v>0</v>
      </c>
      <c r="DA29">
        <f>AL29</f>
        <v>1</v>
      </c>
      <c r="DB29">
        <f t="shared" ref="DB29:DB70" si="11">ROUND((ROUND(AT29*CZ29,2)*1.1),6)</f>
        <v>0</v>
      </c>
      <c r="DC29">
        <f t="shared" ref="DC29:DC70" si="12">ROUND((ROUND(AT29*AG29,2)*1.1),6)</f>
        <v>0</v>
      </c>
      <c r="DD29" t="s">
        <v>3</v>
      </c>
      <c r="DE29" t="s">
        <v>3</v>
      </c>
      <c r="DF29">
        <f t="shared" si="9"/>
        <v>0</v>
      </c>
      <c r="DG29">
        <f t="shared" si="7"/>
        <v>0</v>
      </c>
      <c r="DH29">
        <f t="shared" si="8"/>
        <v>0</v>
      </c>
      <c r="DI29">
        <f t="shared" si="6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ROW(Source!A44)</f>
        <v>44</v>
      </c>
      <c r="B30">
        <v>56622586</v>
      </c>
      <c r="C30">
        <v>56616538</v>
      </c>
      <c r="D30">
        <v>47767124</v>
      </c>
      <c r="E30">
        <v>1</v>
      </c>
      <c r="F30">
        <v>1</v>
      </c>
      <c r="G30">
        <v>27786564</v>
      </c>
      <c r="H30">
        <v>2</v>
      </c>
      <c r="I30" t="s">
        <v>458</v>
      </c>
      <c r="J30" t="s">
        <v>459</v>
      </c>
      <c r="K30" t="s">
        <v>460</v>
      </c>
      <c r="L30">
        <v>1368</v>
      </c>
      <c r="N30">
        <v>1011</v>
      </c>
      <c r="O30" t="s">
        <v>445</v>
      </c>
      <c r="P30" t="s">
        <v>445</v>
      </c>
      <c r="Q30">
        <v>1</v>
      </c>
      <c r="W30">
        <v>0</v>
      </c>
      <c r="X30">
        <v>-1320872807</v>
      </c>
      <c r="Y30">
        <f t="shared" si="10"/>
        <v>0.80300000000000005</v>
      </c>
      <c r="AA30">
        <v>0</v>
      </c>
      <c r="AB30">
        <v>15.54</v>
      </c>
      <c r="AC30">
        <v>0</v>
      </c>
      <c r="AD30">
        <v>0</v>
      </c>
      <c r="AE30">
        <v>0</v>
      </c>
      <c r="AF30">
        <v>15.54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-2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0.73</v>
      </c>
      <c r="AU30" t="s">
        <v>22</v>
      </c>
      <c r="AV30">
        <v>0</v>
      </c>
      <c r="AW30">
        <v>2</v>
      </c>
      <c r="AX30">
        <v>56616544</v>
      </c>
      <c r="AY30">
        <v>1</v>
      </c>
      <c r="AZ30">
        <v>0</v>
      </c>
      <c r="BA30">
        <v>28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f>ROUND(Y30*Source!I44*DO30,9)</f>
        <v>0</v>
      </c>
      <c r="CX30">
        <f>ROUND(Y30*Source!I44,9)</f>
        <v>4.2559E-2</v>
      </c>
      <c r="CY30">
        <f>AB30</f>
        <v>15.54</v>
      </c>
      <c r="CZ30">
        <f>AF30</f>
        <v>15.54</v>
      </c>
      <c r="DA30">
        <f>AJ30</f>
        <v>1</v>
      </c>
      <c r="DB30">
        <f t="shared" si="11"/>
        <v>12.474</v>
      </c>
      <c r="DC30">
        <f t="shared" si="12"/>
        <v>0</v>
      </c>
      <c r="DD30" t="s">
        <v>3</v>
      </c>
      <c r="DE30" t="s">
        <v>3</v>
      </c>
      <c r="DF30">
        <f t="shared" si="9"/>
        <v>0</v>
      </c>
      <c r="DG30">
        <f t="shared" si="7"/>
        <v>0.66</v>
      </c>
      <c r="DH30">
        <f t="shared" si="8"/>
        <v>0</v>
      </c>
      <c r="DI30">
        <f t="shared" si="6"/>
        <v>0</v>
      </c>
      <c r="DJ30">
        <f>DG30</f>
        <v>0.66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ROW(Source!A44)</f>
        <v>44</v>
      </c>
      <c r="B31">
        <v>56622586</v>
      </c>
      <c r="C31">
        <v>56616538</v>
      </c>
      <c r="D31">
        <v>47767126</v>
      </c>
      <c r="E31">
        <v>1</v>
      </c>
      <c r="F31">
        <v>1</v>
      </c>
      <c r="G31">
        <v>27786564</v>
      </c>
      <c r="H31">
        <v>2</v>
      </c>
      <c r="I31" t="s">
        <v>461</v>
      </c>
      <c r="J31" t="s">
        <v>462</v>
      </c>
      <c r="K31" t="s">
        <v>463</v>
      </c>
      <c r="L31">
        <v>1368</v>
      </c>
      <c r="N31">
        <v>1011</v>
      </c>
      <c r="O31" t="s">
        <v>445</v>
      </c>
      <c r="P31" t="s">
        <v>445</v>
      </c>
      <c r="Q31">
        <v>1</v>
      </c>
      <c r="W31">
        <v>0</v>
      </c>
      <c r="X31">
        <v>-1899016018</v>
      </c>
      <c r="Y31">
        <f t="shared" si="10"/>
        <v>0.80300000000000005</v>
      </c>
      <c r="AA31">
        <v>0</v>
      </c>
      <c r="AB31">
        <v>81.150000000000006</v>
      </c>
      <c r="AC31">
        <v>14.54</v>
      </c>
      <c r="AD31">
        <v>0</v>
      </c>
      <c r="AE31">
        <v>0</v>
      </c>
      <c r="AF31">
        <v>81.150000000000006</v>
      </c>
      <c r="AG31">
        <v>14.54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0.73</v>
      </c>
      <c r="AU31" t="s">
        <v>22</v>
      </c>
      <c r="AV31">
        <v>0</v>
      </c>
      <c r="AW31">
        <v>2</v>
      </c>
      <c r="AX31">
        <v>56616545</v>
      </c>
      <c r="AY31">
        <v>1</v>
      </c>
      <c r="AZ31">
        <v>0</v>
      </c>
      <c r="BA31">
        <v>29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f>ROUND(Y31*Source!I44*DO31,9)</f>
        <v>0</v>
      </c>
      <c r="CX31">
        <f>ROUND(Y31*Source!I44,9)</f>
        <v>4.2559E-2</v>
      </c>
      <c r="CY31">
        <f>AB31</f>
        <v>81.150000000000006</v>
      </c>
      <c r="CZ31">
        <f>AF31</f>
        <v>81.150000000000006</v>
      </c>
      <c r="DA31">
        <f>AJ31</f>
        <v>1</v>
      </c>
      <c r="DB31">
        <f t="shared" si="11"/>
        <v>65.164000000000001</v>
      </c>
      <c r="DC31">
        <f t="shared" si="12"/>
        <v>11.670999999999999</v>
      </c>
      <c r="DD31" t="s">
        <v>3</v>
      </c>
      <c r="DE31" t="s">
        <v>3</v>
      </c>
      <c r="DF31">
        <f t="shared" si="9"/>
        <v>0</v>
      </c>
      <c r="DG31">
        <f t="shared" si="7"/>
        <v>3.45</v>
      </c>
      <c r="DH31">
        <f t="shared" si="8"/>
        <v>0.62</v>
      </c>
      <c r="DI31">
        <f t="shared" si="6"/>
        <v>0</v>
      </c>
      <c r="DJ31">
        <f>DG31</f>
        <v>3.45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ROW(Source!A44)</f>
        <v>44</v>
      </c>
      <c r="B32">
        <v>56622586</v>
      </c>
      <c r="C32">
        <v>56616538</v>
      </c>
      <c r="D32">
        <v>47766454</v>
      </c>
      <c r="E32">
        <v>1</v>
      </c>
      <c r="F32">
        <v>1</v>
      </c>
      <c r="G32">
        <v>27786564</v>
      </c>
      <c r="H32">
        <v>2</v>
      </c>
      <c r="I32" t="s">
        <v>464</v>
      </c>
      <c r="J32" t="s">
        <v>465</v>
      </c>
      <c r="K32" t="s">
        <v>466</v>
      </c>
      <c r="L32">
        <v>1368</v>
      </c>
      <c r="N32">
        <v>1011</v>
      </c>
      <c r="O32" t="s">
        <v>445</v>
      </c>
      <c r="P32" t="s">
        <v>445</v>
      </c>
      <c r="Q32">
        <v>1</v>
      </c>
      <c r="W32">
        <v>0</v>
      </c>
      <c r="X32">
        <v>922387863</v>
      </c>
      <c r="Y32">
        <f t="shared" si="10"/>
        <v>1.1550000000000002</v>
      </c>
      <c r="AA32">
        <v>0</v>
      </c>
      <c r="AB32">
        <v>179.17</v>
      </c>
      <c r="AC32">
        <v>16.93</v>
      </c>
      <c r="AD32">
        <v>0</v>
      </c>
      <c r="AE32">
        <v>0</v>
      </c>
      <c r="AF32">
        <v>179.17</v>
      </c>
      <c r="AG32">
        <v>16.93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1.05</v>
      </c>
      <c r="AU32" t="s">
        <v>22</v>
      </c>
      <c r="AV32">
        <v>0</v>
      </c>
      <c r="AW32">
        <v>2</v>
      </c>
      <c r="AX32">
        <v>56616546</v>
      </c>
      <c r="AY32">
        <v>1</v>
      </c>
      <c r="AZ32">
        <v>0</v>
      </c>
      <c r="BA32">
        <v>30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f>ROUND(Y32*Source!I44*DO32,9)</f>
        <v>0</v>
      </c>
      <c r="CX32">
        <f>ROUND(Y32*Source!I44,9)</f>
        <v>6.1214999999999999E-2</v>
      </c>
      <c r="CY32">
        <f>AB32</f>
        <v>179.17</v>
      </c>
      <c r="CZ32">
        <f>AF32</f>
        <v>179.17</v>
      </c>
      <c r="DA32">
        <f>AJ32</f>
        <v>1</v>
      </c>
      <c r="DB32">
        <f t="shared" si="11"/>
        <v>206.94300000000001</v>
      </c>
      <c r="DC32">
        <f t="shared" si="12"/>
        <v>19.558</v>
      </c>
      <c r="DD32" t="s">
        <v>3</v>
      </c>
      <c r="DE32" t="s">
        <v>3</v>
      </c>
      <c r="DF32">
        <f t="shared" si="9"/>
        <v>0</v>
      </c>
      <c r="DG32">
        <f t="shared" si="7"/>
        <v>10.97</v>
      </c>
      <c r="DH32">
        <f t="shared" si="8"/>
        <v>1.04</v>
      </c>
      <c r="DI32">
        <f t="shared" si="6"/>
        <v>0</v>
      </c>
      <c r="DJ32">
        <f>DG32</f>
        <v>10.97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ROW(Source!A45)</f>
        <v>45</v>
      </c>
      <c r="B33">
        <v>56616093</v>
      </c>
      <c r="C33">
        <v>56616538</v>
      </c>
      <c r="D33">
        <v>47634407</v>
      </c>
      <c r="E33">
        <v>27786564</v>
      </c>
      <c r="F33">
        <v>1</v>
      </c>
      <c r="G33">
        <v>27786564</v>
      </c>
      <c r="H33">
        <v>1</v>
      </c>
      <c r="I33" t="s">
        <v>439</v>
      </c>
      <c r="J33" t="s">
        <v>3</v>
      </c>
      <c r="K33" t="s">
        <v>440</v>
      </c>
      <c r="L33">
        <v>1191</v>
      </c>
      <c r="N33">
        <v>1013</v>
      </c>
      <c r="O33" t="s">
        <v>441</v>
      </c>
      <c r="P33" t="s">
        <v>441</v>
      </c>
      <c r="Q33">
        <v>1</v>
      </c>
      <c r="W33">
        <v>0</v>
      </c>
      <c r="X33">
        <v>476480486</v>
      </c>
      <c r="Y33">
        <f t="shared" si="10"/>
        <v>162.63500000000002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147.85</v>
      </c>
      <c r="AU33" t="s">
        <v>22</v>
      </c>
      <c r="AV33">
        <v>1</v>
      </c>
      <c r="AW33">
        <v>2</v>
      </c>
      <c r="AX33">
        <v>56616543</v>
      </c>
      <c r="AY33">
        <v>1</v>
      </c>
      <c r="AZ33">
        <v>0</v>
      </c>
      <c r="BA33">
        <v>32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U33">
        <f>ROUND(AT33*Source!I45*AH33*AL33,2)</f>
        <v>0</v>
      </c>
      <c r="CV33">
        <f>ROUND(Y33*Source!I45,9)</f>
        <v>8.6196549999999998</v>
      </c>
      <c r="CW33">
        <v>0</v>
      </c>
      <c r="CX33">
        <f>ROUND(Y33*Source!I45,9)</f>
        <v>8.6196549999999998</v>
      </c>
      <c r="CY33">
        <f>AD33</f>
        <v>0</v>
      </c>
      <c r="CZ33">
        <f>AH33</f>
        <v>0</v>
      </c>
      <c r="DA33">
        <f>AL33</f>
        <v>1</v>
      </c>
      <c r="DB33">
        <f t="shared" si="11"/>
        <v>0</v>
      </c>
      <c r="DC33">
        <f t="shared" si="12"/>
        <v>0</v>
      </c>
      <c r="DD33" t="s">
        <v>3</v>
      </c>
      <c r="DE33" t="s">
        <v>3</v>
      </c>
      <c r="DF33">
        <f t="shared" si="9"/>
        <v>0</v>
      </c>
      <c r="DG33">
        <f t="shared" si="7"/>
        <v>0</v>
      </c>
      <c r="DH33">
        <f t="shared" si="8"/>
        <v>0</v>
      </c>
      <c r="DI33">
        <f t="shared" si="6"/>
        <v>0</v>
      </c>
      <c r="DJ33">
        <f>DI33</f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ROW(Source!A45)</f>
        <v>45</v>
      </c>
      <c r="B34">
        <v>56616093</v>
      </c>
      <c r="C34">
        <v>56616538</v>
      </c>
      <c r="D34">
        <v>47767124</v>
      </c>
      <c r="E34">
        <v>1</v>
      </c>
      <c r="F34">
        <v>1</v>
      </c>
      <c r="G34">
        <v>27786564</v>
      </c>
      <c r="H34">
        <v>2</v>
      </c>
      <c r="I34" t="s">
        <v>458</v>
      </c>
      <c r="J34" t="s">
        <v>459</v>
      </c>
      <c r="K34" t="s">
        <v>460</v>
      </c>
      <c r="L34">
        <v>1368</v>
      </c>
      <c r="N34">
        <v>1011</v>
      </c>
      <c r="O34" t="s">
        <v>445</v>
      </c>
      <c r="P34" t="s">
        <v>445</v>
      </c>
      <c r="Q34">
        <v>1</v>
      </c>
      <c r="W34">
        <v>0</v>
      </c>
      <c r="X34">
        <v>-1320872807</v>
      </c>
      <c r="Y34">
        <f t="shared" si="10"/>
        <v>0.80300000000000005</v>
      </c>
      <c r="AA34">
        <v>0</v>
      </c>
      <c r="AB34">
        <v>138.44999999999999</v>
      </c>
      <c r="AC34">
        <v>0</v>
      </c>
      <c r="AD34">
        <v>0</v>
      </c>
      <c r="AE34">
        <v>0</v>
      </c>
      <c r="AF34">
        <v>15.54</v>
      </c>
      <c r="AG34">
        <v>0</v>
      </c>
      <c r="AH34">
        <v>0</v>
      </c>
      <c r="AI34">
        <v>1</v>
      </c>
      <c r="AJ34">
        <v>8.35</v>
      </c>
      <c r="AK34">
        <v>34.51</v>
      </c>
      <c r="AL34">
        <v>1</v>
      </c>
      <c r="AM34">
        <v>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0.73</v>
      </c>
      <c r="AU34" t="s">
        <v>22</v>
      </c>
      <c r="AV34">
        <v>0</v>
      </c>
      <c r="AW34">
        <v>2</v>
      </c>
      <c r="AX34">
        <v>56616544</v>
      </c>
      <c r="AY34">
        <v>1</v>
      </c>
      <c r="AZ34">
        <v>0</v>
      </c>
      <c r="BA34">
        <v>33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f>ROUND(Y34*Source!I45*DO34,9)</f>
        <v>0</v>
      </c>
      <c r="CX34">
        <f>ROUND(Y34*Source!I45,9)</f>
        <v>4.2559E-2</v>
      </c>
      <c r="CY34">
        <f>AB34</f>
        <v>138.44999999999999</v>
      </c>
      <c r="CZ34">
        <f>AF34</f>
        <v>15.54</v>
      </c>
      <c r="DA34">
        <f>AJ34</f>
        <v>8.35</v>
      </c>
      <c r="DB34">
        <f t="shared" si="11"/>
        <v>12.474</v>
      </c>
      <c r="DC34">
        <f t="shared" si="12"/>
        <v>0</v>
      </c>
      <c r="DD34" t="s">
        <v>3</v>
      </c>
      <c r="DE34" t="s">
        <v>3</v>
      </c>
      <c r="DF34">
        <f t="shared" si="9"/>
        <v>0</v>
      </c>
      <c r="DG34">
        <f>ROUND(ROUND(AF34*AJ34,2)*CX34,2)</f>
        <v>5.52</v>
      </c>
      <c r="DH34">
        <f>ROUND(ROUND(AG34*AK34,2)*CX34,2)</f>
        <v>0</v>
      </c>
      <c r="DI34">
        <f t="shared" si="6"/>
        <v>0</v>
      </c>
      <c r="DJ34">
        <f>DG34</f>
        <v>5.52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ROW(Source!A45)</f>
        <v>45</v>
      </c>
      <c r="B35">
        <v>56616093</v>
      </c>
      <c r="C35">
        <v>56616538</v>
      </c>
      <c r="D35">
        <v>47767126</v>
      </c>
      <c r="E35">
        <v>1</v>
      </c>
      <c r="F35">
        <v>1</v>
      </c>
      <c r="G35">
        <v>27786564</v>
      </c>
      <c r="H35">
        <v>2</v>
      </c>
      <c r="I35" t="s">
        <v>461</v>
      </c>
      <c r="J35" t="s">
        <v>462</v>
      </c>
      <c r="K35" t="s">
        <v>463</v>
      </c>
      <c r="L35">
        <v>1368</v>
      </c>
      <c r="N35">
        <v>1011</v>
      </c>
      <c r="O35" t="s">
        <v>445</v>
      </c>
      <c r="P35" t="s">
        <v>445</v>
      </c>
      <c r="Q35">
        <v>1</v>
      </c>
      <c r="W35">
        <v>0</v>
      </c>
      <c r="X35">
        <v>-1899016018</v>
      </c>
      <c r="Y35">
        <f t="shared" si="10"/>
        <v>0.80300000000000005</v>
      </c>
      <c r="AA35">
        <v>0</v>
      </c>
      <c r="AB35">
        <v>1172.3900000000001</v>
      </c>
      <c r="AC35">
        <v>535.39</v>
      </c>
      <c r="AD35">
        <v>0</v>
      </c>
      <c r="AE35">
        <v>0</v>
      </c>
      <c r="AF35">
        <v>81.150000000000006</v>
      </c>
      <c r="AG35">
        <v>14.54</v>
      </c>
      <c r="AH35">
        <v>0</v>
      </c>
      <c r="AI35">
        <v>1</v>
      </c>
      <c r="AJ35">
        <v>13.54</v>
      </c>
      <c r="AK35">
        <v>34.51</v>
      </c>
      <c r="AL35">
        <v>1</v>
      </c>
      <c r="AM35">
        <v>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0.73</v>
      </c>
      <c r="AU35" t="s">
        <v>22</v>
      </c>
      <c r="AV35">
        <v>0</v>
      </c>
      <c r="AW35">
        <v>2</v>
      </c>
      <c r="AX35">
        <v>56616545</v>
      </c>
      <c r="AY35">
        <v>1</v>
      </c>
      <c r="AZ35">
        <v>0</v>
      </c>
      <c r="BA35">
        <v>34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f>ROUND(Y35*Source!I45*DO35,9)</f>
        <v>0</v>
      </c>
      <c r="CX35">
        <f>ROUND(Y35*Source!I45,9)</f>
        <v>4.2559E-2</v>
      </c>
      <c r="CY35">
        <f>AB35</f>
        <v>1172.3900000000001</v>
      </c>
      <c r="CZ35">
        <f>AF35</f>
        <v>81.150000000000006</v>
      </c>
      <c r="DA35">
        <f>AJ35</f>
        <v>13.54</v>
      </c>
      <c r="DB35">
        <f t="shared" si="11"/>
        <v>65.164000000000001</v>
      </c>
      <c r="DC35">
        <f t="shared" si="12"/>
        <v>11.670999999999999</v>
      </c>
      <c r="DD35" t="s">
        <v>3</v>
      </c>
      <c r="DE35" t="s">
        <v>3</v>
      </c>
      <c r="DF35">
        <f t="shared" si="9"/>
        <v>0</v>
      </c>
      <c r="DG35">
        <f>ROUND(ROUND(AF35*AJ35,2)*CX35,2)</f>
        <v>46.76</v>
      </c>
      <c r="DH35">
        <f>ROUND(ROUND(AG35*AK35,2)*CX35,2)</f>
        <v>21.36</v>
      </c>
      <c r="DI35">
        <f t="shared" si="6"/>
        <v>0</v>
      </c>
      <c r="DJ35">
        <f>DG35</f>
        <v>46.76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ROW(Source!A45)</f>
        <v>45</v>
      </c>
      <c r="B36">
        <v>56616093</v>
      </c>
      <c r="C36">
        <v>56616538</v>
      </c>
      <c r="D36">
        <v>47766454</v>
      </c>
      <c r="E36">
        <v>1</v>
      </c>
      <c r="F36">
        <v>1</v>
      </c>
      <c r="G36">
        <v>27786564</v>
      </c>
      <c r="H36">
        <v>2</v>
      </c>
      <c r="I36" t="s">
        <v>464</v>
      </c>
      <c r="J36" t="s">
        <v>465</v>
      </c>
      <c r="K36" t="s">
        <v>466</v>
      </c>
      <c r="L36">
        <v>1368</v>
      </c>
      <c r="N36">
        <v>1011</v>
      </c>
      <c r="O36" t="s">
        <v>445</v>
      </c>
      <c r="P36" t="s">
        <v>445</v>
      </c>
      <c r="Q36">
        <v>1</v>
      </c>
      <c r="W36">
        <v>0</v>
      </c>
      <c r="X36">
        <v>922387863</v>
      </c>
      <c r="Y36">
        <f t="shared" si="10"/>
        <v>1.1550000000000002</v>
      </c>
      <c r="AA36">
        <v>0</v>
      </c>
      <c r="AB36">
        <v>2190.86</v>
      </c>
      <c r="AC36">
        <v>623.4</v>
      </c>
      <c r="AD36">
        <v>0</v>
      </c>
      <c r="AE36">
        <v>0</v>
      </c>
      <c r="AF36">
        <v>179.17</v>
      </c>
      <c r="AG36">
        <v>16.93</v>
      </c>
      <c r="AH36">
        <v>0</v>
      </c>
      <c r="AI36">
        <v>1</v>
      </c>
      <c r="AJ36">
        <v>11.46</v>
      </c>
      <c r="AK36">
        <v>34.51</v>
      </c>
      <c r="AL36">
        <v>1</v>
      </c>
      <c r="AM36">
        <v>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1.05</v>
      </c>
      <c r="AU36" t="s">
        <v>22</v>
      </c>
      <c r="AV36">
        <v>0</v>
      </c>
      <c r="AW36">
        <v>2</v>
      </c>
      <c r="AX36">
        <v>56616546</v>
      </c>
      <c r="AY36">
        <v>1</v>
      </c>
      <c r="AZ36">
        <v>0</v>
      </c>
      <c r="BA36">
        <v>35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f>ROUND(Y36*Source!I45*DO36,9)</f>
        <v>0</v>
      </c>
      <c r="CX36">
        <f>ROUND(Y36*Source!I45,9)</f>
        <v>6.1214999999999999E-2</v>
      </c>
      <c r="CY36">
        <f>AB36</f>
        <v>2190.86</v>
      </c>
      <c r="CZ36">
        <f>AF36</f>
        <v>179.17</v>
      </c>
      <c r="DA36">
        <f>AJ36</f>
        <v>11.46</v>
      </c>
      <c r="DB36">
        <f t="shared" si="11"/>
        <v>206.94300000000001</v>
      </c>
      <c r="DC36">
        <f t="shared" si="12"/>
        <v>19.558</v>
      </c>
      <c r="DD36" t="s">
        <v>3</v>
      </c>
      <c r="DE36" t="s">
        <v>3</v>
      </c>
      <c r="DF36">
        <f t="shared" si="9"/>
        <v>0</v>
      </c>
      <c r="DG36">
        <f>ROUND(ROUND(AF36*AJ36,2)*CX36,2)</f>
        <v>125.69</v>
      </c>
      <c r="DH36">
        <f>ROUND(ROUND(AG36*AK36,2)*CX36,2)</f>
        <v>35.76</v>
      </c>
      <c r="DI36">
        <f t="shared" si="6"/>
        <v>0</v>
      </c>
      <c r="DJ36">
        <f>DG36</f>
        <v>125.69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ROW(Source!A46)</f>
        <v>46</v>
      </c>
      <c r="B37">
        <v>56622586</v>
      </c>
      <c r="C37">
        <v>56616548</v>
      </c>
      <c r="D37">
        <v>47634407</v>
      </c>
      <c r="E37">
        <v>27786564</v>
      </c>
      <c r="F37">
        <v>1</v>
      </c>
      <c r="G37">
        <v>27786564</v>
      </c>
      <c r="H37">
        <v>1</v>
      </c>
      <c r="I37" t="s">
        <v>439</v>
      </c>
      <c r="J37" t="s">
        <v>3</v>
      </c>
      <c r="K37" t="s">
        <v>440</v>
      </c>
      <c r="L37">
        <v>1191</v>
      </c>
      <c r="N37">
        <v>1013</v>
      </c>
      <c r="O37" t="s">
        <v>441</v>
      </c>
      <c r="P37" t="s">
        <v>441</v>
      </c>
      <c r="Q37">
        <v>1</v>
      </c>
      <c r="W37">
        <v>0</v>
      </c>
      <c r="X37">
        <v>476480486</v>
      </c>
      <c r="Y37">
        <f t="shared" si="10"/>
        <v>162.63500000000002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147.85</v>
      </c>
      <c r="AU37" t="s">
        <v>22</v>
      </c>
      <c r="AV37">
        <v>1</v>
      </c>
      <c r="AW37">
        <v>2</v>
      </c>
      <c r="AX37">
        <v>56616553</v>
      </c>
      <c r="AY37">
        <v>1</v>
      </c>
      <c r="AZ37">
        <v>0</v>
      </c>
      <c r="BA37">
        <v>37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ROUND(AT37*Source!I46*AH37*AL37,2)</f>
        <v>0</v>
      </c>
      <c r="CV37">
        <f>ROUND(Y37*Source!I46,9)</f>
        <v>0</v>
      </c>
      <c r="CW37">
        <v>0</v>
      </c>
      <c r="CX37">
        <f>ROUND(Y37*Source!I46,9)</f>
        <v>0</v>
      </c>
      <c r="CY37">
        <f>AD37</f>
        <v>0</v>
      </c>
      <c r="CZ37">
        <f>AH37</f>
        <v>0</v>
      </c>
      <c r="DA37">
        <f>AL37</f>
        <v>1</v>
      </c>
      <c r="DB37">
        <f t="shared" si="11"/>
        <v>0</v>
      </c>
      <c r="DC37">
        <f t="shared" si="12"/>
        <v>0</v>
      </c>
      <c r="DD37" t="s">
        <v>3</v>
      </c>
      <c r="DE37" t="s">
        <v>3</v>
      </c>
      <c r="DF37">
        <f t="shared" si="9"/>
        <v>0</v>
      </c>
      <c r="DG37">
        <f>ROUND(ROUND(AF37,2)*CX37,2)</f>
        <v>0</v>
      </c>
      <c r="DH37">
        <f>ROUND(ROUND(AG37,2)*CX37,2)</f>
        <v>0</v>
      </c>
      <c r="DI37">
        <f t="shared" si="6"/>
        <v>0</v>
      </c>
      <c r="DJ37">
        <f>DI37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ROW(Source!A46)</f>
        <v>46</v>
      </c>
      <c r="B38">
        <v>56622586</v>
      </c>
      <c r="C38">
        <v>56616548</v>
      </c>
      <c r="D38">
        <v>47767124</v>
      </c>
      <c r="E38">
        <v>1</v>
      </c>
      <c r="F38">
        <v>1</v>
      </c>
      <c r="G38">
        <v>27786564</v>
      </c>
      <c r="H38">
        <v>2</v>
      </c>
      <c r="I38" t="s">
        <v>458</v>
      </c>
      <c r="J38" t="s">
        <v>459</v>
      </c>
      <c r="K38" t="s">
        <v>460</v>
      </c>
      <c r="L38">
        <v>1368</v>
      </c>
      <c r="N38">
        <v>1011</v>
      </c>
      <c r="O38" t="s">
        <v>445</v>
      </c>
      <c r="P38" t="s">
        <v>445</v>
      </c>
      <c r="Q38">
        <v>1</v>
      </c>
      <c r="W38">
        <v>0</v>
      </c>
      <c r="X38">
        <v>-1320872807</v>
      </c>
      <c r="Y38">
        <f t="shared" si="10"/>
        <v>0.80300000000000005</v>
      </c>
      <c r="AA38">
        <v>0</v>
      </c>
      <c r="AB38">
        <v>15.54</v>
      </c>
      <c r="AC38">
        <v>0</v>
      </c>
      <c r="AD38">
        <v>0</v>
      </c>
      <c r="AE38">
        <v>0</v>
      </c>
      <c r="AF38">
        <v>15.54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0.73</v>
      </c>
      <c r="AU38" t="s">
        <v>22</v>
      </c>
      <c r="AV38">
        <v>0</v>
      </c>
      <c r="AW38">
        <v>2</v>
      </c>
      <c r="AX38">
        <v>56616554</v>
      </c>
      <c r="AY38">
        <v>1</v>
      </c>
      <c r="AZ38">
        <v>0</v>
      </c>
      <c r="BA38">
        <v>38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f>ROUND(Y38*Source!I46*DO38,9)</f>
        <v>0</v>
      </c>
      <c r="CX38">
        <f>ROUND(Y38*Source!I46,9)</f>
        <v>0</v>
      </c>
      <c r="CY38">
        <f>AB38</f>
        <v>15.54</v>
      </c>
      <c r="CZ38">
        <f>AF38</f>
        <v>15.54</v>
      </c>
      <c r="DA38">
        <f>AJ38</f>
        <v>1</v>
      </c>
      <c r="DB38">
        <f t="shared" si="11"/>
        <v>12.474</v>
      </c>
      <c r="DC38">
        <f t="shared" si="12"/>
        <v>0</v>
      </c>
      <c r="DD38" t="s">
        <v>3</v>
      </c>
      <c r="DE38" t="s">
        <v>3</v>
      </c>
      <c r="DF38">
        <f t="shared" si="9"/>
        <v>0</v>
      </c>
      <c r="DG38">
        <f>ROUND(ROUND(AF38,2)*CX38,2)</f>
        <v>0</v>
      </c>
      <c r="DH38">
        <f>ROUND(ROUND(AG38,2)*CX38,2)</f>
        <v>0</v>
      </c>
      <c r="DI38">
        <f t="shared" si="6"/>
        <v>0</v>
      </c>
      <c r="DJ38">
        <f>DG38</f>
        <v>0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ROW(Source!A46)</f>
        <v>46</v>
      </c>
      <c r="B39">
        <v>56622586</v>
      </c>
      <c r="C39">
        <v>56616548</v>
      </c>
      <c r="D39">
        <v>47767126</v>
      </c>
      <c r="E39">
        <v>1</v>
      </c>
      <c r="F39">
        <v>1</v>
      </c>
      <c r="G39">
        <v>27786564</v>
      </c>
      <c r="H39">
        <v>2</v>
      </c>
      <c r="I39" t="s">
        <v>461</v>
      </c>
      <c r="J39" t="s">
        <v>462</v>
      </c>
      <c r="K39" t="s">
        <v>463</v>
      </c>
      <c r="L39">
        <v>1368</v>
      </c>
      <c r="N39">
        <v>1011</v>
      </c>
      <c r="O39" t="s">
        <v>445</v>
      </c>
      <c r="P39" t="s">
        <v>445</v>
      </c>
      <c r="Q39">
        <v>1</v>
      </c>
      <c r="W39">
        <v>0</v>
      </c>
      <c r="X39">
        <v>-1899016018</v>
      </c>
      <c r="Y39">
        <f t="shared" si="10"/>
        <v>0.80300000000000005</v>
      </c>
      <c r="AA39">
        <v>0</v>
      </c>
      <c r="AB39">
        <v>81.150000000000006</v>
      </c>
      <c r="AC39">
        <v>14.54</v>
      </c>
      <c r="AD39">
        <v>0</v>
      </c>
      <c r="AE39">
        <v>0</v>
      </c>
      <c r="AF39">
        <v>81.150000000000006</v>
      </c>
      <c r="AG39">
        <v>14.54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0.73</v>
      </c>
      <c r="AU39" t="s">
        <v>22</v>
      </c>
      <c r="AV39">
        <v>0</v>
      </c>
      <c r="AW39">
        <v>2</v>
      </c>
      <c r="AX39">
        <v>56616555</v>
      </c>
      <c r="AY39">
        <v>1</v>
      </c>
      <c r="AZ39">
        <v>0</v>
      </c>
      <c r="BA39">
        <v>39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f>ROUND(Y39*Source!I46*DO39,9)</f>
        <v>0</v>
      </c>
      <c r="CX39">
        <f>ROUND(Y39*Source!I46,9)</f>
        <v>0</v>
      </c>
      <c r="CY39">
        <f>AB39</f>
        <v>81.150000000000006</v>
      </c>
      <c r="CZ39">
        <f>AF39</f>
        <v>81.150000000000006</v>
      </c>
      <c r="DA39">
        <f>AJ39</f>
        <v>1</v>
      </c>
      <c r="DB39">
        <f t="shared" si="11"/>
        <v>65.164000000000001</v>
      </c>
      <c r="DC39">
        <f t="shared" si="12"/>
        <v>11.670999999999999</v>
      </c>
      <c r="DD39" t="s">
        <v>3</v>
      </c>
      <c r="DE39" t="s">
        <v>3</v>
      </c>
      <c r="DF39">
        <f t="shared" si="9"/>
        <v>0</v>
      </c>
      <c r="DG39">
        <f>ROUND(ROUND(AF39,2)*CX39,2)</f>
        <v>0</v>
      </c>
      <c r="DH39">
        <f>ROUND(ROUND(AG39,2)*CX39,2)</f>
        <v>0</v>
      </c>
      <c r="DI39">
        <f t="shared" si="6"/>
        <v>0</v>
      </c>
      <c r="DJ39">
        <f>DG39</f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ROW(Source!A46)</f>
        <v>46</v>
      </c>
      <c r="B40">
        <v>56622586</v>
      </c>
      <c r="C40">
        <v>56616548</v>
      </c>
      <c r="D40">
        <v>47766454</v>
      </c>
      <c r="E40">
        <v>1</v>
      </c>
      <c r="F40">
        <v>1</v>
      </c>
      <c r="G40">
        <v>27786564</v>
      </c>
      <c r="H40">
        <v>2</v>
      </c>
      <c r="I40" t="s">
        <v>464</v>
      </c>
      <c r="J40" t="s">
        <v>465</v>
      </c>
      <c r="K40" t="s">
        <v>466</v>
      </c>
      <c r="L40">
        <v>1368</v>
      </c>
      <c r="N40">
        <v>1011</v>
      </c>
      <c r="O40" t="s">
        <v>445</v>
      </c>
      <c r="P40" t="s">
        <v>445</v>
      </c>
      <c r="Q40">
        <v>1</v>
      </c>
      <c r="W40">
        <v>0</v>
      </c>
      <c r="X40">
        <v>922387863</v>
      </c>
      <c r="Y40">
        <f t="shared" si="10"/>
        <v>1.1550000000000002</v>
      </c>
      <c r="AA40">
        <v>0</v>
      </c>
      <c r="AB40">
        <v>179.17</v>
      </c>
      <c r="AC40">
        <v>16.93</v>
      </c>
      <c r="AD40">
        <v>0</v>
      </c>
      <c r="AE40">
        <v>0</v>
      </c>
      <c r="AF40">
        <v>179.17</v>
      </c>
      <c r="AG40">
        <v>16.93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1.05</v>
      </c>
      <c r="AU40" t="s">
        <v>22</v>
      </c>
      <c r="AV40">
        <v>0</v>
      </c>
      <c r="AW40">
        <v>2</v>
      </c>
      <c r="AX40">
        <v>56616556</v>
      </c>
      <c r="AY40">
        <v>1</v>
      </c>
      <c r="AZ40">
        <v>0</v>
      </c>
      <c r="BA40">
        <v>40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f>ROUND(Y40*Source!I46*DO40,9)</f>
        <v>0</v>
      </c>
      <c r="CX40">
        <f>ROUND(Y40*Source!I46,9)</f>
        <v>0</v>
      </c>
      <c r="CY40">
        <f>AB40</f>
        <v>179.17</v>
      </c>
      <c r="CZ40">
        <f>AF40</f>
        <v>179.17</v>
      </c>
      <c r="DA40">
        <f>AJ40</f>
        <v>1</v>
      </c>
      <c r="DB40">
        <f t="shared" si="11"/>
        <v>206.94300000000001</v>
      </c>
      <c r="DC40">
        <f t="shared" si="12"/>
        <v>19.558</v>
      </c>
      <c r="DD40" t="s">
        <v>3</v>
      </c>
      <c r="DE40" t="s">
        <v>3</v>
      </c>
      <c r="DF40">
        <f t="shared" si="9"/>
        <v>0</v>
      </c>
      <c r="DG40">
        <f>ROUND(ROUND(AF40,2)*CX40,2)</f>
        <v>0</v>
      </c>
      <c r="DH40">
        <f>ROUND(ROUND(AG40,2)*CX40,2)</f>
        <v>0</v>
      </c>
      <c r="DI40">
        <f t="shared" si="6"/>
        <v>0</v>
      </c>
      <c r="DJ40">
        <f>DG40</f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ROW(Source!A47)</f>
        <v>47</v>
      </c>
      <c r="B41">
        <v>56616093</v>
      </c>
      <c r="C41">
        <v>56616548</v>
      </c>
      <c r="D41">
        <v>47634407</v>
      </c>
      <c r="E41">
        <v>27786564</v>
      </c>
      <c r="F41">
        <v>1</v>
      </c>
      <c r="G41">
        <v>27786564</v>
      </c>
      <c r="H41">
        <v>1</v>
      </c>
      <c r="I41" t="s">
        <v>439</v>
      </c>
      <c r="J41" t="s">
        <v>3</v>
      </c>
      <c r="K41" t="s">
        <v>440</v>
      </c>
      <c r="L41">
        <v>1191</v>
      </c>
      <c r="N41">
        <v>1013</v>
      </c>
      <c r="O41" t="s">
        <v>441</v>
      </c>
      <c r="P41" t="s">
        <v>441</v>
      </c>
      <c r="Q41">
        <v>1</v>
      </c>
      <c r="W41">
        <v>0</v>
      </c>
      <c r="X41">
        <v>476480486</v>
      </c>
      <c r="Y41">
        <f t="shared" si="10"/>
        <v>162.63500000000002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147.85</v>
      </c>
      <c r="AU41" t="s">
        <v>22</v>
      </c>
      <c r="AV41">
        <v>1</v>
      </c>
      <c r="AW41">
        <v>2</v>
      </c>
      <c r="AX41">
        <v>56616553</v>
      </c>
      <c r="AY41">
        <v>1</v>
      </c>
      <c r="AZ41">
        <v>0</v>
      </c>
      <c r="BA41">
        <v>42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U41">
        <f>ROUND(AT41*Source!I47*AH41*AL41,2)</f>
        <v>0</v>
      </c>
      <c r="CV41">
        <f>ROUND(Y41*Source!I47,9)</f>
        <v>0</v>
      </c>
      <c r="CW41">
        <v>0</v>
      </c>
      <c r="CX41">
        <f>ROUND(Y41*Source!I47,9)</f>
        <v>0</v>
      </c>
      <c r="CY41">
        <f>AD41</f>
        <v>0</v>
      </c>
      <c r="CZ41">
        <f>AH41</f>
        <v>0</v>
      </c>
      <c r="DA41">
        <f>AL41</f>
        <v>1</v>
      </c>
      <c r="DB41">
        <f t="shared" si="11"/>
        <v>0</v>
      </c>
      <c r="DC41">
        <f t="shared" si="12"/>
        <v>0</v>
      </c>
      <c r="DD41" t="s">
        <v>3</v>
      </c>
      <c r="DE41" t="s">
        <v>3</v>
      </c>
      <c r="DF41">
        <f t="shared" si="9"/>
        <v>0</v>
      </c>
      <c r="DG41">
        <f>ROUND(ROUND(AF41,2)*CX41,2)</f>
        <v>0</v>
      </c>
      <c r="DH41">
        <f>ROUND(ROUND(AG41,2)*CX41,2)</f>
        <v>0</v>
      </c>
      <c r="DI41">
        <f t="shared" si="6"/>
        <v>0</v>
      </c>
      <c r="DJ41">
        <f>DI41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ROW(Source!A47)</f>
        <v>47</v>
      </c>
      <c r="B42">
        <v>56616093</v>
      </c>
      <c r="C42">
        <v>56616548</v>
      </c>
      <c r="D42">
        <v>47767124</v>
      </c>
      <c r="E42">
        <v>1</v>
      </c>
      <c r="F42">
        <v>1</v>
      </c>
      <c r="G42">
        <v>27786564</v>
      </c>
      <c r="H42">
        <v>2</v>
      </c>
      <c r="I42" t="s">
        <v>458</v>
      </c>
      <c r="J42" t="s">
        <v>459</v>
      </c>
      <c r="K42" t="s">
        <v>460</v>
      </c>
      <c r="L42">
        <v>1368</v>
      </c>
      <c r="N42">
        <v>1011</v>
      </c>
      <c r="O42" t="s">
        <v>445</v>
      </c>
      <c r="P42" t="s">
        <v>445</v>
      </c>
      <c r="Q42">
        <v>1</v>
      </c>
      <c r="W42">
        <v>0</v>
      </c>
      <c r="X42">
        <v>-1320872807</v>
      </c>
      <c r="Y42">
        <f t="shared" si="10"/>
        <v>0.80300000000000005</v>
      </c>
      <c r="AA42">
        <v>0</v>
      </c>
      <c r="AB42">
        <v>138.44999999999999</v>
      </c>
      <c r="AC42">
        <v>0</v>
      </c>
      <c r="AD42">
        <v>0</v>
      </c>
      <c r="AE42">
        <v>0</v>
      </c>
      <c r="AF42">
        <v>15.54</v>
      </c>
      <c r="AG42">
        <v>0</v>
      </c>
      <c r="AH42">
        <v>0</v>
      </c>
      <c r="AI42">
        <v>1</v>
      </c>
      <c r="AJ42">
        <v>8.35</v>
      </c>
      <c r="AK42">
        <v>34.51</v>
      </c>
      <c r="AL42">
        <v>1</v>
      </c>
      <c r="AM42">
        <v>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0.73</v>
      </c>
      <c r="AU42" t="s">
        <v>22</v>
      </c>
      <c r="AV42">
        <v>0</v>
      </c>
      <c r="AW42">
        <v>2</v>
      </c>
      <c r="AX42">
        <v>56616554</v>
      </c>
      <c r="AY42">
        <v>1</v>
      </c>
      <c r="AZ42">
        <v>0</v>
      </c>
      <c r="BA42">
        <v>43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f>ROUND(Y42*Source!I47*DO42,9)</f>
        <v>0</v>
      </c>
      <c r="CX42">
        <f>ROUND(Y42*Source!I47,9)</f>
        <v>0</v>
      </c>
      <c r="CY42">
        <f>AB42</f>
        <v>138.44999999999999</v>
      </c>
      <c r="CZ42">
        <f>AF42</f>
        <v>15.54</v>
      </c>
      <c r="DA42">
        <f>AJ42</f>
        <v>8.35</v>
      </c>
      <c r="DB42">
        <f t="shared" si="11"/>
        <v>12.474</v>
      </c>
      <c r="DC42">
        <f t="shared" si="12"/>
        <v>0</v>
      </c>
      <c r="DD42" t="s">
        <v>3</v>
      </c>
      <c r="DE42" t="s">
        <v>3</v>
      </c>
      <c r="DF42">
        <f t="shared" si="9"/>
        <v>0</v>
      </c>
      <c r="DG42">
        <f>ROUND(ROUND(AF42*AJ42,2)*CX42,2)</f>
        <v>0</v>
      </c>
      <c r="DH42">
        <f>ROUND(ROUND(AG42*AK42,2)*CX42,2)</f>
        <v>0</v>
      </c>
      <c r="DI42">
        <f t="shared" si="6"/>
        <v>0</v>
      </c>
      <c r="DJ42">
        <f>DG42</f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ROW(Source!A47)</f>
        <v>47</v>
      </c>
      <c r="B43">
        <v>56616093</v>
      </c>
      <c r="C43">
        <v>56616548</v>
      </c>
      <c r="D43">
        <v>47767126</v>
      </c>
      <c r="E43">
        <v>1</v>
      </c>
      <c r="F43">
        <v>1</v>
      </c>
      <c r="G43">
        <v>27786564</v>
      </c>
      <c r="H43">
        <v>2</v>
      </c>
      <c r="I43" t="s">
        <v>461</v>
      </c>
      <c r="J43" t="s">
        <v>462</v>
      </c>
      <c r="K43" t="s">
        <v>463</v>
      </c>
      <c r="L43">
        <v>1368</v>
      </c>
      <c r="N43">
        <v>1011</v>
      </c>
      <c r="O43" t="s">
        <v>445</v>
      </c>
      <c r="P43" t="s">
        <v>445</v>
      </c>
      <c r="Q43">
        <v>1</v>
      </c>
      <c r="W43">
        <v>0</v>
      </c>
      <c r="X43">
        <v>-1899016018</v>
      </c>
      <c r="Y43">
        <f t="shared" si="10"/>
        <v>0.80300000000000005</v>
      </c>
      <c r="AA43">
        <v>0</v>
      </c>
      <c r="AB43">
        <v>1172.3900000000001</v>
      </c>
      <c r="AC43">
        <v>535.39</v>
      </c>
      <c r="AD43">
        <v>0</v>
      </c>
      <c r="AE43">
        <v>0</v>
      </c>
      <c r="AF43">
        <v>81.150000000000006</v>
      </c>
      <c r="AG43">
        <v>14.54</v>
      </c>
      <c r="AH43">
        <v>0</v>
      </c>
      <c r="AI43">
        <v>1</v>
      </c>
      <c r="AJ43">
        <v>13.54</v>
      </c>
      <c r="AK43">
        <v>34.51</v>
      </c>
      <c r="AL43">
        <v>1</v>
      </c>
      <c r="AM43">
        <v>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0.73</v>
      </c>
      <c r="AU43" t="s">
        <v>22</v>
      </c>
      <c r="AV43">
        <v>0</v>
      </c>
      <c r="AW43">
        <v>2</v>
      </c>
      <c r="AX43">
        <v>56616555</v>
      </c>
      <c r="AY43">
        <v>1</v>
      </c>
      <c r="AZ43">
        <v>0</v>
      </c>
      <c r="BA43">
        <v>44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f>ROUND(Y43*Source!I47*DO43,9)</f>
        <v>0</v>
      </c>
      <c r="CX43">
        <f>ROUND(Y43*Source!I47,9)</f>
        <v>0</v>
      </c>
      <c r="CY43">
        <f>AB43</f>
        <v>1172.3900000000001</v>
      </c>
      <c r="CZ43">
        <f>AF43</f>
        <v>81.150000000000006</v>
      </c>
      <c r="DA43">
        <f>AJ43</f>
        <v>13.54</v>
      </c>
      <c r="DB43">
        <f t="shared" si="11"/>
        <v>65.164000000000001</v>
      </c>
      <c r="DC43">
        <f t="shared" si="12"/>
        <v>11.670999999999999</v>
      </c>
      <c r="DD43" t="s">
        <v>3</v>
      </c>
      <c r="DE43" t="s">
        <v>3</v>
      </c>
      <c r="DF43">
        <f t="shared" si="9"/>
        <v>0</v>
      </c>
      <c r="DG43">
        <f>ROUND(ROUND(AF43*AJ43,2)*CX43,2)</f>
        <v>0</v>
      </c>
      <c r="DH43">
        <f>ROUND(ROUND(AG43*AK43,2)*CX43,2)</f>
        <v>0</v>
      </c>
      <c r="DI43">
        <f t="shared" si="6"/>
        <v>0</v>
      </c>
      <c r="DJ43">
        <f>DG43</f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ROW(Source!A47)</f>
        <v>47</v>
      </c>
      <c r="B44">
        <v>56616093</v>
      </c>
      <c r="C44">
        <v>56616548</v>
      </c>
      <c r="D44">
        <v>47766454</v>
      </c>
      <c r="E44">
        <v>1</v>
      </c>
      <c r="F44">
        <v>1</v>
      </c>
      <c r="G44">
        <v>27786564</v>
      </c>
      <c r="H44">
        <v>2</v>
      </c>
      <c r="I44" t="s">
        <v>464</v>
      </c>
      <c r="J44" t="s">
        <v>465</v>
      </c>
      <c r="K44" t="s">
        <v>466</v>
      </c>
      <c r="L44">
        <v>1368</v>
      </c>
      <c r="N44">
        <v>1011</v>
      </c>
      <c r="O44" t="s">
        <v>445</v>
      </c>
      <c r="P44" t="s">
        <v>445</v>
      </c>
      <c r="Q44">
        <v>1</v>
      </c>
      <c r="W44">
        <v>0</v>
      </c>
      <c r="X44">
        <v>922387863</v>
      </c>
      <c r="Y44">
        <f t="shared" si="10"/>
        <v>1.1550000000000002</v>
      </c>
      <c r="AA44">
        <v>0</v>
      </c>
      <c r="AB44">
        <v>2190.86</v>
      </c>
      <c r="AC44">
        <v>623.4</v>
      </c>
      <c r="AD44">
        <v>0</v>
      </c>
      <c r="AE44">
        <v>0</v>
      </c>
      <c r="AF44">
        <v>179.17</v>
      </c>
      <c r="AG44">
        <v>16.93</v>
      </c>
      <c r="AH44">
        <v>0</v>
      </c>
      <c r="AI44">
        <v>1</v>
      </c>
      <c r="AJ44">
        <v>11.46</v>
      </c>
      <c r="AK44">
        <v>34.51</v>
      </c>
      <c r="AL44">
        <v>1</v>
      </c>
      <c r="AM44">
        <v>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1.05</v>
      </c>
      <c r="AU44" t="s">
        <v>22</v>
      </c>
      <c r="AV44">
        <v>0</v>
      </c>
      <c r="AW44">
        <v>2</v>
      </c>
      <c r="AX44">
        <v>56616556</v>
      </c>
      <c r="AY44">
        <v>1</v>
      </c>
      <c r="AZ44">
        <v>0</v>
      </c>
      <c r="BA44">
        <v>45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f>ROUND(Y44*Source!I47*DO44,9)</f>
        <v>0</v>
      </c>
      <c r="CX44">
        <f>ROUND(Y44*Source!I47,9)</f>
        <v>0</v>
      </c>
      <c r="CY44">
        <f>AB44</f>
        <v>2190.86</v>
      </c>
      <c r="CZ44">
        <f>AF44</f>
        <v>179.17</v>
      </c>
      <c r="DA44">
        <f>AJ44</f>
        <v>11.46</v>
      </c>
      <c r="DB44">
        <f t="shared" si="11"/>
        <v>206.94300000000001</v>
      </c>
      <c r="DC44">
        <f t="shared" si="12"/>
        <v>19.558</v>
      </c>
      <c r="DD44" t="s">
        <v>3</v>
      </c>
      <c r="DE44" t="s">
        <v>3</v>
      </c>
      <c r="DF44">
        <f t="shared" si="9"/>
        <v>0</v>
      </c>
      <c r="DG44">
        <f>ROUND(ROUND(AF44*AJ44,2)*CX44,2)</f>
        <v>0</v>
      </c>
      <c r="DH44">
        <f>ROUND(ROUND(AG44*AK44,2)*CX44,2)</f>
        <v>0</v>
      </c>
      <c r="DI44">
        <f t="shared" si="6"/>
        <v>0</v>
      </c>
      <c r="DJ44">
        <f>DG44</f>
        <v>0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ROW(Source!A48)</f>
        <v>48</v>
      </c>
      <c r="B45">
        <v>56622586</v>
      </c>
      <c r="C45">
        <v>56616558</v>
      </c>
      <c r="D45">
        <v>47634407</v>
      </c>
      <c r="E45">
        <v>27786564</v>
      </c>
      <c r="F45">
        <v>1</v>
      </c>
      <c r="G45">
        <v>27786564</v>
      </c>
      <c r="H45">
        <v>1</v>
      </c>
      <c r="I45" t="s">
        <v>439</v>
      </c>
      <c r="J45" t="s">
        <v>3</v>
      </c>
      <c r="K45" t="s">
        <v>440</v>
      </c>
      <c r="L45">
        <v>1191</v>
      </c>
      <c r="N45">
        <v>1013</v>
      </c>
      <c r="O45" t="s">
        <v>441</v>
      </c>
      <c r="P45" t="s">
        <v>441</v>
      </c>
      <c r="Q45">
        <v>1</v>
      </c>
      <c r="W45">
        <v>0</v>
      </c>
      <c r="X45">
        <v>476480486</v>
      </c>
      <c r="Y45">
        <f t="shared" si="10"/>
        <v>118.58000000000001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107.8</v>
      </c>
      <c r="AU45" t="s">
        <v>22</v>
      </c>
      <c r="AV45">
        <v>1</v>
      </c>
      <c r="AW45">
        <v>2</v>
      </c>
      <c r="AX45">
        <v>56616564</v>
      </c>
      <c r="AY45">
        <v>1</v>
      </c>
      <c r="AZ45">
        <v>0</v>
      </c>
      <c r="BA45">
        <v>47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U45">
        <f>ROUND(AT45*Source!I48*AH45*AL45,2)</f>
        <v>0</v>
      </c>
      <c r="CV45">
        <f>ROUND(Y45*Source!I48,9)</f>
        <v>40.3172</v>
      </c>
      <c r="CW45">
        <v>0</v>
      </c>
      <c r="CX45">
        <f>ROUND(Y45*Source!I48,9)</f>
        <v>40.3172</v>
      </c>
      <c r="CY45">
        <f>AD45</f>
        <v>0</v>
      </c>
      <c r="CZ45">
        <f>AH45</f>
        <v>0</v>
      </c>
      <c r="DA45">
        <f>AL45</f>
        <v>1</v>
      </c>
      <c r="DB45">
        <f t="shared" si="11"/>
        <v>0</v>
      </c>
      <c r="DC45">
        <f t="shared" si="12"/>
        <v>0</v>
      </c>
      <c r="DD45" t="s">
        <v>3</v>
      </c>
      <c r="DE45" t="s">
        <v>3</v>
      </c>
      <c r="DF45">
        <f t="shared" si="9"/>
        <v>0</v>
      </c>
      <c r="DG45">
        <f t="shared" ref="DG45:DG50" si="13">ROUND(ROUND(AF45,2)*CX45,2)</f>
        <v>0</v>
      </c>
      <c r="DH45">
        <f t="shared" ref="DH45:DH50" si="14">ROUND(ROUND(AG45,2)*CX45,2)</f>
        <v>0</v>
      </c>
      <c r="DI45">
        <f t="shared" si="6"/>
        <v>0</v>
      </c>
      <c r="DJ45">
        <f>DI45</f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ROW(Source!A48)</f>
        <v>48</v>
      </c>
      <c r="B46">
        <v>56622586</v>
      </c>
      <c r="C46">
        <v>56616558</v>
      </c>
      <c r="D46">
        <v>47767124</v>
      </c>
      <c r="E46">
        <v>1</v>
      </c>
      <c r="F46">
        <v>1</v>
      </c>
      <c r="G46">
        <v>27786564</v>
      </c>
      <c r="H46">
        <v>2</v>
      </c>
      <c r="I46" t="s">
        <v>458</v>
      </c>
      <c r="J46" t="s">
        <v>459</v>
      </c>
      <c r="K46" t="s">
        <v>460</v>
      </c>
      <c r="L46">
        <v>1368</v>
      </c>
      <c r="N46">
        <v>1011</v>
      </c>
      <c r="O46" t="s">
        <v>445</v>
      </c>
      <c r="P46" t="s">
        <v>445</v>
      </c>
      <c r="Q46">
        <v>1</v>
      </c>
      <c r="W46">
        <v>0</v>
      </c>
      <c r="X46">
        <v>-1320872807</v>
      </c>
      <c r="Y46">
        <f t="shared" si="10"/>
        <v>0.79200000000000004</v>
      </c>
      <c r="AA46">
        <v>0</v>
      </c>
      <c r="AB46">
        <v>15.54</v>
      </c>
      <c r="AC46">
        <v>0</v>
      </c>
      <c r="AD46">
        <v>0</v>
      </c>
      <c r="AE46">
        <v>0</v>
      </c>
      <c r="AF46">
        <v>15.54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0.72</v>
      </c>
      <c r="AU46" t="s">
        <v>22</v>
      </c>
      <c r="AV46">
        <v>0</v>
      </c>
      <c r="AW46">
        <v>2</v>
      </c>
      <c r="AX46">
        <v>56616565</v>
      </c>
      <c r="AY46">
        <v>1</v>
      </c>
      <c r="AZ46">
        <v>0</v>
      </c>
      <c r="BA46">
        <v>48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f>ROUND(Y46*Source!I48*DO46,9)</f>
        <v>0</v>
      </c>
      <c r="CX46">
        <f>ROUND(Y46*Source!I48,9)</f>
        <v>0.26928000000000002</v>
      </c>
      <c r="CY46">
        <f>AB46</f>
        <v>15.54</v>
      </c>
      <c r="CZ46">
        <f>AF46</f>
        <v>15.54</v>
      </c>
      <c r="DA46">
        <f>AJ46</f>
        <v>1</v>
      </c>
      <c r="DB46">
        <f t="shared" si="11"/>
        <v>12.308999999999999</v>
      </c>
      <c r="DC46">
        <f t="shared" si="12"/>
        <v>0</v>
      </c>
      <c r="DD46" t="s">
        <v>3</v>
      </c>
      <c r="DE46" t="s">
        <v>3</v>
      </c>
      <c r="DF46">
        <f t="shared" si="9"/>
        <v>0</v>
      </c>
      <c r="DG46">
        <f t="shared" si="13"/>
        <v>4.18</v>
      </c>
      <c r="DH46">
        <f t="shared" si="14"/>
        <v>0</v>
      </c>
      <c r="DI46">
        <f t="shared" si="6"/>
        <v>0</v>
      </c>
      <c r="DJ46">
        <f>DG46</f>
        <v>4.18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ROW(Source!A48)</f>
        <v>48</v>
      </c>
      <c r="B47">
        <v>56622586</v>
      </c>
      <c r="C47">
        <v>56616558</v>
      </c>
      <c r="D47">
        <v>47767126</v>
      </c>
      <c r="E47">
        <v>1</v>
      </c>
      <c r="F47">
        <v>1</v>
      </c>
      <c r="G47">
        <v>27786564</v>
      </c>
      <c r="H47">
        <v>2</v>
      </c>
      <c r="I47" t="s">
        <v>461</v>
      </c>
      <c r="J47" t="s">
        <v>462</v>
      </c>
      <c r="K47" t="s">
        <v>463</v>
      </c>
      <c r="L47">
        <v>1368</v>
      </c>
      <c r="N47">
        <v>1011</v>
      </c>
      <c r="O47" t="s">
        <v>445</v>
      </c>
      <c r="P47" t="s">
        <v>445</v>
      </c>
      <c r="Q47">
        <v>1</v>
      </c>
      <c r="W47">
        <v>0</v>
      </c>
      <c r="X47">
        <v>-1899016018</v>
      </c>
      <c r="Y47">
        <f t="shared" si="10"/>
        <v>0.79200000000000004</v>
      </c>
      <c r="AA47">
        <v>0</v>
      </c>
      <c r="AB47">
        <v>81.150000000000006</v>
      </c>
      <c r="AC47">
        <v>14.54</v>
      </c>
      <c r="AD47">
        <v>0</v>
      </c>
      <c r="AE47">
        <v>0</v>
      </c>
      <c r="AF47">
        <v>81.150000000000006</v>
      </c>
      <c r="AG47">
        <v>14.54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0.72</v>
      </c>
      <c r="AU47" t="s">
        <v>22</v>
      </c>
      <c r="AV47">
        <v>0</v>
      </c>
      <c r="AW47">
        <v>2</v>
      </c>
      <c r="AX47">
        <v>56616566</v>
      </c>
      <c r="AY47">
        <v>1</v>
      </c>
      <c r="AZ47">
        <v>0</v>
      </c>
      <c r="BA47">
        <v>49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f>ROUND(Y47*Source!I48*DO47,9)</f>
        <v>0</v>
      </c>
      <c r="CX47">
        <f>ROUND(Y47*Source!I48,9)</f>
        <v>0.26928000000000002</v>
      </c>
      <c r="CY47">
        <f>AB47</f>
        <v>81.150000000000006</v>
      </c>
      <c r="CZ47">
        <f>AF47</f>
        <v>81.150000000000006</v>
      </c>
      <c r="DA47">
        <f>AJ47</f>
        <v>1</v>
      </c>
      <c r="DB47">
        <f t="shared" si="11"/>
        <v>64.272999999999996</v>
      </c>
      <c r="DC47">
        <f t="shared" si="12"/>
        <v>11.516999999999999</v>
      </c>
      <c r="DD47" t="s">
        <v>3</v>
      </c>
      <c r="DE47" t="s">
        <v>3</v>
      </c>
      <c r="DF47">
        <f t="shared" si="9"/>
        <v>0</v>
      </c>
      <c r="DG47">
        <f t="shared" si="13"/>
        <v>21.85</v>
      </c>
      <c r="DH47">
        <f t="shared" si="14"/>
        <v>3.92</v>
      </c>
      <c r="DI47">
        <f t="shared" si="6"/>
        <v>0</v>
      </c>
      <c r="DJ47">
        <f>DG47</f>
        <v>21.85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ROW(Source!A48)</f>
        <v>48</v>
      </c>
      <c r="B48">
        <v>56622586</v>
      </c>
      <c r="C48">
        <v>56616558</v>
      </c>
      <c r="D48">
        <v>47766454</v>
      </c>
      <c r="E48">
        <v>1</v>
      </c>
      <c r="F48">
        <v>1</v>
      </c>
      <c r="G48">
        <v>27786564</v>
      </c>
      <c r="H48">
        <v>2</v>
      </c>
      <c r="I48" t="s">
        <v>464</v>
      </c>
      <c r="J48" t="s">
        <v>465</v>
      </c>
      <c r="K48" t="s">
        <v>466</v>
      </c>
      <c r="L48">
        <v>1368</v>
      </c>
      <c r="N48">
        <v>1011</v>
      </c>
      <c r="O48" t="s">
        <v>445</v>
      </c>
      <c r="P48" t="s">
        <v>445</v>
      </c>
      <c r="Q48">
        <v>1</v>
      </c>
      <c r="W48">
        <v>0</v>
      </c>
      <c r="X48">
        <v>922387863</v>
      </c>
      <c r="Y48">
        <f t="shared" si="10"/>
        <v>1.1440000000000001</v>
      </c>
      <c r="AA48">
        <v>0</v>
      </c>
      <c r="AB48">
        <v>179.17</v>
      </c>
      <c r="AC48">
        <v>16.93</v>
      </c>
      <c r="AD48">
        <v>0</v>
      </c>
      <c r="AE48">
        <v>0</v>
      </c>
      <c r="AF48">
        <v>179.17</v>
      </c>
      <c r="AG48">
        <v>16.93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1.04</v>
      </c>
      <c r="AU48" t="s">
        <v>22</v>
      </c>
      <c r="AV48">
        <v>0</v>
      </c>
      <c r="AW48">
        <v>2</v>
      </c>
      <c r="AX48">
        <v>56616567</v>
      </c>
      <c r="AY48">
        <v>1</v>
      </c>
      <c r="AZ48">
        <v>0</v>
      </c>
      <c r="BA48">
        <v>50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f>ROUND(Y48*Source!I48*DO48,9)</f>
        <v>0</v>
      </c>
      <c r="CX48">
        <f>ROUND(Y48*Source!I48,9)</f>
        <v>0.38895999999999997</v>
      </c>
      <c r="CY48">
        <f>AB48</f>
        <v>179.17</v>
      </c>
      <c r="CZ48">
        <f>AF48</f>
        <v>179.17</v>
      </c>
      <c r="DA48">
        <f>AJ48</f>
        <v>1</v>
      </c>
      <c r="DB48">
        <f t="shared" si="11"/>
        <v>204.97399999999999</v>
      </c>
      <c r="DC48">
        <f t="shared" si="12"/>
        <v>19.370999999999999</v>
      </c>
      <c r="DD48" t="s">
        <v>3</v>
      </c>
      <c r="DE48" t="s">
        <v>3</v>
      </c>
      <c r="DF48">
        <f t="shared" si="9"/>
        <v>0</v>
      </c>
      <c r="DG48">
        <f t="shared" si="13"/>
        <v>69.69</v>
      </c>
      <c r="DH48">
        <f t="shared" si="14"/>
        <v>6.59</v>
      </c>
      <c r="DI48">
        <f t="shared" si="6"/>
        <v>0</v>
      </c>
      <c r="DJ48">
        <f>DG48</f>
        <v>69.69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ROW(Source!A48)</f>
        <v>48</v>
      </c>
      <c r="B49">
        <v>56622586</v>
      </c>
      <c r="C49">
        <v>56616558</v>
      </c>
      <c r="D49">
        <v>47634960</v>
      </c>
      <c r="E49">
        <v>27786564</v>
      </c>
      <c r="F49">
        <v>1</v>
      </c>
      <c r="G49">
        <v>27786564</v>
      </c>
      <c r="H49">
        <v>2</v>
      </c>
      <c r="I49" t="s">
        <v>449</v>
      </c>
      <c r="J49" t="s">
        <v>3</v>
      </c>
      <c r="K49" t="s">
        <v>450</v>
      </c>
      <c r="L49">
        <v>1344</v>
      </c>
      <c r="N49">
        <v>1008</v>
      </c>
      <c r="O49" t="s">
        <v>451</v>
      </c>
      <c r="P49" t="s">
        <v>451</v>
      </c>
      <c r="Q49">
        <v>1</v>
      </c>
      <c r="W49">
        <v>0</v>
      </c>
      <c r="X49">
        <v>-1180195794</v>
      </c>
      <c r="Y49">
        <f t="shared" si="10"/>
        <v>2.2000000000000002E-2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0.02</v>
      </c>
      <c r="AU49" t="s">
        <v>22</v>
      </c>
      <c r="AV49">
        <v>0</v>
      </c>
      <c r="AW49">
        <v>2</v>
      </c>
      <c r="AX49">
        <v>56616568</v>
      </c>
      <c r="AY49">
        <v>1</v>
      </c>
      <c r="AZ49">
        <v>0</v>
      </c>
      <c r="BA49">
        <v>51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f>ROUND(Y49*Source!I48*DO49,9)</f>
        <v>0</v>
      </c>
      <c r="CX49">
        <f>ROUND(Y49*Source!I48,9)</f>
        <v>7.4799999999999997E-3</v>
      </c>
      <c r="CY49">
        <f>AB49</f>
        <v>1</v>
      </c>
      <c r="CZ49">
        <f>AF49</f>
        <v>1</v>
      </c>
      <c r="DA49">
        <f>AJ49</f>
        <v>1</v>
      </c>
      <c r="DB49">
        <f t="shared" si="11"/>
        <v>2.1999999999999999E-2</v>
      </c>
      <c r="DC49">
        <f t="shared" si="12"/>
        <v>0</v>
      </c>
      <c r="DD49" t="s">
        <v>3</v>
      </c>
      <c r="DE49" t="s">
        <v>3</v>
      </c>
      <c r="DF49">
        <f t="shared" si="9"/>
        <v>0</v>
      </c>
      <c r="DG49">
        <f t="shared" si="13"/>
        <v>0.01</v>
      </c>
      <c r="DH49">
        <f t="shared" si="14"/>
        <v>0</v>
      </c>
      <c r="DI49">
        <f t="shared" si="6"/>
        <v>0</v>
      </c>
      <c r="DJ49">
        <f>DG49</f>
        <v>0.01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ROW(Source!A49)</f>
        <v>49</v>
      </c>
      <c r="B50">
        <v>56616093</v>
      </c>
      <c r="C50">
        <v>56616558</v>
      </c>
      <c r="D50">
        <v>47634407</v>
      </c>
      <c r="E50">
        <v>27786564</v>
      </c>
      <c r="F50">
        <v>1</v>
      </c>
      <c r="G50">
        <v>27786564</v>
      </c>
      <c r="H50">
        <v>1</v>
      </c>
      <c r="I50" t="s">
        <v>439</v>
      </c>
      <c r="J50" t="s">
        <v>3</v>
      </c>
      <c r="K50" t="s">
        <v>440</v>
      </c>
      <c r="L50">
        <v>1191</v>
      </c>
      <c r="N50">
        <v>1013</v>
      </c>
      <c r="O50" t="s">
        <v>441</v>
      </c>
      <c r="P50" t="s">
        <v>441</v>
      </c>
      <c r="Q50">
        <v>1</v>
      </c>
      <c r="W50">
        <v>0</v>
      </c>
      <c r="X50">
        <v>476480486</v>
      </c>
      <c r="Y50">
        <f t="shared" si="10"/>
        <v>118.58000000000001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107.8</v>
      </c>
      <c r="AU50" t="s">
        <v>22</v>
      </c>
      <c r="AV50">
        <v>1</v>
      </c>
      <c r="AW50">
        <v>2</v>
      </c>
      <c r="AX50">
        <v>56616564</v>
      </c>
      <c r="AY50">
        <v>1</v>
      </c>
      <c r="AZ50">
        <v>0</v>
      </c>
      <c r="BA50">
        <v>53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U50">
        <f>ROUND(AT50*Source!I49*AH50*AL50,2)</f>
        <v>0</v>
      </c>
      <c r="CV50">
        <f>ROUND(Y50*Source!I49,9)</f>
        <v>40.3172</v>
      </c>
      <c r="CW50">
        <v>0</v>
      </c>
      <c r="CX50">
        <f>ROUND(Y50*Source!I49,9)</f>
        <v>40.3172</v>
      </c>
      <c r="CY50">
        <f>AD50</f>
        <v>0</v>
      </c>
      <c r="CZ50">
        <f>AH50</f>
        <v>0</v>
      </c>
      <c r="DA50">
        <f>AL50</f>
        <v>1</v>
      </c>
      <c r="DB50">
        <f t="shared" si="11"/>
        <v>0</v>
      </c>
      <c r="DC50">
        <f t="shared" si="12"/>
        <v>0</v>
      </c>
      <c r="DD50" t="s">
        <v>3</v>
      </c>
      <c r="DE50" t="s">
        <v>3</v>
      </c>
      <c r="DF50">
        <f t="shared" si="9"/>
        <v>0</v>
      </c>
      <c r="DG50">
        <f t="shared" si="13"/>
        <v>0</v>
      </c>
      <c r="DH50">
        <f t="shared" si="14"/>
        <v>0</v>
      </c>
      <c r="DI50">
        <f t="shared" si="6"/>
        <v>0</v>
      </c>
      <c r="DJ50">
        <f>DI50</f>
        <v>0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ROW(Source!A49)</f>
        <v>49</v>
      </c>
      <c r="B51">
        <v>56616093</v>
      </c>
      <c r="C51">
        <v>56616558</v>
      </c>
      <c r="D51">
        <v>47767124</v>
      </c>
      <c r="E51">
        <v>1</v>
      </c>
      <c r="F51">
        <v>1</v>
      </c>
      <c r="G51">
        <v>27786564</v>
      </c>
      <c r="H51">
        <v>2</v>
      </c>
      <c r="I51" t="s">
        <v>458</v>
      </c>
      <c r="J51" t="s">
        <v>459</v>
      </c>
      <c r="K51" t="s">
        <v>460</v>
      </c>
      <c r="L51">
        <v>1368</v>
      </c>
      <c r="N51">
        <v>1011</v>
      </c>
      <c r="O51" t="s">
        <v>445</v>
      </c>
      <c r="P51" t="s">
        <v>445</v>
      </c>
      <c r="Q51">
        <v>1</v>
      </c>
      <c r="W51">
        <v>0</v>
      </c>
      <c r="X51">
        <v>-1320872807</v>
      </c>
      <c r="Y51">
        <f t="shared" si="10"/>
        <v>0.79200000000000004</v>
      </c>
      <c r="AA51">
        <v>0</v>
      </c>
      <c r="AB51">
        <v>138.44999999999999</v>
      </c>
      <c r="AC51">
        <v>0</v>
      </c>
      <c r="AD51">
        <v>0</v>
      </c>
      <c r="AE51">
        <v>0</v>
      </c>
      <c r="AF51">
        <v>15.54</v>
      </c>
      <c r="AG51">
        <v>0</v>
      </c>
      <c r="AH51">
        <v>0</v>
      </c>
      <c r="AI51">
        <v>1</v>
      </c>
      <c r="AJ51">
        <v>8.35</v>
      </c>
      <c r="AK51">
        <v>34.51</v>
      </c>
      <c r="AL51">
        <v>1</v>
      </c>
      <c r="AM51">
        <v>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0.72</v>
      </c>
      <c r="AU51" t="s">
        <v>22</v>
      </c>
      <c r="AV51">
        <v>0</v>
      </c>
      <c r="AW51">
        <v>2</v>
      </c>
      <c r="AX51">
        <v>56616565</v>
      </c>
      <c r="AY51">
        <v>1</v>
      </c>
      <c r="AZ51">
        <v>0</v>
      </c>
      <c r="BA51">
        <v>54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f>ROUND(Y51*Source!I49*DO51,9)</f>
        <v>0</v>
      </c>
      <c r="CX51">
        <f>ROUND(Y51*Source!I49,9)</f>
        <v>0.26928000000000002</v>
      </c>
      <c r="CY51">
        <f>AB51</f>
        <v>138.44999999999999</v>
      </c>
      <c r="CZ51">
        <f>AF51</f>
        <v>15.54</v>
      </c>
      <c r="DA51">
        <f>AJ51</f>
        <v>8.35</v>
      </c>
      <c r="DB51">
        <f t="shared" si="11"/>
        <v>12.308999999999999</v>
      </c>
      <c r="DC51">
        <f t="shared" si="12"/>
        <v>0</v>
      </c>
      <c r="DD51" t="s">
        <v>3</v>
      </c>
      <c r="DE51" t="s">
        <v>3</v>
      </c>
      <c r="DF51">
        <f t="shared" si="9"/>
        <v>0</v>
      </c>
      <c r="DG51">
        <f>ROUND(ROUND(AF51*AJ51,2)*CX51,2)</f>
        <v>34.94</v>
      </c>
      <c r="DH51">
        <f>ROUND(ROUND(AG51*AK51,2)*CX51,2)</f>
        <v>0</v>
      </c>
      <c r="DI51">
        <f t="shared" si="6"/>
        <v>0</v>
      </c>
      <c r="DJ51">
        <f>DG51</f>
        <v>34.94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ROW(Source!A49)</f>
        <v>49</v>
      </c>
      <c r="B52">
        <v>56616093</v>
      </c>
      <c r="C52">
        <v>56616558</v>
      </c>
      <c r="D52">
        <v>47767126</v>
      </c>
      <c r="E52">
        <v>1</v>
      </c>
      <c r="F52">
        <v>1</v>
      </c>
      <c r="G52">
        <v>27786564</v>
      </c>
      <c r="H52">
        <v>2</v>
      </c>
      <c r="I52" t="s">
        <v>461</v>
      </c>
      <c r="J52" t="s">
        <v>462</v>
      </c>
      <c r="K52" t="s">
        <v>463</v>
      </c>
      <c r="L52">
        <v>1368</v>
      </c>
      <c r="N52">
        <v>1011</v>
      </c>
      <c r="O52" t="s">
        <v>445</v>
      </c>
      <c r="P52" t="s">
        <v>445</v>
      </c>
      <c r="Q52">
        <v>1</v>
      </c>
      <c r="W52">
        <v>0</v>
      </c>
      <c r="X52">
        <v>-1899016018</v>
      </c>
      <c r="Y52">
        <f t="shared" si="10"/>
        <v>0.79200000000000004</v>
      </c>
      <c r="AA52">
        <v>0</v>
      </c>
      <c r="AB52">
        <v>1172.3900000000001</v>
      </c>
      <c r="AC52">
        <v>535.39</v>
      </c>
      <c r="AD52">
        <v>0</v>
      </c>
      <c r="AE52">
        <v>0</v>
      </c>
      <c r="AF52">
        <v>81.150000000000006</v>
      </c>
      <c r="AG52">
        <v>14.54</v>
      </c>
      <c r="AH52">
        <v>0</v>
      </c>
      <c r="AI52">
        <v>1</v>
      </c>
      <c r="AJ52">
        <v>13.54</v>
      </c>
      <c r="AK52">
        <v>34.51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0.72</v>
      </c>
      <c r="AU52" t="s">
        <v>22</v>
      </c>
      <c r="AV52">
        <v>0</v>
      </c>
      <c r="AW52">
        <v>2</v>
      </c>
      <c r="AX52">
        <v>56616566</v>
      </c>
      <c r="AY52">
        <v>1</v>
      </c>
      <c r="AZ52">
        <v>0</v>
      </c>
      <c r="BA52">
        <v>55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f>ROUND(Y52*Source!I49*DO52,9)</f>
        <v>0</v>
      </c>
      <c r="CX52">
        <f>ROUND(Y52*Source!I49,9)</f>
        <v>0.26928000000000002</v>
      </c>
      <c r="CY52">
        <f>AB52</f>
        <v>1172.3900000000001</v>
      </c>
      <c r="CZ52">
        <f>AF52</f>
        <v>81.150000000000006</v>
      </c>
      <c r="DA52">
        <f>AJ52</f>
        <v>13.54</v>
      </c>
      <c r="DB52">
        <f t="shared" si="11"/>
        <v>64.272999999999996</v>
      </c>
      <c r="DC52">
        <f t="shared" si="12"/>
        <v>11.516999999999999</v>
      </c>
      <c r="DD52" t="s">
        <v>3</v>
      </c>
      <c r="DE52" t="s">
        <v>3</v>
      </c>
      <c r="DF52">
        <f t="shared" si="9"/>
        <v>0</v>
      </c>
      <c r="DG52">
        <f>ROUND(ROUND(AF52*AJ52,2)*CX52,2)</f>
        <v>295.88</v>
      </c>
      <c r="DH52">
        <f>ROUND(ROUND(AG52*AK52,2)*CX52,2)</f>
        <v>135.12</v>
      </c>
      <c r="DI52">
        <f t="shared" si="6"/>
        <v>0</v>
      </c>
      <c r="DJ52">
        <f>DG52</f>
        <v>295.88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ROW(Source!A49)</f>
        <v>49</v>
      </c>
      <c r="B53">
        <v>56616093</v>
      </c>
      <c r="C53">
        <v>56616558</v>
      </c>
      <c r="D53">
        <v>47766454</v>
      </c>
      <c r="E53">
        <v>1</v>
      </c>
      <c r="F53">
        <v>1</v>
      </c>
      <c r="G53">
        <v>27786564</v>
      </c>
      <c r="H53">
        <v>2</v>
      </c>
      <c r="I53" t="s">
        <v>464</v>
      </c>
      <c r="J53" t="s">
        <v>465</v>
      </c>
      <c r="K53" t="s">
        <v>466</v>
      </c>
      <c r="L53">
        <v>1368</v>
      </c>
      <c r="N53">
        <v>1011</v>
      </c>
      <c r="O53" t="s">
        <v>445</v>
      </c>
      <c r="P53" t="s">
        <v>445</v>
      </c>
      <c r="Q53">
        <v>1</v>
      </c>
      <c r="W53">
        <v>0</v>
      </c>
      <c r="X53">
        <v>922387863</v>
      </c>
      <c r="Y53">
        <f t="shared" si="10"/>
        <v>1.1440000000000001</v>
      </c>
      <c r="AA53">
        <v>0</v>
      </c>
      <c r="AB53">
        <v>2190.86</v>
      </c>
      <c r="AC53">
        <v>623.4</v>
      </c>
      <c r="AD53">
        <v>0</v>
      </c>
      <c r="AE53">
        <v>0</v>
      </c>
      <c r="AF53">
        <v>179.17</v>
      </c>
      <c r="AG53">
        <v>16.93</v>
      </c>
      <c r="AH53">
        <v>0</v>
      </c>
      <c r="AI53">
        <v>1</v>
      </c>
      <c r="AJ53">
        <v>11.46</v>
      </c>
      <c r="AK53">
        <v>34.51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1.04</v>
      </c>
      <c r="AU53" t="s">
        <v>22</v>
      </c>
      <c r="AV53">
        <v>0</v>
      </c>
      <c r="AW53">
        <v>2</v>
      </c>
      <c r="AX53">
        <v>56616567</v>
      </c>
      <c r="AY53">
        <v>1</v>
      </c>
      <c r="AZ53">
        <v>0</v>
      </c>
      <c r="BA53">
        <v>56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f>ROUND(Y53*Source!I49*DO53,9)</f>
        <v>0</v>
      </c>
      <c r="CX53">
        <f>ROUND(Y53*Source!I49,9)</f>
        <v>0.38895999999999997</v>
      </c>
      <c r="CY53">
        <f>AB53</f>
        <v>2190.86</v>
      </c>
      <c r="CZ53">
        <f>AF53</f>
        <v>179.17</v>
      </c>
      <c r="DA53">
        <f>AJ53</f>
        <v>11.46</v>
      </c>
      <c r="DB53">
        <f t="shared" si="11"/>
        <v>204.97399999999999</v>
      </c>
      <c r="DC53">
        <f t="shared" si="12"/>
        <v>19.370999999999999</v>
      </c>
      <c r="DD53" t="s">
        <v>3</v>
      </c>
      <c r="DE53" t="s">
        <v>3</v>
      </c>
      <c r="DF53">
        <f t="shared" si="9"/>
        <v>0</v>
      </c>
      <c r="DG53">
        <f>ROUND(ROUND(AF53*AJ53,2)*CX53,2)</f>
        <v>798.65</v>
      </c>
      <c r="DH53">
        <f>ROUND(ROUND(AG53*AK53,2)*CX53,2)</f>
        <v>227.25</v>
      </c>
      <c r="DI53">
        <f t="shared" si="6"/>
        <v>0</v>
      </c>
      <c r="DJ53">
        <f>DG53</f>
        <v>798.65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ROW(Source!A49)</f>
        <v>49</v>
      </c>
      <c r="B54">
        <v>56616093</v>
      </c>
      <c r="C54">
        <v>56616558</v>
      </c>
      <c r="D54">
        <v>47634960</v>
      </c>
      <c r="E54">
        <v>27786564</v>
      </c>
      <c r="F54">
        <v>1</v>
      </c>
      <c r="G54">
        <v>27786564</v>
      </c>
      <c r="H54">
        <v>2</v>
      </c>
      <c r="I54" t="s">
        <v>449</v>
      </c>
      <c r="J54" t="s">
        <v>3</v>
      </c>
      <c r="K54" t="s">
        <v>450</v>
      </c>
      <c r="L54">
        <v>1344</v>
      </c>
      <c r="N54">
        <v>1008</v>
      </c>
      <c r="O54" t="s">
        <v>451</v>
      </c>
      <c r="P54" t="s">
        <v>451</v>
      </c>
      <c r="Q54">
        <v>1</v>
      </c>
      <c r="W54">
        <v>0</v>
      </c>
      <c r="X54">
        <v>-1180195794</v>
      </c>
      <c r="Y54">
        <f t="shared" si="10"/>
        <v>2.2000000000000002E-2</v>
      </c>
      <c r="AA54">
        <v>0</v>
      </c>
      <c r="AB54">
        <v>1.07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-2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0.02</v>
      </c>
      <c r="AU54" t="s">
        <v>22</v>
      </c>
      <c r="AV54">
        <v>0</v>
      </c>
      <c r="AW54">
        <v>2</v>
      </c>
      <c r="AX54">
        <v>56616568</v>
      </c>
      <c r="AY54">
        <v>1</v>
      </c>
      <c r="AZ54">
        <v>0</v>
      </c>
      <c r="BA54">
        <v>57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f>ROUND(Y54*Source!I49*DO54,9)</f>
        <v>0</v>
      </c>
      <c r="CX54">
        <f>ROUND(Y54*Source!I49,9)</f>
        <v>7.4799999999999997E-3</v>
      </c>
      <c r="CY54">
        <f>AB54</f>
        <v>1.07</v>
      </c>
      <c r="CZ54">
        <f>AF54</f>
        <v>1</v>
      </c>
      <c r="DA54">
        <f>AJ54</f>
        <v>1</v>
      </c>
      <c r="DB54">
        <f t="shared" si="11"/>
        <v>2.1999999999999999E-2</v>
      </c>
      <c r="DC54">
        <f t="shared" si="12"/>
        <v>0</v>
      </c>
      <c r="DD54" t="s">
        <v>3</v>
      </c>
      <c r="DE54" t="s">
        <v>3</v>
      </c>
      <c r="DF54">
        <f t="shared" si="9"/>
        <v>0</v>
      </c>
      <c r="DG54">
        <f t="shared" ref="DG54:DG60" si="15">ROUND(ROUND(AF54,2)*CX54,2)</f>
        <v>0.01</v>
      </c>
      <c r="DH54">
        <f t="shared" ref="DH54:DH60" si="16">ROUND(ROUND(AG54,2)*CX54,2)</f>
        <v>0</v>
      </c>
      <c r="DI54">
        <f t="shared" si="6"/>
        <v>0</v>
      </c>
      <c r="DJ54">
        <f>DG54</f>
        <v>0.01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ROW(Source!A50)</f>
        <v>50</v>
      </c>
      <c r="B55">
        <v>56622586</v>
      </c>
      <c r="C55">
        <v>56616570</v>
      </c>
      <c r="D55">
        <v>47634407</v>
      </c>
      <c r="E55">
        <v>27786564</v>
      </c>
      <c r="F55">
        <v>1</v>
      </c>
      <c r="G55">
        <v>27786564</v>
      </c>
      <c r="H55">
        <v>1</v>
      </c>
      <c r="I55" t="s">
        <v>439</v>
      </c>
      <c r="J55" t="s">
        <v>3</v>
      </c>
      <c r="K55" t="s">
        <v>440</v>
      </c>
      <c r="L55">
        <v>1191</v>
      </c>
      <c r="N55">
        <v>1013</v>
      </c>
      <c r="O55" t="s">
        <v>441</v>
      </c>
      <c r="P55" t="s">
        <v>441</v>
      </c>
      <c r="Q55">
        <v>1</v>
      </c>
      <c r="W55">
        <v>0</v>
      </c>
      <c r="X55">
        <v>476480486</v>
      </c>
      <c r="Y55">
        <f t="shared" si="10"/>
        <v>118.58000000000001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-2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107.8</v>
      </c>
      <c r="AU55" t="s">
        <v>22</v>
      </c>
      <c r="AV55">
        <v>1</v>
      </c>
      <c r="AW55">
        <v>2</v>
      </c>
      <c r="AX55">
        <v>56616576</v>
      </c>
      <c r="AY55">
        <v>1</v>
      </c>
      <c r="AZ55">
        <v>0</v>
      </c>
      <c r="BA55">
        <v>59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U55">
        <f>ROUND(AT55*Source!I50*AH55*AL55,2)</f>
        <v>0</v>
      </c>
      <c r="CV55">
        <f>ROUND(Y55*Source!I50,9)</f>
        <v>0</v>
      </c>
      <c r="CW55">
        <v>0</v>
      </c>
      <c r="CX55">
        <f>ROUND(Y55*Source!I50,9)</f>
        <v>0</v>
      </c>
      <c r="CY55">
        <f>AD55</f>
        <v>0</v>
      </c>
      <c r="CZ55">
        <f>AH55</f>
        <v>0</v>
      </c>
      <c r="DA55">
        <f>AL55</f>
        <v>1</v>
      </c>
      <c r="DB55">
        <f t="shared" si="11"/>
        <v>0</v>
      </c>
      <c r="DC55">
        <f t="shared" si="12"/>
        <v>0</v>
      </c>
      <c r="DD55" t="s">
        <v>3</v>
      </c>
      <c r="DE55" t="s">
        <v>3</v>
      </c>
      <c r="DF55">
        <f t="shared" si="9"/>
        <v>0</v>
      </c>
      <c r="DG55">
        <f t="shared" si="15"/>
        <v>0</v>
      </c>
      <c r="DH55">
        <f t="shared" si="16"/>
        <v>0</v>
      </c>
      <c r="DI55">
        <f t="shared" si="6"/>
        <v>0</v>
      </c>
      <c r="DJ55">
        <f>DI55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ROW(Source!A50)</f>
        <v>50</v>
      </c>
      <c r="B56">
        <v>56622586</v>
      </c>
      <c r="C56">
        <v>56616570</v>
      </c>
      <c r="D56">
        <v>47767124</v>
      </c>
      <c r="E56">
        <v>1</v>
      </c>
      <c r="F56">
        <v>1</v>
      </c>
      <c r="G56">
        <v>27786564</v>
      </c>
      <c r="H56">
        <v>2</v>
      </c>
      <c r="I56" t="s">
        <v>458</v>
      </c>
      <c r="J56" t="s">
        <v>459</v>
      </c>
      <c r="K56" t="s">
        <v>460</v>
      </c>
      <c r="L56">
        <v>1368</v>
      </c>
      <c r="N56">
        <v>1011</v>
      </c>
      <c r="O56" t="s">
        <v>445</v>
      </c>
      <c r="P56" t="s">
        <v>445</v>
      </c>
      <c r="Q56">
        <v>1</v>
      </c>
      <c r="W56">
        <v>0</v>
      </c>
      <c r="X56">
        <v>-1320872807</v>
      </c>
      <c r="Y56">
        <f t="shared" si="10"/>
        <v>0.79200000000000004</v>
      </c>
      <c r="AA56">
        <v>0</v>
      </c>
      <c r="AB56">
        <v>15.54</v>
      </c>
      <c r="AC56">
        <v>0</v>
      </c>
      <c r="AD56">
        <v>0</v>
      </c>
      <c r="AE56">
        <v>0</v>
      </c>
      <c r="AF56">
        <v>15.54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-2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0.72</v>
      </c>
      <c r="AU56" t="s">
        <v>22</v>
      </c>
      <c r="AV56">
        <v>0</v>
      </c>
      <c r="AW56">
        <v>2</v>
      </c>
      <c r="AX56">
        <v>56616577</v>
      </c>
      <c r="AY56">
        <v>1</v>
      </c>
      <c r="AZ56">
        <v>0</v>
      </c>
      <c r="BA56">
        <v>60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f>ROUND(Y56*Source!I50*DO56,9)</f>
        <v>0</v>
      </c>
      <c r="CX56">
        <f>ROUND(Y56*Source!I50,9)</f>
        <v>0</v>
      </c>
      <c r="CY56">
        <f>AB56</f>
        <v>15.54</v>
      </c>
      <c r="CZ56">
        <f>AF56</f>
        <v>15.54</v>
      </c>
      <c r="DA56">
        <f>AJ56</f>
        <v>1</v>
      </c>
      <c r="DB56">
        <f t="shared" si="11"/>
        <v>12.308999999999999</v>
      </c>
      <c r="DC56">
        <f t="shared" si="12"/>
        <v>0</v>
      </c>
      <c r="DD56" t="s">
        <v>3</v>
      </c>
      <c r="DE56" t="s">
        <v>3</v>
      </c>
      <c r="DF56">
        <f t="shared" si="9"/>
        <v>0</v>
      </c>
      <c r="DG56">
        <f t="shared" si="15"/>
        <v>0</v>
      </c>
      <c r="DH56">
        <f t="shared" si="16"/>
        <v>0</v>
      </c>
      <c r="DI56">
        <f t="shared" si="6"/>
        <v>0</v>
      </c>
      <c r="DJ56">
        <f>DG56</f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ROW(Source!A50)</f>
        <v>50</v>
      </c>
      <c r="B57">
        <v>56622586</v>
      </c>
      <c r="C57">
        <v>56616570</v>
      </c>
      <c r="D57">
        <v>47767126</v>
      </c>
      <c r="E57">
        <v>1</v>
      </c>
      <c r="F57">
        <v>1</v>
      </c>
      <c r="G57">
        <v>27786564</v>
      </c>
      <c r="H57">
        <v>2</v>
      </c>
      <c r="I57" t="s">
        <v>461</v>
      </c>
      <c r="J57" t="s">
        <v>462</v>
      </c>
      <c r="K57" t="s">
        <v>463</v>
      </c>
      <c r="L57">
        <v>1368</v>
      </c>
      <c r="N57">
        <v>1011</v>
      </c>
      <c r="O57" t="s">
        <v>445</v>
      </c>
      <c r="P57" t="s">
        <v>445</v>
      </c>
      <c r="Q57">
        <v>1</v>
      </c>
      <c r="W57">
        <v>0</v>
      </c>
      <c r="X57">
        <v>-1899016018</v>
      </c>
      <c r="Y57">
        <f t="shared" si="10"/>
        <v>0.79200000000000004</v>
      </c>
      <c r="AA57">
        <v>0</v>
      </c>
      <c r="AB57">
        <v>81.150000000000006</v>
      </c>
      <c r="AC57">
        <v>14.54</v>
      </c>
      <c r="AD57">
        <v>0</v>
      </c>
      <c r="AE57">
        <v>0</v>
      </c>
      <c r="AF57">
        <v>81.150000000000006</v>
      </c>
      <c r="AG57">
        <v>14.54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0.72</v>
      </c>
      <c r="AU57" t="s">
        <v>22</v>
      </c>
      <c r="AV57">
        <v>0</v>
      </c>
      <c r="AW57">
        <v>2</v>
      </c>
      <c r="AX57">
        <v>56616578</v>
      </c>
      <c r="AY57">
        <v>1</v>
      </c>
      <c r="AZ57">
        <v>0</v>
      </c>
      <c r="BA57">
        <v>61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f>ROUND(Y57*Source!I50*DO57,9)</f>
        <v>0</v>
      </c>
      <c r="CX57">
        <f>ROUND(Y57*Source!I50,9)</f>
        <v>0</v>
      </c>
      <c r="CY57">
        <f>AB57</f>
        <v>81.150000000000006</v>
      </c>
      <c r="CZ57">
        <f>AF57</f>
        <v>81.150000000000006</v>
      </c>
      <c r="DA57">
        <f>AJ57</f>
        <v>1</v>
      </c>
      <c r="DB57">
        <f t="shared" si="11"/>
        <v>64.272999999999996</v>
      </c>
      <c r="DC57">
        <f t="shared" si="12"/>
        <v>11.516999999999999</v>
      </c>
      <c r="DD57" t="s">
        <v>3</v>
      </c>
      <c r="DE57" t="s">
        <v>3</v>
      </c>
      <c r="DF57">
        <f t="shared" si="9"/>
        <v>0</v>
      </c>
      <c r="DG57">
        <f t="shared" si="15"/>
        <v>0</v>
      </c>
      <c r="DH57">
        <f t="shared" si="16"/>
        <v>0</v>
      </c>
      <c r="DI57">
        <f t="shared" si="6"/>
        <v>0</v>
      </c>
      <c r="DJ57">
        <f>DG57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ROW(Source!A50)</f>
        <v>50</v>
      </c>
      <c r="B58">
        <v>56622586</v>
      </c>
      <c r="C58">
        <v>56616570</v>
      </c>
      <c r="D58">
        <v>47766454</v>
      </c>
      <c r="E58">
        <v>1</v>
      </c>
      <c r="F58">
        <v>1</v>
      </c>
      <c r="G58">
        <v>27786564</v>
      </c>
      <c r="H58">
        <v>2</v>
      </c>
      <c r="I58" t="s">
        <v>464</v>
      </c>
      <c r="J58" t="s">
        <v>465</v>
      </c>
      <c r="K58" t="s">
        <v>466</v>
      </c>
      <c r="L58">
        <v>1368</v>
      </c>
      <c r="N58">
        <v>1011</v>
      </c>
      <c r="O58" t="s">
        <v>445</v>
      </c>
      <c r="P58" t="s">
        <v>445</v>
      </c>
      <c r="Q58">
        <v>1</v>
      </c>
      <c r="W58">
        <v>0</v>
      </c>
      <c r="X58">
        <v>922387863</v>
      </c>
      <c r="Y58">
        <f t="shared" si="10"/>
        <v>1.1440000000000001</v>
      </c>
      <c r="AA58">
        <v>0</v>
      </c>
      <c r="AB58">
        <v>179.17</v>
      </c>
      <c r="AC58">
        <v>16.93</v>
      </c>
      <c r="AD58">
        <v>0</v>
      </c>
      <c r="AE58">
        <v>0</v>
      </c>
      <c r="AF58">
        <v>179.17</v>
      </c>
      <c r="AG58">
        <v>16.93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-2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1.04</v>
      </c>
      <c r="AU58" t="s">
        <v>22</v>
      </c>
      <c r="AV58">
        <v>0</v>
      </c>
      <c r="AW58">
        <v>2</v>
      </c>
      <c r="AX58">
        <v>56616579</v>
      </c>
      <c r="AY58">
        <v>1</v>
      </c>
      <c r="AZ58">
        <v>0</v>
      </c>
      <c r="BA58">
        <v>62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f>ROUND(Y58*Source!I50*DO58,9)</f>
        <v>0</v>
      </c>
      <c r="CX58">
        <f>ROUND(Y58*Source!I50,9)</f>
        <v>0</v>
      </c>
      <c r="CY58">
        <f>AB58</f>
        <v>179.17</v>
      </c>
      <c r="CZ58">
        <f>AF58</f>
        <v>179.17</v>
      </c>
      <c r="DA58">
        <f>AJ58</f>
        <v>1</v>
      </c>
      <c r="DB58">
        <f t="shared" si="11"/>
        <v>204.97399999999999</v>
      </c>
      <c r="DC58">
        <f t="shared" si="12"/>
        <v>19.370999999999999</v>
      </c>
      <c r="DD58" t="s">
        <v>3</v>
      </c>
      <c r="DE58" t="s">
        <v>3</v>
      </c>
      <c r="DF58">
        <f t="shared" si="9"/>
        <v>0</v>
      </c>
      <c r="DG58">
        <f t="shared" si="15"/>
        <v>0</v>
      </c>
      <c r="DH58">
        <f t="shared" si="16"/>
        <v>0</v>
      </c>
      <c r="DI58">
        <f t="shared" si="6"/>
        <v>0</v>
      </c>
      <c r="DJ58">
        <f>DG58</f>
        <v>0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ROW(Source!A50)</f>
        <v>50</v>
      </c>
      <c r="B59">
        <v>56622586</v>
      </c>
      <c r="C59">
        <v>56616570</v>
      </c>
      <c r="D59">
        <v>47634960</v>
      </c>
      <c r="E59">
        <v>27786564</v>
      </c>
      <c r="F59">
        <v>1</v>
      </c>
      <c r="G59">
        <v>27786564</v>
      </c>
      <c r="H59">
        <v>2</v>
      </c>
      <c r="I59" t="s">
        <v>449</v>
      </c>
      <c r="J59" t="s">
        <v>3</v>
      </c>
      <c r="K59" t="s">
        <v>450</v>
      </c>
      <c r="L59">
        <v>1344</v>
      </c>
      <c r="N59">
        <v>1008</v>
      </c>
      <c r="O59" t="s">
        <v>451</v>
      </c>
      <c r="P59" t="s">
        <v>451</v>
      </c>
      <c r="Q59">
        <v>1</v>
      </c>
      <c r="W59">
        <v>0</v>
      </c>
      <c r="X59">
        <v>-1180195794</v>
      </c>
      <c r="Y59">
        <f t="shared" si="10"/>
        <v>2.2000000000000002E-2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-2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0.02</v>
      </c>
      <c r="AU59" t="s">
        <v>22</v>
      </c>
      <c r="AV59">
        <v>0</v>
      </c>
      <c r="AW59">
        <v>2</v>
      </c>
      <c r="AX59">
        <v>56616580</v>
      </c>
      <c r="AY59">
        <v>1</v>
      </c>
      <c r="AZ59">
        <v>0</v>
      </c>
      <c r="BA59">
        <v>63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f>ROUND(Y59*Source!I50*DO59,9)</f>
        <v>0</v>
      </c>
      <c r="CX59">
        <f>ROUND(Y59*Source!I50,9)</f>
        <v>0</v>
      </c>
      <c r="CY59">
        <f>AB59</f>
        <v>1</v>
      </c>
      <c r="CZ59">
        <f>AF59</f>
        <v>1</v>
      </c>
      <c r="DA59">
        <f>AJ59</f>
        <v>1</v>
      </c>
      <c r="DB59">
        <f t="shared" si="11"/>
        <v>2.1999999999999999E-2</v>
      </c>
      <c r="DC59">
        <f t="shared" si="12"/>
        <v>0</v>
      </c>
      <c r="DD59" t="s">
        <v>3</v>
      </c>
      <c r="DE59" t="s">
        <v>3</v>
      </c>
      <c r="DF59">
        <f t="shared" si="9"/>
        <v>0</v>
      </c>
      <c r="DG59">
        <f t="shared" si="15"/>
        <v>0</v>
      </c>
      <c r="DH59">
        <f t="shared" si="16"/>
        <v>0</v>
      </c>
      <c r="DI59">
        <f t="shared" si="6"/>
        <v>0</v>
      </c>
      <c r="DJ59">
        <f>DG59</f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ROW(Source!A51)</f>
        <v>51</v>
      </c>
      <c r="B60">
        <v>56616093</v>
      </c>
      <c r="C60">
        <v>56616570</v>
      </c>
      <c r="D60">
        <v>47634407</v>
      </c>
      <c r="E60">
        <v>27786564</v>
      </c>
      <c r="F60">
        <v>1</v>
      </c>
      <c r="G60">
        <v>27786564</v>
      </c>
      <c r="H60">
        <v>1</v>
      </c>
      <c r="I60" t="s">
        <v>439</v>
      </c>
      <c r="J60" t="s">
        <v>3</v>
      </c>
      <c r="K60" t="s">
        <v>440</v>
      </c>
      <c r="L60">
        <v>1191</v>
      </c>
      <c r="N60">
        <v>1013</v>
      </c>
      <c r="O60" t="s">
        <v>441</v>
      </c>
      <c r="P60" t="s">
        <v>441</v>
      </c>
      <c r="Q60">
        <v>1</v>
      </c>
      <c r="W60">
        <v>0</v>
      </c>
      <c r="X60">
        <v>476480486</v>
      </c>
      <c r="Y60">
        <f t="shared" si="10"/>
        <v>118.58000000000001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-2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107.8</v>
      </c>
      <c r="AU60" t="s">
        <v>22</v>
      </c>
      <c r="AV60">
        <v>1</v>
      </c>
      <c r="AW60">
        <v>2</v>
      </c>
      <c r="AX60">
        <v>56616576</v>
      </c>
      <c r="AY60">
        <v>1</v>
      </c>
      <c r="AZ60">
        <v>0</v>
      </c>
      <c r="BA60">
        <v>65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U60">
        <f>ROUND(AT60*Source!I51*AH60*AL60,2)</f>
        <v>0</v>
      </c>
      <c r="CV60">
        <f>ROUND(Y60*Source!I51,9)</f>
        <v>0</v>
      </c>
      <c r="CW60">
        <v>0</v>
      </c>
      <c r="CX60">
        <f>ROUND(Y60*Source!I51,9)</f>
        <v>0</v>
      </c>
      <c r="CY60">
        <f>AD60</f>
        <v>0</v>
      </c>
      <c r="CZ60">
        <f>AH60</f>
        <v>0</v>
      </c>
      <c r="DA60">
        <f>AL60</f>
        <v>1</v>
      </c>
      <c r="DB60">
        <f t="shared" si="11"/>
        <v>0</v>
      </c>
      <c r="DC60">
        <f t="shared" si="12"/>
        <v>0</v>
      </c>
      <c r="DD60" t="s">
        <v>3</v>
      </c>
      <c r="DE60" t="s">
        <v>3</v>
      </c>
      <c r="DF60">
        <f t="shared" ref="DF60:DF79" si="17">ROUND(ROUND(AE60,2)*CX60,2)</f>
        <v>0</v>
      </c>
      <c r="DG60">
        <f t="shared" si="15"/>
        <v>0</v>
      </c>
      <c r="DH60">
        <f t="shared" si="16"/>
        <v>0</v>
      </c>
      <c r="DI60">
        <f t="shared" si="6"/>
        <v>0</v>
      </c>
      <c r="DJ60">
        <f>DI60</f>
        <v>0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ROW(Source!A51)</f>
        <v>51</v>
      </c>
      <c r="B61">
        <v>56616093</v>
      </c>
      <c r="C61">
        <v>56616570</v>
      </c>
      <c r="D61">
        <v>47767124</v>
      </c>
      <c r="E61">
        <v>1</v>
      </c>
      <c r="F61">
        <v>1</v>
      </c>
      <c r="G61">
        <v>27786564</v>
      </c>
      <c r="H61">
        <v>2</v>
      </c>
      <c r="I61" t="s">
        <v>458</v>
      </c>
      <c r="J61" t="s">
        <v>459</v>
      </c>
      <c r="K61" t="s">
        <v>460</v>
      </c>
      <c r="L61">
        <v>1368</v>
      </c>
      <c r="N61">
        <v>1011</v>
      </c>
      <c r="O61" t="s">
        <v>445</v>
      </c>
      <c r="P61" t="s">
        <v>445</v>
      </c>
      <c r="Q61">
        <v>1</v>
      </c>
      <c r="W61">
        <v>0</v>
      </c>
      <c r="X61">
        <v>-1320872807</v>
      </c>
      <c r="Y61">
        <f t="shared" si="10"/>
        <v>0.79200000000000004</v>
      </c>
      <c r="AA61">
        <v>0</v>
      </c>
      <c r="AB61">
        <v>138.44999999999999</v>
      </c>
      <c r="AC61">
        <v>0</v>
      </c>
      <c r="AD61">
        <v>0</v>
      </c>
      <c r="AE61">
        <v>0</v>
      </c>
      <c r="AF61">
        <v>15.54</v>
      </c>
      <c r="AG61">
        <v>0</v>
      </c>
      <c r="AH61">
        <v>0</v>
      </c>
      <c r="AI61">
        <v>1</v>
      </c>
      <c r="AJ61">
        <v>8.35</v>
      </c>
      <c r="AK61">
        <v>34.51</v>
      </c>
      <c r="AL61">
        <v>1</v>
      </c>
      <c r="AM61">
        <v>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0.72</v>
      </c>
      <c r="AU61" t="s">
        <v>22</v>
      </c>
      <c r="AV61">
        <v>0</v>
      </c>
      <c r="AW61">
        <v>2</v>
      </c>
      <c r="AX61">
        <v>56616577</v>
      </c>
      <c r="AY61">
        <v>1</v>
      </c>
      <c r="AZ61">
        <v>0</v>
      </c>
      <c r="BA61">
        <v>66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f>ROUND(Y61*Source!I51*DO61,9)</f>
        <v>0</v>
      </c>
      <c r="CX61">
        <f>ROUND(Y61*Source!I51,9)</f>
        <v>0</v>
      </c>
      <c r="CY61">
        <f>AB61</f>
        <v>138.44999999999999</v>
      </c>
      <c r="CZ61">
        <f>AF61</f>
        <v>15.54</v>
      </c>
      <c r="DA61">
        <f>AJ61</f>
        <v>8.35</v>
      </c>
      <c r="DB61">
        <f t="shared" si="11"/>
        <v>12.308999999999999</v>
      </c>
      <c r="DC61">
        <f t="shared" si="12"/>
        <v>0</v>
      </c>
      <c r="DD61" t="s">
        <v>3</v>
      </c>
      <c r="DE61" t="s">
        <v>3</v>
      </c>
      <c r="DF61">
        <f t="shared" si="17"/>
        <v>0</v>
      </c>
      <c r="DG61">
        <f>ROUND(ROUND(AF61*AJ61,2)*CX61,2)</f>
        <v>0</v>
      </c>
      <c r="DH61">
        <f>ROUND(ROUND(AG61*AK61,2)*CX61,2)</f>
        <v>0</v>
      </c>
      <c r="DI61">
        <f t="shared" si="6"/>
        <v>0</v>
      </c>
      <c r="DJ61">
        <f>DG61</f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ROW(Source!A51)</f>
        <v>51</v>
      </c>
      <c r="B62">
        <v>56616093</v>
      </c>
      <c r="C62">
        <v>56616570</v>
      </c>
      <c r="D62">
        <v>47767126</v>
      </c>
      <c r="E62">
        <v>1</v>
      </c>
      <c r="F62">
        <v>1</v>
      </c>
      <c r="G62">
        <v>27786564</v>
      </c>
      <c r="H62">
        <v>2</v>
      </c>
      <c r="I62" t="s">
        <v>461</v>
      </c>
      <c r="J62" t="s">
        <v>462</v>
      </c>
      <c r="K62" t="s">
        <v>463</v>
      </c>
      <c r="L62">
        <v>1368</v>
      </c>
      <c r="N62">
        <v>1011</v>
      </c>
      <c r="O62" t="s">
        <v>445</v>
      </c>
      <c r="P62" t="s">
        <v>445</v>
      </c>
      <c r="Q62">
        <v>1</v>
      </c>
      <c r="W62">
        <v>0</v>
      </c>
      <c r="X62">
        <v>-1899016018</v>
      </c>
      <c r="Y62">
        <f t="shared" si="10"/>
        <v>0.79200000000000004</v>
      </c>
      <c r="AA62">
        <v>0</v>
      </c>
      <c r="AB62">
        <v>1172.3900000000001</v>
      </c>
      <c r="AC62">
        <v>535.39</v>
      </c>
      <c r="AD62">
        <v>0</v>
      </c>
      <c r="AE62">
        <v>0</v>
      </c>
      <c r="AF62">
        <v>81.150000000000006</v>
      </c>
      <c r="AG62">
        <v>14.54</v>
      </c>
      <c r="AH62">
        <v>0</v>
      </c>
      <c r="AI62">
        <v>1</v>
      </c>
      <c r="AJ62">
        <v>13.54</v>
      </c>
      <c r="AK62">
        <v>34.51</v>
      </c>
      <c r="AL62">
        <v>1</v>
      </c>
      <c r="AM62">
        <v>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0.72</v>
      </c>
      <c r="AU62" t="s">
        <v>22</v>
      </c>
      <c r="AV62">
        <v>0</v>
      </c>
      <c r="AW62">
        <v>2</v>
      </c>
      <c r="AX62">
        <v>56616578</v>
      </c>
      <c r="AY62">
        <v>1</v>
      </c>
      <c r="AZ62">
        <v>0</v>
      </c>
      <c r="BA62">
        <v>67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f>ROUND(Y62*Source!I51*DO62,9)</f>
        <v>0</v>
      </c>
      <c r="CX62">
        <f>ROUND(Y62*Source!I51,9)</f>
        <v>0</v>
      </c>
      <c r="CY62">
        <f>AB62</f>
        <v>1172.3900000000001</v>
      </c>
      <c r="CZ62">
        <f>AF62</f>
        <v>81.150000000000006</v>
      </c>
      <c r="DA62">
        <f>AJ62</f>
        <v>13.54</v>
      </c>
      <c r="DB62">
        <f t="shared" si="11"/>
        <v>64.272999999999996</v>
      </c>
      <c r="DC62">
        <f t="shared" si="12"/>
        <v>11.516999999999999</v>
      </c>
      <c r="DD62" t="s">
        <v>3</v>
      </c>
      <c r="DE62" t="s">
        <v>3</v>
      </c>
      <c r="DF62">
        <f t="shared" si="17"/>
        <v>0</v>
      </c>
      <c r="DG62">
        <f>ROUND(ROUND(AF62*AJ62,2)*CX62,2)</f>
        <v>0</v>
      </c>
      <c r="DH62">
        <f>ROUND(ROUND(AG62*AK62,2)*CX62,2)</f>
        <v>0</v>
      </c>
      <c r="DI62">
        <f t="shared" si="6"/>
        <v>0</v>
      </c>
      <c r="DJ62">
        <f>DG62</f>
        <v>0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ROW(Source!A51)</f>
        <v>51</v>
      </c>
      <c r="B63">
        <v>56616093</v>
      </c>
      <c r="C63">
        <v>56616570</v>
      </c>
      <c r="D63">
        <v>47766454</v>
      </c>
      <c r="E63">
        <v>1</v>
      </c>
      <c r="F63">
        <v>1</v>
      </c>
      <c r="G63">
        <v>27786564</v>
      </c>
      <c r="H63">
        <v>2</v>
      </c>
      <c r="I63" t="s">
        <v>464</v>
      </c>
      <c r="J63" t="s">
        <v>465</v>
      </c>
      <c r="K63" t="s">
        <v>466</v>
      </c>
      <c r="L63">
        <v>1368</v>
      </c>
      <c r="N63">
        <v>1011</v>
      </c>
      <c r="O63" t="s">
        <v>445</v>
      </c>
      <c r="P63" t="s">
        <v>445</v>
      </c>
      <c r="Q63">
        <v>1</v>
      </c>
      <c r="W63">
        <v>0</v>
      </c>
      <c r="X63">
        <v>922387863</v>
      </c>
      <c r="Y63">
        <f t="shared" si="10"/>
        <v>1.1440000000000001</v>
      </c>
      <c r="AA63">
        <v>0</v>
      </c>
      <c r="AB63">
        <v>2190.86</v>
      </c>
      <c r="AC63">
        <v>623.4</v>
      </c>
      <c r="AD63">
        <v>0</v>
      </c>
      <c r="AE63">
        <v>0</v>
      </c>
      <c r="AF63">
        <v>179.17</v>
      </c>
      <c r="AG63">
        <v>16.93</v>
      </c>
      <c r="AH63">
        <v>0</v>
      </c>
      <c r="AI63">
        <v>1</v>
      </c>
      <c r="AJ63">
        <v>11.46</v>
      </c>
      <c r="AK63">
        <v>34.51</v>
      </c>
      <c r="AL63">
        <v>1</v>
      </c>
      <c r="AM63">
        <v>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1.04</v>
      </c>
      <c r="AU63" t="s">
        <v>22</v>
      </c>
      <c r="AV63">
        <v>0</v>
      </c>
      <c r="AW63">
        <v>2</v>
      </c>
      <c r="AX63">
        <v>56616579</v>
      </c>
      <c r="AY63">
        <v>1</v>
      </c>
      <c r="AZ63">
        <v>0</v>
      </c>
      <c r="BA63">
        <v>68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f>ROUND(Y63*Source!I51*DO63,9)</f>
        <v>0</v>
      </c>
      <c r="CX63">
        <f>ROUND(Y63*Source!I51,9)</f>
        <v>0</v>
      </c>
      <c r="CY63">
        <f>AB63</f>
        <v>2190.86</v>
      </c>
      <c r="CZ63">
        <f>AF63</f>
        <v>179.17</v>
      </c>
      <c r="DA63">
        <f>AJ63</f>
        <v>11.46</v>
      </c>
      <c r="DB63">
        <f t="shared" si="11"/>
        <v>204.97399999999999</v>
      </c>
      <c r="DC63">
        <f t="shared" si="12"/>
        <v>19.370999999999999</v>
      </c>
      <c r="DD63" t="s">
        <v>3</v>
      </c>
      <c r="DE63" t="s">
        <v>3</v>
      </c>
      <c r="DF63">
        <f t="shared" si="17"/>
        <v>0</v>
      </c>
      <c r="DG63">
        <f>ROUND(ROUND(AF63*AJ63,2)*CX63,2)</f>
        <v>0</v>
      </c>
      <c r="DH63">
        <f>ROUND(ROUND(AG63*AK63,2)*CX63,2)</f>
        <v>0</v>
      </c>
      <c r="DI63">
        <f t="shared" si="6"/>
        <v>0</v>
      </c>
      <c r="DJ63">
        <f>DG63</f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ROW(Source!A51)</f>
        <v>51</v>
      </c>
      <c r="B64">
        <v>56616093</v>
      </c>
      <c r="C64">
        <v>56616570</v>
      </c>
      <c r="D64">
        <v>47634960</v>
      </c>
      <c r="E64">
        <v>27786564</v>
      </c>
      <c r="F64">
        <v>1</v>
      </c>
      <c r="G64">
        <v>27786564</v>
      </c>
      <c r="H64">
        <v>2</v>
      </c>
      <c r="I64" t="s">
        <v>449</v>
      </c>
      <c r="J64" t="s">
        <v>3</v>
      </c>
      <c r="K64" t="s">
        <v>450</v>
      </c>
      <c r="L64">
        <v>1344</v>
      </c>
      <c r="N64">
        <v>1008</v>
      </c>
      <c r="O64" t="s">
        <v>451</v>
      </c>
      <c r="P64" t="s">
        <v>451</v>
      </c>
      <c r="Q64">
        <v>1</v>
      </c>
      <c r="W64">
        <v>0</v>
      </c>
      <c r="X64">
        <v>-1180195794</v>
      </c>
      <c r="Y64">
        <f t="shared" si="10"/>
        <v>2.2000000000000002E-2</v>
      </c>
      <c r="AA64">
        <v>0</v>
      </c>
      <c r="AB64">
        <v>1.07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-2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0.02</v>
      </c>
      <c r="AU64" t="s">
        <v>22</v>
      </c>
      <c r="AV64">
        <v>0</v>
      </c>
      <c r="AW64">
        <v>2</v>
      </c>
      <c r="AX64">
        <v>56616580</v>
      </c>
      <c r="AY64">
        <v>1</v>
      </c>
      <c r="AZ64">
        <v>0</v>
      </c>
      <c r="BA64">
        <v>69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f>ROUND(Y64*Source!I51*DO64,9)</f>
        <v>0</v>
      </c>
      <c r="CX64">
        <f>ROUND(Y64*Source!I51,9)</f>
        <v>0</v>
      </c>
      <c r="CY64">
        <f>AB64</f>
        <v>1.07</v>
      </c>
      <c r="CZ64">
        <f>AF64</f>
        <v>1</v>
      </c>
      <c r="DA64">
        <f>AJ64</f>
        <v>1</v>
      </c>
      <c r="DB64">
        <f t="shared" si="11"/>
        <v>2.1999999999999999E-2</v>
      </c>
      <c r="DC64">
        <f t="shared" si="12"/>
        <v>0</v>
      </c>
      <c r="DD64" t="s">
        <v>3</v>
      </c>
      <c r="DE64" t="s">
        <v>3</v>
      </c>
      <c r="DF64">
        <f t="shared" si="17"/>
        <v>0</v>
      </c>
      <c r="DG64">
        <f t="shared" ref="DG64:DG74" si="18">ROUND(ROUND(AF64,2)*CX64,2)</f>
        <v>0</v>
      </c>
      <c r="DH64">
        <f t="shared" ref="DH64:DH74" si="19">ROUND(ROUND(AG64,2)*CX64,2)</f>
        <v>0</v>
      </c>
      <c r="DI64">
        <f t="shared" si="6"/>
        <v>0</v>
      </c>
      <c r="DJ64">
        <f>DG64</f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ROW(Source!A58)</f>
        <v>58</v>
      </c>
      <c r="B65">
        <v>56622586</v>
      </c>
      <c r="C65">
        <v>56616585</v>
      </c>
      <c r="D65">
        <v>47634407</v>
      </c>
      <c r="E65">
        <v>27786564</v>
      </c>
      <c r="F65">
        <v>1</v>
      </c>
      <c r="G65">
        <v>27786564</v>
      </c>
      <c r="H65">
        <v>1</v>
      </c>
      <c r="I65" t="s">
        <v>439</v>
      </c>
      <c r="J65" t="s">
        <v>3</v>
      </c>
      <c r="K65" t="s">
        <v>440</v>
      </c>
      <c r="L65">
        <v>1191</v>
      </c>
      <c r="N65">
        <v>1013</v>
      </c>
      <c r="O65" t="s">
        <v>441</v>
      </c>
      <c r="P65" t="s">
        <v>441</v>
      </c>
      <c r="Q65">
        <v>1</v>
      </c>
      <c r="W65">
        <v>0</v>
      </c>
      <c r="X65">
        <v>476480486</v>
      </c>
      <c r="Y65">
        <f t="shared" si="10"/>
        <v>148.5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135</v>
      </c>
      <c r="AU65" t="s">
        <v>22</v>
      </c>
      <c r="AV65">
        <v>1</v>
      </c>
      <c r="AW65">
        <v>2</v>
      </c>
      <c r="AX65">
        <v>56616595</v>
      </c>
      <c r="AY65">
        <v>1</v>
      </c>
      <c r="AZ65">
        <v>0</v>
      </c>
      <c r="BA65">
        <v>71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U65">
        <f>ROUND(AT65*Source!I58*AH65*AL65,2)</f>
        <v>0</v>
      </c>
      <c r="CV65">
        <f>ROUND(Y65*Source!I58,9)</f>
        <v>0</v>
      </c>
      <c r="CW65">
        <v>0</v>
      </c>
      <c r="CX65">
        <f>ROUND(Y65*Source!I58,9)</f>
        <v>0</v>
      </c>
      <c r="CY65">
        <f>AD65</f>
        <v>0</v>
      </c>
      <c r="CZ65">
        <f>AH65</f>
        <v>0</v>
      </c>
      <c r="DA65">
        <f>AL65</f>
        <v>1</v>
      </c>
      <c r="DB65">
        <f t="shared" si="11"/>
        <v>0</v>
      </c>
      <c r="DC65">
        <f t="shared" si="12"/>
        <v>0</v>
      </c>
      <c r="DD65" t="s">
        <v>3</v>
      </c>
      <c r="DE65" t="s">
        <v>3</v>
      </c>
      <c r="DF65">
        <f t="shared" si="17"/>
        <v>0</v>
      </c>
      <c r="DG65">
        <f t="shared" si="18"/>
        <v>0</v>
      </c>
      <c r="DH65">
        <f t="shared" si="19"/>
        <v>0</v>
      </c>
      <c r="DI65">
        <f t="shared" ref="DI65:DI128" si="20">ROUND(ROUND(AH65,2)*CX65,2)</f>
        <v>0</v>
      </c>
      <c r="DJ65">
        <f>DI65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ROW(Source!A58)</f>
        <v>58</v>
      </c>
      <c r="B66">
        <v>56622586</v>
      </c>
      <c r="C66">
        <v>56616585</v>
      </c>
      <c r="D66">
        <v>47766844</v>
      </c>
      <c r="E66">
        <v>1</v>
      </c>
      <c r="F66">
        <v>1</v>
      </c>
      <c r="G66">
        <v>27786564</v>
      </c>
      <c r="H66">
        <v>2</v>
      </c>
      <c r="I66" t="s">
        <v>467</v>
      </c>
      <c r="J66" t="s">
        <v>468</v>
      </c>
      <c r="K66" t="s">
        <v>469</v>
      </c>
      <c r="L66">
        <v>1368</v>
      </c>
      <c r="N66">
        <v>1011</v>
      </c>
      <c r="O66" t="s">
        <v>445</v>
      </c>
      <c r="P66" t="s">
        <v>445</v>
      </c>
      <c r="Q66">
        <v>1</v>
      </c>
      <c r="W66">
        <v>0</v>
      </c>
      <c r="X66">
        <v>-2031172510</v>
      </c>
      <c r="Y66">
        <f t="shared" si="10"/>
        <v>8.8000000000000007</v>
      </c>
      <c r="AA66">
        <v>0</v>
      </c>
      <c r="AB66">
        <v>24.95</v>
      </c>
      <c r="AC66">
        <v>0</v>
      </c>
      <c r="AD66">
        <v>0</v>
      </c>
      <c r="AE66">
        <v>0</v>
      </c>
      <c r="AF66">
        <v>24.95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-2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8</v>
      </c>
      <c r="AU66" t="s">
        <v>22</v>
      </c>
      <c r="AV66">
        <v>0</v>
      </c>
      <c r="AW66">
        <v>2</v>
      </c>
      <c r="AX66">
        <v>56616596</v>
      </c>
      <c r="AY66">
        <v>1</v>
      </c>
      <c r="AZ66">
        <v>0</v>
      </c>
      <c r="BA66">
        <v>72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f>ROUND(Y66*Source!I58*DO66,9)</f>
        <v>0</v>
      </c>
      <c r="CX66">
        <f>ROUND(Y66*Source!I58,9)</f>
        <v>0</v>
      </c>
      <c r="CY66">
        <f>AB66</f>
        <v>24.95</v>
      </c>
      <c r="CZ66">
        <f>AF66</f>
        <v>24.95</v>
      </c>
      <c r="DA66">
        <f>AJ66</f>
        <v>1</v>
      </c>
      <c r="DB66">
        <f t="shared" si="11"/>
        <v>219.56</v>
      </c>
      <c r="DC66">
        <f t="shared" si="12"/>
        <v>0</v>
      </c>
      <c r="DD66" t="s">
        <v>3</v>
      </c>
      <c r="DE66" t="s">
        <v>3</v>
      </c>
      <c r="DF66">
        <f t="shared" si="17"/>
        <v>0</v>
      </c>
      <c r="DG66">
        <f t="shared" si="18"/>
        <v>0</v>
      </c>
      <c r="DH66">
        <f t="shared" si="19"/>
        <v>0</v>
      </c>
      <c r="DI66">
        <f t="shared" si="20"/>
        <v>0</v>
      </c>
      <c r="DJ66">
        <f>DG66</f>
        <v>0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ROW(Source!A58)</f>
        <v>58</v>
      </c>
      <c r="B67">
        <v>56622586</v>
      </c>
      <c r="C67">
        <v>56616585</v>
      </c>
      <c r="D67">
        <v>47766894</v>
      </c>
      <c r="E67">
        <v>1</v>
      </c>
      <c r="F67">
        <v>1</v>
      </c>
      <c r="G67">
        <v>27786564</v>
      </c>
      <c r="H67">
        <v>2</v>
      </c>
      <c r="I67" t="s">
        <v>470</v>
      </c>
      <c r="J67" t="s">
        <v>471</v>
      </c>
      <c r="K67" t="s">
        <v>472</v>
      </c>
      <c r="L67">
        <v>1368</v>
      </c>
      <c r="N67">
        <v>1011</v>
      </c>
      <c r="O67" t="s">
        <v>445</v>
      </c>
      <c r="P67" t="s">
        <v>445</v>
      </c>
      <c r="Q67">
        <v>1</v>
      </c>
      <c r="W67">
        <v>0</v>
      </c>
      <c r="X67">
        <v>-1738925214</v>
      </c>
      <c r="Y67">
        <f t="shared" si="10"/>
        <v>2.2000000000000002</v>
      </c>
      <c r="AA67">
        <v>0</v>
      </c>
      <c r="AB67">
        <v>4.6900000000000004</v>
      </c>
      <c r="AC67">
        <v>0</v>
      </c>
      <c r="AD67">
        <v>0</v>
      </c>
      <c r="AE67">
        <v>0</v>
      </c>
      <c r="AF67">
        <v>4.6900000000000004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2</v>
      </c>
      <c r="AU67" t="s">
        <v>22</v>
      </c>
      <c r="AV67">
        <v>0</v>
      </c>
      <c r="AW67">
        <v>2</v>
      </c>
      <c r="AX67">
        <v>56616597</v>
      </c>
      <c r="AY67">
        <v>1</v>
      </c>
      <c r="AZ67">
        <v>0</v>
      </c>
      <c r="BA67">
        <v>73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f>ROUND(Y67*Source!I58*DO67,9)</f>
        <v>0</v>
      </c>
      <c r="CX67">
        <f>ROUND(Y67*Source!I58,9)</f>
        <v>0</v>
      </c>
      <c r="CY67">
        <f>AB67</f>
        <v>4.6900000000000004</v>
      </c>
      <c r="CZ67">
        <f>AF67</f>
        <v>4.6900000000000004</v>
      </c>
      <c r="DA67">
        <f>AJ67</f>
        <v>1</v>
      </c>
      <c r="DB67">
        <f t="shared" si="11"/>
        <v>10.318</v>
      </c>
      <c r="DC67">
        <f t="shared" si="12"/>
        <v>0</v>
      </c>
      <c r="DD67" t="s">
        <v>3</v>
      </c>
      <c r="DE67" t="s">
        <v>3</v>
      </c>
      <c r="DF67">
        <f t="shared" si="17"/>
        <v>0</v>
      </c>
      <c r="DG67">
        <f t="shared" si="18"/>
        <v>0</v>
      </c>
      <c r="DH67">
        <f t="shared" si="19"/>
        <v>0</v>
      </c>
      <c r="DI67">
        <f t="shared" si="20"/>
        <v>0</v>
      </c>
      <c r="DJ67">
        <f>DG67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ROW(Source!A58)</f>
        <v>58</v>
      </c>
      <c r="B68">
        <v>56622586</v>
      </c>
      <c r="C68">
        <v>56616585</v>
      </c>
      <c r="D68">
        <v>50545312</v>
      </c>
      <c r="E68">
        <v>1</v>
      </c>
      <c r="F68">
        <v>1</v>
      </c>
      <c r="G68">
        <v>27786564</v>
      </c>
      <c r="H68">
        <v>2</v>
      </c>
      <c r="I68" t="s">
        <v>473</v>
      </c>
      <c r="J68" t="s">
        <v>474</v>
      </c>
      <c r="K68" t="s">
        <v>475</v>
      </c>
      <c r="L68">
        <v>1368</v>
      </c>
      <c r="N68">
        <v>1011</v>
      </c>
      <c r="O68" t="s">
        <v>445</v>
      </c>
      <c r="P68" t="s">
        <v>445</v>
      </c>
      <c r="Q68">
        <v>1</v>
      </c>
      <c r="W68">
        <v>0</v>
      </c>
      <c r="X68">
        <v>-1247897737</v>
      </c>
      <c r="Y68">
        <f t="shared" si="10"/>
        <v>33</v>
      </c>
      <c r="AA68">
        <v>0</v>
      </c>
      <c r="AB68">
        <v>6.1</v>
      </c>
      <c r="AC68">
        <v>0</v>
      </c>
      <c r="AD68">
        <v>0</v>
      </c>
      <c r="AE68">
        <v>0</v>
      </c>
      <c r="AF68">
        <v>6.1</v>
      </c>
      <c r="AG68">
        <v>0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-2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30</v>
      </c>
      <c r="AU68" t="s">
        <v>22</v>
      </c>
      <c r="AV68">
        <v>0</v>
      </c>
      <c r="AW68">
        <v>2</v>
      </c>
      <c r="AX68">
        <v>56616598</v>
      </c>
      <c r="AY68">
        <v>1</v>
      </c>
      <c r="AZ68">
        <v>0</v>
      </c>
      <c r="BA68">
        <v>74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f>ROUND(Y68*Source!I58*DO68,9)</f>
        <v>0</v>
      </c>
      <c r="CX68">
        <f>ROUND(Y68*Source!I58,9)</f>
        <v>0</v>
      </c>
      <c r="CY68">
        <f>AB68</f>
        <v>6.1</v>
      </c>
      <c r="CZ68">
        <f>AF68</f>
        <v>6.1</v>
      </c>
      <c r="DA68">
        <f>AJ68</f>
        <v>1</v>
      </c>
      <c r="DB68">
        <f t="shared" si="11"/>
        <v>201.3</v>
      </c>
      <c r="DC68">
        <f t="shared" si="12"/>
        <v>0</v>
      </c>
      <c r="DD68" t="s">
        <v>3</v>
      </c>
      <c r="DE68" t="s">
        <v>3</v>
      </c>
      <c r="DF68">
        <f t="shared" si="17"/>
        <v>0</v>
      </c>
      <c r="DG68">
        <f t="shared" si="18"/>
        <v>0</v>
      </c>
      <c r="DH68">
        <f t="shared" si="19"/>
        <v>0</v>
      </c>
      <c r="DI68">
        <f t="shared" si="20"/>
        <v>0</v>
      </c>
      <c r="DJ68">
        <f>DG68</f>
        <v>0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ROW(Source!A58)</f>
        <v>58</v>
      </c>
      <c r="B69">
        <v>56622586</v>
      </c>
      <c r="C69">
        <v>56616585</v>
      </c>
      <c r="D69">
        <v>30415367</v>
      </c>
      <c r="E69">
        <v>1</v>
      </c>
      <c r="F69">
        <v>1</v>
      </c>
      <c r="G69">
        <v>27786564</v>
      </c>
      <c r="H69">
        <v>2</v>
      </c>
      <c r="I69" t="s">
        <v>476</v>
      </c>
      <c r="J69" t="s">
        <v>477</v>
      </c>
      <c r="K69" t="s">
        <v>478</v>
      </c>
      <c r="L69">
        <v>1367</v>
      </c>
      <c r="N69">
        <v>1011</v>
      </c>
      <c r="O69" t="s">
        <v>479</v>
      </c>
      <c r="P69" t="s">
        <v>479</v>
      </c>
      <c r="Q69">
        <v>1</v>
      </c>
      <c r="W69">
        <v>0</v>
      </c>
      <c r="X69">
        <v>-378748927</v>
      </c>
      <c r="Y69">
        <f t="shared" si="10"/>
        <v>3.3000000000000003</v>
      </c>
      <c r="AA69">
        <v>0</v>
      </c>
      <c r="AB69">
        <v>2.36</v>
      </c>
      <c r="AC69">
        <v>0.1</v>
      </c>
      <c r="AD69">
        <v>0</v>
      </c>
      <c r="AE69">
        <v>0</v>
      </c>
      <c r="AF69">
        <v>2.36</v>
      </c>
      <c r="AG69">
        <v>0.1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3</v>
      </c>
      <c r="AU69" t="s">
        <v>22</v>
      </c>
      <c r="AV69">
        <v>0</v>
      </c>
      <c r="AW69">
        <v>1</v>
      </c>
      <c r="AX69">
        <v>-1</v>
      </c>
      <c r="AY69">
        <v>0</v>
      </c>
      <c r="AZ69">
        <v>0</v>
      </c>
      <c r="BA69" t="s">
        <v>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f>ROUND(Y69*Source!I58*DO69,9)</f>
        <v>0</v>
      </c>
      <c r="CX69">
        <f>ROUND(Y69*Source!I58,9)</f>
        <v>0</v>
      </c>
      <c r="CY69">
        <f>AB69</f>
        <v>2.36</v>
      </c>
      <c r="CZ69">
        <f>AF69</f>
        <v>2.36</v>
      </c>
      <c r="DA69">
        <f>AJ69</f>
        <v>1</v>
      </c>
      <c r="DB69">
        <f t="shared" si="11"/>
        <v>7.7880000000000003</v>
      </c>
      <c r="DC69">
        <f t="shared" si="12"/>
        <v>0.33</v>
      </c>
      <c r="DD69" t="s">
        <v>3</v>
      </c>
      <c r="DE69" t="s">
        <v>3</v>
      </c>
      <c r="DF69">
        <f t="shared" si="17"/>
        <v>0</v>
      </c>
      <c r="DG69">
        <f t="shared" si="18"/>
        <v>0</v>
      </c>
      <c r="DH69">
        <f t="shared" si="19"/>
        <v>0</v>
      </c>
      <c r="DI69">
        <f t="shared" si="20"/>
        <v>0</v>
      </c>
      <c r="DJ69">
        <f>DG69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ROW(Source!A58)</f>
        <v>58</v>
      </c>
      <c r="B70">
        <v>56622586</v>
      </c>
      <c r="C70">
        <v>56616585</v>
      </c>
      <c r="D70">
        <v>47634960</v>
      </c>
      <c r="E70">
        <v>27786564</v>
      </c>
      <c r="F70">
        <v>1</v>
      </c>
      <c r="G70">
        <v>27786564</v>
      </c>
      <c r="H70">
        <v>2</v>
      </c>
      <c r="I70" t="s">
        <v>449</v>
      </c>
      <c r="J70" t="s">
        <v>3</v>
      </c>
      <c r="K70" t="s">
        <v>450</v>
      </c>
      <c r="L70">
        <v>1344</v>
      </c>
      <c r="N70">
        <v>1008</v>
      </c>
      <c r="O70" t="s">
        <v>451</v>
      </c>
      <c r="P70" t="s">
        <v>451</v>
      </c>
      <c r="Q70">
        <v>1</v>
      </c>
      <c r="W70">
        <v>0</v>
      </c>
      <c r="X70">
        <v>-1180195794</v>
      </c>
      <c r="Y70">
        <f t="shared" si="10"/>
        <v>4.4000000000000004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4</v>
      </c>
      <c r="AU70" t="s">
        <v>22</v>
      </c>
      <c r="AV70">
        <v>0</v>
      </c>
      <c r="AW70">
        <v>1</v>
      </c>
      <c r="AX70">
        <v>-1</v>
      </c>
      <c r="AY70">
        <v>0</v>
      </c>
      <c r="AZ70">
        <v>0</v>
      </c>
      <c r="BA70" t="s">
        <v>3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f>ROUND(Y70*Source!I58*DO70,9)</f>
        <v>0</v>
      </c>
      <c r="CX70">
        <f>ROUND(Y70*Source!I58,9)</f>
        <v>0</v>
      </c>
      <c r="CY70">
        <f>AB70</f>
        <v>1</v>
      </c>
      <c r="CZ70">
        <f>AF70</f>
        <v>1</v>
      </c>
      <c r="DA70">
        <f>AJ70</f>
        <v>1</v>
      </c>
      <c r="DB70">
        <f t="shared" si="11"/>
        <v>4.4000000000000004</v>
      </c>
      <c r="DC70">
        <f t="shared" si="12"/>
        <v>0</v>
      </c>
      <c r="DD70" t="s">
        <v>3</v>
      </c>
      <c r="DE70" t="s">
        <v>3</v>
      </c>
      <c r="DF70">
        <f t="shared" si="17"/>
        <v>0</v>
      </c>
      <c r="DG70">
        <f t="shared" si="18"/>
        <v>0</v>
      </c>
      <c r="DH70">
        <f t="shared" si="19"/>
        <v>0</v>
      </c>
      <c r="DI70">
        <f t="shared" si="20"/>
        <v>0</v>
      </c>
      <c r="DJ70">
        <f>DG70</f>
        <v>0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ROW(Source!A58)</f>
        <v>58</v>
      </c>
      <c r="B71">
        <v>56622586</v>
      </c>
      <c r="C71">
        <v>56616585</v>
      </c>
      <c r="D71">
        <v>46723638</v>
      </c>
      <c r="E71">
        <v>1</v>
      </c>
      <c r="F71">
        <v>1</v>
      </c>
      <c r="G71">
        <v>27786564</v>
      </c>
      <c r="H71">
        <v>3</v>
      </c>
      <c r="I71" t="s">
        <v>480</v>
      </c>
      <c r="J71" t="s">
        <v>481</v>
      </c>
      <c r="K71" t="s">
        <v>482</v>
      </c>
      <c r="L71">
        <v>1327</v>
      </c>
      <c r="N71">
        <v>1005</v>
      </c>
      <c r="O71" t="s">
        <v>483</v>
      </c>
      <c r="P71" t="s">
        <v>483</v>
      </c>
      <c r="Q71">
        <v>1</v>
      </c>
      <c r="W71">
        <v>0</v>
      </c>
      <c r="X71">
        <v>1730254325</v>
      </c>
      <c r="Y71">
        <f>AT71</f>
        <v>140</v>
      </c>
      <c r="AA71">
        <v>3.66</v>
      </c>
      <c r="AB71">
        <v>0</v>
      </c>
      <c r="AC71">
        <v>0</v>
      </c>
      <c r="AD71">
        <v>0</v>
      </c>
      <c r="AE71">
        <v>3.66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140</v>
      </c>
      <c r="AU71" t="s">
        <v>3</v>
      </c>
      <c r="AV71">
        <v>0</v>
      </c>
      <c r="AW71">
        <v>2</v>
      </c>
      <c r="AX71">
        <v>56616603</v>
      </c>
      <c r="AY71">
        <v>1</v>
      </c>
      <c r="AZ71">
        <v>0</v>
      </c>
      <c r="BA71">
        <v>79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ROUND(Y71*Source!I58,9)</f>
        <v>0</v>
      </c>
      <c r="CY71">
        <f>AA71</f>
        <v>3.66</v>
      </c>
      <c r="CZ71">
        <f>AE71</f>
        <v>3.66</v>
      </c>
      <c r="DA71">
        <f>AI71</f>
        <v>1</v>
      </c>
      <c r="DB71">
        <f>ROUND(ROUND(AT71*CZ71,2),6)</f>
        <v>512.4</v>
      </c>
      <c r="DC71">
        <f>ROUND(ROUND(AT71*AG71,2),6)</f>
        <v>0</v>
      </c>
      <c r="DD71" t="s">
        <v>3</v>
      </c>
      <c r="DE71" t="s">
        <v>3</v>
      </c>
      <c r="DF71">
        <f t="shared" si="17"/>
        <v>0</v>
      </c>
      <c r="DG71">
        <f t="shared" si="18"/>
        <v>0</v>
      </c>
      <c r="DH71">
        <f t="shared" si="19"/>
        <v>0</v>
      </c>
      <c r="DI71">
        <f t="shared" si="20"/>
        <v>0</v>
      </c>
      <c r="DJ71">
        <f>DF71</f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ROW(Source!A58)</f>
        <v>58</v>
      </c>
      <c r="B72">
        <v>56622586</v>
      </c>
      <c r="C72">
        <v>56616585</v>
      </c>
      <c r="D72">
        <v>46723721</v>
      </c>
      <c r="E72">
        <v>1</v>
      </c>
      <c r="F72">
        <v>1</v>
      </c>
      <c r="G72">
        <v>27786564</v>
      </c>
      <c r="H72">
        <v>3</v>
      </c>
      <c r="I72" t="s">
        <v>484</v>
      </c>
      <c r="J72" t="s">
        <v>485</v>
      </c>
      <c r="K72" t="s">
        <v>486</v>
      </c>
      <c r="L72">
        <v>1348</v>
      </c>
      <c r="N72">
        <v>1009</v>
      </c>
      <c r="O72" t="s">
        <v>367</v>
      </c>
      <c r="P72" t="s">
        <v>367</v>
      </c>
      <c r="Q72">
        <v>1000</v>
      </c>
      <c r="W72">
        <v>0</v>
      </c>
      <c r="X72">
        <v>-1882521001</v>
      </c>
      <c r="Y72">
        <f>AT72</f>
        <v>2.0000000000000001E-4</v>
      </c>
      <c r="AA72">
        <v>13609.41</v>
      </c>
      <c r="AB72">
        <v>0</v>
      </c>
      <c r="AC72">
        <v>0</v>
      </c>
      <c r="AD72">
        <v>0</v>
      </c>
      <c r="AE72">
        <v>13609.41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2.0000000000000001E-4</v>
      </c>
      <c r="AU72" t="s">
        <v>3</v>
      </c>
      <c r="AV72">
        <v>0</v>
      </c>
      <c r="AW72">
        <v>2</v>
      </c>
      <c r="AX72">
        <v>56616604</v>
      </c>
      <c r="AY72">
        <v>1</v>
      </c>
      <c r="AZ72">
        <v>0</v>
      </c>
      <c r="BA72">
        <v>80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ROUND(Y72*Source!I58,9)</f>
        <v>0</v>
      </c>
      <c r="CY72">
        <f>AA72</f>
        <v>13609.41</v>
      </c>
      <c r="CZ72">
        <f>AE72</f>
        <v>13609.41</v>
      </c>
      <c r="DA72">
        <f>AI72</f>
        <v>1</v>
      </c>
      <c r="DB72">
        <f>ROUND(ROUND(AT72*CZ72,2),6)</f>
        <v>2.72</v>
      </c>
      <c r="DC72">
        <f>ROUND(ROUND(AT72*AG72,2),6)</f>
        <v>0</v>
      </c>
      <c r="DD72" t="s">
        <v>3</v>
      </c>
      <c r="DE72" t="s">
        <v>3</v>
      </c>
      <c r="DF72">
        <f t="shared" si="17"/>
        <v>0</v>
      </c>
      <c r="DG72">
        <f t="shared" si="18"/>
        <v>0</v>
      </c>
      <c r="DH72">
        <f t="shared" si="19"/>
        <v>0</v>
      </c>
      <c r="DI72">
        <f t="shared" si="20"/>
        <v>0</v>
      </c>
      <c r="DJ72">
        <f>DF72</f>
        <v>0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ROW(Source!A58)</f>
        <v>58</v>
      </c>
      <c r="B73">
        <v>56622586</v>
      </c>
      <c r="C73">
        <v>56616585</v>
      </c>
      <c r="D73">
        <v>47634908</v>
      </c>
      <c r="E73">
        <v>27786564</v>
      </c>
      <c r="F73">
        <v>1</v>
      </c>
      <c r="G73">
        <v>27786564</v>
      </c>
      <c r="H73">
        <v>3</v>
      </c>
      <c r="I73" t="s">
        <v>456</v>
      </c>
      <c r="J73" t="s">
        <v>3</v>
      </c>
      <c r="K73" t="s">
        <v>457</v>
      </c>
      <c r="L73">
        <v>1344</v>
      </c>
      <c r="N73">
        <v>1008</v>
      </c>
      <c r="O73" t="s">
        <v>451</v>
      </c>
      <c r="P73" t="s">
        <v>451</v>
      </c>
      <c r="Q73">
        <v>1</v>
      </c>
      <c r="W73">
        <v>0</v>
      </c>
      <c r="X73">
        <v>-94250534</v>
      </c>
      <c r="Y73">
        <f>AT73</f>
        <v>1.4</v>
      </c>
      <c r="AA73">
        <v>1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1.4</v>
      </c>
      <c r="AU73" t="s">
        <v>3</v>
      </c>
      <c r="AV73">
        <v>0</v>
      </c>
      <c r="AW73">
        <v>1</v>
      </c>
      <c r="AX73">
        <v>-1</v>
      </c>
      <c r="AY73">
        <v>0</v>
      </c>
      <c r="AZ73">
        <v>0</v>
      </c>
      <c r="BA73" t="s">
        <v>3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ROUND(Y73*Source!I58,9)</f>
        <v>0</v>
      </c>
      <c r="CY73">
        <f>AA73</f>
        <v>1</v>
      </c>
      <c r="CZ73">
        <f>AE73</f>
        <v>1</v>
      </c>
      <c r="DA73">
        <f>AI73</f>
        <v>1</v>
      </c>
      <c r="DB73">
        <f>ROUND(ROUND(AT73*CZ73,2),6)</f>
        <v>1.4</v>
      </c>
      <c r="DC73">
        <f>ROUND(ROUND(AT73*AG73,2),6)</f>
        <v>0</v>
      </c>
      <c r="DD73" t="s">
        <v>3</v>
      </c>
      <c r="DE73" t="s">
        <v>3</v>
      </c>
      <c r="DF73">
        <f t="shared" si="17"/>
        <v>0</v>
      </c>
      <c r="DG73">
        <f t="shared" si="18"/>
        <v>0</v>
      </c>
      <c r="DH73">
        <f t="shared" si="19"/>
        <v>0</v>
      </c>
      <c r="DI73">
        <f t="shared" si="20"/>
        <v>0</v>
      </c>
      <c r="DJ73">
        <f>DF73</f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ROW(Source!A59)</f>
        <v>59</v>
      </c>
      <c r="B74">
        <v>56616093</v>
      </c>
      <c r="C74">
        <v>56616585</v>
      </c>
      <c r="D74">
        <v>47634407</v>
      </c>
      <c r="E74">
        <v>27786564</v>
      </c>
      <c r="F74">
        <v>1</v>
      </c>
      <c r="G74">
        <v>27786564</v>
      </c>
      <c r="H74">
        <v>1</v>
      </c>
      <c r="I74" t="s">
        <v>439</v>
      </c>
      <c r="J74" t="s">
        <v>3</v>
      </c>
      <c r="K74" t="s">
        <v>440</v>
      </c>
      <c r="L74">
        <v>1191</v>
      </c>
      <c r="N74">
        <v>1013</v>
      </c>
      <c r="O74" t="s">
        <v>441</v>
      </c>
      <c r="P74" t="s">
        <v>441</v>
      </c>
      <c r="Q74">
        <v>1</v>
      </c>
      <c r="W74">
        <v>0</v>
      </c>
      <c r="X74">
        <v>476480486</v>
      </c>
      <c r="Y74">
        <f t="shared" ref="Y74:Y79" si="21">(AT74*1.1)</f>
        <v>148.5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135</v>
      </c>
      <c r="AU74" t="s">
        <v>22</v>
      </c>
      <c r="AV74">
        <v>1</v>
      </c>
      <c r="AW74">
        <v>2</v>
      </c>
      <c r="AX74">
        <v>56616595</v>
      </c>
      <c r="AY74">
        <v>1</v>
      </c>
      <c r="AZ74">
        <v>0</v>
      </c>
      <c r="BA74">
        <v>82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U74">
        <f>ROUND(AT74*Source!I59*AH74*AL74,2)</f>
        <v>0</v>
      </c>
      <c r="CV74">
        <f>ROUND(Y74*Source!I59,9)</f>
        <v>0</v>
      </c>
      <c r="CW74">
        <v>0</v>
      </c>
      <c r="CX74">
        <f>ROUND(Y74*Source!I59,9)</f>
        <v>0</v>
      </c>
      <c r="CY74">
        <f>AD74</f>
        <v>0</v>
      </c>
      <c r="CZ74">
        <f>AH74</f>
        <v>0</v>
      </c>
      <c r="DA74">
        <f>AL74</f>
        <v>1</v>
      </c>
      <c r="DB74">
        <f t="shared" ref="DB74:DB79" si="22">ROUND((ROUND(AT74*CZ74,2)*1.1),6)</f>
        <v>0</v>
      </c>
      <c r="DC74">
        <f t="shared" ref="DC74:DC79" si="23">ROUND((ROUND(AT74*AG74,2)*1.1),6)</f>
        <v>0</v>
      </c>
      <c r="DD74" t="s">
        <v>3</v>
      </c>
      <c r="DE74" t="s">
        <v>3</v>
      </c>
      <c r="DF74">
        <f t="shared" si="17"/>
        <v>0</v>
      </c>
      <c r="DG74">
        <f t="shared" si="18"/>
        <v>0</v>
      </c>
      <c r="DH74">
        <f t="shared" si="19"/>
        <v>0</v>
      </c>
      <c r="DI74">
        <f t="shared" si="20"/>
        <v>0</v>
      </c>
      <c r="DJ74">
        <f>DI74</f>
        <v>0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ROW(Source!A59)</f>
        <v>59</v>
      </c>
      <c r="B75">
        <v>56616093</v>
      </c>
      <c r="C75">
        <v>56616585</v>
      </c>
      <c r="D75">
        <v>47766844</v>
      </c>
      <c r="E75">
        <v>1</v>
      </c>
      <c r="F75">
        <v>1</v>
      </c>
      <c r="G75">
        <v>27786564</v>
      </c>
      <c r="H75">
        <v>2</v>
      </c>
      <c r="I75" t="s">
        <v>467</v>
      </c>
      <c r="J75" t="s">
        <v>468</v>
      </c>
      <c r="K75" t="s">
        <v>469</v>
      </c>
      <c r="L75">
        <v>1368</v>
      </c>
      <c r="N75">
        <v>1011</v>
      </c>
      <c r="O75" t="s">
        <v>445</v>
      </c>
      <c r="P75" t="s">
        <v>445</v>
      </c>
      <c r="Q75">
        <v>1</v>
      </c>
      <c r="W75">
        <v>0</v>
      </c>
      <c r="X75">
        <v>-2031172510</v>
      </c>
      <c r="Y75">
        <f t="shared" si="21"/>
        <v>8.8000000000000007</v>
      </c>
      <c r="AA75">
        <v>0</v>
      </c>
      <c r="AB75">
        <v>254.43</v>
      </c>
      <c r="AC75">
        <v>0</v>
      </c>
      <c r="AD75">
        <v>0</v>
      </c>
      <c r="AE75">
        <v>0</v>
      </c>
      <c r="AF75">
        <v>24.95</v>
      </c>
      <c r="AG75">
        <v>0</v>
      </c>
      <c r="AH75">
        <v>0</v>
      </c>
      <c r="AI75">
        <v>1</v>
      </c>
      <c r="AJ75">
        <v>9.74</v>
      </c>
      <c r="AK75">
        <v>34.51</v>
      </c>
      <c r="AL75">
        <v>1</v>
      </c>
      <c r="AM75">
        <v>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8</v>
      </c>
      <c r="AU75" t="s">
        <v>22</v>
      </c>
      <c r="AV75">
        <v>0</v>
      </c>
      <c r="AW75">
        <v>2</v>
      </c>
      <c r="AX75">
        <v>56616596</v>
      </c>
      <c r="AY75">
        <v>1</v>
      </c>
      <c r="AZ75">
        <v>0</v>
      </c>
      <c r="BA75">
        <v>83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f>ROUND(Y75*Source!I59*DO75,9)</f>
        <v>0</v>
      </c>
      <c r="CX75">
        <f>ROUND(Y75*Source!I59,9)</f>
        <v>0</v>
      </c>
      <c r="CY75">
        <f>AB75</f>
        <v>254.43</v>
      </c>
      <c r="CZ75">
        <f>AF75</f>
        <v>24.95</v>
      </c>
      <c r="DA75">
        <f>AJ75</f>
        <v>9.74</v>
      </c>
      <c r="DB75">
        <f t="shared" si="22"/>
        <v>219.56</v>
      </c>
      <c r="DC75">
        <f t="shared" si="23"/>
        <v>0</v>
      </c>
      <c r="DD75" t="s">
        <v>3</v>
      </c>
      <c r="DE75" t="s">
        <v>3</v>
      </c>
      <c r="DF75">
        <f t="shared" si="17"/>
        <v>0</v>
      </c>
      <c r="DG75">
        <f>ROUND(ROUND(AF75*AJ75,2)*CX75,2)</f>
        <v>0</v>
      </c>
      <c r="DH75">
        <f>ROUND(ROUND(AG75*AK75,2)*CX75,2)</f>
        <v>0</v>
      </c>
      <c r="DI75">
        <f t="shared" si="20"/>
        <v>0</v>
      </c>
      <c r="DJ75">
        <f>DG75</f>
        <v>0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ROW(Source!A59)</f>
        <v>59</v>
      </c>
      <c r="B76">
        <v>56616093</v>
      </c>
      <c r="C76">
        <v>56616585</v>
      </c>
      <c r="D76">
        <v>47766894</v>
      </c>
      <c r="E76">
        <v>1</v>
      </c>
      <c r="F76">
        <v>1</v>
      </c>
      <c r="G76">
        <v>27786564</v>
      </c>
      <c r="H76">
        <v>2</v>
      </c>
      <c r="I76" t="s">
        <v>470</v>
      </c>
      <c r="J76" t="s">
        <v>471</v>
      </c>
      <c r="K76" t="s">
        <v>472</v>
      </c>
      <c r="L76">
        <v>1368</v>
      </c>
      <c r="N76">
        <v>1011</v>
      </c>
      <c r="O76" t="s">
        <v>445</v>
      </c>
      <c r="P76" t="s">
        <v>445</v>
      </c>
      <c r="Q76">
        <v>1</v>
      </c>
      <c r="W76">
        <v>0</v>
      </c>
      <c r="X76">
        <v>-1738925214</v>
      </c>
      <c r="Y76">
        <f t="shared" si="21"/>
        <v>2.2000000000000002</v>
      </c>
      <c r="AA76">
        <v>0</v>
      </c>
      <c r="AB76">
        <v>43.8</v>
      </c>
      <c r="AC76">
        <v>0</v>
      </c>
      <c r="AD76">
        <v>0</v>
      </c>
      <c r="AE76">
        <v>0</v>
      </c>
      <c r="AF76">
        <v>4.6900000000000004</v>
      </c>
      <c r="AG76">
        <v>0</v>
      </c>
      <c r="AH76">
        <v>0</v>
      </c>
      <c r="AI76">
        <v>1</v>
      </c>
      <c r="AJ76">
        <v>8.92</v>
      </c>
      <c r="AK76">
        <v>34.51</v>
      </c>
      <c r="AL76">
        <v>1</v>
      </c>
      <c r="AM76">
        <v>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2</v>
      </c>
      <c r="AU76" t="s">
        <v>22</v>
      </c>
      <c r="AV76">
        <v>0</v>
      </c>
      <c r="AW76">
        <v>2</v>
      </c>
      <c r="AX76">
        <v>56616597</v>
      </c>
      <c r="AY76">
        <v>1</v>
      </c>
      <c r="AZ76">
        <v>0</v>
      </c>
      <c r="BA76">
        <v>84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f>ROUND(Y76*Source!I59*DO76,9)</f>
        <v>0</v>
      </c>
      <c r="CX76">
        <f>ROUND(Y76*Source!I59,9)</f>
        <v>0</v>
      </c>
      <c r="CY76">
        <f>AB76</f>
        <v>43.8</v>
      </c>
      <c r="CZ76">
        <f>AF76</f>
        <v>4.6900000000000004</v>
      </c>
      <c r="DA76">
        <f>AJ76</f>
        <v>8.92</v>
      </c>
      <c r="DB76">
        <f t="shared" si="22"/>
        <v>10.318</v>
      </c>
      <c r="DC76">
        <f t="shared" si="23"/>
        <v>0</v>
      </c>
      <c r="DD76" t="s">
        <v>3</v>
      </c>
      <c r="DE76" t="s">
        <v>3</v>
      </c>
      <c r="DF76">
        <f t="shared" si="17"/>
        <v>0</v>
      </c>
      <c r="DG76">
        <f>ROUND(ROUND(AF76*AJ76,2)*CX76,2)</f>
        <v>0</v>
      </c>
      <c r="DH76">
        <f>ROUND(ROUND(AG76*AK76,2)*CX76,2)</f>
        <v>0</v>
      </c>
      <c r="DI76">
        <f t="shared" si="20"/>
        <v>0</v>
      </c>
      <c r="DJ76">
        <f>DG76</f>
        <v>0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ROW(Source!A59)</f>
        <v>59</v>
      </c>
      <c r="B77">
        <v>56616093</v>
      </c>
      <c r="C77">
        <v>56616585</v>
      </c>
      <c r="D77">
        <v>50545312</v>
      </c>
      <c r="E77">
        <v>1</v>
      </c>
      <c r="F77">
        <v>1</v>
      </c>
      <c r="G77">
        <v>27786564</v>
      </c>
      <c r="H77">
        <v>2</v>
      </c>
      <c r="I77" t="s">
        <v>473</v>
      </c>
      <c r="J77" t="s">
        <v>474</v>
      </c>
      <c r="K77" t="s">
        <v>475</v>
      </c>
      <c r="L77">
        <v>1368</v>
      </c>
      <c r="N77">
        <v>1011</v>
      </c>
      <c r="O77" t="s">
        <v>445</v>
      </c>
      <c r="P77" t="s">
        <v>445</v>
      </c>
      <c r="Q77">
        <v>1</v>
      </c>
      <c r="W77">
        <v>0</v>
      </c>
      <c r="X77">
        <v>-1247897737</v>
      </c>
      <c r="Y77">
        <f t="shared" si="21"/>
        <v>33</v>
      </c>
      <c r="AA77">
        <v>0</v>
      </c>
      <c r="AB77">
        <v>56.14</v>
      </c>
      <c r="AC77">
        <v>0</v>
      </c>
      <c r="AD77">
        <v>0</v>
      </c>
      <c r="AE77">
        <v>0</v>
      </c>
      <c r="AF77">
        <v>6.1</v>
      </c>
      <c r="AG77">
        <v>0</v>
      </c>
      <c r="AH77">
        <v>0</v>
      </c>
      <c r="AI77">
        <v>1</v>
      </c>
      <c r="AJ77">
        <v>8.7899999999999991</v>
      </c>
      <c r="AK77">
        <v>34.51</v>
      </c>
      <c r="AL77">
        <v>1</v>
      </c>
      <c r="AM77">
        <v>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30</v>
      </c>
      <c r="AU77" t="s">
        <v>22</v>
      </c>
      <c r="AV77">
        <v>0</v>
      </c>
      <c r="AW77">
        <v>2</v>
      </c>
      <c r="AX77">
        <v>56616598</v>
      </c>
      <c r="AY77">
        <v>1</v>
      </c>
      <c r="AZ77">
        <v>0</v>
      </c>
      <c r="BA77">
        <v>85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f>ROUND(Y77*Source!I59*DO77,9)</f>
        <v>0</v>
      </c>
      <c r="CX77">
        <f>ROUND(Y77*Source!I59,9)</f>
        <v>0</v>
      </c>
      <c r="CY77">
        <f>AB77</f>
        <v>56.14</v>
      </c>
      <c r="CZ77">
        <f>AF77</f>
        <v>6.1</v>
      </c>
      <c r="DA77">
        <f>AJ77</f>
        <v>8.7899999999999991</v>
      </c>
      <c r="DB77">
        <f t="shared" si="22"/>
        <v>201.3</v>
      </c>
      <c r="DC77">
        <f t="shared" si="23"/>
        <v>0</v>
      </c>
      <c r="DD77" t="s">
        <v>3</v>
      </c>
      <c r="DE77" t="s">
        <v>3</v>
      </c>
      <c r="DF77">
        <f t="shared" si="17"/>
        <v>0</v>
      </c>
      <c r="DG77">
        <f>ROUND(ROUND(AF77*AJ77,2)*CX77,2)</f>
        <v>0</v>
      </c>
      <c r="DH77">
        <f>ROUND(ROUND(AG77*AK77,2)*CX77,2)</f>
        <v>0</v>
      </c>
      <c r="DI77">
        <f t="shared" si="20"/>
        <v>0</v>
      </c>
      <c r="DJ77">
        <f>DG77</f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ROW(Source!A59)</f>
        <v>59</v>
      </c>
      <c r="B78">
        <v>56616093</v>
      </c>
      <c r="C78">
        <v>56616585</v>
      </c>
      <c r="D78">
        <v>30415367</v>
      </c>
      <c r="E78">
        <v>1</v>
      </c>
      <c r="F78">
        <v>1</v>
      </c>
      <c r="G78">
        <v>27786564</v>
      </c>
      <c r="H78">
        <v>2</v>
      </c>
      <c r="I78" t="s">
        <v>476</v>
      </c>
      <c r="J78" t="s">
        <v>477</v>
      </c>
      <c r="K78" t="s">
        <v>478</v>
      </c>
      <c r="L78">
        <v>1367</v>
      </c>
      <c r="N78">
        <v>1011</v>
      </c>
      <c r="O78" t="s">
        <v>479</v>
      </c>
      <c r="P78" t="s">
        <v>479</v>
      </c>
      <c r="Q78">
        <v>1</v>
      </c>
      <c r="W78">
        <v>0</v>
      </c>
      <c r="X78">
        <v>-378748927</v>
      </c>
      <c r="Y78">
        <f t="shared" si="21"/>
        <v>3.3000000000000003</v>
      </c>
      <c r="AA78">
        <v>0</v>
      </c>
      <c r="AB78">
        <v>2.4700000000000002</v>
      </c>
      <c r="AC78">
        <v>0.1</v>
      </c>
      <c r="AD78">
        <v>0</v>
      </c>
      <c r="AE78">
        <v>0</v>
      </c>
      <c r="AF78">
        <v>2.36</v>
      </c>
      <c r="AG78">
        <v>0.1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-2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3</v>
      </c>
      <c r="AU78" t="s">
        <v>22</v>
      </c>
      <c r="AV78">
        <v>0</v>
      </c>
      <c r="AW78">
        <v>1</v>
      </c>
      <c r="AX78">
        <v>-1</v>
      </c>
      <c r="AY78">
        <v>0</v>
      </c>
      <c r="AZ78">
        <v>0</v>
      </c>
      <c r="BA78" t="s">
        <v>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f>ROUND(Y78*Source!I59*DO78,9)</f>
        <v>0</v>
      </c>
      <c r="CX78">
        <f>ROUND(Y78*Source!I59,9)</f>
        <v>0</v>
      </c>
      <c r="CY78">
        <f>AB78</f>
        <v>2.4700000000000002</v>
      </c>
      <c r="CZ78">
        <f>AF78</f>
        <v>2.36</v>
      </c>
      <c r="DA78">
        <f>AJ78</f>
        <v>1</v>
      </c>
      <c r="DB78">
        <f t="shared" si="22"/>
        <v>7.7880000000000003</v>
      </c>
      <c r="DC78">
        <f t="shared" si="23"/>
        <v>0.33</v>
      </c>
      <c r="DD78" t="s">
        <v>3</v>
      </c>
      <c r="DE78" t="s">
        <v>3</v>
      </c>
      <c r="DF78">
        <f t="shared" si="17"/>
        <v>0</v>
      </c>
      <c r="DG78">
        <f t="shared" ref="DG78:DG109" si="24">ROUND(ROUND(AF78,2)*CX78,2)</f>
        <v>0</v>
      </c>
      <c r="DH78">
        <f t="shared" ref="DH78:DH109" si="25">ROUND(ROUND(AG78,2)*CX78,2)</f>
        <v>0</v>
      </c>
      <c r="DI78">
        <f t="shared" si="20"/>
        <v>0</v>
      </c>
      <c r="DJ78">
        <f>DG78</f>
        <v>0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ROW(Source!A59)</f>
        <v>59</v>
      </c>
      <c r="B79">
        <v>56616093</v>
      </c>
      <c r="C79">
        <v>56616585</v>
      </c>
      <c r="D79">
        <v>47634960</v>
      </c>
      <c r="E79">
        <v>27786564</v>
      </c>
      <c r="F79">
        <v>1</v>
      </c>
      <c r="G79">
        <v>27786564</v>
      </c>
      <c r="H79">
        <v>2</v>
      </c>
      <c r="I79" t="s">
        <v>449</v>
      </c>
      <c r="J79" t="s">
        <v>3</v>
      </c>
      <c r="K79" t="s">
        <v>450</v>
      </c>
      <c r="L79">
        <v>1344</v>
      </c>
      <c r="N79">
        <v>1008</v>
      </c>
      <c r="O79" t="s">
        <v>451</v>
      </c>
      <c r="P79" t="s">
        <v>451</v>
      </c>
      <c r="Q79">
        <v>1</v>
      </c>
      <c r="W79">
        <v>0</v>
      </c>
      <c r="X79">
        <v>-1180195794</v>
      </c>
      <c r="Y79">
        <f t="shared" si="21"/>
        <v>4.4000000000000004</v>
      </c>
      <c r="AA79">
        <v>0</v>
      </c>
      <c r="AB79">
        <v>1.05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4</v>
      </c>
      <c r="AU79" t="s">
        <v>22</v>
      </c>
      <c r="AV79">
        <v>0</v>
      </c>
      <c r="AW79">
        <v>1</v>
      </c>
      <c r="AX79">
        <v>-1</v>
      </c>
      <c r="AY79">
        <v>0</v>
      </c>
      <c r="AZ79">
        <v>0</v>
      </c>
      <c r="BA79" t="s">
        <v>3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f>ROUND(Y79*Source!I59*DO79,9)</f>
        <v>0</v>
      </c>
      <c r="CX79">
        <f>ROUND(Y79*Source!I59,9)</f>
        <v>0</v>
      </c>
      <c r="CY79">
        <f>AB79</f>
        <v>1.05</v>
      </c>
      <c r="CZ79">
        <f>AF79</f>
        <v>1</v>
      </c>
      <c r="DA79">
        <f>AJ79</f>
        <v>1</v>
      </c>
      <c r="DB79">
        <f t="shared" si="22"/>
        <v>4.4000000000000004</v>
      </c>
      <c r="DC79">
        <f t="shared" si="23"/>
        <v>0</v>
      </c>
      <c r="DD79" t="s">
        <v>3</v>
      </c>
      <c r="DE79" t="s">
        <v>3</v>
      </c>
      <c r="DF79">
        <f t="shared" si="17"/>
        <v>0</v>
      </c>
      <c r="DG79">
        <f t="shared" si="24"/>
        <v>0</v>
      </c>
      <c r="DH79">
        <f t="shared" si="25"/>
        <v>0</v>
      </c>
      <c r="DI79">
        <f t="shared" si="20"/>
        <v>0</v>
      </c>
      <c r="DJ79">
        <f>DG79</f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ROW(Source!A59)</f>
        <v>59</v>
      </c>
      <c r="B80">
        <v>56616093</v>
      </c>
      <c r="C80">
        <v>56616585</v>
      </c>
      <c r="D80">
        <v>46723638</v>
      </c>
      <c r="E80">
        <v>1</v>
      </c>
      <c r="F80">
        <v>1</v>
      </c>
      <c r="G80">
        <v>27786564</v>
      </c>
      <c r="H80">
        <v>3</v>
      </c>
      <c r="I80" t="s">
        <v>480</v>
      </c>
      <c r="J80" t="s">
        <v>481</v>
      </c>
      <c r="K80" t="s">
        <v>482</v>
      </c>
      <c r="L80">
        <v>1327</v>
      </c>
      <c r="N80">
        <v>1005</v>
      </c>
      <c r="O80" t="s">
        <v>483</v>
      </c>
      <c r="P80" t="s">
        <v>483</v>
      </c>
      <c r="Q80">
        <v>1</v>
      </c>
      <c r="W80">
        <v>0</v>
      </c>
      <c r="X80">
        <v>1730254325</v>
      </c>
      <c r="Y80">
        <f>AT80</f>
        <v>140</v>
      </c>
      <c r="AA80">
        <v>11.82</v>
      </c>
      <c r="AB80">
        <v>0</v>
      </c>
      <c r="AC80">
        <v>0</v>
      </c>
      <c r="AD80">
        <v>0</v>
      </c>
      <c r="AE80">
        <v>3.66</v>
      </c>
      <c r="AF80">
        <v>0</v>
      </c>
      <c r="AG80">
        <v>0</v>
      </c>
      <c r="AH80">
        <v>0</v>
      </c>
      <c r="AI80">
        <v>3.23</v>
      </c>
      <c r="AJ80">
        <v>1</v>
      </c>
      <c r="AK80">
        <v>1</v>
      </c>
      <c r="AL80">
        <v>1</v>
      </c>
      <c r="AM80">
        <v>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140</v>
      </c>
      <c r="AU80" t="s">
        <v>3</v>
      </c>
      <c r="AV80">
        <v>0</v>
      </c>
      <c r="AW80">
        <v>2</v>
      </c>
      <c r="AX80">
        <v>56616603</v>
      </c>
      <c r="AY80">
        <v>1</v>
      </c>
      <c r="AZ80">
        <v>0</v>
      </c>
      <c r="BA80">
        <v>90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ROUND(Y80*Source!I59,9)</f>
        <v>0</v>
      </c>
      <c r="CY80">
        <f>AA80</f>
        <v>11.82</v>
      </c>
      <c r="CZ80">
        <f>AE80</f>
        <v>3.66</v>
      </c>
      <c r="DA80">
        <f>AI80</f>
        <v>3.23</v>
      </c>
      <c r="DB80">
        <f>ROUND(ROUND(AT80*CZ80,2),6)</f>
        <v>512.4</v>
      </c>
      <c r="DC80">
        <f>ROUND(ROUND(AT80*AG80,2),6)</f>
        <v>0</v>
      </c>
      <c r="DD80" t="s">
        <v>3</v>
      </c>
      <c r="DE80" t="s">
        <v>3</v>
      </c>
      <c r="DF80">
        <f>ROUND(ROUND(AE80*AI80,2)*CX80,2)</f>
        <v>0</v>
      </c>
      <c r="DG80">
        <f t="shared" si="24"/>
        <v>0</v>
      </c>
      <c r="DH80">
        <f t="shared" si="25"/>
        <v>0</v>
      </c>
      <c r="DI80">
        <f t="shared" si="20"/>
        <v>0</v>
      </c>
      <c r="DJ80">
        <f>DF80</f>
        <v>0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ROW(Source!A59)</f>
        <v>59</v>
      </c>
      <c r="B81">
        <v>56616093</v>
      </c>
      <c r="C81">
        <v>56616585</v>
      </c>
      <c r="D81">
        <v>46723721</v>
      </c>
      <c r="E81">
        <v>1</v>
      </c>
      <c r="F81">
        <v>1</v>
      </c>
      <c r="G81">
        <v>27786564</v>
      </c>
      <c r="H81">
        <v>3</v>
      </c>
      <c r="I81" t="s">
        <v>484</v>
      </c>
      <c r="J81" t="s">
        <v>485</v>
      </c>
      <c r="K81" t="s">
        <v>486</v>
      </c>
      <c r="L81">
        <v>1348</v>
      </c>
      <c r="N81">
        <v>1009</v>
      </c>
      <c r="O81" t="s">
        <v>367</v>
      </c>
      <c r="P81" t="s">
        <v>367</v>
      </c>
      <c r="Q81">
        <v>1000</v>
      </c>
      <c r="W81">
        <v>0</v>
      </c>
      <c r="X81">
        <v>-1882521001</v>
      </c>
      <c r="Y81">
        <f>AT81</f>
        <v>2.0000000000000001E-4</v>
      </c>
      <c r="AA81">
        <v>90774.76</v>
      </c>
      <c r="AB81">
        <v>0</v>
      </c>
      <c r="AC81">
        <v>0</v>
      </c>
      <c r="AD81">
        <v>0</v>
      </c>
      <c r="AE81">
        <v>13609.41</v>
      </c>
      <c r="AF81">
        <v>0</v>
      </c>
      <c r="AG81">
        <v>0</v>
      </c>
      <c r="AH81">
        <v>0</v>
      </c>
      <c r="AI81">
        <v>6.67</v>
      </c>
      <c r="AJ81">
        <v>1</v>
      </c>
      <c r="AK81">
        <v>1</v>
      </c>
      <c r="AL81">
        <v>1</v>
      </c>
      <c r="AM81">
        <v>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2.0000000000000001E-4</v>
      </c>
      <c r="AU81" t="s">
        <v>3</v>
      </c>
      <c r="AV81">
        <v>0</v>
      </c>
      <c r="AW81">
        <v>2</v>
      </c>
      <c r="AX81">
        <v>56616604</v>
      </c>
      <c r="AY81">
        <v>1</v>
      </c>
      <c r="AZ81">
        <v>0</v>
      </c>
      <c r="BA81">
        <v>91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ROUND(Y81*Source!I59,9)</f>
        <v>0</v>
      </c>
      <c r="CY81">
        <f>AA81</f>
        <v>90774.76</v>
      </c>
      <c r="CZ81">
        <f>AE81</f>
        <v>13609.41</v>
      </c>
      <c r="DA81">
        <f>AI81</f>
        <v>6.67</v>
      </c>
      <c r="DB81">
        <f>ROUND(ROUND(AT81*CZ81,2),6)</f>
        <v>2.72</v>
      </c>
      <c r="DC81">
        <f>ROUND(ROUND(AT81*AG81,2),6)</f>
        <v>0</v>
      </c>
      <c r="DD81" t="s">
        <v>3</v>
      </c>
      <c r="DE81" t="s">
        <v>3</v>
      </c>
      <c r="DF81">
        <f>ROUND(ROUND(AE81*AI81,2)*CX81,2)</f>
        <v>0</v>
      </c>
      <c r="DG81">
        <f t="shared" si="24"/>
        <v>0</v>
      </c>
      <c r="DH81">
        <f t="shared" si="25"/>
        <v>0</v>
      </c>
      <c r="DI81">
        <f t="shared" si="20"/>
        <v>0</v>
      </c>
      <c r="DJ81">
        <f>DF81</f>
        <v>0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ROW(Source!A59)</f>
        <v>59</v>
      </c>
      <c r="B82">
        <v>56616093</v>
      </c>
      <c r="C82">
        <v>56616585</v>
      </c>
      <c r="D82">
        <v>47634908</v>
      </c>
      <c r="E82">
        <v>27786564</v>
      </c>
      <c r="F82">
        <v>1</v>
      </c>
      <c r="G82">
        <v>27786564</v>
      </c>
      <c r="H82">
        <v>3</v>
      </c>
      <c r="I82" t="s">
        <v>456</v>
      </c>
      <c r="J82" t="s">
        <v>3</v>
      </c>
      <c r="K82" t="s">
        <v>457</v>
      </c>
      <c r="L82">
        <v>1344</v>
      </c>
      <c r="N82">
        <v>1008</v>
      </c>
      <c r="O82" t="s">
        <v>451</v>
      </c>
      <c r="P82" t="s">
        <v>451</v>
      </c>
      <c r="Q82">
        <v>1</v>
      </c>
      <c r="W82">
        <v>0</v>
      </c>
      <c r="X82">
        <v>-94250534</v>
      </c>
      <c r="Y82">
        <f>AT82</f>
        <v>1.4</v>
      </c>
      <c r="AA82">
        <v>1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1.4</v>
      </c>
      <c r="AU82" t="s">
        <v>3</v>
      </c>
      <c r="AV82">
        <v>0</v>
      </c>
      <c r="AW82">
        <v>1</v>
      </c>
      <c r="AX82">
        <v>-1</v>
      </c>
      <c r="AY82">
        <v>0</v>
      </c>
      <c r="AZ82">
        <v>0</v>
      </c>
      <c r="BA82" t="s">
        <v>3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ROUND(Y82*Source!I59,9)</f>
        <v>0</v>
      </c>
      <c r="CY82">
        <f>AA82</f>
        <v>1</v>
      </c>
      <c r="CZ82">
        <f>AE82</f>
        <v>1</v>
      </c>
      <c r="DA82">
        <f>AI82</f>
        <v>1</v>
      </c>
      <c r="DB82">
        <f>ROUND(ROUND(AT82*CZ82,2),6)</f>
        <v>1.4</v>
      </c>
      <c r="DC82">
        <f>ROUND(ROUND(AT82*AG82,2),6)</f>
        <v>0</v>
      </c>
      <c r="DD82" t="s">
        <v>3</v>
      </c>
      <c r="DE82" t="s">
        <v>3</v>
      </c>
      <c r="DF82">
        <f t="shared" ref="DF82:DF113" si="26">ROUND(ROUND(AE82,2)*CX82,2)</f>
        <v>0</v>
      </c>
      <c r="DG82">
        <f t="shared" si="24"/>
        <v>0</v>
      </c>
      <c r="DH82">
        <f t="shared" si="25"/>
        <v>0</v>
      </c>
      <c r="DI82">
        <f t="shared" si="20"/>
        <v>0</v>
      </c>
      <c r="DJ82">
        <f>DF82</f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ROW(Source!A97)</f>
        <v>97</v>
      </c>
      <c r="B83">
        <v>56622586</v>
      </c>
      <c r="C83">
        <v>56616607</v>
      </c>
      <c r="D83">
        <v>47634407</v>
      </c>
      <c r="E83">
        <v>27786564</v>
      </c>
      <c r="F83">
        <v>1</v>
      </c>
      <c r="G83">
        <v>27786564</v>
      </c>
      <c r="H83">
        <v>1</v>
      </c>
      <c r="I83" t="s">
        <v>439</v>
      </c>
      <c r="J83" t="s">
        <v>3</v>
      </c>
      <c r="K83" t="s">
        <v>440</v>
      </c>
      <c r="L83">
        <v>1191</v>
      </c>
      <c r="N83">
        <v>1013</v>
      </c>
      <c r="O83" t="s">
        <v>441</v>
      </c>
      <c r="P83" t="s">
        <v>441</v>
      </c>
      <c r="Q83">
        <v>1</v>
      </c>
      <c r="W83">
        <v>0</v>
      </c>
      <c r="X83">
        <v>476480486</v>
      </c>
      <c r="Y83">
        <f t="shared" ref="Y83:Y114" si="27">(AT83*1.1)</f>
        <v>6.6880000000000006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6.08</v>
      </c>
      <c r="AU83" t="s">
        <v>22</v>
      </c>
      <c r="AV83">
        <v>1</v>
      </c>
      <c r="AW83">
        <v>2</v>
      </c>
      <c r="AX83">
        <v>56616609</v>
      </c>
      <c r="AY83">
        <v>1</v>
      </c>
      <c r="AZ83">
        <v>0</v>
      </c>
      <c r="BA83">
        <v>93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U83">
        <f>ROUND(AT83*Source!I97*AH83*AL83,2)</f>
        <v>0</v>
      </c>
      <c r="CV83">
        <f>ROUND(Y83*Source!I97,9)</f>
        <v>0</v>
      </c>
      <c r="CW83">
        <v>0</v>
      </c>
      <c r="CX83">
        <f>ROUND(Y83*Source!I97,9)</f>
        <v>0</v>
      </c>
      <c r="CY83">
        <f t="shared" ref="CY83:CY129" si="28">AD83</f>
        <v>0</v>
      </c>
      <c r="CZ83">
        <f t="shared" ref="CZ83:CZ129" si="29">AH83</f>
        <v>0</v>
      </c>
      <c r="DA83">
        <f t="shared" ref="DA83:DA129" si="30">AL83</f>
        <v>1</v>
      </c>
      <c r="DB83">
        <f t="shared" ref="DB83:DB114" si="31">ROUND((ROUND(AT83*CZ83,2)*1.1),6)</f>
        <v>0</v>
      </c>
      <c r="DC83">
        <f t="shared" ref="DC83:DC114" si="32">ROUND((ROUND(AT83*AG83,2)*1.1),6)</f>
        <v>0</v>
      </c>
      <c r="DD83" t="s">
        <v>3</v>
      </c>
      <c r="DE83" t="s">
        <v>3</v>
      </c>
      <c r="DF83">
        <f t="shared" si="26"/>
        <v>0</v>
      </c>
      <c r="DG83">
        <f t="shared" si="24"/>
        <v>0</v>
      </c>
      <c r="DH83">
        <f t="shared" si="25"/>
        <v>0</v>
      </c>
      <c r="DI83">
        <f t="shared" si="20"/>
        <v>0</v>
      </c>
      <c r="DJ83">
        <f t="shared" ref="DJ83:DJ129" si="33">DI83</f>
        <v>0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ROW(Source!A98)</f>
        <v>98</v>
      </c>
      <c r="B84">
        <v>56616093</v>
      </c>
      <c r="C84">
        <v>56616607</v>
      </c>
      <c r="D84">
        <v>47634407</v>
      </c>
      <c r="E84">
        <v>27786564</v>
      </c>
      <c r="F84">
        <v>1</v>
      </c>
      <c r="G84">
        <v>27786564</v>
      </c>
      <c r="H84">
        <v>1</v>
      </c>
      <c r="I84" t="s">
        <v>439</v>
      </c>
      <c r="J84" t="s">
        <v>3</v>
      </c>
      <c r="K84" t="s">
        <v>440</v>
      </c>
      <c r="L84">
        <v>1191</v>
      </c>
      <c r="N84">
        <v>1013</v>
      </c>
      <c r="O84" t="s">
        <v>441</v>
      </c>
      <c r="P84" t="s">
        <v>441</v>
      </c>
      <c r="Q84">
        <v>1</v>
      </c>
      <c r="W84">
        <v>0</v>
      </c>
      <c r="X84">
        <v>476480486</v>
      </c>
      <c r="Y84">
        <f t="shared" si="27"/>
        <v>6.6880000000000006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-2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6.08</v>
      </c>
      <c r="AU84" t="s">
        <v>22</v>
      </c>
      <c r="AV84">
        <v>1</v>
      </c>
      <c r="AW84">
        <v>2</v>
      </c>
      <c r="AX84">
        <v>56616609</v>
      </c>
      <c r="AY84">
        <v>1</v>
      </c>
      <c r="AZ84">
        <v>0</v>
      </c>
      <c r="BA84">
        <v>96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U84">
        <f>ROUND(AT84*Source!I98*AH84*AL84,2)</f>
        <v>0</v>
      </c>
      <c r="CV84">
        <f>ROUND(Y84*Source!I98,9)</f>
        <v>0</v>
      </c>
      <c r="CW84">
        <v>0</v>
      </c>
      <c r="CX84">
        <f>ROUND(Y84*Source!I98,9)</f>
        <v>0</v>
      </c>
      <c r="CY84">
        <f t="shared" si="28"/>
        <v>0</v>
      </c>
      <c r="CZ84">
        <f t="shared" si="29"/>
        <v>0</v>
      </c>
      <c r="DA84">
        <f t="shared" si="30"/>
        <v>1</v>
      </c>
      <c r="DB84">
        <f t="shared" si="31"/>
        <v>0</v>
      </c>
      <c r="DC84">
        <f t="shared" si="32"/>
        <v>0</v>
      </c>
      <c r="DD84" t="s">
        <v>3</v>
      </c>
      <c r="DE84" t="s">
        <v>3</v>
      </c>
      <c r="DF84">
        <f t="shared" si="26"/>
        <v>0</v>
      </c>
      <c r="DG84">
        <f t="shared" si="24"/>
        <v>0</v>
      </c>
      <c r="DH84">
        <f t="shared" si="25"/>
        <v>0</v>
      </c>
      <c r="DI84">
        <f t="shared" si="20"/>
        <v>0</v>
      </c>
      <c r="DJ84">
        <f t="shared" si="33"/>
        <v>0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ROW(Source!A99)</f>
        <v>99</v>
      </c>
      <c r="B85">
        <v>56622586</v>
      </c>
      <c r="C85">
        <v>56616612</v>
      </c>
      <c r="D85">
        <v>47634407</v>
      </c>
      <c r="E85">
        <v>27786564</v>
      </c>
      <c r="F85">
        <v>1</v>
      </c>
      <c r="G85">
        <v>27786564</v>
      </c>
      <c r="H85">
        <v>1</v>
      </c>
      <c r="I85" t="s">
        <v>439</v>
      </c>
      <c r="J85" t="s">
        <v>3</v>
      </c>
      <c r="K85" t="s">
        <v>440</v>
      </c>
      <c r="L85">
        <v>1191</v>
      </c>
      <c r="N85">
        <v>1013</v>
      </c>
      <c r="O85" t="s">
        <v>441</v>
      </c>
      <c r="P85" t="s">
        <v>441</v>
      </c>
      <c r="Q85">
        <v>1</v>
      </c>
      <c r="W85">
        <v>0</v>
      </c>
      <c r="X85">
        <v>476480486</v>
      </c>
      <c r="Y85">
        <f t="shared" si="27"/>
        <v>6.6880000000000006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-2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6.08</v>
      </c>
      <c r="AU85" t="s">
        <v>22</v>
      </c>
      <c r="AV85">
        <v>1</v>
      </c>
      <c r="AW85">
        <v>2</v>
      </c>
      <c r="AX85">
        <v>56616614</v>
      </c>
      <c r="AY85">
        <v>1</v>
      </c>
      <c r="AZ85">
        <v>0</v>
      </c>
      <c r="BA85">
        <v>99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U85">
        <f>ROUND(AT85*Source!I99*AH85*AL85,2)</f>
        <v>0</v>
      </c>
      <c r="CV85">
        <f>ROUND(Y85*Source!I99,9)</f>
        <v>0</v>
      </c>
      <c r="CW85">
        <v>0</v>
      </c>
      <c r="CX85">
        <f>ROUND(Y85*Source!I99,9)</f>
        <v>0</v>
      </c>
      <c r="CY85">
        <f t="shared" si="28"/>
        <v>0</v>
      </c>
      <c r="CZ85">
        <f t="shared" si="29"/>
        <v>0</v>
      </c>
      <c r="DA85">
        <f t="shared" si="30"/>
        <v>1</v>
      </c>
      <c r="DB85">
        <f t="shared" si="31"/>
        <v>0</v>
      </c>
      <c r="DC85">
        <f t="shared" si="32"/>
        <v>0</v>
      </c>
      <c r="DD85" t="s">
        <v>3</v>
      </c>
      <c r="DE85" t="s">
        <v>3</v>
      </c>
      <c r="DF85">
        <f t="shared" si="26"/>
        <v>0</v>
      </c>
      <c r="DG85">
        <f t="shared" si="24"/>
        <v>0</v>
      </c>
      <c r="DH85">
        <f t="shared" si="25"/>
        <v>0</v>
      </c>
      <c r="DI85">
        <f t="shared" si="20"/>
        <v>0</v>
      </c>
      <c r="DJ85">
        <f t="shared" si="33"/>
        <v>0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ROW(Source!A100)</f>
        <v>100</v>
      </c>
      <c r="B86">
        <v>56616093</v>
      </c>
      <c r="C86">
        <v>56616612</v>
      </c>
      <c r="D86">
        <v>47634407</v>
      </c>
      <c r="E86">
        <v>27786564</v>
      </c>
      <c r="F86">
        <v>1</v>
      </c>
      <c r="G86">
        <v>27786564</v>
      </c>
      <c r="H86">
        <v>1</v>
      </c>
      <c r="I86" t="s">
        <v>439</v>
      </c>
      <c r="J86" t="s">
        <v>3</v>
      </c>
      <c r="K86" t="s">
        <v>440</v>
      </c>
      <c r="L86">
        <v>1191</v>
      </c>
      <c r="N86">
        <v>1013</v>
      </c>
      <c r="O86" t="s">
        <v>441</v>
      </c>
      <c r="P86" t="s">
        <v>441</v>
      </c>
      <c r="Q86">
        <v>1</v>
      </c>
      <c r="W86">
        <v>0</v>
      </c>
      <c r="X86">
        <v>476480486</v>
      </c>
      <c r="Y86">
        <f t="shared" si="27"/>
        <v>6.6880000000000006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-2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6.08</v>
      </c>
      <c r="AU86" t="s">
        <v>22</v>
      </c>
      <c r="AV86">
        <v>1</v>
      </c>
      <c r="AW86">
        <v>2</v>
      </c>
      <c r="AX86">
        <v>56616614</v>
      </c>
      <c r="AY86">
        <v>1</v>
      </c>
      <c r="AZ86">
        <v>0</v>
      </c>
      <c r="BA86">
        <v>102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U86">
        <f>ROUND(AT86*Source!I100*AH86*AL86,2)</f>
        <v>0</v>
      </c>
      <c r="CV86">
        <f>ROUND(Y86*Source!I100,9)</f>
        <v>0</v>
      </c>
      <c r="CW86">
        <v>0</v>
      </c>
      <c r="CX86">
        <f>ROUND(Y86*Source!I100,9)</f>
        <v>0</v>
      </c>
      <c r="CY86">
        <f t="shared" si="28"/>
        <v>0</v>
      </c>
      <c r="CZ86">
        <f t="shared" si="29"/>
        <v>0</v>
      </c>
      <c r="DA86">
        <f t="shared" si="30"/>
        <v>1</v>
      </c>
      <c r="DB86">
        <f t="shared" si="31"/>
        <v>0</v>
      </c>
      <c r="DC86">
        <f t="shared" si="32"/>
        <v>0</v>
      </c>
      <c r="DD86" t="s">
        <v>3</v>
      </c>
      <c r="DE86" t="s">
        <v>3</v>
      </c>
      <c r="DF86">
        <f t="shared" si="26"/>
        <v>0</v>
      </c>
      <c r="DG86">
        <f t="shared" si="24"/>
        <v>0</v>
      </c>
      <c r="DH86">
        <f t="shared" si="25"/>
        <v>0</v>
      </c>
      <c r="DI86">
        <f t="shared" si="20"/>
        <v>0</v>
      </c>
      <c r="DJ86">
        <f t="shared" si="33"/>
        <v>0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ROW(Source!A101)</f>
        <v>101</v>
      </c>
      <c r="B87">
        <v>56622586</v>
      </c>
      <c r="C87">
        <v>56616617</v>
      </c>
      <c r="D87">
        <v>47634407</v>
      </c>
      <c r="E87">
        <v>27786564</v>
      </c>
      <c r="F87">
        <v>1</v>
      </c>
      <c r="G87">
        <v>27786564</v>
      </c>
      <c r="H87">
        <v>1</v>
      </c>
      <c r="I87" t="s">
        <v>439</v>
      </c>
      <c r="J87" t="s">
        <v>3</v>
      </c>
      <c r="K87" t="s">
        <v>440</v>
      </c>
      <c r="L87">
        <v>1191</v>
      </c>
      <c r="N87">
        <v>1013</v>
      </c>
      <c r="O87" t="s">
        <v>441</v>
      </c>
      <c r="P87" t="s">
        <v>441</v>
      </c>
      <c r="Q87">
        <v>1</v>
      </c>
      <c r="W87">
        <v>0</v>
      </c>
      <c r="X87">
        <v>476480486</v>
      </c>
      <c r="Y87">
        <f t="shared" si="27"/>
        <v>2.508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-2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2.2799999999999998</v>
      </c>
      <c r="AU87" t="s">
        <v>22</v>
      </c>
      <c r="AV87">
        <v>1</v>
      </c>
      <c r="AW87">
        <v>2</v>
      </c>
      <c r="AX87">
        <v>56616619</v>
      </c>
      <c r="AY87">
        <v>1</v>
      </c>
      <c r="AZ87">
        <v>0</v>
      </c>
      <c r="BA87">
        <v>105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U87">
        <f>ROUND(AT87*Source!I101*AH87*AL87,2)</f>
        <v>0</v>
      </c>
      <c r="CV87">
        <f>ROUND(Y87*Source!I101,9)</f>
        <v>0</v>
      </c>
      <c r="CW87">
        <v>0</v>
      </c>
      <c r="CX87">
        <f>ROUND(Y87*Source!I101,9)</f>
        <v>0</v>
      </c>
      <c r="CY87">
        <f t="shared" si="28"/>
        <v>0</v>
      </c>
      <c r="CZ87">
        <f t="shared" si="29"/>
        <v>0</v>
      </c>
      <c r="DA87">
        <f t="shared" si="30"/>
        <v>1</v>
      </c>
      <c r="DB87">
        <f t="shared" si="31"/>
        <v>0</v>
      </c>
      <c r="DC87">
        <f t="shared" si="32"/>
        <v>0</v>
      </c>
      <c r="DD87" t="s">
        <v>3</v>
      </c>
      <c r="DE87" t="s">
        <v>3</v>
      </c>
      <c r="DF87">
        <f t="shared" si="26"/>
        <v>0</v>
      </c>
      <c r="DG87">
        <f t="shared" si="24"/>
        <v>0</v>
      </c>
      <c r="DH87">
        <f t="shared" si="25"/>
        <v>0</v>
      </c>
      <c r="DI87">
        <f t="shared" si="20"/>
        <v>0</v>
      </c>
      <c r="DJ87">
        <f t="shared" si="33"/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ROW(Source!A102)</f>
        <v>102</v>
      </c>
      <c r="B88">
        <v>56616093</v>
      </c>
      <c r="C88">
        <v>56616617</v>
      </c>
      <c r="D88">
        <v>47634407</v>
      </c>
      <c r="E88">
        <v>27786564</v>
      </c>
      <c r="F88">
        <v>1</v>
      </c>
      <c r="G88">
        <v>27786564</v>
      </c>
      <c r="H88">
        <v>1</v>
      </c>
      <c r="I88" t="s">
        <v>439</v>
      </c>
      <c r="J88" t="s">
        <v>3</v>
      </c>
      <c r="K88" t="s">
        <v>440</v>
      </c>
      <c r="L88">
        <v>1191</v>
      </c>
      <c r="N88">
        <v>1013</v>
      </c>
      <c r="O88" t="s">
        <v>441</v>
      </c>
      <c r="P88" t="s">
        <v>441</v>
      </c>
      <c r="Q88">
        <v>1</v>
      </c>
      <c r="W88">
        <v>0</v>
      </c>
      <c r="X88">
        <v>476480486</v>
      </c>
      <c r="Y88">
        <f t="shared" si="27"/>
        <v>2.508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-2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2.2799999999999998</v>
      </c>
      <c r="AU88" t="s">
        <v>22</v>
      </c>
      <c r="AV88">
        <v>1</v>
      </c>
      <c r="AW88">
        <v>2</v>
      </c>
      <c r="AX88">
        <v>56616619</v>
      </c>
      <c r="AY88">
        <v>1</v>
      </c>
      <c r="AZ88">
        <v>0</v>
      </c>
      <c r="BA88">
        <v>108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U88">
        <f>ROUND(AT88*Source!I102*AH88*AL88,2)</f>
        <v>0</v>
      </c>
      <c r="CV88">
        <f>ROUND(Y88*Source!I102,9)</f>
        <v>0</v>
      </c>
      <c r="CW88">
        <v>0</v>
      </c>
      <c r="CX88">
        <f>ROUND(Y88*Source!I102,9)</f>
        <v>0</v>
      </c>
      <c r="CY88">
        <f t="shared" si="28"/>
        <v>0</v>
      </c>
      <c r="CZ88">
        <f t="shared" si="29"/>
        <v>0</v>
      </c>
      <c r="DA88">
        <f t="shared" si="30"/>
        <v>1</v>
      </c>
      <c r="DB88">
        <f t="shared" si="31"/>
        <v>0</v>
      </c>
      <c r="DC88">
        <f t="shared" si="32"/>
        <v>0</v>
      </c>
      <c r="DD88" t="s">
        <v>3</v>
      </c>
      <c r="DE88" t="s">
        <v>3</v>
      </c>
      <c r="DF88">
        <f t="shared" si="26"/>
        <v>0</v>
      </c>
      <c r="DG88">
        <f t="shared" si="24"/>
        <v>0</v>
      </c>
      <c r="DH88">
        <f t="shared" si="25"/>
        <v>0</v>
      </c>
      <c r="DI88">
        <f t="shared" si="20"/>
        <v>0</v>
      </c>
      <c r="DJ88">
        <f t="shared" si="33"/>
        <v>0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ROW(Source!A103)</f>
        <v>103</v>
      </c>
      <c r="B89">
        <v>56622586</v>
      </c>
      <c r="C89">
        <v>56616622</v>
      </c>
      <c r="D89">
        <v>47634407</v>
      </c>
      <c r="E89">
        <v>27786564</v>
      </c>
      <c r="F89">
        <v>1</v>
      </c>
      <c r="G89">
        <v>27786564</v>
      </c>
      <c r="H89">
        <v>1</v>
      </c>
      <c r="I89" t="s">
        <v>439</v>
      </c>
      <c r="J89" t="s">
        <v>3</v>
      </c>
      <c r="K89" t="s">
        <v>440</v>
      </c>
      <c r="L89">
        <v>1191</v>
      </c>
      <c r="N89">
        <v>1013</v>
      </c>
      <c r="O89" t="s">
        <v>441</v>
      </c>
      <c r="P89" t="s">
        <v>441</v>
      </c>
      <c r="Q89">
        <v>1</v>
      </c>
      <c r="W89">
        <v>0</v>
      </c>
      <c r="X89">
        <v>476480486</v>
      </c>
      <c r="Y89">
        <f t="shared" si="27"/>
        <v>2.508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2.2799999999999998</v>
      </c>
      <c r="AU89" t="s">
        <v>22</v>
      </c>
      <c r="AV89">
        <v>1</v>
      </c>
      <c r="AW89">
        <v>2</v>
      </c>
      <c r="AX89">
        <v>56616624</v>
      </c>
      <c r="AY89">
        <v>1</v>
      </c>
      <c r="AZ89">
        <v>0</v>
      </c>
      <c r="BA89">
        <v>111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U89">
        <f>ROUND(AT89*Source!I103*AH89*AL89,2)</f>
        <v>0</v>
      </c>
      <c r="CV89">
        <f>ROUND(Y89*Source!I103,9)</f>
        <v>0</v>
      </c>
      <c r="CW89">
        <v>0</v>
      </c>
      <c r="CX89">
        <f>ROUND(Y89*Source!I103,9)</f>
        <v>0</v>
      </c>
      <c r="CY89">
        <f t="shared" si="28"/>
        <v>0</v>
      </c>
      <c r="CZ89">
        <f t="shared" si="29"/>
        <v>0</v>
      </c>
      <c r="DA89">
        <f t="shared" si="30"/>
        <v>1</v>
      </c>
      <c r="DB89">
        <f t="shared" si="31"/>
        <v>0</v>
      </c>
      <c r="DC89">
        <f t="shared" si="32"/>
        <v>0</v>
      </c>
      <c r="DD89" t="s">
        <v>3</v>
      </c>
      <c r="DE89" t="s">
        <v>3</v>
      </c>
      <c r="DF89">
        <f t="shared" si="26"/>
        <v>0</v>
      </c>
      <c r="DG89">
        <f t="shared" si="24"/>
        <v>0</v>
      </c>
      <c r="DH89">
        <f t="shared" si="25"/>
        <v>0</v>
      </c>
      <c r="DI89">
        <f t="shared" si="20"/>
        <v>0</v>
      </c>
      <c r="DJ89">
        <f t="shared" si="33"/>
        <v>0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ROW(Source!A104)</f>
        <v>104</v>
      </c>
      <c r="B90">
        <v>56616093</v>
      </c>
      <c r="C90">
        <v>56616622</v>
      </c>
      <c r="D90">
        <v>47634407</v>
      </c>
      <c r="E90">
        <v>27786564</v>
      </c>
      <c r="F90">
        <v>1</v>
      </c>
      <c r="G90">
        <v>27786564</v>
      </c>
      <c r="H90">
        <v>1</v>
      </c>
      <c r="I90" t="s">
        <v>439</v>
      </c>
      <c r="J90" t="s">
        <v>3</v>
      </c>
      <c r="K90" t="s">
        <v>440</v>
      </c>
      <c r="L90">
        <v>1191</v>
      </c>
      <c r="N90">
        <v>1013</v>
      </c>
      <c r="O90" t="s">
        <v>441</v>
      </c>
      <c r="P90" t="s">
        <v>441</v>
      </c>
      <c r="Q90">
        <v>1</v>
      </c>
      <c r="W90">
        <v>0</v>
      </c>
      <c r="X90">
        <v>476480486</v>
      </c>
      <c r="Y90">
        <f t="shared" si="27"/>
        <v>2.508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-2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2.2799999999999998</v>
      </c>
      <c r="AU90" t="s">
        <v>22</v>
      </c>
      <c r="AV90">
        <v>1</v>
      </c>
      <c r="AW90">
        <v>2</v>
      </c>
      <c r="AX90">
        <v>56616624</v>
      </c>
      <c r="AY90">
        <v>1</v>
      </c>
      <c r="AZ90">
        <v>0</v>
      </c>
      <c r="BA90">
        <v>114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U90">
        <f>ROUND(AT90*Source!I104*AH90*AL90,2)</f>
        <v>0</v>
      </c>
      <c r="CV90">
        <f>ROUND(Y90*Source!I104,9)</f>
        <v>0</v>
      </c>
      <c r="CW90">
        <v>0</v>
      </c>
      <c r="CX90">
        <f>ROUND(Y90*Source!I104,9)</f>
        <v>0</v>
      </c>
      <c r="CY90">
        <f t="shared" si="28"/>
        <v>0</v>
      </c>
      <c r="CZ90">
        <f t="shared" si="29"/>
        <v>0</v>
      </c>
      <c r="DA90">
        <f t="shared" si="30"/>
        <v>1</v>
      </c>
      <c r="DB90">
        <f t="shared" si="31"/>
        <v>0</v>
      </c>
      <c r="DC90">
        <f t="shared" si="32"/>
        <v>0</v>
      </c>
      <c r="DD90" t="s">
        <v>3</v>
      </c>
      <c r="DE90" t="s">
        <v>3</v>
      </c>
      <c r="DF90">
        <f t="shared" si="26"/>
        <v>0</v>
      </c>
      <c r="DG90">
        <f t="shared" si="24"/>
        <v>0</v>
      </c>
      <c r="DH90">
        <f t="shared" si="25"/>
        <v>0</v>
      </c>
      <c r="DI90">
        <f t="shared" si="20"/>
        <v>0</v>
      </c>
      <c r="DJ90">
        <f t="shared" si="33"/>
        <v>0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">
      <c r="A91">
        <f>ROW(Source!A105)</f>
        <v>105</v>
      </c>
      <c r="B91">
        <v>56622586</v>
      </c>
      <c r="C91">
        <v>56616627</v>
      </c>
      <c r="D91">
        <v>47634407</v>
      </c>
      <c r="E91">
        <v>27786564</v>
      </c>
      <c r="F91">
        <v>1</v>
      </c>
      <c r="G91">
        <v>27786564</v>
      </c>
      <c r="H91">
        <v>1</v>
      </c>
      <c r="I91" t="s">
        <v>439</v>
      </c>
      <c r="J91" t="s">
        <v>3</v>
      </c>
      <c r="K91" t="s">
        <v>440</v>
      </c>
      <c r="L91">
        <v>1191</v>
      </c>
      <c r="N91">
        <v>1013</v>
      </c>
      <c r="O91" t="s">
        <v>441</v>
      </c>
      <c r="P91" t="s">
        <v>441</v>
      </c>
      <c r="Q91">
        <v>1</v>
      </c>
      <c r="W91">
        <v>0</v>
      </c>
      <c r="X91">
        <v>476480486</v>
      </c>
      <c r="Y91">
        <f t="shared" si="27"/>
        <v>12.980000000000002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-2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11.8</v>
      </c>
      <c r="AU91" t="s">
        <v>22</v>
      </c>
      <c r="AV91">
        <v>1</v>
      </c>
      <c r="AW91">
        <v>2</v>
      </c>
      <c r="AX91">
        <v>56616629</v>
      </c>
      <c r="AY91">
        <v>1</v>
      </c>
      <c r="AZ91">
        <v>0</v>
      </c>
      <c r="BA91">
        <v>117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U91">
        <f>ROUND(AT91*Source!I105*AH91*AL91,2)</f>
        <v>0</v>
      </c>
      <c r="CV91">
        <f>ROUND(Y91*Source!I105,9)</f>
        <v>0</v>
      </c>
      <c r="CW91">
        <v>0</v>
      </c>
      <c r="CX91">
        <f>ROUND(Y91*Source!I105,9)</f>
        <v>0</v>
      </c>
      <c r="CY91">
        <f t="shared" si="28"/>
        <v>0</v>
      </c>
      <c r="CZ91">
        <f t="shared" si="29"/>
        <v>0</v>
      </c>
      <c r="DA91">
        <f t="shared" si="30"/>
        <v>1</v>
      </c>
      <c r="DB91">
        <f t="shared" si="31"/>
        <v>0</v>
      </c>
      <c r="DC91">
        <f t="shared" si="32"/>
        <v>0</v>
      </c>
      <c r="DD91" t="s">
        <v>3</v>
      </c>
      <c r="DE91" t="s">
        <v>3</v>
      </c>
      <c r="DF91">
        <f t="shared" si="26"/>
        <v>0</v>
      </c>
      <c r="DG91">
        <f t="shared" si="24"/>
        <v>0</v>
      </c>
      <c r="DH91">
        <f t="shared" si="25"/>
        <v>0</v>
      </c>
      <c r="DI91">
        <f t="shared" si="20"/>
        <v>0</v>
      </c>
      <c r="DJ91">
        <f t="shared" si="33"/>
        <v>0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ROW(Source!A106)</f>
        <v>106</v>
      </c>
      <c r="B92">
        <v>56616093</v>
      </c>
      <c r="C92">
        <v>56616627</v>
      </c>
      <c r="D92">
        <v>47634407</v>
      </c>
      <c r="E92">
        <v>27786564</v>
      </c>
      <c r="F92">
        <v>1</v>
      </c>
      <c r="G92">
        <v>27786564</v>
      </c>
      <c r="H92">
        <v>1</v>
      </c>
      <c r="I92" t="s">
        <v>439</v>
      </c>
      <c r="J92" t="s">
        <v>3</v>
      </c>
      <c r="K92" t="s">
        <v>440</v>
      </c>
      <c r="L92">
        <v>1191</v>
      </c>
      <c r="N92">
        <v>1013</v>
      </c>
      <c r="O92" t="s">
        <v>441</v>
      </c>
      <c r="P92" t="s">
        <v>441</v>
      </c>
      <c r="Q92">
        <v>1</v>
      </c>
      <c r="W92">
        <v>0</v>
      </c>
      <c r="X92">
        <v>476480486</v>
      </c>
      <c r="Y92">
        <f t="shared" si="27"/>
        <v>12.980000000000002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-2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11.8</v>
      </c>
      <c r="AU92" t="s">
        <v>22</v>
      </c>
      <c r="AV92">
        <v>1</v>
      </c>
      <c r="AW92">
        <v>2</v>
      </c>
      <c r="AX92">
        <v>56616629</v>
      </c>
      <c r="AY92">
        <v>1</v>
      </c>
      <c r="AZ92">
        <v>0</v>
      </c>
      <c r="BA92">
        <v>131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U92">
        <f>ROUND(AT92*Source!I106*AH92*AL92,2)</f>
        <v>0</v>
      </c>
      <c r="CV92">
        <f>ROUND(Y92*Source!I106,9)</f>
        <v>0</v>
      </c>
      <c r="CW92">
        <v>0</v>
      </c>
      <c r="CX92">
        <f>ROUND(Y92*Source!I106,9)</f>
        <v>0</v>
      </c>
      <c r="CY92">
        <f t="shared" si="28"/>
        <v>0</v>
      </c>
      <c r="CZ92">
        <f t="shared" si="29"/>
        <v>0</v>
      </c>
      <c r="DA92">
        <f t="shared" si="30"/>
        <v>1</v>
      </c>
      <c r="DB92">
        <f t="shared" si="31"/>
        <v>0</v>
      </c>
      <c r="DC92">
        <f t="shared" si="32"/>
        <v>0</v>
      </c>
      <c r="DD92" t="s">
        <v>3</v>
      </c>
      <c r="DE92" t="s">
        <v>3</v>
      </c>
      <c r="DF92">
        <f t="shared" si="26"/>
        <v>0</v>
      </c>
      <c r="DG92">
        <f t="shared" si="24"/>
        <v>0</v>
      </c>
      <c r="DH92">
        <f t="shared" si="25"/>
        <v>0</v>
      </c>
      <c r="DI92">
        <f t="shared" si="20"/>
        <v>0</v>
      </c>
      <c r="DJ92">
        <f t="shared" si="33"/>
        <v>0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ROW(Source!A107)</f>
        <v>107</v>
      </c>
      <c r="B93">
        <v>56622586</v>
      </c>
      <c r="C93">
        <v>56616643</v>
      </c>
      <c r="D93">
        <v>47634407</v>
      </c>
      <c r="E93">
        <v>27786564</v>
      </c>
      <c r="F93">
        <v>1</v>
      </c>
      <c r="G93">
        <v>27786564</v>
      </c>
      <c r="H93">
        <v>1</v>
      </c>
      <c r="I93" t="s">
        <v>439</v>
      </c>
      <c r="J93" t="s">
        <v>3</v>
      </c>
      <c r="K93" t="s">
        <v>440</v>
      </c>
      <c r="L93">
        <v>1191</v>
      </c>
      <c r="N93">
        <v>1013</v>
      </c>
      <c r="O93" t="s">
        <v>441</v>
      </c>
      <c r="P93" t="s">
        <v>441</v>
      </c>
      <c r="Q93">
        <v>1</v>
      </c>
      <c r="W93">
        <v>0</v>
      </c>
      <c r="X93">
        <v>476480486</v>
      </c>
      <c r="Y93">
        <f t="shared" si="27"/>
        <v>12.980000000000002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-2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11.8</v>
      </c>
      <c r="AU93" t="s">
        <v>22</v>
      </c>
      <c r="AV93">
        <v>1</v>
      </c>
      <c r="AW93">
        <v>2</v>
      </c>
      <c r="AX93">
        <v>56616645</v>
      </c>
      <c r="AY93">
        <v>1</v>
      </c>
      <c r="AZ93">
        <v>0</v>
      </c>
      <c r="BA93">
        <v>145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U93">
        <f>ROUND(AT93*Source!I107*AH93*AL93,2)</f>
        <v>0</v>
      </c>
      <c r="CV93">
        <f>ROUND(Y93*Source!I107,9)</f>
        <v>0</v>
      </c>
      <c r="CW93">
        <v>0</v>
      </c>
      <c r="CX93">
        <f>ROUND(Y93*Source!I107,9)</f>
        <v>0</v>
      </c>
      <c r="CY93">
        <f t="shared" si="28"/>
        <v>0</v>
      </c>
      <c r="CZ93">
        <f t="shared" si="29"/>
        <v>0</v>
      </c>
      <c r="DA93">
        <f t="shared" si="30"/>
        <v>1</v>
      </c>
      <c r="DB93">
        <f t="shared" si="31"/>
        <v>0</v>
      </c>
      <c r="DC93">
        <f t="shared" si="32"/>
        <v>0</v>
      </c>
      <c r="DD93" t="s">
        <v>3</v>
      </c>
      <c r="DE93" t="s">
        <v>3</v>
      </c>
      <c r="DF93">
        <f t="shared" si="26"/>
        <v>0</v>
      </c>
      <c r="DG93">
        <f t="shared" si="24"/>
        <v>0</v>
      </c>
      <c r="DH93">
        <f t="shared" si="25"/>
        <v>0</v>
      </c>
      <c r="DI93">
        <f t="shared" si="20"/>
        <v>0</v>
      </c>
      <c r="DJ93">
        <f t="shared" si="33"/>
        <v>0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ROW(Source!A108)</f>
        <v>108</v>
      </c>
      <c r="B94">
        <v>56616093</v>
      </c>
      <c r="C94">
        <v>56616643</v>
      </c>
      <c r="D94">
        <v>47634407</v>
      </c>
      <c r="E94">
        <v>27786564</v>
      </c>
      <c r="F94">
        <v>1</v>
      </c>
      <c r="G94">
        <v>27786564</v>
      </c>
      <c r="H94">
        <v>1</v>
      </c>
      <c r="I94" t="s">
        <v>439</v>
      </c>
      <c r="J94" t="s">
        <v>3</v>
      </c>
      <c r="K94" t="s">
        <v>440</v>
      </c>
      <c r="L94">
        <v>1191</v>
      </c>
      <c r="N94">
        <v>1013</v>
      </c>
      <c r="O94" t="s">
        <v>441</v>
      </c>
      <c r="P94" t="s">
        <v>441</v>
      </c>
      <c r="Q94">
        <v>1</v>
      </c>
      <c r="W94">
        <v>0</v>
      </c>
      <c r="X94">
        <v>476480486</v>
      </c>
      <c r="Y94">
        <f t="shared" si="27"/>
        <v>12.980000000000002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-2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11.8</v>
      </c>
      <c r="AU94" t="s">
        <v>22</v>
      </c>
      <c r="AV94">
        <v>1</v>
      </c>
      <c r="AW94">
        <v>2</v>
      </c>
      <c r="AX94">
        <v>56616645</v>
      </c>
      <c r="AY94">
        <v>1</v>
      </c>
      <c r="AZ94">
        <v>0</v>
      </c>
      <c r="BA94">
        <v>159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U94">
        <f>ROUND(AT94*Source!I108*AH94*AL94,2)</f>
        <v>0</v>
      </c>
      <c r="CV94">
        <f>ROUND(Y94*Source!I108,9)</f>
        <v>0</v>
      </c>
      <c r="CW94">
        <v>0</v>
      </c>
      <c r="CX94">
        <f>ROUND(Y94*Source!I108,9)</f>
        <v>0</v>
      </c>
      <c r="CY94">
        <f t="shared" si="28"/>
        <v>0</v>
      </c>
      <c r="CZ94">
        <f t="shared" si="29"/>
        <v>0</v>
      </c>
      <c r="DA94">
        <f t="shared" si="30"/>
        <v>1</v>
      </c>
      <c r="DB94">
        <f t="shared" si="31"/>
        <v>0</v>
      </c>
      <c r="DC94">
        <f t="shared" si="32"/>
        <v>0</v>
      </c>
      <c r="DD94" t="s">
        <v>3</v>
      </c>
      <c r="DE94" t="s">
        <v>3</v>
      </c>
      <c r="DF94">
        <f t="shared" si="26"/>
        <v>0</v>
      </c>
      <c r="DG94">
        <f t="shared" si="24"/>
        <v>0</v>
      </c>
      <c r="DH94">
        <f t="shared" si="25"/>
        <v>0</v>
      </c>
      <c r="DI94">
        <f t="shared" si="20"/>
        <v>0</v>
      </c>
      <c r="DJ94">
        <f t="shared" si="33"/>
        <v>0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ROW(Source!A109)</f>
        <v>109</v>
      </c>
      <c r="B95">
        <v>56622586</v>
      </c>
      <c r="C95">
        <v>56616659</v>
      </c>
      <c r="D95">
        <v>47634407</v>
      </c>
      <c r="E95">
        <v>27786564</v>
      </c>
      <c r="F95">
        <v>1</v>
      </c>
      <c r="G95">
        <v>27786564</v>
      </c>
      <c r="H95">
        <v>1</v>
      </c>
      <c r="I95" t="s">
        <v>439</v>
      </c>
      <c r="J95" t="s">
        <v>3</v>
      </c>
      <c r="K95" t="s">
        <v>440</v>
      </c>
      <c r="L95">
        <v>1191</v>
      </c>
      <c r="N95">
        <v>1013</v>
      </c>
      <c r="O95" t="s">
        <v>441</v>
      </c>
      <c r="P95" t="s">
        <v>441</v>
      </c>
      <c r="Q95">
        <v>1</v>
      </c>
      <c r="W95">
        <v>0</v>
      </c>
      <c r="X95">
        <v>476480486</v>
      </c>
      <c r="Y95">
        <f t="shared" si="27"/>
        <v>13.42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12.2</v>
      </c>
      <c r="AU95" t="s">
        <v>22</v>
      </c>
      <c r="AV95">
        <v>1</v>
      </c>
      <c r="AW95">
        <v>2</v>
      </c>
      <c r="AX95">
        <v>56616661</v>
      </c>
      <c r="AY95">
        <v>1</v>
      </c>
      <c r="AZ95">
        <v>0</v>
      </c>
      <c r="BA95">
        <v>173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U95">
        <f>ROUND(AT95*Source!I109*AH95*AL95,2)</f>
        <v>0</v>
      </c>
      <c r="CV95">
        <f>ROUND(Y95*Source!I109,9)</f>
        <v>0</v>
      </c>
      <c r="CW95">
        <v>0</v>
      </c>
      <c r="CX95">
        <f>ROUND(Y95*Source!I109,9)</f>
        <v>0</v>
      </c>
      <c r="CY95">
        <f t="shared" si="28"/>
        <v>0</v>
      </c>
      <c r="CZ95">
        <f t="shared" si="29"/>
        <v>0</v>
      </c>
      <c r="DA95">
        <f t="shared" si="30"/>
        <v>1</v>
      </c>
      <c r="DB95">
        <f t="shared" si="31"/>
        <v>0</v>
      </c>
      <c r="DC95">
        <f t="shared" si="32"/>
        <v>0</v>
      </c>
      <c r="DD95" t="s">
        <v>3</v>
      </c>
      <c r="DE95" t="s">
        <v>3</v>
      </c>
      <c r="DF95">
        <f t="shared" si="26"/>
        <v>0</v>
      </c>
      <c r="DG95">
        <f t="shared" si="24"/>
        <v>0</v>
      </c>
      <c r="DH95">
        <f t="shared" si="25"/>
        <v>0</v>
      </c>
      <c r="DI95">
        <f t="shared" si="20"/>
        <v>0</v>
      </c>
      <c r="DJ95">
        <f t="shared" si="33"/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ROW(Source!A110)</f>
        <v>110</v>
      </c>
      <c r="B96">
        <v>56616093</v>
      </c>
      <c r="C96">
        <v>56616659</v>
      </c>
      <c r="D96">
        <v>47634407</v>
      </c>
      <c r="E96">
        <v>27786564</v>
      </c>
      <c r="F96">
        <v>1</v>
      </c>
      <c r="G96">
        <v>27786564</v>
      </c>
      <c r="H96">
        <v>1</v>
      </c>
      <c r="I96" t="s">
        <v>439</v>
      </c>
      <c r="J96" t="s">
        <v>3</v>
      </c>
      <c r="K96" t="s">
        <v>440</v>
      </c>
      <c r="L96">
        <v>1191</v>
      </c>
      <c r="N96">
        <v>1013</v>
      </c>
      <c r="O96" t="s">
        <v>441</v>
      </c>
      <c r="P96" t="s">
        <v>441</v>
      </c>
      <c r="Q96">
        <v>1</v>
      </c>
      <c r="W96">
        <v>0</v>
      </c>
      <c r="X96">
        <v>476480486</v>
      </c>
      <c r="Y96">
        <f t="shared" si="27"/>
        <v>13.42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12.2</v>
      </c>
      <c r="AU96" t="s">
        <v>22</v>
      </c>
      <c r="AV96">
        <v>1</v>
      </c>
      <c r="AW96">
        <v>2</v>
      </c>
      <c r="AX96">
        <v>56616661</v>
      </c>
      <c r="AY96">
        <v>1</v>
      </c>
      <c r="AZ96">
        <v>0</v>
      </c>
      <c r="BA96">
        <v>187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U96">
        <f>ROUND(AT96*Source!I110*AH96*AL96,2)</f>
        <v>0</v>
      </c>
      <c r="CV96">
        <f>ROUND(Y96*Source!I110,9)</f>
        <v>0</v>
      </c>
      <c r="CW96">
        <v>0</v>
      </c>
      <c r="CX96">
        <f>ROUND(Y96*Source!I110,9)</f>
        <v>0</v>
      </c>
      <c r="CY96">
        <f t="shared" si="28"/>
        <v>0</v>
      </c>
      <c r="CZ96">
        <f t="shared" si="29"/>
        <v>0</v>
      </c>
      <c r="DA96">
        <f t="shared" si="30"/>
        <v>1</v>
      </c>
      <c r="DB96">
        <f t="shared" si="31"/>
        <v>0</v>
      </c>
      <c r="DC96">
        <f t="shared" si="32"/>
        <v>0</v>
      </c>
      <c r="DD96" t="s">
        <v>3</v>
      </c>
      <c r="DE96" t="s">
        <v>3</v>
      </c>
      <c r="DF96">
        <f t="shared" si="26"/>
        <v>0</v>
      </c>
      <c r="DG96">
        <f t="shared" si="24"/>
        <v>0</v>
      </c>
      <c r="DH96">
        <f t="shared" si="25"/>
        <v>0</v>
      </c>
      <c r="DI96">
        <f t="shared" si="20"/>
        <v>0</v>
      </c>
      <c r="DJ96">
        <f t="shared" si="33"/>
        <v>0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">
      <c r="A97">
        <f>ROW(Source!A111)</f>
        <v>111</v>
      </c>
      <c r="B97">
        <v>56622586</v>
      </c>
      <c r="C97">
        <v>56616675</v>
      </c>
      <c r="D97">
        <v>47634407</v>
      </c>
      <c r="E97">
        <v>27786564</v>
      </c>
      <c r="F97">
        <v>1</v>
      </c>
      <c r="G97">
        <v>27786564</v>
      </c>
      <c r="H97">
        <v>1</v>
      </c>
      <c r="I97" t="s">
        <v>439</v>
      </c>
      <c r="J97" t="s">
        <v>3</v>
      </c>
      <c r="K97" t="s">
        <v>440</v>
      </c>
      <c r="L97">
        <v>1191</v>
      </c>
      <c r="N97">
        <v>1013</v>
      </c>
      <c r="O97" t="s">
        <v>441</v>
      </c>
      <c r="P97" t="s">
        <v>441</v>
      </c>
      <c r="Q97">
        <v>1</v>
      </c>
      <c r="W97">
        <v>0</v>
      </c>
      <c r="X97">
        <v>476480486</v>
      </c>
      <c r="Y97">
        <f t="shared" si="27"/>
        <v>13.42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12.2</v>
      </c>
      <c r="AU97" t="s">
        <v>22</v>
      </c>
      <c r="AV97">
        <v>1</v>
      </c>
      <c r="AW97">
        <v>2</v>
      </c>
      <c r="AX97">
        <v>56616677</v>
      </c>
      <c r="AY97">
        <v>1</v>
      </c>
      <c r="AZ97">
        <v>0</v>
      </c>
      <c r="BA97">
        <v>201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U97">
        <f>ROUND(AT97*Source!I111*AH97*AL97,2)</f>
        <v>0</v>
      </c>
      <c r="CV97">
        <f>ROUND(Y97*Source!I111,9)</f>
        <v>0</v>
      </c>
      <c r="CW97">
        <v>0</v>
      </c>
      <c r="CX97">
        <f>ROUND(Y97*Source!I111,9)</f>
        <v>0</v>
      </c>
      <c r="CY97">
        <f t="shared" si="28"/>
        <v>0</v>
      </c>
      <c r="CZ97">
        <f t="shared" si="29"/>
        <v>0</v>
      </c>
      <c r="DA97">
        <f t="shared" si="30"/>
        <v>1</v>
      </c>
      <c r="DB97">
        <f t="shared" si="31"/>
        <v>0</v>
      </c>
      <c r="DC97">
        <f t="shared" si="32"/>
        <v>0</v>
      </c>
      <c r="DD97" t="s">
        <v>3</v>
      </c>
      <c r="DE97" t="s">
        <v>3</v>
      </c>
      <c r="DF97">
        <f t="shared" si="26"/>
        <v>0</v>
      </c>
      <c r="DG97">
        <f t="shared" si="24"/>
        <v>0</v>
      </c>
      <c r="DH97">
        <f t="shared" si="25"/>
        <v>0</v>
      </c>
      <c r="DI97">
        <f t="shared" si="20"/>
        <v>0</v>
      </c>
      <c r="DJ97">
        <f t="shared" si="33"/>
        <v>0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ROW(Source!A112)</f>
        <v>112</v>
      </c>
      <c r="B98">
        <v>56616093</v>
      </c>
      <c r="C98">
        <v>56616675</v>
      </c>
      <c r="D98">
        <v>47634407</v>
      </c>
      <c r="E98">
        <v>27786564</v>
      </c>
      <c r="F98">
        <v>1</v>
      </c>
      <c r="G98">
        <v>27786564</v>
      </c>
      <c r="H98">
        <v>1</v>
      </c>
      <c r="I98" t="s">
        <v>439</v>
      </c>
      <c r="J98" t="s">
        <v>3</v>
      </c>
      <c r="K98" t="s">
        <v>440</v>
      </c>
      <c r="L98">
        <v>1191</v>
      </c>
      <c r="N98">
        <v>1013</v>
      </c>
      <c r="O98" t="s">
        <v>441</v>
      </c>
      <c r="P98" t="s">
        <v>441</v>
      </c>
      <c r="Q98">
        <v>1</v>
      </c>
      <c r="W98">
        <v>0</v>
      </c>
      <c r="X98">
        <v>476480486</v>
      </c>
      <c r="Y98">
        <f t="shared" si="27"/>
        <v>13.42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12.2</v>
      </c>
      <c r="AU98" t="s">
        <v>22</v>
      </c>
      <c r="AV98">
        <v>1</v>
      </c>
      <c r="AW98">
        <v>2</v>
      </c>
      <c r="AX98">
        <v>56616677</v>
      </c>
      <c r="AY98">
        <v>1</v>
      </c>
      <c r="AZ98">
        <v>0</v>
      </c>
      <c r="BA98">
        <v>215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U98">
        <f>ROUND(AT98*Source!I112*AH98*AL98,2)</f>
        <v>0</v>
      </c>
      <c r="CV98">
        <f>ROUND(Y98*Source!I112,9)</f>
        <v>0</v>
      </c>
      <c r="CW98">
        <v>0</v>
      </c>
      <c r="CX98">
        <f>ROUND(Y98*Source!I112,9)</f>
        <v>0</v>
      </c>
      <c r="CY98">
        <f t="shared" si="28"/>
        <v>0</v>
      </c>
      <c r="CZ98">
        <f t="shared" si="29"/>
        <v>0</v>
      </c>
      <c r="DA98">
        <f t="shared" si="30"/>
        <v>1</v>
      </c>
      <c r="DB98">
        <f t="shared" si="31"/>
        <v>0</v>
      </c>
      <c r="DC98">
        <f t="shared" si="32"/>
        <v>0</v>
      </c>
      <c r="DD98" t="s">
        <v>3</v>
      </c>
      <c r="DE98" t="s">
        <v>3</v>
      </c>
      <c r="DF98">
        <f t="shared" si="26"/>
        <v>0</v>
      </c>
      <c r="DG98">
        <f t="shared" si="24"/>
        <v>0</v>
      </c>
      <c r="DH98">
        <f t="shared" si="25"/>
        <v>0</v>
      </c>
      <c r="DI98">
        <f t="shared" si="20"/>
        <v>0</v>
      </c>
      <c r="DJ98">
        <f t="shared" si="33"/>
        <v>0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ROW(Source!A113)</f>
        <v>113</v>
      </c>
      <c r="B99">
        <v>56622586</v>
      </c>
      <c r="C99">
        <v>56616691</v>
      </c>
      <c r="D99">
        <v>47634407</v>
      </c>
      <c r="E99">
        <v>27786564</v>
      </c>
      <c r="F99">
        <v>1</v>
      </c>
      <c r="G99">
        <v>27786564</v>
      </c>
      <c r="H99">
        <v>1</v>
      </c>
      <c r="I99" t="s">
        <v>439</v>
      </c>
      <c r="J99" t="s">
        <v>3</v>
      </c>
      <c r="K99" t="s">
        <v>440</v>
      </c>
      <c r="L99">
        <v>1191</v>
      </c>
      <c r="N99">
        <v>1013</v>
      </c>
      <c r="O99" t="s">
        <v>441</v>
      </c>
      <c r="P99" t="s">
        <v>441</v>
      </c>
      <c r="Q99">
        <v>1</v>
      </c>
      <c r="W99">
        <v>0</v>
      </c>
      <c r="X99">
        <v>476480486</v>
      </c>
      <c r="Y99">
        <f t="shared" si="27"/>
        <v>20.680000000000003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18.8</v>
      </c>
      <c r="AU99" t="s">
        <v>22</v>
      </c>
      <c r="AV99">
        <v>1</v>
      </c>
      <c r="AW99">
        <v>2</v>
      </c>
      <c r="AX99">
        <v>56616693</v>
      </c>
      <c r="AY99">
        <v>1</v>
      </c>
      <c r="AZ99">
        <v>0</v>
      </c>
      <c r="BA99">
        <v>229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U99">
        <f>ROUND(AT99*Source!I113*AH99*AL99,2)</f>
        <v>0</v>
      </c>
      <c r="CV99">
        <f>ROUND(Y99*Source!I113,9)</f>
        <v>0</v>
      </c>
      <c r="CW99">
        <v>0</v>
      </c>
      <c r="CX99">
        <f>ROUND(Y99*Source!I113,9)</f>
        <v>0</v>
      </c>
      <c r="CY99">
        <f t="shared" si="28"/>
        <v>0</v>
      </c>
      <c r="CZ99">
        <f t="shared" si="29"/>
        <v>0</v>
      </c>
      <c r="DA99">
        <f t="shared" si="30"/>
        <v>1</v>
      </c>
      <c r="DB99">
        <f t="shared" si="31"/>
        <v>0</v>
      </c>
      <c r="DC99">
        <f t="shared" si="32"/>
        <v>0</v>
      </c>
      <c r="DD99" t="s">
        <v>3</v>
      </c>
      <c r="DE99" t="s">
        <v>3</v>
      </c>
      <c r="DF99">
        <f t="shared" si="26"/>
        <v>0</v>
      </c>
      <c r="DG99">
        <f t="shared" si="24"/>
        <v>0</v>
      </c>
      <c r="DH99">
        <f t="shared" si="25"/>
        <v>0</v>
      </c>
      <c r="DI99">
        <f t="shared" si="20"/>
        <v>0</v>
      </c>
      <c r="DJ99">
        <f t="shared" si="33"/>
        <v>0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ROW(Source!A114)</f>
        <v>114</v>
      </c>
      <c r="B100">
        <v>56616093</v>
      </c>
      <c r="C100">
        <v>56616691</v>
      </c>
      <c r="D100">
        <v>47634407</v>
      </c>
      <c r="E100">
        <v>27786564</v>
      </c>
      <c r="F100">
        <v>1</v>
      </c>
      <c r="G100">
        <v>27786564</v>
      </c>
      <c r="H100">
        <v>1</v>
      </c>
      <c r="I100" t="s">
        <v>439</v>
      </c>
      <c r="J100" t="s">
        <v>3</v>
      </c>
      <c r="K100" t="s">
        <v>440</v>
      </c>
      <c r="L100">
        <v>1191</v>
      </c>
      <c r="N100">
        <v>1013</v>
      </c>
      <c r="O100" t="s">
        <v>441</v>
      </c>
      <c r="P100" t="s">
        <v>441</v>
      </c>
      <c r="Q100">
        <v>1</v>
      </c>
      <c r="W100">
        <v>0</v>
      </c>
      <c r="X100">
        <v>476480486</v>
      </c>
      <c r="Y100">
        <f t="shared" si="27"/>
        <v>20.680000000000003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-2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18.8</v>
      </c>
      <c r="AU100" t="s">
        <v>22</v>
      </c>
      <c r="AV100">
        <v>1</v>
      </c>
      <c r="AW100">
        <v>2</v>
      </c>
      <c r="AX100">
        <v>56616693</v>
      </c>
      <c r="AY100">
        <v>1</v>
      </c>
      <c r="AZ100">
        <v>0</v>
      </c>
      <c r="BA100">
        <v>243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U100">
        <f>ROUND(AT100*Source!I114*AH100*AL100,2)</f>
        <v>0</v>
      </c>
      <c r="CV100">
        <f>ROUND(Y100*Source!I114,9)</f>
        <v>0</v>
      </c>
      <c r="CW100">
        <v>0</v>
      </c>
      <c r="CX100">
        <f>ROUND(Y100*Source!I114,9)</f>
        <v>0</v>
      </c>
      <c r="CY100">
        <f t="shared" si="28"/>
        <v>0</v>
      </c>
      <c r="CZ100">
        <f t="shared" si="29"/>
        <v>0</v>
      </c>
      <c r="DA100">
        <f t="shared" si="30"/>
        <v>1</v>
      </c>
      <c r="DB100">
        <f t="shared" si="31"/>
        <v>0</v>
      </c>
      <c r="DC100">
        <f t="shared" si="32"/>
        <v>0</v>
      </c>
      <c r="DD100" t="s">
        <v>3</v>
      </c>
      <c r="DE100" t="s">
        <v>3</v>
      </c>
      <c r="DF100">
        <f t="shared" si="26"/>
        <v>0</v>
      </c>
      <c r="DG100">
        <f t="shared" si="24"/>
        <v>0</v>
      </c>
      <c r="DH100">
        <f t="shared" si="25"/>
        <v>0</v>
      </c>
      <c r="DI100">
        <f t="shared" si="20"/>
        <v>0</v>
      </c>
      <c r="DJ100">
        <f t="shared" si="33"/>
        <v>0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">
      <c r="A101">
        <f>ROW(Source!A117)</f>
        <v>117</v>
      </c>
      <c r="B101">
        <v>56622586</v>
      </c>
      <c r="C101">
        <v>56616722</v>
      </c>
      <c r="D101">
        <v>47634407</v>
      </c>
      <c r="E101">
        <v>27786564</v>
      </c>
      <c r="F101">
        <v>1</v>
      </c>
      <c r="G101">
        <v>27786564</v>
      </c>
      <c r="H101">
        <v>1</v>
      </c>
      <c r="I101" t="s">
        <v>439</v>
      </c>
      <c r="J101" t="s">
        <v>3</v>
      </c>
      <c r="K101" t="s">
        <v>440</v>
      </c>
      <c r="L101">
        <v>1191</v>
      </c>
      <c r="N101">
        <v>1013</v>
      </c>
      <c r="O101" t="s">
        <v>441</v>
      </c>
      <c r="P101" t="s">
        <v>441</v>
      </c>
      <c r="Q101">
        <v>1</v>
      </c>
      <c r="W101">
        <v>0</v>
      </c>
      <c r="X101">
        <v>476480486</v>
      </c>
      <c r="Y101">
        <f t="shared" si="27"/>
        <v>20.680000000000003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-2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18.8</v>
      </c>
      <c r="AU101" t="s">
        <v>22</v>
      </c>
      <c r="AV101">
        <v>1</v>
      </c>
      <c r="AW101">
        <v>2</v>
      </c>
      <c r="AX101">
        <v>56616724</v>
      </c>
      <c r="AY101">
        <v>1</v>
      </c>
      <c r="AZ101">
        <v>0</v>
      </c>
      <c r="BA101">
        <v>285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U101">
        <f>ROUND(AT101*Source!I117*AH101*AL101,2)</f>
        <v>0</v>
      </c>
      <c r="CV101">
        <f>ROUND(Y101*Source!I117,9)</f>
        <v>0</v>
      </c>
      <c r="CW101">
        <v>0</v>
      </c>
      <c r="CX101">
        <f>ROUND(Y101*Source!I117,9)</f>
        <v>0</v>
      </c>
      <c r="CY101">
        <f t="shared" si="28"/>
        <v>0</v>
      </c>
      <c r="CZ101">
        <f t="shared" si="29"/>
        <v>0</v>
      </c>
      <c r="DA101">
        <f t="shared" si="30"/>
        <v>1</v>
      </c>
      <c r="DB101">
        <f t="shared" si="31"/>
        <v>0</v>
      </c>
      <c r="DC101">
        <f t="shared" si="32"/>
        <v>0</v>
      </c>
      <c r="DD101" t="s">
        <v>3</v>
      </c>
      <c r="DE101" t="s">
        <v>3</v>
      </c>
      <c r="DF101">
        <f t="shared" si="26"/>
        <v>0</v>
      </c>
      <c r="DG101">
        <f t="shared" si="24"/>
        <v>0</v>
      </c>
      <c r="DH101">
        <f t="shared" si="25"/>
        <v>0</v>
      </c>
      <c r="DI101">
        <f t="shared" si="20"/>
        <v>0</v>
      </c>
      <c r="DJ101">
        <f t="shared" si="33"/>
        <v>0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ROW(Source!A118)</f>
        <v>118</v>
      </c>
      <c r="B102">
        <v>56616093</v>
      </c>
      <c r="C102">
        <v>56616722</v>
      </c>
      <c r="D102">
        <v>47634407</v>
      </c>
      <c r="E102">
        <v>27786564</v>
      </c>
      <c r="F102">
        <v>1</v>
      </c>
      <c r="G102">
        <v>27786564</v>
      </c>
      <c r="H102">
        <v>1</v>
      </c>
      <c r="I102" t="s">
        <v>439</v>
      </c>
      <c r="J102" t="s">
        <v>3</v>
      </c>
      <c r="K102" t="s">
        <v>440</v>
      </c>
      <c r="L102">
        <v>1191</v>
      </c>
      <c r="N102">
        <v>1013</v>
      </c>
      <c r="O102" t="s">
        <v>441</v>
      </c>
      <c r="P102" t="s">
        <v>441</v>
      </c>
      <c r="Q102">
        <v>1</v>
      </c>
      <c r="W102">
        <v>0</v>
      </c>
      <c r="X102">
        <v>476480486</v>
      </c>
      <c r="Y102">
        <f t="shared" si="27"/>
        <v>20.680000000000003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-2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18.8</v>
      </c>
      <c r="AU102" t="s">
        <v>22</v>
      </c>
      <c r="AV102">
        <v>1</v>
      </c>
      <c r="AW102">
        <v>2</v>
      </c>
      <c r="AX102">
        <v>56616724</v>
      </c>
      <c r="AY102">
        <v>1</v>
      </c>
      <c r="AZ102">
        <v>0</v>
      </c>
      <c r="BA102">
        <v>299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U102">
        <f>ROUND(AT102*Source!I118*AH102*AL102,2)</f>
        <v>0</v>
      </c>
      <c r="CV102">
        <f>ROUND(Y102*Source!I118,9)</f>
        <v>0</v>
      </c>
      <c r="CW102">
        <v>0</v>
      </c>
      <c r="CX102">
        <f>ROUND(Y102*Source!I118,9)</f>
        <v>0</v>
      </c>
      <c r="CY102">
        <f t="shared" si="28"/>
        <v>0</v>
      </c>
      <c r="CZ102">
        <f t="shared" si="29"/>
        <v>0</v>
      </c>
      <c r="DA102">
        <f t="shared" si="30"/>
        <v>1</v>
      </c>
      <c r="DB102">
        <f t="shared" si="31"/>
        <v>0</v>
      </c>
      <c r="DC102">
        <f t="shared" si="32"/>
        <v>0</v>
      </c>
      <c r="DD102" t="s">
        <v>3</v>
      </c>
      <c r="DE102" t="s">
        <v>3</v>
      </c>
      <c r="DF102">
        <f t="shared" si="26"/>
        <v>0</v>
      </c>
      <c r="DG102">
        <f t="shared" si="24"/>
        <v>0</v>
      </c>
      <c r="DH102">
        <f t="shared" si="25"/>
        <v>0</v>
      </c>
      <c r="DI102">
        <f t="shared" si="20"/>
        <v>0</v>
      </c>
      <c r="DJ102">
        <f t="shared" si="33"/>
        <v>0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ROW(Source!A119)</f>
        <v>119</v>
      </c>
      <c r="B103">
        <v>56622586</v>
      </c>
      <c r="C103">
        <v>56616738</v>
      </c>
      <c r="D103">
        <v>47634407</v>
      </c>
      <c r="E103">
        <v>27786564</v>
      </c>
      <c r="F103">
        <v>1</v>
      </c>
      <c r="G103">
        <v>27786564</v>
      </c>
      <c r="H103">
        <v>1</v>
      </c>
      <c r="I103" t="s">
        <v>439</v>
      </c>
      <c r="J103" t="s">
        <v>3</v>
      </c>
      <c r="K103" t="s">
        <v>440</v>
      </c>
      <c r="L103">
        <v>1191</v>
      </c>
      <c r="N103">
        <v>1013</v>
      </c>
      <c r="O103" t="s">
        <v>441</v>
      </c>
      <c r="P103" t="s">
        <v>441</v>
      </c>
      <c r="Q103">
        <v>1</v>
      </c>
      <c r="W103">
        <v>0</v>
      </c>
      <c r="X103">
        <v>476480486</v>
      </c>
      <c r="Y103">
        <f t="shared" si="27"/>
        <v>20.680000000000003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-2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18.8</v>
      </c>
      <c r="AU103" t="s">
        <v>22</v>
      </c>
      <c r="AV103">
        <v>1</v>
      </c>
      <c r="AW103">
        <v>2</v>
      </c>
      <c r="AX103">
        <v>56616740</v>
      </c>
      <c r="AY103">
        <v>1</v>
      </c>
      <c r="AZ103">
        <v>0</v>
      </c>
      <c r="BA103">
        <v>313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U103">
        <f>ROUND(AT103*Source!I119*AH103*AL103,2)</f>
        <v>0</v>
      </c>
      <c r="CV103">
        <f>ROUND(Y103*Source!I119,9)</f>
        <v>0</v>
      </c>
      <c r="CW103">
        <v>0</v>
      </c>
      <c r="CX103">
        <f>ROUND(Y103*Source!I119,9)</f>
        <v>0</v>
      </c>
      <c r="CY103">
        <f t="shared" si="28"/>
        <v>0</v>
      </c>
      <c r="CZ103">
        <f t="shared" si="29"/>
        <v>0</v>
      </c>
      <c r="DA103">
        <f t="shared" si="30"/>
        <v>1</v>
      </c>
      <c r="DB103">
        <f t="shared" si="31"/>
        <v>0</v>
      </c>
      <c r="DC103">
        <f t="shared" si="32"/>
        <v>0</v>
      </c>
      <c r="DD103" t="s">
        <v>3</v>
      </c>
      <c r="DE103" t="s">
        <v>3</v>
      </c>
      <c r="DF103">
        <f t="shared" si="26"/>
        <v>0</v>
      </c>
      <c r="DG103">
        <f t="shared" si="24"/>
        <v>0</v>
      </c>
      <c r="DH103">
        <f t="shared" si="25"/>
        <v>0</v>
      </c>
      <c r="DI103">
        <f t="shared" si="20"/>
        <v>0</v>
      </c>
      <c r="DJ103">
        <f t="shared" si="33"/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ROW(Source!A120)</f>
        <v>120</v>
      </c>
      <c r="B104">
        <v>56616093</v>
      </c>
      <c r="C104">
        <v>56616738</v>
      </c>
      <c r="D104">
        <v>47634407</v>
      </c>
      <c r="E104">
        <v>27786564</v>
      </c>
      <c r="F104">
        <v>1</v>
      </c>
      <c r="G104">
        <v>27786564</v>
      </c>
      <c r="H104">
        <v>1</v>
      </c>
      <c r="I104" t="s">
        <v>439</v>
      </c>
      <c r="J104" t="s">
        <v>3</v>
      </c>
      <c r="K104" t="s">
        <v>440</v>
      </c>
      <c r="L104">
        <v>1191</v>
      </c>
      <c r="N104">
        <v>1013</v>
      </c>
      <c r="O104" t="s">
        <v>441</v>
      </c>
      <c r="P104" t="s">
        <v>441</v>
      </c>
      <c r="Q104">
        <v>1</v>
      </c>
      <c r="W104">
        <v>0</v>
      </c>
      <c r="X104">
        <v>476480486</v>
      </c>
      <c r="Y104">
        <f t="shared" si="27"/>
        <v>20.680000000000003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-2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18.8</v>
      </c>
      <c r="AU104" t="s">
        <v>22</v>
      </c>
      <c r="AV104">
        <v>1</v>
      </c>
      <c r="AW104">
        <v>2</v>
      </c>
      <c r="AX104">
        <v>56616740</v>
      </c>
      <c r="AY104">
        <v>1</v>
      </c>
      <c r="AZ104">
        <v>0</v>
      </c>
      <c r="BA104">
        <v>327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U104">
        <f>ROUND(AT104*Source!I120*AH104*AL104,2)</f>
        <v>0</v>
      </c>
      <c r="CV104">
        <f>ROUND(Y104*Source!I120,9)</f>
        <v>0</v>
      </c>
      <c r="CW104">
        <v>0</v>
      </c>
      <c r="CX104">
        <f>ROUND(Y104*Source!I120,9)</f>
        <v>0</v>
      </c>
      <c r="CY104">
        <f t="shared" si="28"/>
        <v>0</v>
      </c>
      <c r="CZ104">
        <f t="shared" si="29"/>
        <v>0</v>
      </c>
      <c r="DA104">
        <f t="shared" si="30"/>
        <v>1</v>
      </c>
      <c r="DB104">
        <f t="shared" si="31"/>
        <v>0</v>
      </c>
      <c r="DC104">
        <f t="shared" si="32"/>
        <v>0</v>
      </c>
      <c r="DD104" t="s">
        <v>3</v>
      </c>
      <c r="DE104" t="s">
        <v>3</v>
      </c>
      <c r="DF104">
        <f t="shared" si="26"/>
        <v>0</v>
      </c>
      <c r="DG104">
        <f t="shared" si="24"/>
        <v>0</v>
      </c>
      <c r="DH104">
        <f t="shared" si="25"/>
        <v>0</v>
      </c>
      <c r="DI104">
        <f t="shared" si="20"/>
        <v>0</v>
      </c>
      <c r="DJ104">
        <f t="shared" si="33"/>
        <v>0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">
      <c r="A105">
        <f>ROW(Source!A121)</f>
        <v>121</v>
      </c>
      <c r="B105">
        <v>56622586</v>
      </c>
      <c r="C105">
        <v>56616754</v>
      </c>
      <c r="D105">
        <v>47634407</v>
      </c>
      <c r="E105">
        <v>27786564</v>
      </c>
      <c r="F105">
        <v>1</v>
      </c>
      <c r="G105">
        <v>27786564</v>
      </c>
      <c r="H105">
        <v>1</v>
      </c>
      <c r="I105" t="s">
        <v>439</v>
      </c>
      <c r="J105" t="s">
        <v>3</v>
      </c>
      <c r="K105" t="s">
        <v>440</v>
      </c>
      <c r="L105">
        <v>1191</v>
      </c>
      <c r="N105">
        <v>1013</v>
      </c>
      <c r="O105" t="s">
        <v>441</v>
      </c>
      <c r="P105" t="s">
        <v>441</v>
      </c>
      <c r="Q105">
        <v>1</v>
      </c>
      <c r="W105">
        <v>0</v>
      </c>
      <c r="X105">
        <v>476480486</v>
      </c>
      <c r="Y105">
        <f t="shared" si="27"/>
        <v>20.680000000000003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-2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18.8</v>
      </c>
      <c r="AU105" t="s">
        <v>22</v>
      </c>
      <c r="AV105">
        <v>1</v>
      </c>
      <c r="AW105">
        <v>2</v>
      </c>
      <c r="AX105">
        <v>56616756</v>
      </c>
      <c r="AY105">
        <v>1</v>
      </c>
      <c r="AZ105">
        <v>0</v>
      </c>
      <c r="BA105">
        <v>341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U105">
        <f>ROUND(AT105*Source!I121*AH105*AL105,2)</f>
        <v>0</v>
      </c>
      <c r="CV105">
        <f>ROUND(Y105*Source!I121,9)</f>
        <v>0</v>
      </c>
      <c r="CW105">
        <v>0</v>
      </c>
      <c r="CX105">
        <f>ROUND(Y105*Source!I121,9)</f>
        <v>0</v>
      </c>
      <c r="CY105">
        <f t="shared" si="28"/>
        <v>0</v>
      </c>
      <c r="CZ105">
        <f t="shared" si="29"/>
        <v>0</v>
      </c>
      <c r="DA105">
        <f t="shared" si="30"/>
        <v>1</v>
      </c>
      <c r="DB105">
        <f t="shared" si="31"/>
        <v>0</v>
      </c>
      <c r="DC105">
        <f t="shared" si="32"/>
        <v>0</v>
      </c>
      <c r="DD105" t="s">
        <v>3</v>
      </c>
      <c r="DE105" t="s">
        <v>3</v>
      </c>
      <c r="DF105">
        <f t="shared" si="26"/>
        <v>0</v>
      </c>
      <c r="DG105">
        <f t="shared" si="24"/>
        <v>0</v>
      </c>
      <c r="DH105">
        <f t="shared" si="25"/>
        <v>0</v>
      </c>
      <c r="DI105">
        <f t="shared" si="20"/>
        <v>0</v>
      </c>
      <c r="DJ105">
        <f t="shared" si="33"/>
        <v>0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ROW(Source!A122)</f>
        <v>122</v>
      </c>
      <c r="B106">
        <v>56616093</v>
      </c>
      <c r="C106">
        <v>56616754</v>
      </c>
      <c r="D106">
        <v>47634407</v>
      </c>
      <c r="E106">
        <v>27786564</v>
      </c>
      <c r="F106">
        <v>1</v>
      </c>
      <c r="G106">
        <v>27786564</v>
      </c>
      <c r="H106">
        <v>1</v>
      </c>
      <c r="I106" t="s">
        <v>439</v>
      </c>
      <c r="J106" t="s">
        <v>3</v>
      </c>
      <c r="K106" t="s">
        <v>440</v>
      </c>
      <c r="L106">
        <v>1191</v>
      </c>
      <c r="N106">
        <v>1013</v>
      </c>
      <c r="O106" t="s">
        <v>441</v>
      </c>
      <c r="P106" t="s">
        <v>441</v>
      </c>
      <c r="Q106">
        <v>1</v>
      </c>
      <c r="W106">
        <v>0</v>
      </c>
      <c r="X106">
        <v>476480486</v>
      </c>
      <c r="Y106">
        <f t="shared" si="27"/>
        <v>20.680000000000003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-2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18.8</v>
      </c>
      <c r="AU106" t="s">
        <v>22</v>
      </c>
      <c r="AV106">
        <v>1</v>
      </c>
      <c r="AW106">
        <v>2</v>
      </c>
      <c r="AX106">
        <v>56616756</v>
      </c>
      <c r="AY106">
        <v>1</v>
      </c>
      <c r="AZ106">
        <v>0</v>
      </c>
      <c r="BA106">
        <v>355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U106">
        <f>ROUND(AT106*Source!I122*AH106*AL106,2)</f>
        <v>0</v>
      </c>
      <c r="CV106">
        <f>ROUND(Y106*Source!I122,9)</f>
        <v>0</v>
      </c>
      <c r="CW106">
        <v>0</v>
      </c>
      <c r="CX106">
        <f>ROUND(Y106*Source!I122,9)</f>
        <v>0</v>
      </c>
      <c r="CY106">
        <f t="shared" si="28"/>
        <v>0</v>
      </c>
      <c r="CZ106">
        <f t="shared" si="29"/>
        <v>0</v>
      </c>
      <c r="DA106">
        <f t="shared" si="30"/>
        <v>1</v>
      </c>
      <c r="DB106">
        <f t="shared" si="31"/>
        <v>0</v>
      </c>
      <c r="DC106">
        <f t="shared" si="32"/>
        <v>0</v>
      </c>
      <c r="DD106" t="s">
        <v>3</v>
      </c>
      <c r="DE106" t="s">
        <v>3</v>
      </c>
      <c r="DF106">
        <f t="shared" si="26"/>
        <v>0</v>
      </c>
      <c r="DG106">
        <f t="shared" si="24"/>
        <v>0</v>
      </c>
      <c r="DH106">
        <f t="shared" si="25"/>
        <v>0</v>
      </c>
      <c r="DI106">
        <f t="shared" si="20"/>
        <v>0</v>
      </c>
      <c r="DJ106">
        <f t="shared" si="33"/>
        <v>0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ROW(Source!A123)</f>
        <v>123</v>
      </c>
      <c r="B107">
        <v>56622586</v>
      </c>
      <c r="C107">
        <v>56616770</v>
      </c>
      <c r="D107">
        <v>47634407</v>
      </c>
      <c r="E107">
        <v>27786564</v>
      </c>
      <c r="F107">
        <v>1</v>
      </c>
      <c r="G107">
        <v>27786564</v>
      </c>
      <c r="H107">
        <v>1</v>
      </c>
      <c r="I107" t="s">
        <v>439</v>
      </c>
      <c r="J107" t="s">
        <v>3</v>
      </c>
      <c r="K107" t="s">
        <v>440</v>
      </c>
      <c r="L107">
        <v>1191</v>
      </c>
      <c r="N107">
        <v>1013</v>
      </c>
      <c r="O107" t="s">
        <v>441</v>
      </c>
      <c r="P107" t="s">
        <v>441</v>
      </c>
      <c r="Q107">
        <v>1</v>
      </c>
      <c r="W107">
        <v>0</v>
      </c>
      <c r="X107">
        <v>476480486</v>
      </c>
      <c r="Y107">
        <f t="shared" si="27"/>
        <v>20.680000000000003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-2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18.8</v>
      </c>
      <c r="AU107" t="s">
        <v>22</v>
      </c>
      <c r="AV107">
        <v>1</v>
      </c>
      <c r="AW107">
        <v>2</v>
      </c>
      <c r="AX107">
        <v>56616772</v>
      </c>
      <c r="AY107">
        <v>1</v>
      </c>
      <c r="AZ107">
        <v>0</v>
      </c>
      <c r="BA107">
        <v>369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U107">
        <f>ROUND(AT107*Source!I123*AH107*AL107,2)</f>
        <v>0</v>
      </c>
      <c r="CV107">
        <f>ROUND(Y107*Source!I123,9)</f>
        <v>0</v>
      </c>
      <c r="CW107">
        <v>0</v>
      </c>
      <c r="CX107">
        <f>ROUND(Y107*Source!I123,9)</f>
        <v>0</v>
      </c>
      <c r="CY107">
        <f t="shared" si="28"/>
        <v>0</v>
      </c>
      <c r="CZ107">
        <f t="shared" si="29"/>
        <v>0</v>
      </c>
      <c r="DA107">
        <f t="shared" si="30"/>
        <v>1</v>
      </c>
      <c r="DB107">
        <f t="shared" si="31"/>
        <v>0</v>
      </c>
      <c r="DC107">
        <f t="shared" si="32"/>
        <v>0</v>
      </c>
      <c r="DD107" t="s">
        <v>3</v>
      </c>
      <c r="DE107" t="s">
        <v>3</v>
      </c>
      <c r="DF107">
        <f t="shared" si="26"/>
        <v>0</v>
      </c>
      <c r="DG107">
        <f t="shared" si="24"/>
        <v>0</v>
      </c>
      <c r="DH107">
        <f t="shared" si="25"/>
        <v>0</v>
      </c>
      <c r="DI107">
        <f t="shared" si="20"/>
        <v>0</v>
      </c>
      <c r="DJ107">
        <f t="shared" si="33"/>
        <v>0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ROW(Source!A124)</f>
        <v>124</v>
      </c>
      <c r="B108">
        <v>56616093</v>
      </c>
      <c r="C108">
        <v>56616770</v>
      </c>
      <c r="D108">
        <v>47634407</v>
      </c>
      <c r="E108">
        <v>27786564</v>
      </c>
      <c r="F108">
        <v>1</v>
      </c>
      <c r="G108">
        <v>27786564</v>
      </c>
      <c r="H108">
        <v>1</v>
      </c>
      <c r="I108" t="s">
        <v>439</v>
      </c>
      <c r="J108" t="s">
        <v>3</v>
      </c>
      <c r="K108" t="s">
        <v>440</v>
      </c>
      <c r="L108">
        <v>1191</v>
      </c>
      <c r="N108">
        <v>1013</v>
      </c>
      <c r="O108" t="s">
        <v>441</v>
      </c>
      <c r="P108" t="s">
        <v>441</v>
      </c>
      <c r="Q108">
        <v>1</v>
      </c>
      <c r="W108">
        <v>0</v>
      </c>
      <c r="X108">
        <v>476480486</v>
      </c>
      <c r="Y108">
        <f t="shared" si="27"/>
        <v>20.680000000000003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1</v>
      </c>
      <c r="AK108">
        <v>1</v>
      </c>
      <c r="AL108">
        <v>1</v>
      </c>
      <c r="AM108">
        <v>-2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18.8</v>
      </c>
      <c r="AU108" t="s">
        <v>22</v>
      </c>
      <c r="AV108">
        <v>1</v>
      </c>
      <c r="AW108">
        <v>2</v>
      </c>
      <c r="AX108">
        <v>56616772</v>
      </c>
      <c r="AY108">
        <v>1</v>
      </c>
      <c r="AZ108">
        <v>0</v>
      </c>
      <c r="BA108">
        <v>383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U108">
        <f>ROUND(AT108*Source!I124*AH108*AL108,2)</f>
        <v>0</v>
      </c>
      <c r="CV108">
        <f>ROUND(Y108*Source!I124,9)</f>
        <v>0</v>
      </c>
      <c r="CW108">
        <v>0</v>
      </c>
      <c r="CX108">
        <f>ROUND(Y108*Source!I124,9)</f>
        <v>0</v>
      </c>
      <c r="CY108">
        <f t="shared" si="28"/>
        <v>0</v>
      </c>
      <c r="CZ108">
        <f t="shared" si="29"/>
        <v>0</v>
      </c>
      <c r="DA108">
        <f t="shared" si="30"/>
        <v>1</v>
      </c>
      <c r="DB108">
        <f t="shared" si="31"/>
        <v>0</v>
      </c>
      <c r="DC108">
        <f t="shared" si="32"/>
        <v>0</v>
      </c>
      <c r="DD108" t="s">
        <v>3</v>
      </c>
      <c r="DE108" t="s">
        <v>3</v>
      </c>
      <c r="DF108">
        <f t="shared" si="26"/>
        <v>0</v>
      </c>
      <c r="DG108">
        <f t="shared" si="24"/>
        <v>0</v>
      </c>
      <c r="DH108">
        <f t="shared" si="25"/>
        <v>0</v>
      </c>
      <c r="DI108">
        <f t="shared" si="20"/>
        <v>0</v>
      </c>
      <c r="DJ108">
        <f t="shared" si="33"/>
        <v>0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ROW(Source!A125)</f>
        <v>125</v>
      </c>
      <c r="B109">
        <v>56622586</v>
      </c>
      <c r="C109">
        <v>56616786</v>
      </c>
      <c r="D109">
        <v>47634407</v>
      </c>
      <c r="E109">
        <v>27786564</v>
      </c>
      <c r="F109">
        <v>1</v>
      </c>
      <c r="G109">
        <v>27786564</v>
      </c>
      <c r="H109">
        <v>1</v>
      </c>
      <c r="I109" t="s">
        <v>439</v>
      </c>
      <c r="J109" t="s">
        <v>3</v>
      </c>
      <c r="K109" t="s">
        <v>440</v>
      </c>
      <c r="L109">
        <v>1191</v>
      </c>
      <c r="N109">
        <v>1013</v>
      </c>
      <c r="O109" t="s">
        <v>441</v>
      </c>
      <c r="P109" t="s">
        <v>441</v>
      </c>
      <c r="Q109">
        <v>1</v>
      </c>
      <c r="W109">
        <v>0</v>
      </c>
      <c r="X109">
        <v>476480486</v>
      </c>
      <c r="Y109">
        <f t="shared" si="27"/>
        <v>17.380000000000003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-2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15.8</v>
      </c>
      <c r="AU109" t="s">
        <v>22</v>
      </c>
      <c r="AV109">
        <v>1</v>
      </c>
      <c r="AW109">
        <v>2</v>
      </c>
      <c r="AX109">
        <v>56616788</v>
      </c>
      <c r="AY109">
        <v>1</v>
      </c>
      <c r="AZ109">
        <v>0</v>
      </c>
      <c r="BA109">
        <v>397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U109">
        <f>ROUND(AT109*Source!I125*AH109*AL109,2)</f>
        <v>0</v>
      </c>
      <c r="CV109">
        <f>ROUND(Y109*Source!I125,9)</f>
        <v>0</v>
      </c>
      <c r="CW109">
        <v>0</v>
      </c>
      <c r="CX109">
        <f>ROUND(Y109*Source!I125,9)</f>
        <v>0</v>
      </c>
      <c r="CY109">
        <f t="shared" si="28"/>
        <v>0</v>
      </c>
      <c r="CZ109">
        <f t="shared" si="29"/>
        <v>0</v>
      </c>
      <c r="DA109">
        <f t="shared" si="30"/>
        <v>1</v>
      </c>
      <c r="DB109">
        <f t="shared" si="31"/>
        <v>0</v>
      </c>
      <c r="DC109">
        <f t="shared" si="32"/>
        <v>0</v>
      </c>
      <c r="DD109" t="s">
        <v>3</v>
      </c>
      <c r="DE109" t="s">
        <v>3</v>
      </c>
      <c r="DF109">
        <f t="shared" si="26"/>
        <v>0</v>
      </c>
      <c r="DG109">
        <f t="shared" si="24"/>
        <v>0</v>
      </c>
      <c r="DH109">
        <f t="shared" si="25"/>
        <v>0</v>
      </c>
      <c r="DI109">
        <f t="shared" si="20"/>
        <v>0</v>
      </c>
      <c r="DJ109">
        <f t="shared" si="33"/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ROW(Source!A126)</f>
        <v>126</v>
      </c>
      <c r="B110">
        <v>56616093</v>
      </c>
      <c r="C110">
        <v>56616786</v>
      </c>
      <c r="D110">
        <v>47634407</v>
      </c>
      <c r="E110">
        <v>27786564</v>
      </c>
      <c r="F110">
        <v>1</v>
      </c>
      <c r="G110">
        <v>27786564</v>
      </c>
      <c r="H110">
        <v>1</v>
      </c>
      <c r="I110" t="s">
        <v>439</v>
      </c>
      <c r="J110" t="s">
        <v>3</v>
      </c>
      <c r="K110" t="s">
        <v>440</v>
      </c>
      <c r="L110">
        <v>1191</v>
      </c>
      <c r="N110">
        <v>1013</v>
      </c>
      <c r="O110" t="s">
        <v>441</v>
      </c>
      <c r="P110" t="s">
        <v>441</v>
      </c>
      <c r="Q110">
        <v>1</v>
      </c>
      <c r="W110">
        <v>0</v>
      </c>
      <c r="X110">
        <v>476480486</v>
      </c>
      <c r="Y110">
        <f t="shared" si="27"/>
        <v>17.380000000000003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-2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15.8</v>
      </c>
      <c r="AU110" t="s">
        <v>22</v>
      </c>
      <c r="AV110">
        <v>1</v>
      </c>
      <c r="AW110">
        <v>2</v>
      </c>
      <c r="AX110">
        <v>56616788</v>
      </c>
      <c r="AY110">
        <v>1</v>
      </c>
      <c r="AZ110">
        <v>0</v>
      </c>
      <c r="BA110">
        <v>410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U110">
        <f>ROUND(AT110*Source!I126*AH110*AL110,2)</f>
        <v>0</v>
      </c>
      <c r="CV110">
        <f>ROUND(Y110*Source!I126,9)</f>
        <v>0</v>
      </c>
      <c r="CW110">
        <v>0</v>
      </c>
      <c r="CX110">
        <f>ROUND(Y110*Source!I126,9)</f>
        <v>0</v>
      </c>
      <c r="CY110">
        <f t="shared" si="28"/>
        <v>0</v>
      </c>
      <c r="CZ110">
        <f t="shared" si="29"/>
        <v>0</v>
      </c>
      <c r="DA110">
        <f t="shared" si="30"/>
        <v>1</v>
      </c>
      <c r="DB110">
        <f t="shared" si="31"/>
        <v>0</v>
      </c>
      <c r="DC110">
        <f t="shared" si="32"/>
        <v>0</v>
      </c>
      <c r="DD110" t="s">
        <v>3</v>
      </c>
      <c r="DE110" t="s">
        <v>3</v>
      </c>
      <c r="DF110">
        <f t="shared" si="26"/>
        <v>0</v>
      </c>
      <c r="DG110">
        <f t="shared" ref="DG110:DG140" si="34">ROUND(ROUND(AF110,2)*CX110,2)</f>
        <v>0</v>
      </c>
      <c r="DH110">
        <f t="shared" ref="DH110:DH140" si="35">ROUND(ROUND(AG110,2)*CX110,2)</f>
        <v>0</v>
      </c>
      <c r="DI110">
        <f t="shared" si="20"/>
        <v>0</v>
      </c>
      <c r="DJ110">
        <f t="shared" si="33"/>
        <v>0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">
      <c r="A111">
        <f>ROW(Source!A129)</f>
        <v>129</v>
      </c>
      <c r="B111">
        <v>56622586</v>
      </c>
      <c r="C111">
        <v>56616815</v>
      </c>
      <c r="D111">
        <v>47634407</v>
      </c>
      <c r="E111">
        <v>27786564</v>
      </c>
      <c r="F111">
        <v>1</v>
      </c>
      <c r="G111">
        <v>27786564</v>
      </c>
      <c r="H111">
        <v>1</v>
      </c>
      <c r="I111" t="s">
        <v>439</v>
      </c>
      <c r="J111" t="s">
        <v>3</v>
      </c>
      <c r="K111" t="s">
        <v>440</v>
      </c>
      <c r="L111">
        <v>1191</v>
      </c>
      <c r="N111">
        <v>1013</v>
      </c>
      <c r="O111" t="s">
        <v>441</v>
      </c>
      <c r="P111" t="s">
        <v>441</v>
      </c>
      <c r="Q111">
        <v>1</v>
      </c>
      <c r="W111">
        <v>0</v>
      </c>
      <c r="X111">
        <v>476480486</v>
      </c>
      <c r="Y111">
        <f t="shared" si="27"/>
        <v>22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20</v>
      </c>
      <c r="AU111" t="s">
        <v>22</v>
      </c>
      <c r="AV111">
        <v>1</v>
      </c>
      <c r="AW111">
        <v>2</v>
      </c>
      <c r="AX111">
        <v>56616817</v>
      </c>
      <c r="AY111">
        <v>1</v>
      </c>
      <c r="AZ111">
        <v>0</v>
      </c>
      <c r="BA111">
        <v>449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U111">
        <f>ROUND(AT111*Source!I129*AH111*AL111,2)</f>
        <v>0</v>
      </c>
      <c r="CV111">
        <f>ROUND(Y111*Source!I129,9)</f>
        <v>0</v>
      </c>
      <c r="CW111">
        <v>0</v>
      </c>
      <c r="CX111">
        <f>ROUND(Y111*Source!I129,9)</f>
        <v>0</v>
      </c>
      <c r="CY111">
        <f t="shared" si="28"/>
        <v>0</v>
      </c>
      <c r="CZ111">
        <f t="shared" si="29"/>
        <v>0</v>
      </c>
      <c r="DA111">
        <f t="shared" si="30"/>
        <v>1</v>
      </c>
      <c r="DB111">
        <f t="shared" si="31"/>
        <v>0</v>
      </c>
      <c r="DC111">
        <f t="shared" si="32"/>
        <v>0</v>
      </c>
      <c r="DD111" t="s">
        <v>3</v>
      </c>
      <c r="DE111" t="s">
        <v>3</v>
      </c>
      <c r="DF111">
        <f t="shared" si="26"/>
        <v>0</v>
      </c>
      <c r="DG111">
        <f t="shared" si="34"/>
        <v>0</v>
      </c>
      <c r="DH111">
        <f t="shared" si="35"/>
        <v>0</v>
      </c>
      <c r="DI111">
        <f t="shared" si="20"/>
        <v>0</v>
      </c>
      <c r="DJ111">
        <f t="shared" si="33"/>
        <v>0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ROW(Source!A130)</f>
        <v>130</v>
      </c>
      <c r="B112">
        <v>56616093</v>
      </c>
      <c r="C112">
        <v>56616815</v>
      </c>
      <c r="D112">
        <v>47634407</v>
      </c>
      <c r="E112">
        <v>27786564</v>
      </c>
      <c r="F112">
        <v>1</v>
      </c>
      <c r="G112">
        <v>27786564</v>
      </c>
      <c r="H112">
        <v>1</v>
      </c>
      <c r="I112" t="s">
        <v>439</v>
      </c>
      <c r="J112" t="s">
        <v>3</v>
      </c>
      <c r="K112" t="s">
        <v>440</v>
      </c>
      <c r="L112">
        <v>1191</v>
      </c>
      <c r="N112">
        <v>1013</v>
      </c>
      <c r="O112" t="s">
        <v>441</v>
      </c>
      <c r="P112" t="s">
        <v>441</v>
      </c>
      <c r="Q112">
        <v>1</v>
      </c>
      <c r="W112">
        <v>0</v>
      </c>
      <c r="X112">
        <v>476480486</v>
      </c>
      <c r="Y112">
        <f t="shared" si="27"/>
        <v>22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-2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20</v>
      </c>
      <c r="AU112" t="s">
        <v>22</v>
      </c>
      <c r="AV112">
        <v>1</v>
      </c>
      <c r="AW112">
        <v>2</v>
      </c>
      <c r="AX112">
        <v>56616817</v>
      </c>
      <c r="AY112">
        <v>1</v>
      </c>
      <c r="AZ112">
        <v>0</v>
      </c>
      <c r="BA112">
        <v>462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U112">
        <f>ROUND(AT112*Source!I130*AH112*AL112,2)</f>
        <v>0</v>
      </c>
      <c r="CV112">
        <f>ROUND(Y112*Source!I130,9)</f>
        <v>0</v>
      </c>
      <c r="CW112">
        <v>0</v>
      </c>
      <c r="CX112">
        <f>ROUND(Y112*Source!I130,9)</f>
        <v>0</v>
      </c>
      <c r="CY112">
        <f t="shared" si="28"/>
        <v>0</v>
      </c>
      <c r="CZ112">
        <f t="shared" si="29"/>
        <v>0</v>
      </c>
      <c r="DA112">
        <f t="shared" si="30"/>
        <v>1</v>
      </c>
      <c r="DB112">
        <f t="shared" si="31"/>
        <v>0</v>
      </c>
      <c r="DC112">
        <f t="shared" si="32"/>
        <v>0</v>
      </c>
      <c r="DD112" t="s">
        <v>3</v>
      </c>
      <c r="DE112" t="s">
        <v>3</v>
      </c>
      <c r="DF112">
        <f t="shared" si="26"/>
        <v>0</v>
      </c>
      <c r="DG112">
        <f t="shared" si="34"/>
        <v>0</v>
      </c>
      <c r="DH112">
        <f t="shared" si="35"/>
        <v>0</v>
      </c>
      <c r="DI112">
        <f t="shared" si="20"/>
        <v>0</v>
      </c>
      <c r="DJ112">
        <f t="shared" si="33"/>
        <v>0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ROW(Source!A131)</f>
        <v>131</v>
      </c>
      <c r="B113">
        <v>56622586</v>
      </c>
      <c r="C113">
        <v>56616830</v>
      </c>
      <c r="D113">
        <v>47634407</v>
      </c>
      <c r="E113">
        <v>27786564</v>
      </c>
      <c r="F113">
        <v>1</v>
      </c>
      <c r="G113">
        <v>27786564</v>
      </c>
      <c r="H113">
        <v>1</v>
      </c>
      <c r="I113" t="s">
        <v>439</v>
      </c>
      <c r="J113" t="s">
        <v>3</v>
      </c>
      <c r="K113" t="s">
        <v>440</v>
      </c>
      <c r="L113">
        <v>1191</v>
      </c>
      <c r="N113">
        <v>1013</v>
      </c>
      <c r="O113" t="s">
        <v>441</v>
      </c>
      <c r="P113" t="s">
        <v>441</v>
      </c>
      <c r="Q113">
        <v>1</v>
      </c>
      <c r="W113">
        <v>0</v>
      </c>
      <c r="X113">
        <v>476480486</v>
      </c>
      <c r="Y113">
        <f t="shared" si="27"/>
        <v>22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20</v>
      </c>
      <c r="AU113" t="s">
        <v>22</v>
      </c>
      <c r="AV113">
        <v>1</v>
      </c>
      <c r="AW113">
        <v>2</v>
      </c>
      <c r="AX113">
        <v>56616832</v>
      </c>
      <c r="AY113">
        <v>1</v>
      </c>
      <c r="AZ113">
        <v>0</v>
      </c>
      <c r="BA113">
        <v>475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U113">
        <f>ROUND(AT113*Source!I131*AH113*AL113,2)</f>
        <v>0</v>
      </c>
      <c r="CV113">
        <f>ROUND(Y113*Source!I131,9)</f>
        <v>20.886800000000001</v>
      </c>
      <c r="CW113">
        <v>0</v>
      </c>
      <c r="CX113">
        <f>ROUND(Y113*Source!I131,9)</f>
        <v>20.886800000000001</v>
      </c>
      <c r="CY113">
        <f t="shared" si="28"/>
        <v>0</v>
      </c>
      <c r="CZ113">
        <f t="shared" si="29"/>
        <v>0</v>
      </c>
      <c r="DA113">
        <f t="shared" si="30"/>
        <v>1</v>
      </c>
      <c r="DB113">
        <f t="shared" si="31"/>
        <v>0</v>
      </c>
      <c r="DC113">
        <f t="shared" si="32"/>
        <v>0</v>
      </c>
      <c r="DD113" t="s">
        <v>3</v>
      </c>
      <c r="DE113" t="s">
        <v>3</v>
      </c>
      <c r="DF113">
        <f t="shared" si="26"/>
        <v>0</v>
      </c>
      <c r="DG113">
        <f t="shared" si="34"/>
        <v>0</v>
      </c>
      <c r="DH113">
        <f t="shared" si="35"/>
        <v>0</v>
      </c>
      <c r="DI113">
        <f t="shared" si="20"/>
        <v>0</v>
      </c>
      <c r="DJ113">
        <f t="shared" si="33"/>
        <v>0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">
      <c r="A114">
        <f>ROW(Source!A132)</f>
        <v>132</v>
      </c>
      <c r="B114">
        <v>56616093</v>
      </c>
      <c r="C114">
        <v>56616830</v>
      </c>
      <c r="D114">
        <v>47634407</v>
      </c>
      <c r="E114">
        <v>27786564</v>
      </c>
      <c r="F114">
        <v>1</v>
      </c>
      <c r="G114">
        <v>27786564</v>
      </c>
      <c r="H114">
        <v>1</v>
      </c>
      <c r="I114" t="s">
        <v>439</v>
      </c>
      <c r="J114" t="s">
        <v>3</v>
      </c>
      <c r="K114" t="s">
        <v>440</v>
      </c>
      <c r="L114">
        <v>1191</v>
      </c>
      <c r="N114">
        <v>1013</v>
      </c>
      <c r="O114" t="s">
        <v>441</v>
      </c>
      <c r="P114" t="s">
        <v>441</v>
      </c>
      <c r="Q114">
        <v>1</v>
      </c>
      <c r="W114">
        <v>0</v>
      </c>
      <c r="X114">
        <v>476480486</v>
      </c>
      <c r="Y114">
        <f t="shared" si="27"/>
        <v>22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-2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20</v>
      </c>
      <c r="AU114" t="s">
        <v>22</v>
      </c>
      <c r="AV114">
        <v>1</v>
      </c>
      <c r="AW114">
        <v>2</v>
      </c>
      <c r="AX114">
        <v>56616832</v>
      </c>
      <c r="AY114">
        <v>1</v>
      </c>
      <c r="AZ114">
        <v>0</v>
      </c>
      <c r="BA114">
        <v>488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U114">
        <f>ROUND(AT114*Source!I132*AH114*AL114,2)</f>
        <v>0</v>
      </c>
      <c r="CV114">
        <f>ROUND(Y114*Source!I132,9)</f>
        <v>20.886800000000001</v>
      </c>
      <c r="CW114">
        <v>0</v>
      </c>
      <c r="CX114">
        <f>ROUND(Y114*Source!I132,9)</f>
        <v>20.886800000000001</v>
      </c>
      <c r="CY114">
        <f t="shared" si="28"/>
        <v>0</v>
      </c>
      <c r="CZ114">
        <f t="shared" si="29"/>
        <v>0</v>
      </c>
      <c r="DA114">
        <f t="shared" si="30"/>
        <v>1</v>
      </c>
      <c r="DB114">
        <f t="shared" si="31"/>
        <v>0</v>
      </c>
      <c r="DC114">
        <f t="shared" si="32"/>
        <v>0</v>
      </c>
      <c r="DD114" t="s">
        <v>3</v>
      </c>
      <c r="DE114" t="s">
        <v>3</v>
      </c>
      <c r="DF114">
        <f t="shared" ref="DF114:DF143" si="36">ROUND(ROUND(AE114,2)*CX114,2)</f>
        <v>0</v>
      </c>
      <c r="DG114">
        <f t="shared" si="34"/>
        <v>0</v>
      </c>
      <c r="DH114">
        <f t="shared" si="35"/>
        <v>0</v>
      </c>
      <c r="DI114">
        <f t="shared" si="20"/>
        <v>0</v>
      </c>
      <c r="DJ114">
        <f t="shared" si="33"/>
        <v>0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ROW(Source!A133)</f>
        <v>133</v>
      </c>
      <c r="B115">
        <v>56622586</v>
      </c>
      <c r="C115">
        <v>56616845</v>
      </c>
      <c r="D115">
        <v>47634407</v>
      </c>
      <c r="E115">
        <v>27786564</v>
      </c>
      <c r="F115">
        <v>1</v>
      </c>
      <c r="G115">
        <v>27786564</v>
      </c>
      <c r="H115">
        <v>1</v>
      </c>
      <c r="I115" t="s">
        <v>439</v>
      </c>
      <c r="J115" t="s">
        <v>3</v>
      </c>
      <c r="K115" t="s">
        <v>440</v>
      </c>
      <c r="L115">
        <v>1191</v>
      </c>
      <c r="N115">
        <v>1013</v>
      </c>
      <c r="O115" t="s">
        <v>441</v>
      </c>
      <c r="P115" t="s">
        <v>441</v>
      </c>
      <c r="Q115">
        <v>1</v>
      </c>
      <c r="W115">
        <v>0</v>
      </c>
      <c r="X115">
        <v>476480486</v>
      </c>
      <c r="Y115">
        <f t="shared" ref="Y115:Y132" si="37">(AT115*1.1)</f>
        <v>27.280000000000005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24.8</v>
      </c>
      <c r="AU115" t="s">
        <v>22</v>
      </c>
      <c r="AV115">
        <v>1</v>
      </c>
      <c r="AW115">
        <v>2</v>
      </c>
      <c r="AX115">
        <v>56616847</v>
      </c>
      <c r="AY115">
        <v>1</v>
      </c>
      <c r="AZ115">
        <v>0</v>
      </c>
      <c r="BA115">
        <v>501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U115">
        <f>ROUND(AT115*Source!I133*AH115*AL115,2)</f>
        <v>0</v>
      </c>
      <c r="CV115">
        <f>ROUND(Y115*Source!I133,9)</f>
        <v>54.554544</v>
      </c>
      <c r="CW115">
        <v>0</v>
      </c>
      <c r="CX115">
        <f>ROUND(Y115*Source!I133,9)</f>
        <v>54.554544</v>
      </c>
      <c r="CY115">
        <f t="shared" si="28"/>
        <v>0</v>
      </c>
      <c r="CZ115">
        <f t="shared" si="29"/>
        <v>0</v>
      </c>
      <c r="DA115">
        <f t="shared" si="30"/>
        <v>1</v>
      </c>
      <c r="DB115">
        <f t="shared" ref="DB115:DB132" si="38">ROUND((ROUND(AT115*CZ115,2)*1.1),6)</f>
        <v>0</v>
      </c>
      <c r="DC115">
        <f t="shared" ref="DC115:DC132" si="39">ROUND((ROUND(AT115*AG115,2)*1.1),6)</f>
        <v>0</v>
      </c>
      <c r="DD115" t="s">
        <v>3</v>
      </c>
      <c r="DE115" t="s">
        <v>3</v>
      </c>
      <c r="DF115">
        <f t="shared" si="36"/>
        <v>0</v>
      </c>
      <c r="DG115">
        <f t="shared" si="34"/>
        <v>0</v>
      </c>
      <c r="DH115">
        <f t="shared" si="35"/>
        <v>0</v>
      </c>
      <c r="DI115">
        <f t="shared" si="20"/>
        <v>0</v>
      </c>
      <c r="DJ115">
        <f t="shared" si="33"/>
        <v>0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ROW(Source!A134)</f>
        <v>134</v>
      </c>
      <c r="B116">
        <v>56616093</v>
      </c>
      <c r="C116">
        <v>56616845</v>
      </c>
      <c r="D116">
        <v>47634407</v>
      </c>
      <c r="E116">
        <v>27786564</v>
      </c>
      <c r="F116">
        <v>1</v>
      </c>
      <c r="G116">
        <v>27786564</v>
      </c>
      <c r="H116">
        <v>1</v>
      </c>
      <c r="I116" t="s">
        <v>439</v>
      </c>
      <c r="J116" t="s">
        <v>3</v>
      </c>
      <c r="K116" t="s">
        <v>440</v>
      </c>
      <c r="L116">
        <v>1191</v>
      </c>
      <c r="N116">
        <v>1013</v>
      </c>
      <c r="O116" t="s">
        <v>441</v>
      </c>
      <c r="P116" t="s">
        <v>441</v>
      </c>
      <c r="Q116">
        <v>1</v>
      </c>
      <c r="W116">
        <v>0</v>
      </c>
      <c r="X116">
        <v>476480486</v>
      </c>
      <c r="Y116">
        <f t="shared" si="37"/>
        <v>27.280000000000005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-2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24.8</v>
      </c>
      <c r="AU116" t="s">
        <v>22</v>
      </c>
      <c r="AV116">
        <v>1</v>
      </c>
      <c r="AW116">
        <v>2</v>
      </c>
      <c r="AX116">
        <v>56616847</v>
      </c>
      <c r="AY116">
        <v>1</v>
      </c>
      <c r="AZ116">
        <v>0</v>
      </c>
      <c r="BA116">
        <v>514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U116">
        <f>ROUND(AT116*Source!I134*AH116*AL116,2)</f>
        <v>0</v>
      </c>
      <c r="CV116">
        <f>ROUND(Y116*Source!I134,9)</f>
        <v>54.554544</v>
      </c>
      <c r="CW116">
        <v>0</v>
      </c>
      <c r="CX116">
        <f>ROUND(Y116*Source!I134,9)</f>
        <v>54.554544</v>
      </c>
      <c r="CY116">
        <f t="shared" si="28"/>
        <v>0</v>
      </c>
      <c r="CZ116">
        <f t="shared" si="29"/>
        <v>0</v>
      </c>
      <c r="DA116">
        <f t="shared" si="30"/>
        <v>1</v>
      </c>
      <c r="DB116">
        <f t="shared" si="38"/>
        <v>0</v>
      </c>
      <c r="DC116">
        <f t="shared" si="39"/>
        <v>0</v>
      </c>
      <c r="DD116" t="s">
        <v>3</v>
      </c>
      <c r="DE116" t="s">
        <v>3</v>
      </c>
      <c r="DF116">
        <f t="shared" si="36"/>
        <v>0</v>
      </c>
      <c r="DG116">
        <f t="shared" si="34"/>
        <v>0</v>
      </c>
      <c r="DH116">
        <f t="shared" si="35"/>
        <v>0</v>
      </c>
      <c r="DI116">
        <f t="shared" si="20"/>
        <v>0</v>
      </c>
      <c r="DJ116">
        <f t="shared" si="33"/>
        <v>0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ROW(Source!A137)</f>
        <v>137</v>
      </c>
      <c r="B117">
        <v>56622586</v>
      </c>
      <c r="C117">
        <v>56616874</v>
      </c>
      <c r="D117">
        <v>47634407</v>
      </c>
      <c r="E117">
        <v>27786564</v>
      </c>
      <c r="F117">
        <v>1</v>
      </c>
      <c r="G117">
        <v>27786564</v>
      </c>
      <c r="H117">
        <v>1</v>
      </c>
      <c r="I117" t="s">
        <v>439</v>
      </c>
      <c r="J117" t="s">
        <v>3</v>
      </c>
      <c r="K117" t="s">
        <v>440</v>
      </c>
      <c r="L117">
        <v>1191</v>
      </c>
      <c r="N117">
        <v>1013</v>
      </c>
      <c r="O117" t="s">
        <v>441</v>
      </c>
      <c r="P117" t="s">
        <v>441</v>
      </c>
      <c r="Q117">
        <v>1</v>
      </c>
      <c r="W117">
        <v>0</v>
      </c>
      <c r="X117">
        <v>476480486</v>
      </c>
      <c r="Y117">
        <f t="shared" si="37"/>
        <v>27.280000000000005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24.8</v>
      </c>
      <c r="AU117" t="s">
        <v>22</v>
      </c>
      <c r="AV117">
        <v>1</v>
      </c>
      <c r="AW117">
        <v>2</v>
      </c>
      <c r="AX117">
        <v>56616876</v>
      </c>
      <c r="AY117">
        <v>1</v>
      </c>
      <c r="AZ117">
        <v>0</v>
      </c>
      <c r="BA117">
        <v>553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U117">
        <f>ROUND(AT117*Source!I137*AH117*AL117,2)</f>
        <v>0</v>
      </c>
      <c r="CV117">
        <f>ROUND(Y117*Source!I137,9)</f>
        <v>0</v>
      </c>
      <c r="CW117">
        <v>0</v>
      </c>
      <c r="CX117">
        <f>ROUND(Y117*Source!I137,9)</f>
        <v>0</v>
      </c>
      <c r="CY117">
        <f t="shared" si="28"/>
        <v>0</v>
      </c>
      <c r="CZ117">
        <f t="shared" si="29"/>
        <v>0</v>
      </c>
      <c r="DA117">
        <f t="shared" si="30"/>
        <v>1</v>
      </c>
      <c r="DB117">
        <f t="shared" si="38"/>
        <v>0</v>
      </c>
      <c r="DC117">
        <f t="shared" si="39"/>
        <v>0</v>
      </c>
      <c r="DD117" t="s">
        <v>3</v>
      </c>
      <c r="DE117" t="s">
        <v>3</v>
      </c>
      <c r="DF117">
        <f t="shared" si="36"/>
        <v>0</v>
      </c>
      <c r="DG117">
        <f t="shared" si="34"/>
        <v>0</v>
      </c>
      <c r="DH117">
        <f t="shared" si="35"/>
        <v>0</v>
      </c>
      <c r="DI117">
        <f t="shared" si="20"/>
        <v>0</v>
      </c>
      <c r="DJ117">
        <f t="shared" si="33"/>
        <v>0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ROW(Source!A138)</f>
        <v>138</v>
      </c>
      <c r="B118">
        <v>56616093</v>
      </c>
      <c r="C118">
        <v>56616874</v>
      </c>
      <c r="D118">
        <v>47634407</v>
      </c>
      <c r="E118">
        <v>27786564</v>
      </c>
      <c r="F118">
        <v>1</v>
      </c>
      <c r="G118">
        <v>27786564</v>
      </c>
      <c r="H118">
        <v>1</v>
      </c>
      <c r="I118" t="s">
        <v>439</v>
      </c>
      <c r="J118" t="s">
        <v>3</v>
      </c>
      <c r="K118" t="s">
        <v>440</v>
      </c>
      <c r="L118">
        <v>1191</v>
      </c>
      <c r="N118">
        <v>1013</v>
      </c>
      <c r="O118" t="s">
        <v>441</v>
      </c>
      <c r="P118" t="s">
        <v>441</v>
      </c>
      <c r="Q118">
        <v>1</v>
      </c>
      <c r="W118">
        <v>0</v>
      </c>
      <c r="X118">
        <v>476480486</v>
      </c>
      <c r="Y118">
        <f t="shared" si="37"/>
        <v>27.280000000000005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24.8</v>
      </c>
      <c r="AU118" t="s">
        <v>22</v>
      </c>
      <c r="AV118">
        <v>1</v>
      </c>
      <c r="AW118">
        <v>2</v>
      </c>
      <c r="AX118">
        <v>56616876</v>
      </c>
      <c r="AY118">
        <v>1</v>
      </c>
      <c r="AZ118">
        <v>0</v>
      </c>
      <c r="BA118">
        <v>566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U118">
        <f>ROUND(AT118*Source!I138*AH118*AL118,2)</f>
        <v>0</v>
      </c>
      <c r="CV118">
        <f>ROUND(Y118*Source!I138,9)</f>
        <v>0</v>
      </c>
      <c r="CW118">
        <v>0</v>
      </c>
      <c r="CX118">
        <f>ROUND(Y118*Source!I138,9)</f>
        <v>0</v>
      </c>
      <c r="CY118">
        <f t="shared" si="28"/>
        <v>0</v>
      </c>
      <c r="CZ118">
        <f t="shared" si="29"/>
        <v>0</v>
      </c>
      <c r="DA118">
        <f t="shared" si="30"/>
        <v>1</v>
      </c>
      <c r="DB118">
        <f t="shared" si="38"/>
        <v>0</v>
      </c>
      <c r="DC118">
        <f t="shared" si="39"/>
        <v>0</v>
      </c>
      <c r="DD118" t="s">
        <v>3</v>
      </c>
      <c r="DE118" t="s">
        <v>3</v>
      </c>
      <c r="DF118">
        <f t="shared" si="36"/>
        <v>0</v>
      </c>
      <c r="DG118">
        <f t="shared" si="34"/>
        <v>0</v>
      </c>
      <c r="DH118">
        <f t="shared" si="35"/>
        <v>0</v>
      </c>
      <c r="DI118">
        <f t="shared" si="20"/>
        <v>0</v>
      </c>
      <c r="DJ118">
        <f t="shared" si="33"/>
        <v>0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ROW(Source!A139)</f>
        <v>139</v>
      </c>
      <c r="B119">
        <v>56622586</v>
      </c>
      <c r="C119">
        <v>56616889</v>
      </c>
      <c r="D119">
        <v>47634407</v>
      </c>
      <c r="E119">
        <v>27786564</v>
      </c>
      <c r="F119">
        <v>1</v>
      </c>
      <c r="G119">
        <v>27786564</v>
      </c>
      <c r="H119">
        <v>1</v>
      </c>
      <c r="I119" t="s">
        <v>439</v>
      </c>
      <c r="J119" t="s">
        <v>3</v>
      </c>
      <c r="K119" t="s">
        <v>440</v>
      </c>
      <c r="L119">
        <v>1191</v>
      </c>
      <c r="N119">
        <v>1013</v>
      </c>
      <c r="O119" t="s">
        <v>441</v>
      </c>
      <c r="P119" t="s">
        <v>441</v>
      </c>
      <c r="Q119">
        <v>1</v>
      </c>
      <c r="W119">
        <v>0</v>
      </c>
      <c r="X119">
        <v>476480486</v>
      </c>
      <c r="Y119">
        <f t="shared" si="37"/>
        <v>27.280000000000005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24.8</v>
      </c>
      <c r="AU119" t="s">
        <v>22</v>
      </c>
      <c r="AV119">
        <v>1</v>
      </c>
      <c r="AW119">
        <v>2</v>
      </c>
      <c r="AX119">
        <v>56616891</v>
      </c>
      <c r="AY119">
        <v>1</v>
      </c>
      <c r="AZ119">
        <v>0</v>
      </c>
      <c r="BA119">
        <v>579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U119">
        <f>ROUND(AT119*Source!I139*AH119*AL119,2)</f>
        <v>0</v>
      </c>
      <c r="CV119">
        <f>ROUND(Y119*Source!I139,9)</f>
        <v>0</v>
      </c>
      <c r="CW119">
        <v>0</v>
      </c>
      <c r="CX119">
        <f>ROUND(Y119*Source!I139,9)</f>
        <v>0</v>
      </c>
      <c r="CY119">
        <f t="shared" si="28"/>
        <v>0</v>
      </c>
      <c r="CZ119">
        <f t="shared" si="29"/>
        <v>0</v>
      </c>
      <c r="DA119">
        <f t="shared" si="30"/>
        <v>1</v>
      </c>
      <c r="DB119">
        <f t="shared" si="38"/>
        <v>0</v>
      </c>
      <c r="DC119">
        <f t="shared" si="39"/>
        <v>0</v>
      </c>
      <c r="DD119" t="s">
        <v>3</v>
      </c>
      <c r="DE119" t="s">
        <v>3</v>
      </c>
      <c r="DF119">
        <f t="shared" si="36"/>
        <v>0</v>
      </c>
      <c r="DG119">
        <f t="shared" si="34"/>
        <v>0</v>
      </c>
      <c r="DH119">
        <f t="shared" si="35"/>
        <v>0</v>
      </c>
      <c r="DI119">
        <f t="shared" si="20"/>
        <v>0</v>
      </c>
      <c r="DJ119">
        <f t="shared" si="33"/>
        <v>0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ROW(Source!A140)</f>
        <v>140</v>
      </c>
      <c r="B120">
        <v>56616093</v>
      </c>
      <c r="C120">
        <v>56616889</v>
      </c>
      <c r="D120">
        <v>47634407</v>
      </c>
      <c r="E120">
        <v>27786564</v>
      </c>
      <c r="F120">
        <v>1</v>
      </c>
      <c r="G120">
        <v>27786564</v>
      </c>
      <c r="H120">
        <v>1</v>
      </c>
      <c r="I120" t="s">
        <v>439</v>
      </c>
      <c r="J120" t="s">
        <v>3</v>
      </c>
      <c r="K120" t="s">
        <v>440</v>
      </c>
      <c r="L120">
        <v>1191</v>
      </c>
      <c r="N120">
        <v>1013</v>
      </c>
      <c r="O120" t="s">
        <v>441</v>
      </c>
      <c r="P120" t="s">
        <v>441</v>
      </c>
      <c r="Q120">
        <v>1</v>
      </c>
      <c r="W120">
        <v>0</v>
      </c>
      <c r="X120">
        <v>476480486</v>
      </c>
      <c r="Y120">
        <f t="shared" si="37"/>
        <v>27.280000000000005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-2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24.8</v>
      </c>
      <c r="AU120" t="s">
        <v>22</v>
      </c>
      <c r="AV120">
        <v>1</v>
      </c>
      <c r="AW120">
        <v>2</v>
      </c>
      <c r="AX120">
        <v>56616891</v>
      </c>
      <c r="AY120">
        <v>1</v>
      </c>
      <c r="AZ120">
        <v>0</v>
      </c>
      <c r="BA120">
        <v>592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U120">
        <f>ROUND(AT120*Source!I140*AH120*AL120,2)</f>
        <v>0</v>
      </c>
      <c r="CV120">
        <f>ROUND(Y120*Source!I140,9)</f>
        <v>0</v>
      </c>
      <c r="CW120">
        <v>0</v>
      </c>
      <c r="CX120">
        <f>ROUND(Y120*Source!I140,9)</f>
        <v>0</v>
      </c>
      <c r="CY120">
        <f t="shared" si="28"/>
        <v>0</v>
      </c>
      <c r="CZ120">
        <f t="shared" si="29"/>
        <v>0</v>
      </c>
      <c r="DA120">
        <f t="shared" si="30"/>
        <v>1</v>
      </c>
      <c r="DB120">
        <f t="shared" si="38"/>
        <v>0</v>
      </c>
      <c r="DC120">
        <f t="shared" si="39"/>
        <v>0</v>
      </c>
      <c r="DD120" t="s">
        <v>3</v>
      </c>
      <c r="DE120" t="s">
        <v>3</v>
      </c>
      <c r="DF120">
        <f t="shared" si="36"/>
        <v>0</v>
      </c>
      <c r="DG120">
        <f t="shared" si="34"/>
        <v>0</v>
      </c>
      <c r="DH120">
        <f t="shared" si="35"/>
        <v>0</v>
      </c>
      <c r="DI120">
        <f t="shared" si="20"/>
        <v>0</v>
      </c>
      <c r="DJ120">
        <f t="shared" si="33"/>
        <v>0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">
      <c r="A121">
        <f>ROW(Source!A141)</f>
        <v>141</v>
      </c>
      <c r="B121">
        <v>56622586</v>
      </c>
      <c r="C121">
        <v>56616904</v>
      </c>
      <c r="D121">
        <v>47634407</v>
      </c>
      <c r="E121">
        <v>27786564</v>
      </c>
      <c r="F121">
        <v>1</v>
      </c>
      <c r="G121">
        <v>27786564</v>
      </c>
      <c r="H121">
        <v>1</v>
      </c>
      <c r="I121" t="s">
        <v>439</v>
      </c>
      <c r="J121" t="s">
        <v>3</v>
      </c>
      <c r="K121" t="s">
        <v>440</v>
      </c>
      <c r="L121">
        <v>1191</v>
      </c>
      <c r="N121">
        <v>1013</v>
      </c>
      <c r="O121" t="s">
        <v>441</v>
      </c>
      <c r="P121" t="s">
        <v>441</v>
      </c>
      <c r="Q121">
        <v>1</v>
      </c>
      <c r="W121">
        <v>0</v>
      </c>
      <c r="X121">
        <v>476480486</v>
      </c>
      <c r="Y121">
        <f t="shared" si="37"/>
        <v>27.280000000000005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-2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24.8</v>
      </c>
      <c r="AU121" t="s">
        <v>22</v>
      </c>
      <c r="AV121">
        <v>1</v>
      </c>
      <c r="AW121">
        <v>2</v>
      </c>
      <c r="AX121">
        <v>56616906</v>
      </c>
      <c r="AY121">
        <v>1</v>
      </c>
      <c r="AZ121">
        <v>0</v>
      </c>
      <c r="BA121">
        <v>605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U121">
        <f>ROUND(AT121*Source!I141*AH121*AL121,2)</f>
        <v>0</v>
      </c>
      <c r="CV121">
        <f>ROUND(Y121*Source!I141,9)</f>
        <v>0</v>
      </c>
      <c r="CW121">
        <v>0</v>
      </c>
      <c r="CX121">
        <f>ROUND(Y121*Source!I141,9)</f>
        <v>0</v>
      </c>
      <c r="CY121">
        <f t="shared" si="28"/>
        <v>0</v>
      </c>
      <c r="CZ121">
        <f t="shared" si="29"/>
        <v>0</v>
      </c>
      <c r="DA121">
        <f t="shared" si="30"/>
        <v>1</v>
      </c>
      <c r="DB121">
        <f t="shared" si="38"/>
        <v>0</v>
      </c>
      <c r="DC121">
        <f t="shared" si="39"/>
        <v>0</v>
      </c>
      <c r="DD121" t="s">
        <v>3</v>
      </c>
      <c r="DE121" t="s">
        <v>3</v>
      </c>
      <c r="DF121">
        <f t="shared" si="36"/>
        <v>0</v>
      </c>
      <c r="DG121">
        <f t="shared" si="34"/>
        <v>0</v>
      </c>
      <c r="DH121">
        <f t="shared" si="35"/>
        <v>0</v>
      </c>
      <c r="DI121">
        <f t="shared" si="20"/>
        <v>0</v>
      </c>
      <c r="DJ121">
        <f t="shared" si="33"/>
        <v>0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ROW(Source!A142)</f>
        <v>142</v>
      </c>
      <c r="B122">
        <v>56616093</v>
      </c>
      <c r="C122">
        <v>56616904</v>
      </c>
      <c r="D122">
        <v>47634407</v>
      </c>
      <c r="E122">
        <v>27786564</v>
      </c>
      <c r="F122">
        <v>1</v>
      </c>
      <c r="G122">
        <v>27786564</v>
      </c>
      <c r="H122">
        <v>1</v>
      </c>
      <c r="I122" t="s">
        <v>439</v>
      </c>
      <c r="J122" t="s">
        <v>3</v>
      </c>
      <c r="K122" t="s">
        <v>440</v>
      </c>
      <c r="L122">
        <v>1191</v>
      </c>
      <c r="N122">
        <v>1013</v>
      </c>
      <c r="O122" t="s">
        <v>441</v>
      </c>
      <c r="P122" t="s">
        <v>441</v>
      </c>
      <c r="Q122">
        <v>1</v>
      </c>
      <c r="W122">
        <v>0</v>
      </c>
      <c r="X122">
        <v>476480486</v>
      </c>
      <c r="Y122">
        <f t="shared" si="37"/>
        <v>27.280000000000005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-2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24.8</v>
      </c>
      <c r="AU122" t="s">
        <v>22</v>
      </c>
      <c r="AV122">
        <v>1</v>
      </c>
      <c r="AW122">
        <v>2</v>
      </c>
      <c r="AX122">
        <v>56616906</v>
      </c>
      <c r="AY122">
        <v>1</v>
      </c>
      <c r="AZ122">
        <v>0</v>
      </c>
      <c r="BA122">
        <v>618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U122">
        <f>ROUND(AT122*Source!I142*AH122*AL122,2)</f>
        <v>0</v>
      </c>
      <c r="CV122">
        <f>ROUND(Y122*Source!I142,9)</f>
        <v>0</v>
      </c>
      <c r="CW122">
        <v>0</v>
      </c>
      <c r="CX122">
        <f>ROUND(Y122*Source!I142,9)</f>
        <v>0</v>
      </c>
      <c r="CY122">
        <f t="shared" si="28"/>
        <v>0</v>
      </c>
      <c r="CZ122">
        <f t="shared" si="29"/>
        <v>0</v>
      </c>
      <c r="DA122">
        <f t="shared" si="30"/>
        <v>1</v>
      </c>
      <c r="DB122">
        <f t="shared" si="38"/>
        <v>0</v>
      </c>
      <c r="DC122">
        <f t="shared" si="39"/>
        <v>0</v>
      </c>
      <c r="DD122" t="s">
        <v>3</v>
      </c>
      <c r="DE122" t="s">
        <v>3</v>
      </c>
      <c r="DF122">
        <f t="shared" si="36"/>
        <v>0</v>
      </c>
      <c r="DG122">
        <f t="shared" si="34"/>
        <v>0</v>
      </c>
      <c r="DH122">
        <f t="shared" si="35"/>
        <v>0</v>
      </c>
      <c r="DI122">
        <f t="shared" si="20"/>
        <v>0</v>
      </c>
      <c r="DJ122">
        <f t="shared" si="33"/>
        <v>0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ROW(Source!A143)</f>
        <v>143</v>
      </c>
      <c r="B123">
        <v>56622586</v>
      </c>
      <c r="C123">
        <v>56616919</v>
      </c>
      <c r="D123">
        <v>47634407</v>
      </c>
      <c r="E123">
        <v>27786564</v>
      </c>
      <c r="F123">
        <v>1</v>
      </c>
      <c r="G123">
        <v>27786564</v>
      </c>
      <c r="H123">
        <v>1</v>
      </c>
      <c r="I123" t="s">
        <v>439</v>
      </c>
      <c r="J123" t="s">
        <v>3</v>
      </c>
      <c r="K123" t="s">
        <v>440</v>
      </c>
      <c r="L123">
        <v>1191</v>
      </c>
      <c r="N123">
        <v>1013</v>
      </c>
      <c r="O123" t="s">
        <v>441</v>
      </c>
      <c r="P123" t="s">
        <v>441</v>
      </c>
      <c r="Q123">
        <v>1</v>
      </c>
      <c r="W123">
        <v>0</v>
      </c>
      <c r="X123">
        <v>476480486</v>
      </c>
      <c r="Y123">
        <f t="shared" si="37"/>
        <v>27.280000000000005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24.8</v>
      </c>
      <c r="AU123" t="s">
        <v>22</v>
      </c>
      <c r="AV123">
        <v>1</v>
      </c>
      <c r="AW123">
        <v>2</v>
      </c>
      <c r="AX123">
        <v>56616921</v>
      </c>
      <c r="AY123">
        <v>1</v>
      </c>
      <c r="AZ123">
        <v>0</v>
      </c>
      <c r="BA123">
        <v>631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U123">
        <f>ROUND(AT123*Source!I143*AH123*AL123,2)</f>
        <v>0</v>
      </c>
      <c r="CV123">
        <f>ROUND(Y123*Source!I143,9)</f>
        <v>0</v>
      </c>
      <c r="CW123">
        <v>0</v>
      </c>
      <c r="CX123">
        <f>ROUND(Y123*Source!I143,9)</f>
        <v>0</v>
      </c>
      <c r="CY123">
        <f t="shared" si="28"/>
        <v>0</v>
      </c>
      <c r="CZ123">
        <f t="shared" si="29"/>
        <v>0</v>
      </c>
      <c r="DA123">
        <f t="shared" si="30"/>
        <v>1</v>
      </c>
      <c r="DB123">
        <f t="shared" si="38"/>
        <v>0</v>
      </c>
      <c r="DC123">
        <f t="shared" si="39"/>
        <v>0</v>
      </c>
      <c r="DD123" t="s">
        <v>3</v>
      </c>
      <c r="DE123" t="s">
        <v>3</v>
      </c>
      <c r="DF123">
        <f t="shared" si="36"/>
        <v>0</v>
      </c>
      <c r="DG123">
        <f t="shared" si="34"/>
        <v>0</v>
      </c>
      <c r="DH123">
        <f t="shared" si="35"/>
        <v>0</v>
      </c>
      <c r="DI123">
        <f t="shared" si="20"/>
        <v>0</v>
      </c>
      <c r="DJ123">
        <f t="shared" si="33"/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">
      <c r="A124">
        <f>ROW(Source!A144)</f>
        <v>144</v>
      </c>
      <c r="B124">
        <v>56616093</v>
      </c>
      <c r="C124">
        <v>56616919</v>
      </c>
      <c r="D124">
        <v>47634407</v>
      </c>
      <c r="E124">
        <v>27786564</v>
      </c>
      <c r="F124">
        <v>1</v>
      </c>
      <c r="G124">
        <v>27786564</v>
      </c>
      <c r="H124">
        <v>1</v>
      </c>
      <c r="I124" t="s">
        <v>439</v>
      </c>
      <c r="J124" t="s">
        <v>3</v>
      </c>
      <c r="K124" t="s">
        <v>440</v>
      </c>
      <c r="L124">
        <v>1191</v>
      </c>
      <c r="N124">
        <v>1013</v>
      </c>
      <c r="O124" t="s">
        <v>441</v>
      </c>
      <c r="P124" t="s">
        <v>441</v>
      </c>
      <c r="Q124">
        <v>1</v>
      </c>
      <c r="W124">
        <v>0</v>
      </c>
      <c r="X124">
        <v>476480486</v>
      </c>
      <c r="Y124">
        <f t="shared" si="37"/>
        <v>27.280000000000005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-2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24.8</v>
      </c>
      <c r="AU124" t="s">
        <v>22</v>
      </c>
      <c r="AV124">
        <v>1</v>
      </c>
      <c r="AW124">
        <v>2</v>
      </c>
      <c r="AX124">
        <v>56616921</v>
      </c>
      <c r="AY124">
        <v>1</v>
      </c>
      <c r="AZ124">
        <v>0</v>
      </c>
      <c r="BA124">
        <v>644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U124">
        <f>ROUND(AT124*Source!I144*AH124*AL124,2)</f>
        <v>0</v>
      </c>
      <c r="CV124">
        <f>ROUND(Y124*Source!I144,9)</f>
        <v>0</v>
      </c>
      <c r="CW124">
        <v>0</v>
      </c>
      <c r="CX124">
        <f>ROUND(Y124*Source!I144,9)</f>
        <v>0</v>
      </c>
      <c r="CY124">
        <f t="shared" si="28"/>
        <v>0</v>
      </c>
      <c r="CZ124">
        <f t="shared" si="29"/>
        <v>0</v>
      </c>
      <c r="DA124">
        <f t="shared" si="30"/>
        <v>1</v>
      </c>
      <c r="DB124">
        <f t="shared" si="38"/>
        <v>0</v>
      </c>
      <c r="DC124">
        <f t="shared" si="39"/>
        <v>0</v>
      </c>
      <c r="DD124" t="s">
        <v>3</v>
      </c>
      <c r="DE124" t="s">
        <v>3</v>
      </c>
      <c r="DF124">
        <f t="shared" si="36"/>
        <v>0</v>
      </c>
      <c r="DG124">
        <f t="shared" si="34"/>
        <v>0</v>
      </c>
      <c r="DH124">
        <f t="shared" si="35"/>
        <v>0</v>
      </c>
      <c r="DI124">
        <f t="shared" si="20"/>
        <v>0</v>
      </c>
      <c r="DJ124">
        <f t="shared" si="33"/>
        <v>0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">
      <c r="A125">
        <f>ROW(Source!A145)</f>
        <v>145</v>
      </c>
      <c r="B125">
        <v>56622586</v>
      </c>
      <c r="C125">
        <v>56616934</v>
      </c>
      <c r="D125">
        <v>47634407</v>
      </c>
      <c r="E125">
        <v>27786564</v>
      </c>
      <c r="F125">
        <v>1</v>
      </c>
      <c r="G125">
        <v>27786564</v>
      </c>
      <c r="H125">
        <v>1</v>
      </c>
      <c r="I125" t="s">
        <v>439</v>
      </c>
      <c r="J125" t="s">
        <v>3</v>
      </c>
      <c r="K125" t="s">
        <v>440</v>
      </c>
      <c r="L125">
        <v>1191</v>
      </c>
      <c r="N125">
        <v>1013</v>
      </c>
      <c r="O125" t="s">
        <v>441</v>
      </c>
      <c r="P125" t="s">
        <v>441</v>
      </c>
      <c r="Q125">
        <v>1</v>
      </c>
      <c r="W125">
        <v>0</v>
      </c>
      <c r="X125">
        <v>476480486</v>
      </c>
      <c r="Y125">
        <f t="shared" si="37"/>
        <v>7.8540000000000001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7.14</v>
      </c>
      <c r="AU125" t="s">
        <v>22</v>
      </c>
      <c r="AV125">
        <v>1</v>
      </c>
      <c r="AW125">
        <v>2</v>
      </c>
      <c r="AX125">
        <v>56616936</v>
      </c>
      <c r="AY125">
        <v>1</v>
      </c>
      <c r="AZ125">
        <v>0</v>
      </c>
      <c r="BA125">
        <v>657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U125">
        <f>ROUND(AT125*Source!I145*AH125*AL125,2)</f>
        <v>0</v>
      </c>
      <c r="CV125">
        <f>ROUND(Y125*Source!I145,9)</f>
        <v>0</v>
      </c>
      <c r="CW125">
        <v>0</v>
      </c>
      <c r="CX125">
        <f>ROUND(Y125*Source!I145,9)</f>
        <v>0</v>
      </c>
      <c r="CY125">
        <f t="shared" si="28"/>
        <v>0</v>
      </c>
      <c r="CZ125">
        <f t="shared" si="29"/>
        <v>0</v>
      </c>
      <c r="DA125">
        <f t="shared" si="30"/>
        <v>1</v>
      </c>
      <c r="DB125">
        <f t="shared" si="38"/>
        <v>0</v>
      </c>
      <c r="DC125">
        <f t="shared" si="39"/>
        <v>0</v>
      </c>
      <c r="DD125" t="s">
        <v>3</v>
      </c>
      <c r="DE125" t="s">
        <v>3</v>
      </c>
      <c r="DF125">
        <f t="shared" si="36"/>
        <v>0</v>
      </c>
      <c r="DG125">
        <f t="shared" si="34"/>
        <v>0</v>
      </c>
      <c r="DH125">
        <f t="shared" si="35"/>
        <v>0</v>
      </c>
      <c r="DI125">
        <f t="shared" si="20"/>
        <v>0</v>
      </c>
      <c r="DJ125">
        <f t="shared" si="33"/>
        <v>0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ROW(Source!A146)</f>
        <v>146</v>
      </c>
      <c r="B126">
        <v>56616093</v>
      </c>
      <c r="C126">
        <v>56616934</v>
      </c>
      <c r="D126">
        <v>47634407</v>
      </c>
      <c r="E126">
        <v>27786564</v>
      </c>
      <c r="F126">
        <v>1</v>
      </c>
      <c r="G126">
        <v>27786564</v>
      </c>
      <c r="H126">
        <v>1</v>
      </c>
      <c r="I126" t="s">
        <v>439</v>
      </c>
      <c r="J126" t="s">
        <v>3</v>
      </c>
      <c r="K126" t="s">
        <v>440</v>
      </c>
      <c r="L126">
        <v>1191</v>
      </c>
      <c r="N126">
        <v>1013</v>
      </c>
      <c r="O126" t="s">
        <v>441</v>
      </c>
      <c r="P126" t="s">
        <v>441</v>
      </c>
      <c r="Q126">
        <v>1</v>
      </c>
      <c r="W126">
        <v>0</v>
      </c>
      <c r="X126">
        <v>476480486</v>
      </c>
      <c r="Y126">
        <f t="shared" si="37"/>
        <v>7.8540000000000001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-2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7.14</v>
      </c>
      <c r="AU126" t="s">
        <v>22</v>
      </c>
      <c r="AV126">
        <v>1</v>
      </c>
      <c r="AW126">
        <v>2</v>
      </c>
      <c r="AX126">
        <v>56616936</v>
      </c>
      <c r="AY126">
        <v>1</v>
      </c>
      <c r="AZ126">
        <v>0</v>
      </c>
      <c r="BA126">
        <v>670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U126">
        <f>ROUND(AT126*Source!I146*AH126*AL126,2)</f>
        <v>0</v>
      </c>
      <c r="CV126">
        <f>ROUND(Y126*Source!I146,9)</f>
        <v>0</v>
      </c>
      <c r="CW126">
        <v>0</v>
      </c>
      <c r="CX126">
        <f>ROUND(Y126*Source!I146,9)</f>
        <v>0</v>
      </c>
      <c r="CY126">
        <f t="shared" si="28"/>
        <v>0</v>
      </c>
      <c r="CZ126">
        <f t="shared" si="29"/>
        <v>0</v>
      </c>
      <c r="DA126">
        <f t="shared" si="30"/>
        <v>1</v>
      </c>
      <c r="DB126">
        <f t="shared" si="38"/>
        <v>0</v>
      </c>
      <c r="DC126">
        <f t="shared" si="39"/>
        <v>0</v>
      </c>
      <c r="DD126" t="s">
        <v>3</v>
      </c>
      <c r="DE126" t="s">
        <v>3</v>
      </c>
      <c r="DF126">
        <f t="shared" si="36"/>
        <v>0</v>
      </c>
      <c r="DG126">
        <f t="shared" si="34"/>
        <v>0</v>
      </c>
      <c r="DH126">
        <f t="shared" si="35"/>
        <v>0</v>
      </c>
      <c r="DI126">
        <f t="shared" si="20"/>
        <v>0</v>
      </c>
      <c r="DJ126">
        <f t="shared" si="33"/>
        <v>0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ROW(Source!A147)</f>
        <v>147</v>
      </c>
      <c r="B127">
        <v>56622586</v>
      </c>
      <c r="C127">
        <v>56616949</v>
      </c>
      <c r="D127">
        <v>47634407</v>
      </c>
      <c r="E127">
        <v>27786564</v>
      </c>
      <c r="F127">
        <v>1</v>
      </c>
      <c r="G127">
        <v>27786564</v>
      </c>
      <c r="H127">
        <v>1</v>
      </c>
      <c r="I127" t="s">
        <v>439</v>
      </c>
      <c r="J127" t="s">
        <v>3</v>
      </c>
      <c r="K127" t="s">
        <v>440</v>
      </c>
      <c r="L127">
        <v>1191</v>
      </c>
      <c r="N127">
        <v>1013</v>
      </c>
      <c r="O127" t="s">
        <v>441</v>
      </c>
      <c r="P127" t="s">
        <v>441</v>
      </c>
      <c r="Q127">
        <v>1</v>
      </c>
      <c r="W127">
        <v>0</v>
      </c>
      <c r="X127">
        <v>476480486</v>
      </c>
      <c r="Y127">
        <f t="shared" si="37"/>
        <v>8.8109999999999999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8.01</v>
      </c>
      <c r="AU127" t="s">
        <v>22</v>
      </c>
      <c r="AV127">
        <v>1</v>
      </c>
      <c r="AW127">
        <v>2</v>
      </c>
      <c r="AX127">
        <v>56616951</v>
      </c>
      <c r="AY127">
        <v>1</v>
      </c>
      <c r="AZ127">
        <v>0</v>
      </c>
      <c r="BA127">
        <v>683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U127">
        <f>ROUND(AT127*Source!I147*AH127*AL127,2)</f>
        <v>0</v>
      </c>
      <c r="CV127">
        <f>ROUND(Y127*Source!I147,9)</f>
        <v>0</v>
      </c>
      <c r="CW127">
        <v>0</v>
      </c>
      <c r="CX127">
        <f>ROUND(Y127*Source!I147,9)</f>
        <v>0</v>
      </c>
      <c r="CY127">
        <f t="shared" si="28"/>
        <v>0</v>
      </c>
      <c r="CZ127">
        <f t="shared" si="29"/>
        <v>0</v>
      </c>
      <c r="DA127">
        <f t="shared" si="30"/>
        <v>1</v>
      </c>
      <c r="DB127">
        <f t="shared" si="38"/>
        <v>0</v>
      </c>
      <c r="DC127">
        <f t="shared" si="39"/>
        <v>0</v>
      </c>
      <c r="DD127" t="s">
        <v>3</v>
      </c>
      <c r="DE127" t="s">
        <v>3</v>
      </c>
      <c r="DF127">
        <f t="shared" si="36"/>
        <v>0</v>
      </c>
      <c r="DG127">
        <f t="shared" si="34"/>
        <v>0</v>
      </c>
      <c r="DH127">
        <f t="shared" si="35"/>
        <v>0</v>
      </c>
      <c r="DI127">
        <f t="shared" si="20"/>
        <v>0</v>
      </c>
      <c r="DJ127">
        <f t="shared" si="33"/>
        <v>0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ROW(Source!A148)</f>
        <v>148</v>
      </c>
      <c r="B128">
        <v>56616093</v>
      </c>
      <c r="C128">
        <v>56616949</v>
      </c>
      <c r="D128">
        <v>47634407</v>
      </c>
      <c r="E128">
        <v>27786564</v>
      </c>
      <c r="F128">
        <v>1</v>
      </c>
      <c r="G128">
        <v>27786564</v>
      </c>
      <c r="H128">
        <v>1</v>
      </c>
      <c r="I128" t="s">
        <v>439</v>
      </c>
      <c r="J128" t="s">
        <v>3</v>
      </c>
      <c r="K128" t="s">
        <v>440</v>
      </c>
      <c r="L128">
        <v>1191</v>
      </c>
      <c r="N128">
        <v>1013</v>
      </c>
      <c r="O128" t="s">
        <v>441</v>
      </c>
      <c r="P128" t="s">
        <v>441</v>
      </c>
      <c r="Q128">
        <v>1</v>
      </c>
      <c r="W128">
        <v>0</v>
      </c>
      <c r="X128">
        <v>476480486</v>
      </c>
      <c r="Y128">
        <f t="shared" si="37"/>
        <v>8.8109999999999999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-2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8.01</v>
      </c>
      <c r="AU128" t="s">
        <v>22</v>
      </c>
      <c r="AV128">
        <v>1</v>
      </c>
      <c r="AW128">
        <v>2</v>
      </c>
      <c r="AX128">
        <v>56616951</v>
      </c>
      <c r="AY128">
        <v>1</v>
      </c>
      <c r="AZ128">
        <v>0</v>
      </c>
      <c r="BA128">
        <v>696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U128">
        <f>ROUND(AT128*Source!I148*AH128*AL128,2)</f>
        <v>0</v>
      </c>
      <c r="CV128">
        <f>ROUND(Y128*Source!I148,9)</f>
        <v>0</v>
      </c>
      <c r="CW128">
        <v>0</v>
      </c>
      <c r="CX128">
        <f>ROUND(Y128*Source!I148,9)</f>
        <v>0</v>
      </c>
      <c r="CY128">
        <f t="shared" si="28"/>
        <v>0</v>
      </c>
      <c r="CZ128">
        <f t="shared" si="29"/>
        <v>0</v>
      </c>
      <c r="DA128">
        <f t="shared" si="30"/>
        <v>1</v>
      </c>
      <c r="DB128">
        <f t="shared" si="38"/>
        <v>0</v>
      </c>
      <c r="DC128">
        <f t="shared" si="39"/>
        <v>0</v>
      </c>
      <c r="DD128" t="s">
        <v>3</v>
      </c>
      <c r="DE128" t="s">
        <v>3</v>
      </c>
      <c r="DF128">
        <f t="shared" si="36"/>
        <v>0</v>
      </c>
      <c r="DG128">
        <f t="shared" si="34"/>
        <v>0</v>
      </c>
      <c r="DH128">
        <f t="shared" si="35"/>
        <v>0</v>
      </c>
      <c r="DI128">
        <f t="shared" si="20"/>
        <v>0</v>
      </c>
      <c r="DJ128">
        <f t="shared" si="33"/>
        <v>0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">
      <c r="A129">
        <f>ROW(Source!A149)</f>
        <v>149</v>
      </c>
      <c r="B129">
        <v>56622586</v>
      </c>
      <c r="C129">
        <v>56616964</v>
      </c>
      <c r="D129">
        <v>47634407</v>
      </c>
      <c r="E129">
        <v>27786564</v>
      </c>
      <c r="F129">
        <v>1</v>
      </c>
      <c r="G129">
        <v>27786564</v>
      </c>
      <c r="H129">
        <v>1</v>
      </c>
      <c r="I129" t="s">
        <v>439</v>
      </c>
      <c r="J129" t="s">
        <v>3</v>
      </c>
      <c r="K129" t="s">
        <v>440</v>
      </c>
      <c r="L129">
        <v>1191</v>
      </c>
      <c r="N129">
        <v>1013</v>
      </c>
      <c r="O129" t="s">
        <v>441</v>
      </c>
      <c r="P129" t="s">
        <v>441</v>
      </c>
      <c r="Q129">
        <v>1</v>
      </c>
      <c r="W129">
        <v>0</v>
      </c>
      <c r="X129">
        <v>476480486</v>
      </c>
      <c r="Y129">
        <f t="shared" si="37"/>
        <v>12.100000000000001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-2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11</v>
      </c>
      <c r="AU129" t="s">
        <v>22</v>
      </c>
      <c r="AV129">
        <v>1</v>
      </c>
      <c r="AW129">
        <v>2</v>
      </c>
      <c r="AX129">
        <v>56616976</v>
      </c>
      <c r="AY129">
        <v>1</v>
      </c>
      <c r="AZ129">
        <v>0</v>
      </c>
      <c r="BA129">
        <v>709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U129">
        <f>ROUND(AT129*Source!I149*AH129*AL129,2)</f>
        <v>0</v>
      </c>
      <c r="CV129">
        <f>ROUND(Y129*Source!I149,9)</f>
        <v>0</v>
      </c>
      <c r="CW129">
        <v>0</v>
      </c>
      <c r="CX129">
        <f>ROUND(Y129*Source!I149,9)</f>
        <v>0</v>
      </c>
      <c r="CY129">
        <f t="shared" si="28"/>
        <v>0</v>
      </c>
      <c r="CZ129">
        <f t="shared" si="29"/>
        <v>0</v>
      </c>
      <c r="DA129">
        <f t="shared" si="30"/>
        <v>1</v>
      </c>
      <c r="DB129">
        <f t="shared" si="38"/>
        <v>0</v>
      </c>
      <c r="DC129">
        <f t="shared" si="39"/>
        <v>0</v>
      </c>
      <c r="DD129" t="s">
        <v>3</v>
      </c>
      <c r="DE129" t="s">
        <v>3</v>
      </c>
      <c r="DF129">
        <f t="shared" si="36"/>
        <v>0</v>
      </c>
      <c r="DG129">
        <f t="shared" si="34"/>
        <v>0</v>
      </c>
      <c r="DH129">
        <f t="shared" si="35"/>
        <v>0</v>
      </c>
      <c r="DI129">
        <f t="shared" ref="DI129:DI192" si="40">ROUND(ROUND(AH129,2)*CX129,2)</f>
        <v>0</v>
      </c>
      <c r="DJ129">
        <f t="shared" si="33"/>
        <v>0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ROW(Source!A149)</f>
        <v>149</v>
      </c>
      <c r="B130">
        <v>56622586</v>
      </c>
      <c r="C130">
        <v>56616964</v>
      </c>
      <c r="D130">
        <v>47767106</v>
      </c>
      <c r="E130">
        <v>1</v>
      </c>
      <c r="F130">
        <v>1</v>
      </c>
      <c r="G130">
        <v>27786564</v>
      </c>
      <c r="H130">
        <v>2</v>
      </c>
      <c r="I130" t="s">
        <v>487</v>
      </c>
      <c r="J130" t="s">
        <v>488</v>
      </c>
      <c r="K130" t="s">
        <v>489</v>
      </c>
      <c r="L130">
        <v>1368</v>
      </c>
      <c r="N130">
        <v>1011</v>
      </c>
      <c r="O130" t="s">
        <v>445</v>
      </c>
      <c r="P130" t="s">
        <v>445</v>
      </c>
      <c r="Q130">
        <v>1</v>
      </c>
      <c r="W130">
        <v>0</v>
      </c>
      <c r="X130">
        <v>-7781208</v>
      </c>
      <c r="Y130">
        <f t="shared" si="37"/>
        <v>1.6280000000000001</v>
      </c>
      <c r="AA130">
        <v>0</v>
      </c>
      <c r="AB130">
        <v>83.1</v>
      </c>
      <c r="AC130">
        <v>12.62</v>
      </c>
      <c r="AD130">
        <v>0</v>
      </c>
      <c r="AE130">
        <v>0</v>
      </c>
      <c r="AF130">
        <v>83.1</v>
      </c>
      <c r="AG130">
        <v>12.62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-2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1.48</v>
      </c>
      <c r="AU130" t="s">
        <v>22</v>
      </c>
      <c r="AV130">
        <v>0</v>
      </c>
      <c r="AW130">
        <v>2</v>
      </c>
      <c r="AX130">
        <v>56616977</v>
      </c>
      <c r="AY130">
        <v>1</v>
      </c>
      <c r="AZ130">
        <v>0</v>
      </c>
      <c r="BA130">
        <v>710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f>ROUND(Y130*Source!I149*DO130,9)</f>
        <v>0</v>
      </c>
      <c r="CX130">
        <f>ROUND(Y130*Source!I149,9)</f>
        <v>0</v>
      </c>
      <c r="CY130">
        <f>AB130</f>
        <v>83.1</v>
      </c>
      <c r="CZ130">
        <f>AF130</f>
        <v>83.1</v>
      </c>
      <c r="DA130">
        <f>AJ130</f>
        <v>1</v>
      </c>
      <c r="DB130">
        <f t="shared" si="38"/>
        <v>135.28899999999999</v>
      </c>
      <c r="DC130">
        <f t="shared" si="39"/>
        <v>20.547999999999998</v>
      </c>
      <c r="DD130" t="s">
        <v>3</v>
      </c>
      <c r="DE130" t="s">
        <v>3</v>
      </c>
      <c r="DF130">
        <f t="shared" si="36"/>
        <v>0</v>
      </c>
      <c r="DG130">
        <f t="shared" si="34"/>
        <v>0</v>
      </c>
      <c r="DH130">
        <f t="shared" si="35"/>
        <v>0</v>
      </c>
      <c r="DI130">
        <f t="shared" si="40"/>
        <v>0</v>
      </c>
      <c r="DJ130">
        <f>DG130</f>
        <v>0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">
      <c r="A131">
        <f>ROW(Source!A149)</f>
        <v>149</v>
      </c>
      <c r="B131">
        <v>56622586</v>
      </c>
      <c r="C131">
        <v>56616964</v>
      </c>
      <c r="D131">
        <v>47766545</v>
      </c>
      <c r="E131">
        <v>1</v>
      </c>
      <c r="F131">
        <v>1</v>
      </c>
      <c r="G131">
        <v>27786564</v>
      </c>
      <c r="H131">
        <v>2</v>
      </c>
      <c r="I131" t="s">
        <v>490</v>
      </c>
      <c r="J131" t="s">
        <v>491</v>
      </c>
      <c r="K131" t="s">
        <v>492</v>
      </c>
      <c r="L131">
        <v>1368</v>
      </c>
      <c r="N131">
        <v>1011</v>
      </c>
      <c r="O131" t="s">
        <v>445</v>
      </c>
      <c r="P131" t="s">
        <v>445</v>
      </c>
      <c r="Q131">
        <v>1</v>
      </c>
      <c r="W131">
        <v>0</v>
      </c>
      <c r="X131">
        <v>1766156404</v>
      </c>
      <c r="Y131">
        <f t="shared" si="37"/>
        <v>2.64</v>
      </c>
      <c r="AA131">
        <v>0</v>
      </c>
      <c r="AB131">
        <v>0.73</v>
      </c>
      <c r="AC131">
        <v>0</v>
      </c>
      <c r="AD131">
        <v>0</v>
      </c>
      <c r="AE131">
        <v>0</v>
      </c>
      <c r="AF131">
        <v>0.73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2.4</v>
      </c>
      <c r="AU131" t="s">
        <v>22</v>
      </c>
      <c r="AV131">
        <v>0</v>
      </c>
      <c r="AW131">
        <v>2</v>
      </c>
      <c r="AX131">
        <v>56616978</v>
      </c>
      <c r="AY131">
        <v>1</v>
      </c>
      <c r="AZ131">
        <v>0</v>
      </c>
      <c r="BA131">
        <v>711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f>ROUND(Y131*Source!I149*DO131,9)</f>
        <v>0</v>
      </c>
      <c r="CX131">
        <f>ROUND(Y131*Source!I149,9)</f>
        <v>0</v>
      </c>
      <c r="CY131">
        <f>AB131</f>
        <v>0.73</v>
      </c>
      <c r="CZ131">
        <f>AF131</f>
        <v>0.73</v>
      </c>
      <c r="DA131">
        <f>AJ131</f>
        <v>1</v>
      </c>
      <c r="DB131">
        <f t="shared" si="38"/>
        <v>1.925</v>
      </c>
      <c r="DC131">
        <f t="shared" si="39"/>
        <v>0</v>
      </c>
      <c r="DD131" t="s">
        <v>3</v>
      </c>
      <c r="DE131" t="s">
        <v>3</v>
      </c>
      <c r="DF131">
        <f t="shared" si="36"/>
        <v>0</v>
      </c>
      <c r="DG131">
        <f t="shared" si="34"/>
        <v>0</v>
      </c>
      <c r="DH131">
        <f t="shared" si="35"/>
        <v>0</v>
      </c>
      <c r="DI131">
        <f t="shared" si="40"/>
        <v>0</v>
      </c>
      <c r="DJ131">
        <f>DG131</f>
        <v>0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">
      <c r="A132">
        <f>ROW(Source!A149)</f>
        <v>149</v>
      </c>
      <c r="B132">
        <v>56622586</v>
      </c>
      <c r="C132">
        <v>56616964</v>
      </c>
      <c r="D132">
        <v>47766581</v>
      </c>
      <c r="E132">
        <v>1</v>
      </c>
      <c r="F132">
        <v>1</v>
      </c>
      <c r="G132">
        <v>27786564</v>
      </c>
      <c r="H132">
        <v>2</v>
      </c>
      <c r="I132" t="s">
        <v>493</v>
      </c>
      <c r="J132" t="s">
        <v>494</v>
      </c>
      <c r="K132" t="s">
        <v>495</v>
      </c>
      <c r="L132">
        <v>1368</v>
      </c>
      <c r="N132">
        <v>1011</v>
      </c>
      <c r="O132" t="s">
        <v>445</v>
      </c>
      <c r="P132" t="s">
        <v>445</v>
      </c>
      <c r="Q132">
        <v>1</v>
      </c>
      <c r="W132">
        <v>0</v>
      </c>
      <c r="X132">
        <v>1106171417</v>
      </c>
      <c r="Y132">
        <f t="shared" si="37"/>
        <v>2.64</v>
      </c>
      <c r="AA132">
        <v>0</v>
      </c>
      <c r="AB132">
        <v>4</v>
      </c>
      <c r="AC132">
        <v>0</v>
      </c>
      <c r="AD132">
        <v>0</v>
      </c>
      <c r="AE132">
        <v>0</v>
      </c>
      <c r="AF132">
        <v>4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-2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2.4</v>
      </c>
      <c r="AU132" t="s">
        <v>22</v>
      </c>
      <c r="AV132">
        <v>0</v>
      </c>
      <c r="AW132">
        <v>2</v>
      </c>
      <c r="AX132">
        <v>56616979</v>
      </c>
      <c r="AY132">
        <v>1</v>
      </c>
      <c r="AZ132">
        <v>0</v>
      </c>
      <c r="BA132">
        <v>712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f>ROUND(Y132*Source!I149*DO132,9)</f>
        <v>0</v>
      </c>
      <c r="CX132">
        <f>ROUND(Y132*Source!I149,9)</f>
        <v>0</v>
      </c>
      <c r="CY132">
        <f>AB132</f>
        <v>4</v>
      </c>
      <c r="CZ132">
        <f>AF132</f>
        <v>4</v>
      </c>
      <c r="DA132">
        <f>AJ132</f>
        <v>1</v>
      </c>
      <c r="DB132">
        <f t="shared" si="38"/>
        <v>10.56</v>
      </c>
      <c r="DC132">
        <f t="shared" si="39"/>
        <v>0</v>
      </c>
      <c r="DD132" t="s">
        <v>3</v>
      </c>
      <c r="DE132" t="s">
        <v>3</v>
      </c>
      <c r="DF132">
        <f t="shared" si="36"/>
        <v>0</v>
      </c>
      <c r="DG132">
        <f t="shared" si="34"/>
        <v>0</v>
      </c>
      <c r="DH132">
        <f t="shared" si="35"/>
        <v>0</v>
      </c>
      <c r="DI132">
        <f t="shared" si="40"/>
        <v>0</v>
      </c>
      <c r="DJ132">
        <f>DG132</f>
        <v>0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">
      <c r="A133">
        <f>ROW(Source!A149)</f>
        <v>149</v>
      </c>
      <c r="B133">
        <v>56622586</v>
      </c>
      <c r="C133">
        <v>56616964</v>
      </c>
      <c r="D133">
        <v>46723498</v>
      </c>
      <c r="E133">
        <v>1</v>
      </c>
      <c r="F133">
        <v>1</v>
      </c>
      <c r="G133">
        <v>27786564</v>
      </c>
      <c r="H133">
        <v>3</v>
      </c>
      <c r="I133" t="s">
        <v>496</v>
      </c>
      <c r="J133" t="s">
        <v>497</v>
      </c>
      <c r="K133" t="s">
        <v>498</v>
      </c>
      <c r="L133">
        <v>1348</v>
      </c>
      <c r="N133">
        <v>1009</v>
      </c>
      <c r="O133" t="s">
        <v>367</v>
      </c>
      <c r="P133" t="s">
        <v>367</v>
      </c>
      <c r="Q133">
        <v>1000</v>
      </c>
      <c r="W133">
        <v>0</v>
      </c>
      <c r="X133">
        <v>975641442</v>
      </c>
      <c r="Y133">
        <f t="shared" ref="Y133:Y139" si="41">AT133</f>
        <v>6.0000000000000002E-5</v>
      </c>
      <c r="AA133">
        <v>11242.42</v>
      </c>
      <c r="AB133">
        <v>0</v>
      </c>
      <c r="AC133">
        <v>0</v>
      </c>
      <c r="AD133">
        <v>0</v>
      </c>
      <c r="AE133">
        <v>11242.42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6.0000000000000002E-5</v>
      </c>
      <c r="AU133" t="s">
        <v>3</v>
      </c>
      <c r="AV133">
        <v>0</v>
      </c>
      <c r="AW133">
        <v>2</v>
      </c>
      <c r="AX133">
        <v>56616980</v>
      </c>
      <c r="AY133">
        <v>1</v>
      </c>
      <c r="AZ133">
        <v>0</v>
      </c>
      <c r="BA133">
        <v>713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v>0</v>
      </c>
      <c r="CX133">
        <f>ROUND(Y133*Source!I149,9)</f>
        <v>0</v>
      </c>
      <c r="CY133">
        <f t="shared" ref="CY133:CY139" si="42">AA133</f>
        <v>11242.42</v>
      </c>
      <c r="CZ133">
        <f t="shared" ref="CZ133:CZ139" si="43">AE133</f>
        <v>11242.42</v>
      </c>
      <c r="DA133">
        <f t="shared" ref="DA133:DA139" si="44">AI133</f>
        <v>1</v>
      </c>
      <c r="DB133">
        <f t="shared" ref="DB133:DB139" si="45">ROUND(ROUND(AT133*CZ133,2),6)</f>
        <v>0.67</v>
      </c>
      <c r="DC133">
        <f t="shared" ref="DC133:DC139" si="46">ROUND(ROUND(AT133*AG133,2),6)</f>
        <v>0</v>
      </c>
      <c r="DD133" t="s">
        <v>3</v>
      </c>
      <c r="DE133" t="s">
        <v>3</v>
      </c>
      <c r="DF133">
        <f t="shared" si="36"/>
        <v>0</v>
      </c>
      <c r="DG133">
        <f t="shared" si="34"/>
        <v>0</v>
      </c>
      <c r="DH133">
        <f t="shared" si="35"/>
        <v>0</v>
      </c>
      <c r="DI133">
        <f t="shared" si="40"/>
        <v>0</v>
      </c>
      <c r="DJ133">
        <f t="shared" ref="DJ133:DJ139" si="47">DF133</f>
        <v>0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">
      <c r="A134">
        <f>ROW(Source!A149)</f>
        <v>149</v>
      </c>
      <c r="B134">
        <v>56622586</v>
      </c>
      <c r="C134">
        <v>56616964</v>
      </c>
      <c r="D134">
        <v>45796980</v>
      </c>
      <c r="E134">
        <v>1</v>
      </c>
      <c r="F134">
        <v>1</v>
      </c>
      <c r="G134">
        <v>27786564</v>
      </c>
      <c r="H134">
        <v>3</v>
      </c>
      <c r="I134" t="s">
        <v>499</v>
      </c>
      <c r="J134" t="s">
        <v>500</v>
      </c>
      <c r="K134" t="s">
        <v>501</v>
      </c>
      <c r="L134">
        <v>1346</v>
      </c>
      <c r="N134">
        <v>1009</v>
      </c>
      <c r="O134" t="s">
        <v>104</v>
      </c>
      <c r="P134" t="s">
        <v>104</v>
      </c>
      <c r="Q134">
        <v>1</v>
      </c>
      <c r="W134">
        <v>0</v>
      </c>
      <c r="X134">
        <v>1533725368</v>
      </c>
      <c r="Y134">
        <f t="shared" si="41"/>
        <v>0.8</v>
      </c>
      <c r="AA134">
        <v>25.8</v>
      </c>
      <c r="AB134">
        <v>0</v>
      </c>
      <c r="AC134">
        <v>0</v>
      </c>
      <c r="AD134">
        <v>0</v>
      </c>
      <c r="AE134">
        <v>25.8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-2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0.8</v>
      </c>
      <c r="AU134" t="s">
        <v>3</v>
      </c>
      <c r="AV134">
        <v>0</v>
      </c>
      <c r="AW134">
        <v>2</v>
      </c>
      <c r="AX134">
        <v>56616981</v>
      </c>
      <c r="AY134">
        <v>1</v>
      </c>
      <c r="AZ134">
        <v>0</v>
      </c>
      <c r="BA134">
        <v>714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ROUND(Y134*Source!I149,9)</f>
        <v>0</v>
      </c>
      <c r="CY134">
        <f t="shared" si="42"/>
        <v>25.8</v>
      </c>
      <c r="CZ134">
        <f t="shared" si="43"/>
        <v>25.8</v>
      </c>
      <c r="DA134">
        <f t="shared" si="44"/>
        <v>1</v>
      </c>
      <c r="DB134">
        <f t="shared" si="45"/>
        <v>20.64</v>
      </c>
      <c r="DC134">
        <f t="shared" si="46"/>
        <v>0</v>
      </c>
      <c r="DD134" t="s">
        <v>3</v>
      </c>
      <c r="DE134" t="s">
        <v>3</v>
      </c>
      <c r="DF134">
        <f t="shared" si="36"/>
        <v>0</v>
      </c>
      <c r="DG134">
        <f t="shared" si="34"/>
        <v>0</v>
      </c>
      <c r="DH134">
        <f t="shared" si="35"/>
        <v>0</v>
      </c>
      <c r="DI134">
        <f t="shared" si="40"/>
        <v>0</v>
      </c>
      <c r="DJ134">
        <f t="shared" si="47"/>
        <v>0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">
      <c r="A135">
        <f>ROW(Source!A149)</f>
        <v>149</v>
      </c>
      <c r="B135">
        <v>56622586</v>
      </c>
      <c r="C135">
        <v>56616964</v>
      </c>
      <c r="D135">
        <v>46723689</v>
      </c>
      <c r="E135">
        <v>1</v>
      </c>
      <c r="F135">
        <v>1</v>
      </c>
      <c r="G135">
        <v>27786564</v>
      </c>
      <c r="H135">
        <v>3</v>
      </c>
      <c r="I135" t="s">
        <v>502</v>
      </c>
      <c r="J135" t="s">
        <v>503</v>
      </c>
      <c r="K135" t="s">
        <v>504</v>
      </c>
      <c r="L135">
        <v>1348</v>
      </c>
      <c r="N135">
        <v>1009</v>
      </c>
      <c r="O135" t="s">
        <v>367</v>
      </c>
      <c r="P135" t="s">
        <v>367</v>
      </c>
      <c r="Q135">
        <v>1000</v>
      </c>
      <c r="W135">
        <v>0</v>
      </c>
      <c r="X135">
        <v>-1817633629</v>
      </c>
      <c r="Y135">
        <f t="shared" si="41"/>
        <v>5.0000000000000001E-4</v>
      </c>
      <c r="AA135">
        <v>60966</v>
      </c>
      <c r="AB135">
        <v>0</v>
      </c>
      <c r="AC135">
        <v>0</v>
      </c>
      <c r="AD135">
        <v>0</v>
      </c>
      <c r="AE135">
        <v>60966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-2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5.0000000000000001E-4</v>
      </c>
      <c r="AU135" t="s">
        <v>3</v>
      </c>
      <c r="AV135">
        <v>0</v>
      </c>
      <c r="AW135">
        <v>2</v>
      </c>
      <c r="AX135">
        <v>56616982</v>
      </c>
      <c r="AY135">
        <v>1</v>
      </c>
      <c r="AZ135">
        <v>0</v>
      </c>
      <c r="BA135">
        <v>715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ROUND(Y135*Source!I149,9)</f>
        <v>0</v>
      </c>
      <c r="CY135">
        <f t="shared" si="42"/>
        <v>60966</v>
      </c>
      <c r="CZ135">
        <f t="shared" si="43"/>
        <v>60966</v>
      </c>
      <c r="DA135">
        <f t="shared" si="44"/>
        <v>1</v>
      </c>
      <c r="DB135">
        <f t="shared" si="45"/>
        <v>30.48</v>
      </c>
      <c r="DC135">
        <f t="shared" si="46"/>
        <v>0</v>
      </c>
      <c r="DD135" t="s">
        <v>3</v>
      </c>
      <c r="DE135" t="s">
        <v>3</v>
      </c>
      <c r="DF135">
        <f t="shared" si="36"/>
        <v>0</v>
      </c>
      <c r="DG135">
        <f t="shared" si="34"/>
        <v>0</v>
      </c>
      <c r="DH135">
        <f t="shared" si="35"/>
        <v>0</v>
      </c>
      <c r="DI135">
        <f t="shared" si="40"/>
        <v>0</v>
      </c>
      <c r="DJ135">
        <f t="shared" si="47"/>
        <v>0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ROW(Source!A149)</f>
        <v>149</v>
      </c>
      <c r="B136">
        <v>56622586</v>
      </c>
      <c r="C136">
        <v>56616964</v>
      </c>
      <c r="D136">
        <v>46723704</v>
      </c>
      <c r="E136">
        <v>1</v>
      </c>
      <c r="F136">
        <v>1</v>
      </c>
      <c r="G136">
        <v>27786564</v>
      </c>
      <c r="H136">
        <v>3</v>
      </c>
      <c r="I136" t="s">
        <v>505</v>
      </c>
      <c r="J136" t="s">
        <v>506</v>
      </c>
      <c r="K136" t="s">
        <v>507</v>
      </c>
      <c r="L136">
        <v>1348</v>
      </c>
      <c r="N136">
        <v>1009</v>
      </c>
      <c r="O136" t="s">
        <v>367</v>
      </c>
      <c r="P136" t="s">
        <v>367</v>
      </c>
      <c r="Q136">
        <v>1000</v>
      </c>
      <c r="W136">
        <v>0</v>
      </c>
      <c r="X136">
        <v>1862018911</v>
      </c>
      <c r="Y136">
        <f t="shared" si="41"/>
        <v>4.0000000000000003E-5</v>
      </c>
      <c r="AA136">
        <v>7982.5</v>
      </c>
      <c r="AB136">
        <v>0</v>
      </c>
      <c r="AC136">
        <v>0</v>
      </c>
      <c r="AD136">
        <v>0</v>
      </c>
      <c r="AE136">
        <v>7982.5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-2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4.0000000000000003E-5</v>
      </c>
      <c r="AU136" t="s">
        <v>3</v>
      </c>
      <c r="AV136">
        <v>0</v>
      </c>
      <c r="AW136">
        <v>2</v>
      </c>
      <c r="AX136">
        <v>56616983</v>
      </c>
      <c r="AY136">
        <v>1</v>
      </c>
      <c r="AZ136">
        <v>0</v>
      </c>
      <c r="BA136">
        <v>716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ROUND(Y136*Source!I149,9)</f>
        <v>0</v>
      </c>
      <c r="CY136">
        <f t="shared" si="42"/>
        <v>7982.5</v>
      </c>
      <c r="CZ136">
        <f t="shared" si="43"/>
        <v>7982.5</v>
      </c>
      <c r="DA136">
        <f t="shared" si="44"/>
        <v>1</v>
      </c>
      <c r="DB136">
        <f t="shared" si="45"/>
        <v>0.32</v>
      </c>
      <c r="DC136">
        <f t="shared" si="46"/>
        <v>0</v>
      </c>
      <c r="DD136" t="s">
        <v>3</v>
      </c>
      <c r="DE136" t="s">
        <v>3</v>
      </c>
      <c r="DF136">
        <f t="shared" si="36"/>
        <v>0</v>
      </c>
      <c r="DG136">
        <f t="shared" si="34"/>
        <v>0</v>
      </c>
      <c r="DH136">
        <f t="shared" si="35"/>
        <v>0</v>
      </c>
      <c r="DI136">
        <f t="shared" si="40"/>
        <v>0</v>
      </c>
      <c r="DJ136">
        <f t="shared" si="47"/>
        <v>0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">
      <c r="A137">
        <f>ROW(Source!A149)</f>
        <v>149</v>
      </c>
      <c r="B137">
        <v>56622586</v>
      </c>
      <c r="C137">
        <v>56616964</v>
      </c>
      <c r="D137">
        <v>52048144</v>
      </c>
      <c r="E137">
        <v>1</v>
      </c>
      <c r="F137">
        <v>1</v>
      </c>
      <c r="G137">
        <v>27786564</v>
      </c>
      <c r="H137">
        <v>3</v>
      </c>
      <c r="I137" t="s">
        <v>508</v>
      </c>
      <c r="J137" t="s">
        <v>509</v>
      </c>
      <c r="K137" t="s">
        <v>510</v>
      </c>
      <c r="L137">
        <v>1356</v>
      </c>
      <c r="N137">
        <v>1010</v>
      </c>
      <c r="O137" t="s">
        <v>511</v>
      </c>
      <c r="P137" t="s">
        <v>511</v>
      </c>
      <c r="Q137">
        <v>1000</v>
      </c>
      <c r="W137">
        <v>0</v>
      </c>
      <c r="X137">
        <v>1183006993</v>
      </c>
      <c r="Y137">
        <f t="shared" si="41"/>
        <v>4.0000000000000001E-3</v>
      </c>
      <c r="AA137">
        <v>226.68</v>
      </c>
      <c r="AB137">
        <v>0</v>
      </c>
      <c r="AC137">
        <v>0</v>
      </c>
      <c r="AD137">
        <v>0</v>
      </c>
      <c r="AE137">
        <v>226.68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-2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4.0000000000000001E-3</v>
      </c>
      <c r="AU137" t="s">
        <v>3</v>
      </c>
      <c r="AV137">
        <v>0</v>
      </c>
      <c r="AW137">
        <v>2</v>
      </c>
      <c r="AX137">
        <v>56616984</v>
      </c>
      <c r="AY137">
        <v>1</v>
      </c>
      <c r="AZ137">
        <v>0</v>
      </c>
      <c r="BA137">
        <v>717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ROUND(Y137*Source!I149,9)</f>
        <v>0</v>
      </c>
      <c r="CY137">
        <f t="shared" si="42"/>
        <v>226.68</v>
      </c>
      <c r="CZ137">
        <f t="shared" si="43"/>
        <v>226.68</v>
      </c>
      <c r="DA137">
        <f t="shared" si="44"/>
        <v>1</v>
      </c>
      <c r="DB137">
        <f t="shared" si="45"/>
        <v>0.91</v>
      </c>
      <c r="DC137">
        <f t="shared" si="46"/>
        <v>0</v>
      </c>
      <c r="DD137" t="s">
        <v>3</v>
      </c>
      <c r="DE137" t="s">
        <v>3</v>
      </c>
      <c r="DF137">
        <f t="shared" si="36"/>
        <v>0</v>
      </c>
      <c r="DG137">
        <f t="shared" si="34"/>
        <v>0</v>
      </c>
      <c r="DH137">
        <f t="shared" si="35"/>
        <v>0</v>
      </c>
      <c r="DI137">
        <f t="shared" si="40"/>
        <v>0</v>
      </c>
      <c r="DJ137">
        <f t="shared" si="47"/>
        <v>0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">
      <c r="A138">
        <f>ROW(Source!A149)</f>
        <v>149</v>
      </c>
      <c r="B138">
        <v>56622586</v>
      </c>
      <c r="C138">
        <v>56616964</v>
      </c>
      <c r="D138">
        <v>46735506</v>
      </c>
      <c r="E138">
        <v>1</v>
      </c>
      <c r="F138">
        <v>1</v>
      </c>
      <c r="G138">
        <v>27786564</v>
      </c>
      <c r="H138">
        <v>3</v>
      </c>
      <c r="I138" t="s">
        <v>512</v>
      </c>
      <c r="J138" t="s">
        <v>513</v>
      </c>
      <c r="K138" t="s">
        <v>514</v>
      </c>
      <c r="L138">
        <v>1301</v>
      </c>
      <c r="N138">
        <v>1003</v>
      </c>
      <c r="O138" t="s">
        <v>55</v>
      </c>
      <c r="P138" t="s">
        <v>55</v>
      </c>
      <c r="Q138">
        <v>1</v>
      </c>
      <c r="W138">
        <v>0</v>
      </c>
      <c r="X138">
        <v>1159735927</v>
      </c>
      <c r="Y138">
        <f t="shared" si="41"/>
        <v>0.96</v>
      </c>
      <c r="AA138">
        <v>0.7</v>
      </c>
      <c r="AB138">
        <v>0</v>
      </c>
      <c r="AC138">
        <v>0</v>
      </c>
      <c r="AD138">
        <v>0</v>
      </c>
      <c r="AE138">
        <v>0.7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-2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0.96</v>
      </c>
      <c r="AU138" t="s">
        <v>3</v>
      </c>
      <c r="AV138">
        <v>0</v>
      </c>
      <c r="AW138">
        <v>2</v>
      </c>
      <c r="AX138">
        <v>56616985</v>
      </c>
      <c r="AY138">
        <v>1</v>
      </c>
      <c r="AZ138">
        <v>0</v>
      </c>
      <c r="BA138">
        <v>718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ROUND(Y138*Source!I149,9)</f>
        <v>0</v>
      </c>
      <c r="CY138">
        <f t="shared" si="42"/>
        <v>0.7</v>
      </c>
      <c r="CZ138">
        <f t="shared" si="43"/>
        <v>0.7</v>
      </c>
      <c r="DA138">
        <f t="shared" si="44"/>
        <v>1</v>
      </c>
      <c r="DB138">
        <f t="shared" si="45"/>
        <v>0.67</v>
      </c>
      <c r="DC138">
        <f t="shared" si="46"/>
        <v>0</v>
      </c>
      <c r="DD138" t="s">
        <v>3</v>
      </c>
      <c r="DE138" t="s">
        <v>3</v>
      </c>
      <c r="DF138">
        <f t="shared" si="36"/>
        <v>0</v>
      </c>
      <c r="DG138">
        <f t="shared" si="34"/>
        <v>0</v>
      </c>
      <c r="DH138">
        <f t="shared" si="35"/>
        <v>0</v>
      </c>
      <c r="DI138">
        <f t="shared" si="40"/>
        <v>0</v>
      </c>
      <c r="DJ138">
        <f t="shared" si="47"/>
        <v>0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">
      <c r="A139">
        <f>ROW(Source!A149)</f>
        <v>149</v>
      </c>
      <c r="B139">
        <v>56622586</v>
      </c>
      <c r="C139">
        <v>56616964</v>
      </c>
      <c r="D139">
        <v>46735508</v>
      </c>
      <c r="E139">
        <v>1</v>
      </c>
      <c r="F139">
        <v>1</v>
      </c>
      <c r="G139">
        <v>27786564</v>
      </c>
      <c r="H139">
        <v>3</v>
      </c>
      <c r="I139" t="s">
        <v>515</v>
      </c>
      <c r="J139" t="s">
        <v>516</v>
      </c>
      <c r="K139" t="s">
        <v>517</v>
      </c>
      <c r="L139">
        <v>1356</v>
      </c>
      <c r="N139">
        <v>1010</v>
      </c>
      <c r="O139" t="s">
        <v>511</v>
      </c>
      <c r="P139" t="s">
        <v>511</v>
      </c>
      <c r="Q139">
        <v>1000</v>
      </c>
      <c r="W139">
        <v>0</v>
      </c>
      <c r="X139">
        <v>1674776227</v>
      </c>
      <c r="Y139">
        <f t="shared" si="41"/>
        <v>8.3199999999999993E-3</v>
      </c>
      <c r="AA139">
        <v>6.44</v>
      </c>
      <c r="AB139">
        <v>0</v>
      </c>
      <c r="AC139">
        <v>0</v>
      </c>
      <c r="AD139">
        <v>0</v>
      </c>
      <c r="AE139">
        <v>6.44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-2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8.3199999999999993E-3</v>
      </c>
      <c r="AU139" t="s">
        <v>3</v>
      </c>
      <c r="AV139">
        <v>0</v>
      </c>
      <c r="AW139">
        <v>2</v>
      </c>
      <c r="AX139">
        <v>56616986</v>
      </c>
      <c r="AY139">
        <v>1</v>
      </c>
      <c r="AZ139">
        <v>0</v>
      </c>
      <c r="BA139">
        <v>719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ROUND(Y139*Source!I149,9)</f>
        <v>0</v>
      </c>
      <c r="CY139">
        <f t="shared" si="42"/>
        <v>6.44</v>
      </c>
      <c r="CZ139">
        <f t="shared" si="43"/>
        <v>6.44</v>
      </c>
      <c r="DA139">
        <f t="shared" si="44"/>
        <v>1</v>
      </c>
      <c r="DB139">
        <f t="shared" si="45"/>
        <v>0.05</v>
      </c>
      <c r="DC139">
        <f t="shared" si="46"/>
        <v>0</v>
      </c>
      <c r="DD139" t="s">
        <v>3</v>
      </c>
      <c r="DE139" t="s">
        <v>3</v>
      </c>
      <c r="DF139">
        <f t="shared" si="36"/>
        <v>0</v>
      </c>
      <c r="DG139">
        <f t="shared" si="34"/>
        <v>0</v>
      </c>
      <c r="DH139">
        <f t="shared" si="35"/>
        <v>0</v>
      </c>
      <c r="DI139">
        <f t="shared" si="40"/>
        <v>0</v>
      </c>
      <c r="DJ139">
        <f t="shared" si="47"/>
        <v>0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ROW(Source!A150)</f>
        <v>150</v>
      </c>
      <c r="B140">
        <v>56616093</v>
      </c>
      <c r="C140">
        <v>56616964</v>
      </c>
      <c r="D140">
        <v>47634407</v>
      </c>
      <c r="E140">
        <v>27786564</v>
      </c>
      <c r="F140">
        <v>1</v>
      </c>
      <c r="G140">
        <v>27786564</v>
      </c>
      <c r="H140">
        <v>1</v>
      </c>
      <c r="I140" t="s">
        <v>439</v>
      </c>
      <c r="J140" t="s">
        <v>3</v>
      </c>
      <c r="K140" t="s">
        <v>440</v>
      </c>
      <c r="L140">
        <v>1191</v>
      </c>
      <c r="N140">
        <v>1013</v>
      </c>
      <c r="O140" t="s">
        <v>441</v>
      </c>
      <c r="P140" t="s">
        <v>441</v>
      </c>
      <c r="Q140">
        <v>1</v>
      </c>
      <c r="W140">
        <v>0</v>
      </c>
      <c r="X140">
        <v>476480486</v>
      </c>
      <c r="Y140">
        <f>(AT140*1.1)</f>
        <v>12.100000000000001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-2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11</v>
      </c>
      <c r="AU140" t="s">
        <v>22</v>
      </c>
      <c r="AV140">
        <v>1</v>
      </c>
      <c r="AW140">
        <v>2</v>
      </c>
      <c r="AX140">
        <v>56616976</v>
      </c>
      <c r="AY140">
        <v>1</v>
      </c>
      <c r="AZ140">
        <v>0</v>
      </c>
      <c r="BA140">
        <v>722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U140">
        <f>ROUND(AT140*Source!I150*AH140*AL140,2)</f>
        <v>0</v>
      </c>
      <c r="CV140">
        <f>ROUND(Y140*Source!I150,9)</f>
        <v>0</v>
      </c>
      <c r="CW140">
        <v>0</v>
      </c>
      <c r="CX140">
        <f>ROUND(Y140*Source!I150,9)</f>
        <v>0</v>
      </c>
      <c r="CY140">
        <f>AD140</f>
        <v>0</v>
      </c>
      <c r="CZ140">
        <f>AH140</f>
        <v>0</v>
      </c>
      <c r="DA140">
        <f>AL140</f>
        <v>1</v>
      </c>
      <c r="DB140">
        <f>ROUND((ROUND(AT140*CZ140,2)*1.1),6)</f>
        <v>0</v>
      </c>
      <c r="DC140">
        <f>ROUND((ROUND(AT140*AG140,2)*1.1),6)</f>
        <v>0</v>
      </c>
      <c r="DD140" t="s">
        <v>3</v>
      </c>
      <c r="DE140" t="s">
        <v>3</v>
      </c>
      <c r="DF140">
        <f t="shared" si="36"/>
        <v>0</v>
      </c>
      <c r="DG140">
        <f t="shared" si="34"/>
        <v>0</v>
      </c>
      <c r="DH140">
        <f t="shared" si="35"/>
        <v>0</v>
      </c>
      <c r="DI140">
        <f t="shared" si="40"/>
        <v>0</v>
      </c>
      <c r="DJ140">
        <f>DI140</f>
        <v>0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">
      <c r="A141">
        <f>ROW(Source!A150)</f>
        <v>150</v>
      </c>
      <c r="B141">
        <v>56616093</v>
      </c>
      <c r="C141">
        <v>56616964</v>
      </c>
      <c r="D141">
        <v>47767106</v>
      </c>
      <c r="E141">
        <v>1</v>
      </c>
      <c r="F141">
        <v>1</v>
      </c>
      <c r="G141">
        <v>27786564</v>
      </c>
      <c r="H141">
        <v>2</v>
      </c>
      <c r="I141" t="s">
        <v>487</v>
      </c>
      <c r="J141" t="s">
        <v>488</v>
      </c>
      <c r="K141" t="s">
        <v>489</v>
      </c>
      <c r="L141">
        <v>1368</v>
      </c>
      <c r="N141">
        <v>1011</v>
      </c>
      <c r="O141" t="s">
        <v>445</v>
      </c>
      <c r="P141" t="s">
        <v>445</v>
      </c>
      <c r="Q141">
        <v>1</v>
      </c>
      <c r="W141">
        <v>0</v>
      </c>
      <c r="X141">
        <v>-7781208</v>
      </c>
      <c r="Y141">
        <f>(AT141*1.1)</f>
        <v>1.6280000000000001</v>
      </c>
      <c r="AA141">
        <v>0</v>
      </c>
      <c r="AB141">
        <v>1140.27</v>
      </c>
      <c r="AC141">
        <v>464.7</v>
      </c>
      <c r="AD141">
        <v>0</v>
      </c>
      <c r="AE141">
        <v>0</v>
      </c>
      <c r="AF141">
        <v>83.1</v>
      </c>
      <c r="AG141">
        <v>12.62</v>
      </c>
      <c r="AH141">
        <v>0</v>
      </c>
      <c r="AI141">
        <v>1</v>
      </c>
      <c r="AJ141">
        <v>12.86</v>
      </c>
      <c r="AK141">
        <v>34.51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1.48</v>
      </c>
      <c r="AU141" t="s">
        <v>22</v>
      </c>
      <c r="AV141">
        <v>0</v>
      </c>
      <c r="AW141">
        <v>2</v>
      </c>
      <c r="AX141">
        <v>56616977</v>
      </c>
      <c r="AY141">
        <v>1</v>
      </c>
      <c r="AZ141">
        <v>0</v>
      </c>
      <c r="BA141">
        <v>723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f>ROUND(Y141*Source!I150*DO141,9)</f>
        <v>0</v>
      </c>
      <c r="CX141">
        <f>ROUND(Y141*Source!I150,9)</f>
        <v>0</v>
      </c>
      <c r="CY141">
        <f>AB141</f>
        <v>1140.27</v>
      </c>
      <c r="CZ141">
        <f>AF141</f>
        <v>83.1</v>
      </c>
      <c r="DA141">
        <f>AJ141</f>
        <v>12.86</v>
      </c>
      <c r="DB141">
        <f>ROUND((ROUND(AT141*CZ141,2)*1.1),6)</f>
        <v>135.28899999999999</v>
      </c>
      <c r="DC141">
        <f>ROUND((ROUND(AT141*AG141,2)*1.1),6)</f>
        <v>20.547999999999998</v>
      </c>
      <c r="DD141" t="s">
        <v>3</v>
      </c>
      <c r="DE141" t="s">
        <v>3</v>
      </c>
      <c r="DF141">
        <f t="shared" si="36"/>
        <v>0</v>
      </c>
      <c r="DG141">
        <f>ROUND(ROUND(AF141*AJ141,2)*CX141,2)</f>
        <v>0</v>
      </c>
      <c r="DH141">
        <f>ROUND(ROUND(AG141*AK141,2)*CX141,2)</f>
        <v>0</v>
      </c>
      <c r="DI141">
        <f t="shared" si="40"/>
        <v>0</v>
      </c>
      <c r="DJ141">
        <f>DG141</f>
        <v>0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">
      <c r="A142">
        <f>ROW(Source!A150)</f>
        <v>150</v>
      </c>
      <c r="B142">
        <v>56616093</v>
      </c>
      <c r="C142">
        <v>56616964</v>
      </c>
      <c r="D142">
        <v>47766545</v>
      </c>
      <c r="E142">
        <v>1</v>
      </c>
      <c r="F142">
        <v>1</v>
      </c>
      <c r="G142">
        <v>27786564</v>
      </c>
      <c r="H142">
        <v>2</v>
      </c>
      <c r="I142" t="s">
        <v>490</v>
      </c>
      <c r="J142" t="s">
        <v>491</v>
      </c>
      <c r="K142" t="s">
        <v>492</v>
      </c>
      <c r="L142">
        <v>1368</v>
      </c>
      <c r="N142">
        <v>1011</v>
      </c>
      <c r="O142" t="s">
        <v>445</v>
      </c>
      <c r="P142" t="s">
        <v>445</v>
      </c>
      <c r="Q142">
        <v>1</v>
      </c>
      <c r="W142">
        <v>0</v>
      </c>
      <c r="X142">
        <v>1766156404</v>
      </c>
      <c r="Y142">
        <f>(AT142*1.1)</f>
        <v>2.64</v>
      </c>
      <c r="AA142">
        <v>0</v>
      </c>
      <c r="AB142">
        <v>6.51</v>
      </c>
      <c r="AC142">
        <v>0</v>
      </c>
      <c r="AD142">
        <v>0</v>
      </c>
      <c r="AE142">
        <v>0</v>
      </c>
      <c r="AF142">
        <v>0.73</v>
      </c>
      <c r="AG142">
        <v>0</v>
      </c>
      <c r="AH142">
        <v>0</v>
      </c>
      <c r="AI142">
        <v>1</v>
      </c>
      <c r="AJ142">
        <v>8.36</v>
      </c>
      <c r="AK142">
        <v>34.51</v>
      </c>
      <c r="AL142">
        <v>1</v>
      </c>
      <c r="AM142">
        <v>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2.4</v>
      </c>
      <c r="AU142" t="s">
        <v>22</v>
      </c>
      <c r="AV142">
        <v>0</v>
      </c>
      <c r="AW142">
        <v>2</v>
      </c>
      <c r="AX142">
        <v>56616978</v>
      </c>
      <c r="AY142">
        <v>1</v>
      </c>
      <c r="AZ142">
        <v>0</v>
      </c>
      <c r="BA142">
        <v>724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f>ROUND(Y142*Source!I150*DO142,9)</f>
        <v>0</v>
      </c>
      <c r="CX142">
        <f>ROUND(Y142*Source!I150,9)</f>
        <v>0</v>
      </c>
      <c r="CY142">
        <f>AB142</f>
        <v>6.51</v>
      </c>
      <c r="CZ142">
        <f>AF142</f>
        <v>0.73</v>
      </c>
      <c r="DA142">
        <f>AJ142</f>
        <v>8.36</v>
      </c>
      <c r="DB142">
        <f>ROUND((ROUND(AT142*CZ142,2)*1.1),6)</f>
        <v>1.925</v>
      </c>
      <c r="DC142">
        <f>ROUND((ROUND(AT142*AG142,2)*1.1),6)</f>
        <v>0</v>
      </c>
      <c r="DD142" t="s">
        <v>3</v>
      </c>
      <c r="DE142" t="s">
        <v>3</v>
      </c>
      <c r="DF142">
        <f t="shared" si="36"/>
        <v>0</v>
      </c>
      <c r="DG142">
        <f>ROUND(ROUND(AF142*AJ142,2)*CX142,2)</f>
        <v>0</v>
      </c>
      <c r="DH142">
        <f>ROUND(ROUND(AG142*AK142,2)*CX142,2)</f>
        <v>0</v>
      </c>
      <c r="DI142">
        <f t="shared" si="40"/>
        <v>0</v>
      </c>
      <c r="DJ142">
        <f>DG142</f>
        <v>0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">
      <c r="A143">
        <f>ROW(Source!A150)</f>
        <v>150</v>
      </c>
      <c r="B143">
        <v>56616093</v>
      </c>
      <c r="C143">
        <v>56616964</v>
      </c>
      <c r="D143">
        <v>47766581</v>
      </c>
      <c r="E143">
        <v>1</v>
      </c>
      <c r="F143">
        <v>1</v>
      </c>
      <c r="G143">
        <v>27786564</v>
      </c>
      <c r="H143">
        <v>2</v>
      </c>
      <c r="I143" t="s">
        <v>493</v>
      </c>
      <c r="J143" t="s">
        <v>494</v>
      </c>
      <c r="K143" t="s">
        <v>495</v>
      </c>
      <c r="L143">
        <v>1368</v>
      </c>
      <c r="N143">
        <v>1011</v>
      </c>
      <c r="O143" t="s">
        <v>445</v>
      </c>
      <c r="P143" t="s">
        <v>445</v>
      </c>
      <c r="Q143">
        <v>1</v>
      </c>
      <c r="W143">
        <v>0</v>
      </c>
      <c r="X143">
        <v>1106171417</v>
      </c>
      <c r="Y143">
        <f>(AT143*1.1)</f>
        <v>2.64</v>
      </c>
      <c r="AA143">
        <v>0</v>
      </c>
      <c r="AB143">
        <v>38.03</v>
      </c>
      <c r="AC143">
        <v>0</v>
      </c>
      <c r="AD143">
        <v>0</v>
      </c>
      <c r="AE143">
        <v>0</v>
      </c>
      <c r="AF143">
        <v>4</v>
      </c>
      <c r="AG143">
        <v>0</v>
      </c>
      <c r="AH143">
        <v>0</v>
      </c>
      <c r="AI143">
        <v>1</v>
      </c>
      <c r="AJ143">
        <v>8.91</v>
      </c>
      <c r="AK143">
        <v>34.51</v>
      </c>
      <c r="AL143">
        <v>1</v>
      </c>
      <c r="AM143">
        <v>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2.4</v>
      </c>
      <c r="AU143" t="s">
        <v>22</v>
      </c>
      <c r="AV143">
        <v>0</v>
      </c>
      <c r="AW143">
        <v>2</v>
      </c>
      <c r="AX143">
        <v>56616979</v>
      </c>
      <c r="AY143">
        <v>1</v>
      </c>
      <c r="AZ143">
        <v>0</v>
      </c>
      <c r="BA143">
        <v>725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f>ROUND(Y143*Source!I150*DO143,9)</f>
        <v>0</v>
      </c>
      <c r="CX143">
        <f>ROUND(Y143*Source!I150,9)</f>
        <v>0</v>
      </c>
      <c r="CY143">
        <f>AB143</f>
        <v>38.03</v>
      </c>
      <c r="CZ143">
        <f>AF143</f>
        <v>4</v>
      </c>
      <c r="DA143">
        <f>AJ143</f>
        <v>8.91</v>
      </c>
      <c r="DB143">
        <f>ROUND((ROUND(AT143*CZ143,2)*1.1),6)</f>
        <v>10.56</v>
      </c>
      <c r="DC143">
        <f>ROUND((ROUND(AT143*AG143,2)*1.1),6)</f>
        <v>0</v>
      </c>
      <c r="DD143" t="s">
        <v>3</v>
      </c>
      <c r="DE143" t="s">
        <v>3</v>
      </c>
      <c r="DF143">
        <f t="shared" si="36"/>
        <v>0</v>
      </c>
      <c r="DG143">
        <f>ROUND(ROUND(AF143*AJ143,2)*CX143,2)</f>
        <v>0</v>
      </c>
      <c r="DH143">
        <f>ROUND(ROUND(AG143*AK143,2)*CX143,2)</f>
        <v>0</v>
      </c>
      <c r="DI143">
        <f t="shared" si="40"/>
        <v>0</v>
      </c>
      <c r="DJ143">
        <f>DG143</f>
        <v>0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">
      <c r="A144">
        <f>ROW(Source!A150)</f>
        <v>150</v>
      </c>
      <c r="B144">
        <v>56616093</v>
      </c>
      <c r="C144">
        <v>56616964</v>
      </c>
      <c r="D144">
        <v>46723498</v>
      </c>
      <c r="E144">
        <v>1</v>
      </c>
      <c r="F144">
        <v>1</v>
      </c>
      <c r="G144">
        <v>27786564</v>
      </c>
      <c r="H144">
        <v>3</v>
      </c>
      <c r="I144" t="s">
        <v>496</v>
      </c>
      <c r="J144" t="s">
        <v>497</v>
      </c>
      <c r="K144" t="s">
        <v>498</v>
      </c>
      <c r="L144">
        <v>1348</v>
      </c>
      <c r="N144">
        <v>1009</v>
      </c>
      <c r="O144" t="s">
        <v>367</v>
      </c>
      <c r="P144" t="s">
        <v>367</v>
      </c>
      <c r="Q144">
        <v>1000</v>
      </c>
      <c r="W144">
        <v>0</v>
      </c>
      <c r="X144">
        <v>975641442</v>
      </c>
      <c r="Y144">
        <f t="shared" ref="Y144:Y150" si="48">AT144</f>
        <v>6.0000000000000002E-5</v>
      </c>
      <c r="AA144">
        <v>83856.09</v>
      </c>
      <c r="AB144">
        <v>0</v>
      </c>
      <c r="AC144">
        <v>0</v>
      </c>
      <c r="AD144">
        <v>0</v>
      </c>
      <c r="AE144">
        <v>11242.42</v>
      </c>
      <c r="AF144">
        <v>0</v>
      </c>
      <c r="AG144">
        <v>0</v>
      </c>
      <c r="AH144">
        <v>0</v>
      </c>
      <c r="AI144">
        <v>6.9</v>
      </c>
      <c r="AJ144">
        <v>1</v>
      </c>
      <c r="AK144">
        <v>1</v>
      </c>
      <c r="AL144">
        <v>1</v>
      </c>
      <c r="AM144">
        <v>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6.0000000000000002E-5</v>
      </c>
      <c r="AU144" t="s">
        <v>3</v>
      </c>
      <c r="AV144">
        <v>0</v>
      </c>
      <c r="AW144">
        <v>2</v>
      </c>
      <c r="AX144">
        <v>56616980</v>
      </c>
      <c r="AY144">
        <v>1</v>
      </c>
      <c r="AZ144">
        <v>0</v>
      </c>
      <c r="BA144">
        <v>726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ROUND(Y144*Source!I150,9)</f>
        <v>0</v>
      </c>
      <c r="CY144">
        <f t="shared" ref="CY144:CY150" si="49">AA144</f>
        <v>83856.09</v>
      </c>
      <c r="CZ144">
        <f t="shared" ref="CZ144:CZ150" si="50">AE144</f>
        <v>11242.42</v>
      </c>
      <c r="DA144">
        <f t="shared" ref="DA144:DA150" si="51">AI144</f>
        <v>6.9</v>
      </c>
      <c r="DB144">
        <f t="shared" ref="DB144:DB150" si="52">ROUND(ROUND(AT144*CZ144,2),6)</f>
        <v>0.67</v>
      </c>
      <c r="DC144">
        <f t="shared" ref="DC144:DC150" si="53">ROUND(ROUND(AT144*AG144,2),6)</f>
        <v>0</v>
      </c>
      <c r="DD144" t="s">
        <v>3</v>
      </c>
      <c r="DE144" t="s">
        <v>3</v>
      </c>
      <c r="DF144">
        <f t="shared" ref="DF144:DF150" si="54">ROUND(ROUND(AE144*AI144,2)*CX144,2)</f>
        <v>0</v>
      </c>
      <c r="DG144">
        <f t="shared" ref="DG144:DG162" si="55">ROUND(ROUND(AF144,2)*CX144,2)</f>
        <v>0</v>
      </c>
      <c r="DH144">
        <f t="shared" ref="DH144:DH162" si="56">ROUND(ROUND(AG144,2)*CX144,2)</f>
        <v>0</v>
      </c>
      <c r="DI144">
        <f t="shared" si="40"/>
        <v>0</v>
      </c>
      <c r="DJ144">
        <f t="shared" ref="DJ144:DJ150" si="57">DF144</f>
        <v>0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">
      <c r="A145">
        <f>ROW(Source!A150)</f>
        <v>150</v>
      </c>
      <c r="B145">
        <v>56616093</v>
      </c>
      <c r="C145">
        <v>56616964</v>
      </c>
      <c r="D145">
        <v>45796980</v>
      </c>
      <c r="E145">
        <v>1</v>
      </c>
      <c r="F145">
        <v>1</v>
      </c>
      <c r="G145">
        <v>27786564</v>
      </c>
      <c r="H145">
        <v>3</v>
      </c>
      <c r="I145" t="s">
        <v>499</v>
      </c>
      <c r="J145" t="s">
        <v>500</v>
      </c>
      <c r="K145" t="s">
        <v>501</v>
      </c>
      <c r="L145">
        <v>1346</v>
      </c>
      <c r="N145">
        <v>1009</v>
      </c>
      <c r="O145" t="s">
        <v>104</v>
      </c>
      <c r="P145" t="s">
        <v>104</v>
      </c>
      <c r="Q145">
        <v>1</v>
      </c>
      <c r="W145">
        <v>0</v>
      </c>
      <c r="X145">
        <v>1533725368</v>
      </c>
      <c r="Y145">
        <f t="shared" si="48"/>
        <v>0.8</v>
      </c>
      <c r="AA145">
        <v>211.96</v>
      </c>
      <c r="AB145">
        <v>0</v>
      </c>
      <c r="AC145">
        <v>0</v>
      </c>
      <c r="AD145">
        <v>0</v>
      </c>
      <c r="AE145">
        <v>25.8</v>
      </c>
      <c r="AF145">
        <v>0</v>
      </c>
      <c r="AG145">
        <v>0</v>
      </c>
      <c r="AH145">
        <v>0</v>
      </c>
      <c r="AI145">
        <v>7.6</v>
      </c>
      <c r="AJ145">
        <v>1</v>
      </c>
      <c r="AK145">
        <v>1</v>
      </c>
      <c r="AL145">
        <v>1</v>
      </c>
      <c r="AM145">
        <v>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0.8</v>
      </c>
      <c r="AU145" t="s">
        <v>3</v>
      </c>
      <c r="AV145">
        <v>0</v>
      </c>
      <c r="AW145">
        <v>2</v>
      </c>
      <c r="AX145">
        <v>56616981</v>
      </c>
      <c r="AY145">
        <v>1</v>
      </c>
      <c r="AZ145">
        <v>0</v>
      </c>
      <c r="BA145">
        <v>727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ROUND(Y145*Source!I150,9)</f>
        <v>0</v>
      </c>
      <c r="CY145">
        <f t="shared" si="49"/>
        <v>211.96</v>
      </c>
      <c r="CZ145">
        <f t="shared" si="50"/>
        <v>25.8</v>
      </c>
      <c r="DA145">
        <f t="shared" si="51"/>
        <v>7.6</v>
      </c>
      <c r="DB145">
        <f t="shared" si="52"/>
        <v>20.64</v>
      </c>
      <c r="DC145">
        <f t="shared" si="53"/>
        <v>0</v>
      </c>
      <c r="DD145" t="s">
        <v>3</v>
      </c>
      <c r="DE145" t="s">
        <v>3</v>
      </c>
      <c r="DF145">
        <f t="shared" si="54"/>
        <v>0</v>
      </c>
      <c r="DG145">
        <f t="shared" si="55"/>
        <v>0</v>
      </c>
      <c r="DH145">
        <f t="shared" si="56"/>
        <v>0</v>
      </c>
      <c r="DI145">
        <f t="shared" si="40"/>
        <v>0</v>
      </c>
      <c r="DJ145">
        <f t="shared" si="57"/>
        <v>0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">
      <c r="A146">
        <f>ROW(Source!A150)</f>
        <v>150</v>
      </c>
      <c r="B146">
        <v>56616093</v>
      </c>
      <c r="C146">
        <v>56616964</v>
      </c>
      <c r="D146">
        <v>46723689</v>
      </c>
      <c r="E146">
        <v>1</v>
      </c>
      <c r="F146">
        <v>1</v>
      </c>
      <c r="G146">
        <v>27786564</v>
      </c>
      <c r="H146">
        <v>3</v>
      </c>
      <c r="I146" t="s">
        <v>502</v>
      </c>
      <c r="J146" t="s">
        <v>503</v>
      </c>
      <c r="K146" t="s">
        <v>504</v>
      </c>
      <c r="L146">
        <v>1348</v>
      </c>
      <c r="N146">
        <v>1009</v>
      </c>
      <c r="O146" t="s">
        <v>367</v>
      </c>
      <c r="P146" t="s">
        <v>367</v>
      </c>
      <c r="Q146">
        <v>1000</v>
      </c>
      <c r="W146">
        <v>0</v>
      </c>
      <c r="X146">
        <v>-1817633629</v>
      </c>
      <c r="Y146">
        <f t="shared" si="48"/>
        <v>5.0000000000000001E-4</v>
      </c>
      <c r="AA146">
        <v>1617949.24</v>
      </c>
      <c r="AB146">
        <v>0</v>
      </c>
      <c r="AC146">
        <v>0</v>
      </c>
      <c r="AD146">
        <v>0</v>
      </c>
      <c r="AE146">
        <v>60966</v>
      </c>
      <c r="AF146">
        <v>0</v>
      </c>
      <c r="AG146">
        <v>0</v>
      </c>
      <c r="AH146">
        <v>0</v>
      </c>
      <c r="AI146">
        <v>24.55</v>
      </c>
      <c r="AJ146">
        <v>1</v>
      </c>
      <c r="AK146">
        <v>1</v>
      </c>
      <c r="AL146">
        <v>1</v>
      </c>
      <c r="AM146">
        <v>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5.0000000000000001E-4</v>
      </c>
      <c r="AU146" t="s">
        <v>3</v>
      </c>
      <c r="AV146">
        <v>0</v>
      </c>
      <c r="AW146">
        <v>2</v>
      </c>
      <c r="AX146">
        <v>56616982</v>
      </c>
      <c r="AY146">
        <v>1</v>
      </c>
      <c r="AZ146">
        <v>0</v>
      </c>
      <c r="BA146">
        <v>728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ROUND(Y146*Source!I150,9)</f>
        <v>0</v>
      </c>
      <c r="CY146">
        <f t="shared" si="49"/>
        <v>1617949.24</v>
      </c>
      <c r="CZ146">
        <f t="shared" si="50"/>
        <v>60966</v>
      </c>
      <c r="DA146">
        <f t="shared" si="51"/>
        <v>24.55</v>
      </c>
      <c r="DB146">
        <f t="shared" si="52"/>
        <v>30.48</v>
      </c>
      <c r="DC146">
        <f t="shared" si="53"/>
        <v>0</v>
      </c>
      <c r="DD146" t="s">
        <v>3</v>
      </c>
      <c r="DE146" t="s">
        <v>3</v>
      </c>
      <c r="DF146">
        <f t="shared" si="54"/>
        <v>0</v>
      </c>
      <c r="DG146">
        <f t="shared" si="55"/>
        <v>0</v>
      </c>
      <c r="DH146">
        <f t="shared" si="56"/>
        <v>0</v>
      </c>
      <c r="DI146">
        <f t="shared" si="40"/>
        <v>0</v>
      </c>
      <c r="DJ146">
        <f t="shared" si="57"/>
        <v>0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ROW(Source!A150)</f>
        <v>150</v>
      </c>
      <c r="B147">
        <v>56616093</v>
      </c>
      <c r="C147">
        <v>56616964</v>
      </c>
      <c r="D147">
        <v>46723704</v>
      </c>
      <c r="E147">
        <v>1</v>
      </c>
      <c r="F147">
        <v>1</v>
      </c>
      <c r="G147">
        <v>27786564</v>
      </c>
      <c r="H147">
        <v>3</v>
      </c>
      <c r="I147" t="s">
        <v>505</v>
      </c>
      <c r="J147" t="s">
        <v>506</v>
      </c>
      <c r="K147" t="s">
        <v>507</v>
      </c>
      <c r="L147">
        <v>1348</v>
      </c>
      <c r="N147">
        <v>1009</v>
      </c>
      <c r="O147" t="s">
        <v>367</v>
      </c>
      <c r="P147" t="s">
        <v>367</v>
      </c>
      <c r="Q147">
        <v>1000</v>
      </c>
      <c r="W147">
        <v>0</v>
      </c>
      <c r="X147">
        <v>1862018911</v>
      </c>
      <c r="Y147">
        <f t="shared" si="48"/>
        <v>4.0000000000000003E-5</v>
      </c>
      <c r="AA147">
        <v>94661.04</v>
      </c>
      <c r="AB147">
        <v>0</v>
      </c>
      <c r="AC147">
        <v>0</v>
      </c>
      <c r="AD147">
        <v>0</v>
      </c>
      <c r="AE147">
        <v>7982.5</v>
      </c>
      <c r="AF147">
        <v>0</v>
      </c>
      <c r="AG147">
        <v>0</v>
      </c>
      <c r="AH147">
        <v>0</v>
      </c>
      <c r="AI147">
        <v>10.97</v>
      </c>
      <c r="AJ147">
        <v>1</v>
      </c>
      <c r="AK147">
        <v>1</v>
      </c>
      <c r="AL147">
        <v>1</v>
      </c>
      <c r="AM147">
        <v>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4.0000000000000003E-5</v>
      </c>
      <c r="AU147" t="s">
        <v>3</v>
      </c>
      <c r="AV147">
        <v>0</v>
      </c>
      <c r="AW147">
        <v>2</v>
      </c>
      <c r="AX147">
        <v>56616983</v>
      </c>
      <c r="AY147">
        <v>1</v>
      </c>
      <c r="AZ147">
        <v>0</v>
      </c>
      <c r="BA147">
        <v>729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v>0</v>
      </c>
      <c r="CX147">
        <f>ROUND(Y147*Source!I150,9)</f>
        <v>0</v>
      </c>
      <c r="CY147">
        <f t="shared" si="49"/>
        <v>94661.04</v>
      </c>
      <c r="CZ147">
        <f t="shared" si="50"/>
        <v>7982.5</v>
      </c>
      <c r="DA147">
        <f t="shared" si="51"/>
        <v>10.97</v>
      </c>
      <c r="DB147">
        <f t="shared" si="52"/>
        <v>0.32</v>
      </c>
      <c r="DC147">
        <f t="shared" si="53"/>
        <v>0</v>
      </c>
      <c r="DD147" t="s">
        <v>3</v>
      </c>
      <c r="DE147" t="s">
        <v>3</v>
      </c>
      <c r="DF147">
        <f t="shared" si="54"/>
        <v>0</v>
      </c>
      <c r="DG147">
        <f t="shared" si="55"/>
        <v>0</v>
      </c>
      <c r="DH147">
        <f t="shared" si="56"/>
        <v>0</v>
      </c>
      <c r="DI147">
        <f t="shared" si="40"/>
        <v>0</v>
      </c>
      <c r="DJ147">
        <f t="shared" si="57"/>
        <v>0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">
      <c r="A148">
        <f>ROW(Source!A150)</f>
        <v>150</v>
      </c>
      <c r="B148">
        <v>56616093</v>
      </c>
      <c r="C148">
        <v>56616964</v>
      </c>
      <c r="D148">
        <v>52048144</v>
      </c>
      <c r="E148">
        <v>1</v>
      </c>
      <c r="F148">
        <v>1</v>
      </c>
      <c r="G148">
        <v>27786564</v>
      </c>
      <c r="H148">
        <v>3</v>
      </c>
      <c r="I148" t="s">
        <v>508</v>
      </c>
      <c r="J148" t="s">
        <v>509</v>
      </c>
      <c r="K148" t="s">
        <v>510</v>
      </c>
      <c r="L148">
        <v>1356</v>
      </c>
      <c r="N148">
        <v>1010</v>
      </c>
      <c r="O148" t="s">
        <v>511</v>
      </c>
      <c r="P148" t="s">
        <v>511</v>
      </c>
      <c r="Q148">
        <v>1000</v>
      </c>
      <c r="W148">
        <v>0</v>
      </c>
      <c r="X148">
        <v>1183006993</v>
      </c>
      <c r="Y148">
        <f t="shared" si="48"/>
        <v>4.0000000000000001E-3</v>
      </c>
      <c r="AA148">
        <v>1470.25</v>
      </c>
      <c r="AB148">
        <v>0</v>
      </c>
      <c r="AC148">
        <v>0</v>
      </c>
      <c r="AD148">
        <v>0</v>
      </c>
      <c r="AE148">
        <v>226.68</v>
      </c>
      <c r="AF148">
        <v>0</v>
      </c>
      <c r="AG148">
        <v>0</v>
      </c>
      <c r="AH148">
        <v>0</v>
      </c>
      <c r="AI148">
        <v>6</v>
      </c>
      <c r="AJ148">
        <v>1</v>
      </c>
      <c r="AK148">
        <v>1</v>
      </c>
      <c r="AL148">
        <v>1</v>
      </c>
      <c r="AM148">
        <v>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4.0000000000000001E-3</v>
      </c>
      <c r="AU148" t="s">
        <v>3</v>
      </c>
      <c r="AV148">
        <v>0</v>
      </c>
      <c r="AW148">
        <v>2</v>
      </c>
      <c r="AX148">
        <v>56616984</v>
      </c>
      <c r="AY148">
        <v>1</v>
      </c>
      <c r="AZ148">
        <v>0</v>
      </c>
      <c r="BA148">
        <v>730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ROUND(Y148*Source!I150,9)</f>
        <v>0</v>
      </c>
      <c r="CY148">
        <f t="shared" si="49"/>
        <v>1470.25</v>
      </c>
      <c r="CZ148">
        <f t="shared" si="50"/>
        <v>226.68</v>
      </c>
      <c r="DA148">
        <f t="shared" si="51"/>
        <v>6</v>
      </c>
      <c r="DB148">
        <f t="shared" si="52"/>
        <v>0.91</v>
      </c>
      <c r="DC148">
        <f t="shared" si="53"/>
        <v>0</v>
      </c>
      <c r="DD148" t="s">
        <v>3</v>
      </c>
      <c r="DE148" t="s">
        <v>3</v>
      </c>
      <c r="DF148">
        <f t="shared" si="54"/>
        <v>0</v>
      </c>
      <c r="DG148">
        <f t="shared" si="55"/>
        <v>0</v>
      </c>
      <c r="DH148">
        <f t="shared" si="56"/>
        <v>0</v>
      </c>
      <c r="DI148">
        <f t="shared" si="40"/>
        <v>0</v>
      </c>
      <c r="DJ148">
        <f t="shared" si="57"/>
        <v>0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">
      <c r="A149">
        <f>ROW(Source!A150)</f>
        <v>150</v>
      </c>
      <c r="B149">
        <v>56616093</v>
      </c>
      <c r="C149">
        <v>56616964</v>
      </c>
      <c r="D149">
        <v>46735506</v>
      </c>
      <c r="E149">
        <v>1</v>
      </c>
      <c r="F149">
        <v>1</v>
      </c>
      <c r="G149">
        <v>27786564</v>
      </c>
      <c r="H149">
        <v>3</v>
      </c>
      <c r="I149" t="s">
        <v>512</v>
      </c>
      <c r="J149" t="s">
        <v>513</v>
      </c>
      <c r="K149" t="s">
        <v>514</v>
      </c>
      <c r="L149">
        <v>1301</v>
      </c>
      <c r="N149">
        <v>1003</v>
      </c>
      <c r="O149" t="s">
        <v>55</v>
      </c>
      <c r="P149" t="s">
        <v>55</v>
      </c>
      <c r="Q149">
        <v>1</v>
      </c>
      <c r="W149">
        <v>0</v>
      </c>
      <c r="X149">
        <v>1159735927</v>
      </c>
      <c r="Y149">
        <f t="shared" si="48"/>
        <v>0.96</v>
      </c>
      <c r="AA149">
        <v>5.0999999999999996</v>
      </c>
      <c r="AB149">
        <v>0</v>
      </c>
      <c r="AC149">
        <v>0</v>
      </c>
      <c r="AD149">
        <v>0</v>
      </c>
      <c r="AE149">
        <v>0.7</v>
      </c>
      <c r="AF149">
        <v>0</v>
      </c>
      <c r="AG149">
        <v>0</v>
      </c>
      <c r="AH149">
        <v>0</v>
      </c>
      <c r="AI149">
        <v>6.74</v>
      </c>
      <c r="AJ149">
        <v>1</v>
      </c>
      <c r="AK149">
        <v>1</v>
      </c>
      <c r="AL149">
        <v>1</v>
      </c>
      <c r="AM149">
        <v>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0.96</v>
      </c>
      <c r="AU149" t="s">
        <v>3</v>
      </c>
      <c r="AV149">
        <v>0</v>
      </c>
      <c r="AW149">
        <v>2</v>
      </c>
      <c r="AX149">
        <v>56616985</v>
      </c>
      <c r="AY149">
        <v>1</v>
      </c>
      <c r="AZ149">
        <v>0</v>
      </c>
      <c r="BA149">
        <v>731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ROUND(Y149*Source!I150,9)</f>
        <v>0</v>
      </c>
      <c r="CY149">
        <f t="shared" si="49"/>
        <v>5.0999999999999996</v>
      </c>
      <c r="CZ149">
        <f t="shared" si="50"/>
        <v>0.7</v>
      </c>
      <c r="DA149">
        <f t="shared" si="51"/>
        <v>6.74</v>
      </c>
      <c r="DB149">
        <f t="shared" si="52"/>
        <v>0.67</v>
      </c>
      <c r="DC149">
        <f t="shared" si="53"/>
        <v>0</v>
      </c>
      <c r="DD149" t="s">
        <v>3</v>
      </c>
      <c r="DE149" t="s">
        <v>3</v>
      </c>
      <c r="DF149">
        <f t="shared" si="54"/>
        <v>0</v>
      </c>
      <c r="DG149">
        <f t="shared" si="55"/>
        <v>0</v>
      </c>
      <c r="DH149">
        <f t="shared" si="56"/>
        <v>0</v>
      </c>
      <c r="DI149">
        <f t="shared" si="40"/>
        <v>0</v>
      </c>
      <c r="DJ149">
        <f t="shared" si="57"/>
        <v>0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ROW(Source!A150)</f>
        <v>150</v>
      </c>
      <c r="B150">
        <v>56616093</v>
      </c>
      <c r="C150">
        <v>56616964</v>
      </c>
      <c r="D150">
        <v>46735508</v>
      </c>
      <c r="E150">
        <v>1</v>
      </c>
      <c r="F150">
        <v>1</v>
      </c>
      <c r="G150">
        <v>27786564</v>
      </c>
      <c r="H150">
        <v>3</v>
      </c>
      <c r="I150" t="s">
        <v>515</v>
      </c>
      <c r="J150" t="s">
        <v>516</v>
      </c>
      <c r="K150" t="s">
        <v>517</v>
      </c>
      <c r="L150">
        <v>1356</v>
      </c>
      <c r="N150">
        <v>1010</v>
      </c>
      <c r="O150" t="s">
        <v>511</v>
      </c>
      <c r="P150" t="s">
        <v>511</v>
      </c>
      <c r="Q150">
        <v>1000</v>
      </c>
      <c r="W150">
        <v>0</v>
      </c>
      <c r="X150">
        <v>1674776227</v>
      </c>
      <c r="Y150">
        <f t="shared" si="48"/>
        <v>8.3199999999999993E-3</v>
      </c>
      <c r="AA150">
        <v>229.8</v>
      </c>
      <c r="AB150">
        <v>0</v>
      </c>
      <c r="AC150">
        <v>0</v>
      </c>
      <c r="AD150">
        <v>0</v>
      </c>
      <c r="AE150">
        <v>6.44</v>
      </c>
      <c r="AF150">
        <v>0</v>
      </c>
      <c r="AG150">
        <v>0</v>
      </c>
      <c r="AH150">
        <v>0</v>
      </c>
      <c r="AI150">
        <v>33.01</v>
      </c>
      <c r="AJ150">
        <v>1</v>
      </c>
      <c r="AK150">
        <v>1</v>
      </c>
      <c r="AL150">
        <v>1</v>
      </c>
      <c r="AM150">
        <v>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8.3199999999999993E-3</v>
      </c>
      <c r="AU150" t="s">
        <v>3</v>
      </c>
      <c r="AV150">
        <v>0</v>
      </c>
      <c r="AW150">
        <v>2</v>
      </c>
      <c r="AX150">
        <v>56616986</v>
      </c>
      <c r="AY150">
        <v>1</v>
      </c>
      <c r="AZ150">
        <v>0</v>
      </c>
      <c r="BA150">
        <v>732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ROUND(Y150*Source!I150,9)</f>
        <v>0</v>
      </c>
      <c r="CY150">
        <f t="shared" si="49"/>
        <v>229.8</v>
      </c>
      <c r="CZ150">
        <f t="shared" si="50"/>
        <v>6.44</v>
      </c>
      <c r="DA150">
        <f t="shared" si="51"/>
        <v>33.01</v>
      </c>
      <c r="DB150">
        <f t="shared" si="52"/>
        <v>0.05</v>
      </c>
      <c r="DC150">
        <f t="shared" si="53"/>
        <v>0</v>
      </c>
      <c r="DD150" t="s">
        <v>3</v>
      </c>
      <c r="DE150" t="s">
        <v>3</v>
      </c>
      <c r="DF150">
        <f t="shared" si="54"/>
        <v>0</v>
      </c>
      <c r="DG150">
        <f t="shared" si="55"/>
        <v>0</v>
      </c>
      <c r="DH150">
        <f t="shared" si="56"/>
        <v>0</v>
      </c>
      <c r="DI150">
        <f t="shared" si="40"/>
        <v>0</v>
      </c>
      <c r="DJ150">
        <f t="shared" si="57"/>
        <v>0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">
      <c r="A151">
        <f>ROW(Source!A151)</f>
        <v>151</v>
      </c>
      <c r="B151">
        <v>56622586</v>
      </c>
      <c r="C151">
        <v>56616989</v>
      </c>
      <c r="D151">
        <v>47634407</v>
      </c>
      <c r="E151">
        <v>27786564</v>
      </c>
      <c r="F151">
        <v>1</v>
      </c>
      <c r="G151">
        <v>27786564</v>
      </c>
      <c r="H151">
        <v>1</v>
      </c>
      <c r="I151" t="s">
        <v>439</v>
      </c>
      <c r="J151" t="s">
        <v>3</v>
      </c>
      <c r="K151" t="s">
        <v>440</v>
      </c>
      <c r="L151">
        <v>1191</v>
      </c>
      <c r="N151">
        <v>1013</v>
      </c>
      <c r="O151" t="s">
        <v>441</v>
      </c>
      <c r="P151" t="s">
        <v>441</v>
      </c>
      <c r="Q151">
        <v>1</v>
      </c>
      <c r="W151">
        <v>0</v>
      </c>
      <c r="X151">
        <v>476480486</v>
      </c>
      <c r="Y151">
        <f>(AT151*1.1)</f>
        <v>12.100000000000001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-2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11</v>
      </c>
      <c r="AU151" t="s">
        <v>22</v>
      </c>
      <c r="AV151">
        <v>1</v>
      </c>
      <c r="AW151">
        <v>2</v>
      </c>
      <c r="AX151">
        <v>56617001</v>
      </c>
      <c r="AY151">
        <v>1</v>
      </c>
      <c r="AZ151">
        <v>0</v>
      </c>
      <c r="BA151">
        <v>735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U151">
        <f>ROUND(AT151*Source!I151*AH151*AL151,2)</f>
        <v>0</v>
      </c>
      <c r="CV151">
        <f>ROUND(Y151*Source!I151,9)</f>
        <v>0</v>
      </c>
      <c r="CW151">
        <v>0</v>
      </c>
      <c r="CX151">
        <f>ROUND(Y151*Source!I151,9)</f>
        <v>0</v>
      </c>
      <c r="CY151">
        <f>AD151</f>
        <v>0</v>
      </c>
      <c r="CZ151">
        <f>AH151</f>
        <v>0</v>
      </c>
      <c r="DA151">
        <f>AL151</f>
        <v>1</v>
      </c>
      <c r="DB151">
        <f>ROUND((ROUND(AT151*CZ151,2)*1.1),6)</f>
        <v>0</v>
      </c>
      <c r="DC151">
        <f>ROUND((ROUND(AT151*AG151,2)*1.1),6)</f>
        <v>0</v>
      </c>
      <c r="DD151" t="s">
        <v>3</v>
      </c>
      <c r="DE151" t="s">
        <v>3</v>
      </c>
      <c r="DF151">
        <f t="shared" ref="DF151:DF165" si="58">ROUND(ROUND(AE151,2)*CX151,2)</f>
        <v>0</v>
      </c>
      <c r="DG151">
        <f t="shared" si="55"/>
        <v>0</v>
      </c>
      <c r="DH151">
        <f t="shared" si="56"/>
        <v>0</v>
      </c>
      <c r="DI151">
        <f t="shared" si="40"/>
        <v>0</v>
      </c>
      <c r="DJ151">
        <f>DI151</f>
        <v>0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">
      <c r="A152">
        <f>ROW(Source!A151)</f>
        <v>151</v>
      </c>
      <c r="B152">
        <v>56622586</v>
      </c>
      <c r="C152">
        <v>56616989</v>
      </c>
      <c r="D152">
        <v>47767106</v>
      </c>
      <c r="E152">
        <v>1</v>
      </c>
      <c r="F152">
        <v>1</v>
      </c>
      <c r="G152">
        <v>27786564</v>
      </c>
      <c r="H152">
        <v>2</v>
      </c>
      <c r="I152" t="s">
        <v>487</v>
      </c>
      <c r="J152" t="s">
        <v>488</v>
      </c>
      <c r="K152" t="s">
        <v>489</v>
      </c>
      <c r="L152">
        <v>1368</v>
      </c>
      <c r="N152">
        <v>1011</v>
      </c>
      <c r="O152" t="s">
        <v>445</v>
      </c>
      <c r="P152" t="s">
        <v>445</v>
      </c>
      <c r="Q152">
        <v>1</v>
      </c>
      <c r="W152">
        <v>0</v>
      </c>
      <c r="X152">
        <v>-7781208</v>
      </c>
      <c r="Y152">
        <f>(AT152*1.1)</f>
        <v>1.6280000000000001</v>
      </c>
      <c r="AA152">
        <v>0</v>
      </c>
      <c r="AB152">
        <v>83.1</v>
      </c>
      <c r="AC152">
        <v>12.62</v>
      </c>
      <c r="AD152">
        <v>0</v>
      </c>
      <c r="AE152">
        <v>0</v>
      </c>
      <c r="AF152">
        <v>83.1</v>
      </c>
      <c r="AG152">
        <v>12.62</v>
      </c>
      <c r="AH152">
        <v>0</v>
      </c>
      <c r="AI152">
        <v>1</v>
      </c>
      <c r="AJ152">
        <v>1</v>
      </c>
      <c r="AK152">
        <v>1</v>
      </c>
      <c r="AL152">
        <v>1</v>
      </c>
      <c r="AM152">
        <v>-2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1.48</v>
      </c>
      <c r="AU152" t="s">
        <v>22</v>
      </c>
      <c r="AV152">
        <v>0</v>
      </c>
      <c r="AW152">
        <v>2</v>
      </c>
      <c r="AX152">
        <v>56617002</v>
      </c>
      <c r="AY152">
        <v>1</v>
      </c>
      <c r="AZ152">
        <v>0</v>
      </c>
      <c r="BA152">
        <v>736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f>ROUND(Y152*Source!I151*DO152,9)</f>
        <v>0</v>
      </c>
      <c r="CX152">
        <f>ROUND(Y152*Source!I151,9)</f>
        <v>0</v>
      </c>
      <c r="CY152">
        <f>AB152</f>
        <v>83.1</v>
      </c>
      <c r="CZ152">
        <f>AF152</f>
        <v>83.1</v>
      </c>
      <c r="DA152">
        <f>AJ152</f>
        <v>1</v>
      </c>
      <c r="DB152">
        <f>ROUND((ROUND(AT152*CZ152,2)*1.1),6)</f>
        <v>135.28899999999999</v>
      </c>
      <c r="DC152">
        <f>ROUND((ROUND(AT152*AG152,2)*1.1),6)</f>
        <v>20.547999999999998</v>
      </c>
      <c r="DD152" t="s">
        <v>3</v>
      </c>
      <c r="DE152" t="s">
        <v>3</v>
      </c>
      <c r="DF152">
        <f t="shared" si="58"/>
        <v>0</v>
      </c>
      <c r="DG152">
        <f t="shared" si="55"/>
        <v>0</v>
      </c>
      <c r="DH152">
        <f t="shared" si="56"/>
        <v>0</v>
      </c>
      <c r="DI152">
        <f t="shared" si="40"/>
        <v>0</v>
      </c>
      <c r="DJ152">
        <f>DG152</f>
        <v>0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ROW(Source!A151)</f>
        <v>151</v>
      </c>
      <c r="B153">
        <v>56622586</v>
      </c>
      <c r="C153">
        <v>56616989</v>
      </c>
      <c r="D153">
        <v>47766545</v>
      </c>
      <c r="E153">
        <v>1</v>
      </c>
      <c r="F153">
        <v>1</v>
      </c>
      <c r="G153">
        <v>27786564</v>
      </c>
      <c r="H153">
        <v>2</v>
      </c>
      <c r="I153" t="s">
        <v>490</v>
      </c>
      <c r="J153" t="s">
        <v>491</v>
      </c>
      <c r="K153" t="s">
        <v>492</v>
      </c>
      <c r="L153">
        <v>1368</v>
      </c>
      <c r="N153">
        <v>1011</v>
      </c>
      <c r="O153" t="s">
        <v>445</v>
      </c>
      <c r="P153" t="s">
        <v>445</v>
      </c>
      <c r="Q153">
        <v>1</v>
      </c>
      <c r="W153">
        <v>0</v>
      </c>
      <c r="X153">
        <v>1766156404</v>
      </c>
      <c r="Y153">
        <f>(AT153*1.1)</f>
        <v>2.64</v>
      </c>
      <c r="AA153">
        <v>0</v>
      </c>
      <c r="AB153">
        <v>0.73</v>
      </c>
      <c r="AC153">
        <v>0</v>
      </c>
      <c r="AD153">
        <v>0</v>
      </c>
      <c r="AE153">
        <v>0</v>
      </c>
      <c r="AF153">
        <v>0.73</v>
      </c>
      <c r="AG153">
        <v>0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-2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2.4</v>
      </c>
      <c r="AU153" t="s">
        <v>22</v>
      </c>
      <c r="AV153">
        <v>0</v>
      </c>
      <c r="AW153">
        <v>2</v>
      </c>
      <c r="AX153">
        <v>56617003</v>
      </c>
      <c r="AY153">
        <v>1</v>
      </c>
      <c r="AZ153">
        <v>0</v>
      </c>
      <c r="BA153">
        <v>737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f>ROUND(Y153*Source!I151*DO153,9)</f>
        <v>0</v>
      </c>
      <c r="CX153">
        <f>ROUND(Y153*Source!I151,9)</f>
        <v>0</v>
      </c>
      <c r="CY153">
        <f>AB153</f>
        <v>0.73</v>
      </c>
      <c r="CZ153">
        <f>AF153</f>
        <v>0.73</v>
      </c>
      <c r="DA153">
        <f>AJ153</f>
        <v>1</v>
      </c>
      <c r="DB153">
        <f>ROUND((ROUND(AT153*CZ153,2)*1.1),6)</f>
        <v>1.925</v>
      </c>
      <c r="DC153">
        <f>ROUND((ROUND(AT153*AG153,2)*1.1),6)</f>
        <v>0</v>
      </c>
      <c r="DD153" t="s">
        <v>3</v>
      </c>
      <c r="DE153" t="s">
        <v>3</v>
      </c>
      <c r="DF153">
        <f t="shared" si="58"/>
        <v>0</v>
      </c>
      <c r="DG153">
        <f t="shared" si="55"/>
        <v>0</v>
      </c>
      <c r="DH153">
        <f t="shared" si="56"/>
        <v>0</v>
      </c>
      <c r="DI153">
        <f t="shared" si="40"/>
        <v>0</v>
      </c>
      <c r="DJ153">
        <f>DG153</f>
        <v>0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">
      <c r="A154">
        <f>ROW(Source!A151)</f>
        <v>151</v>
      </c>
      <c r="B154">
        <v>56622586</v>
      </c>
      <c r="C154">
        <v>56616989</v>
      </c>
      <c r="D154">
        <v>47766581</v>
      </c>
      <c r="E154">
        <v>1</v>
      </c>
      <c r="F154">
        <v>1</v>
      </c>
      <c r="G154">
        <v>27786564</v>
      </c>
      <c r="H154">
        <v>2</v>
      </c>
      <c r="I154" t="s">
        <v>493</v>
      </c>
      <c r="J154" t="s">
        <v>494</v>
      </c>
      <c r="K154" t="s">
        <v>495</v>
      </c>
      <c r="L154">
        <v>1368</v>
      </c>
      <c r="N154">
        <v>1011</v>
      </c>
      <c r="O154" t="s">
        <v>445</v>
      </c>
      <c r="P154" t="s">
        <v>445</v>
      </c>
      <c r="Q154">
        <v>1</v>
      </c>
      <c r="W154">
        <v>0</v>
      </c>
      <c r="X154">
        <v>1106171417</v>
      </c>
      <c r="Y154">
        <f>(AT154*1.1)</f>
        <v>2.64</v>
      </c>
      <c r="AA154">
        <v>0</v>
      </c>
      <c r="AB154">
        <v>4</v>
      </c>
      <c r="AC154">
        <v>0</v>
      </c>
      <c r="AD154">
        <v>0</v>
      </c>
      <c r="AE154">
        <v>0</v>
      </c>
      <c r="AF154">
        <v>4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-2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2.4</v>
      </c>
      <c r="AU154" t="s">
        <v>22</v>
      </c>
      <c r="AV154">
        <v>0</v>
      </c>
      <c r="AW154">
        <v>2</v>
      </c>
      <c r="AX154">
        <v>56617004</v>
      </c>
      <c r="AY154">
        <v>1</v>
      </c>
      <c r="AZ154">
        <v>0</v>
      </c>
      <c r="BA154">
        <v>738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f>ROUND(Y154*Source!I151*DO154,9)</f>
        <v>0</v>
      </c>
      <c r="CX154">
        <f>ROUND(Y154*Source!I151,9)</f>
        <v>0</v>
      </c>
      <c r="CY154">
        <f>AB154</f>
        <v>4</v>
      </c>
      <c r="CZ154">
        <f>AF154</f>
        <v>4</v>
      </c>
      <c r="DA154">
        <f>AJ154</f>
        <v>1</v>
      </c>
      <c r="DB154">
        <f>ROUND((ROUND(AT154*CZ154,2)*1.1),6)</f>
        <v>10.56</v>
      </c>
      <c r="DC154">
        <f>ROUND((ROUND(AT154*AG154,2)*1.1),6)</f>
        <v>0</v>
      </c>
      <c r="DD154" t="s">
        <v>3</v>
      </c>
      <c r="DE154" t="s">
        <v>3</v>
      </c>
      <c r="DF154">
        <f t="shared" si="58"/>
        <v>0</v>
      </c>
      <c r="DG154">
        <f t="shared" si="55"/>
        <v>0</v>
      </c>
      <c r="DH154">
        <f t="shared" si="56"/>
        <v>0</v>
      </c>
      <c r="DI154">
        <f t="shared" si="40"/>
        <v>0</v>
      </c>
      <c r="DJ154">
        <f>DG154</f>
        <v>0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">
      <c r="A155">
        <f>ROW(Source!A151)</f>
        <v>151</v>
      </c>
      <c r="B155">
        <v>56622586</v>
      </c>
      <c r="C155">
        <v>56616989</v>
      </c>
      <c r="D155">
        <v>46723498</v>
      </c>
      <c r="E155">
        <v>1</v>
      </c>
      <c r="F155">
        <v>1</v>
      </c>
      <c r="G155">
        <v>27786564</v>
      </c>
      <c r="H155">
        <v>3</v>
      </c>
      <c r="I155" t="s">
        <v>496</v>
      </c>
      <c r="J155" t="s">
        <v>497</v>
      </c>
      <c r="K155" t="s">
        <v>498</v>
      </c>
      <c r="L155">
        <v>1348</v>
      </c>
      <c r="N155">
        <v>1009</v>
      </c>
      <c r="O155" t="s">
        <v>367</v>
      </c>
      <c r="P155" t="s">
        <v>367</v>
      </c>
      <c r="Q155">
        <v>1000</v>
      </c>
      <c r="W155">
        <v>0</v>
      </c>
      <c r="X155">
        <v>975641442</v>
      </c>
      <c r="Y155">
        <f t="shared" ref="Y155:Y161" si="59">AT155</f>
        <v>6.0000000000000002E-5</v>
      </c>
      <c r="AA155">
        <v>11242.42</v>
      </c>
      <c r="AB155">
        <v>0</v>
      </c>
      <c r="AC155">
        <v>0</v>
      </c>
      <c r="AD155">
        <v>0</v>
      </c>
      <c r="AE155">
        <v>11242.42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6.0000000000000002E-5</v>
      </c>
      <c r="AU155" t="s">
        <v>3</v>
      </c>
      <c r="AV155">
        <v>0</v>
      </c>
      <c r="AW155">
        <v>2</v>
      </c>
      <c r="AX155">
        <v>56617005</v>
      </c>
      <c r="AY155">
        <v>1</v>
      </c>
      <c r="AZ155">
        <v>0</v>
      </c>
      <c r="BA155">
        <v>739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ROUND(Y155*Source!I151,9)</f>
        <v>0</v>
      </c>
      <c r="CY155">
        <f t="shared" ref="CY155:CY161" si="60">AA155</f>
        <v>11242.42</v>
      </c>
      <c r="CZ155">
        <f t="shared" ref="CZ155:CZ161" si="61">AE155</f>
        <v>11242.42</v>
      </c>
      <c r="DA155">
        <f t="shared" ref="DA155:DA161" si="62">AI155</f>
        <v>1</v>
      </c>
      <c r="DB155">
        <f t="shared" ref="DB155:DB161" si="63">ROUND(ROUND(AT155*CZ155,2),6)</f>
        <v>0.67</v>
      </c>
      <c r="DC155">
        <f t="shared" ref="DC155:DC161" si="64">ROUND(ROUND(AT155*AG155,2),6)</f>
        <v>0</v>
      </c>
      <c r="DD155" t="s">
        <v>3</v>
      </c>
      <c r="DE155" t="s">
        <v>3</v>
      </c>
      <c r="DF155">
        <f t="shared" si="58"/>
        <v>0</v>
      </c>
      <c r="DG155">
        <f t="shared" si="55"/>
        <v>0</v>
      </c>
      <c r="DH155">
        <f t="shared" si="56"/>
        <v>0</v>
      </c>
      <c r="DI155">
        <f t="shared" si="40"/>
        <v>0</v>
      </c>
      <c r="DJ155">
        <f t="shared" ref="DJ155:DJ161" si="65">DF155</f>
        <v>0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ROW(Source!A151)</f>
        <v>151</v>
      </c>
      <c r="B156">
        <v>56622586</v>
      </c>
      <c r="C156">
        <v>56616989</v>
      </c>
      <c r="D156">
        <v>45796980</v>
      </c>
      <c r="E156">
        <v>1</v>
      </c>
      <c r="F156">
        <v>1</v>
      </c>
      <c r="G156">
        <v>27786564</v>
      </c>
      <c r="H156">
        <v>3</v>
      </c>
      <c r="I156" t="s">
        <v>499</v>
      </c>
      <c r="J156" t="s">
        <v>500</v>
      </c>
      <c r="K156" t="s">
        <v>501</v>
      </c>
      <c r="L156">
        <v>1346</v>
      </c>
      <c r="N156">
        <v>1009</v>
      </c>
      <c r="O156" t="s">
        <v>104</v>
      </c>
      <c r="P156" t="s">
        <v>104</v>
      </c>
      <c r="Q156">
        <v>1</v>
      </c>
      <c r="W156">
        <v>0</v>
      </c>
      <c r="X156">
        <v>1533725368</v>
      </c>
      <c r="Y156">
        <f t="shared" si="59"/>
        <v>0.8</v>
      </c>
      <c r="AA156">
        <v>25.8</v>
      </c>
      <c r="AB156">
        <v>0</v>
      </c>
      <c r="AC156">
        <v>0</v>
      </c>
      <c r="AD156">
        <v>0</v>
      </c>
      <c r="AE156">
        <v>25.8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-2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0.8</v>
      </c>
      <c r="AU156" t="s">
        <v>3</v>
      </c>
      <c r="AV156">
        <v>0</v>
      </c>
      <c r="AW156">
        <v>2</v>
      </c>
      <c r="AX156">
        <v>56617006</v>
      </c>
      <c r="AY156">
        <v>1</v>
      </c>
      <c r="AZ156">
        <v>0</v>
      </c>
      <c r="BA156">
        <v>740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ROUND(Y156*Source!I151,9)</f>
        <v>0</v>
      </c>
      <c r="CY156">
        <f t="shared" si="60"/>
        <v>25.8</v>
      </c>
      <c r="CZ156">
        <f t="shared" si="61"/>
        <v>25.8</v>
      </c>
      <c r="DA156">
        <f t="shared" si="62"/>
        <v>1</v>
      </c>
      <c r="DB156">
        <f t="shared" si="63"/>
        <v>20.64</v>
      </c>
      <c r="DC156">
        <f t="shared" si="64"/>
        <v>0</v>
      </c>
      <c r="DD156" t="s">
        <v>3</v>
      </c>
      <c r="DE156" t="s">
        <v>3</v>
      </c>
      <c r="DF156">
        <f t="shared" si="58"/>
        <v>0</v>
      </c>
      <c r="DG156">
        <f t="shared" si="55"/>
        <v>0</v>
      </c>
      <c r="DH156">
        <f t="shared" si="56"/>
        <v>0</v>
      </c>
      <c r="DI156">
        <f t="shared" si="40"/>
        <v>0</v>
      </c>
      <c r="DJ156">
        <f t="shared" si="65"/>
        <v>0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ROW(Source!A151)</f>
        <v>151</v>
      </c>
      <c r="B157">
        <v>56622586</v>
      </c>
      <c r="C157">
        <v>56616989</v>
      </c>
      <c r="D157">
        <v>46723689</v>
      </c>
      <c r="E157">
        <v>1</v>
      </c>
      <c r="F157">
        <v>1</v>
      </c>
      <c r="G157">
        <v>27786564</v>
      </c>
      <c r="H157">
        <v>3</v>
      </c>
      <c r="I157" t="s">
        <v>502</v>
      </c>
      <c r="J157" t="s">
        <v>503</v>
      </c>
      <c r="K157" t="s">
        <v>504</v>
      </c>
      <c r="L157">
        <v>1348</v>
      </c>
      <c r="N157">
        <v>1009</v>
      </c>
      <c r="O157" t="s">
        <v>367</v>
      </c>
      <c r="P157" t="s">
        <v>367</v>
      </c>
      <c r="Q157">
        <v>1000</v>
      </c>
      <c r="W157">
        <v>0</v>
      </c>
      <c r="X157">
        <v>-1817633629</v>
      </c>
      <c r="Y157">
        <f t="shared" si="59"/>
        <v>5.0000000000000001E-4</v>
      </c>
      <c r="AA157">
        <v>60966</v>
      </c>
      <c r="AB157">
        <v>0</v>
      </c>
      <c r="AC157">
        <v>0</v>
      </c>
      <c r="AD157">
        <v>0</v>
      </c>
      <c r="AE157">
        <v>60966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-2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5.0000000000000001E-4</v>
      </c>
      <c r="AU157" t="s">
        <v>3</v>
      </c>
      <c r="AV157">
        <v>0</v>
      </c>
      <c r="AW157">
        <v>2</v>
      </c>
      <c r="AX157">
        <v>56617007</v>
      </c>
      <c r="AY157">
        <v>1</v>
      </c>
      <c r="AZ157">
        <v>0</v>
      </c>
      <c r="BA157">
        <v>741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ROUND(Y157*Source!I151,9)</f>
        <v>0</v>
      </c>
      <c r="CY157">
        <f t="shared" si="60"/>
        <v>60966</v>
      </c>
      <c r="CZ157">
        <f t="shared" si="61"/>
        <v>60966</v>
      </c>
      <c r="DA157">
        <f t="shared" si="62"/>
        <v>1</v>
      </c>
      <c r="DB157">
        <f t="shared" si="63"/>
        <v>30.48</v>
      </c>
      <c r="DC157">
        <f t="shared" si="64"/>
        <v>0</v>
      </c>
      <c r="DD157" t="s">
        <v>3</v>
      </c>
      <c r="DE157" t="s">
        <v>3</v>
      </c>
      <c r="DF157">
        <f t="shared" si="58"/>
        <v>0</v>
      </c>
      <c r="DG157">
        <f t="shared" si="55"/>
        <v>0</v>
      </c>
      <c r="DH157">
        <f t="shared" si="56"/>
        <v>0</v>
      </c>
      <c r="DI157">
        <f t="shared" si="40"/>
        <v>0</v>
      </c>
      <c r="DJ157">
        <f t="shared" si="65"/>
        <v>0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ROW(Source!A151)</f>
        <v>151</v>
      </c>
      <c r="B158">
        <v>56622586</v>
      </c>
      <c r="C158">
        <v>56616989</v>
      </c>
      <c r="D158">
        <v>46723704</v>
      </c>
      <c r="E158">
        <v>1</v>
      </c>
      <c r="F158">
        <v>1</v>
      </c>
      <c r="G158">
        <v>27786564</v>
      </c>
      <c r="H158">
        <v>3</v>
      </c>
      <c r="I158" t="s">
        <v>505</v>
      </c>
      <c r="J158" t="s">
        <v>506</v>
      </c>
      <c r="K158" t="s">
        <v>507</v>
      </c>
      <c r="L158">
        <v>1348</v>
      </c>
      <c r="N158">
        <v>1009</v>
      </c>
      <c r="O158" t="s">
        <v>367</v>
      </c>
      <c r="P158" t="s">
        <v>367</v>
      </c>
      <c r="Q158">
        <v>1000</v>
      </c>
      <c r="W158">
        <v>0</v>
      </c>
      <c r="X158">
        <v>1862018911</v>
      </c>
      <c r="Y158">
        <f t="shared" si="59"/>
        <v>4.0000000000000003E-5</v>
      </c>
      <c r="AA158">
        <v>7982.5</v>
      </c>
      <c r="AB158">
        <v>0</v>
      </c>
      <c r="AC158">
        <v>0</v>
      </c>
      <c r="AD158">
        <v>0</v>
      </c>
      <c r="AE158">
        <v>7982.5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-2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4.0000000000000003E-5</v>
      </c>
      <c r="AU158" t="s">
        <v>3</v>
      </c>
      <c r="AV158">
        <v>0</v>
      </c>
      <c r="AW158">
        <v>2</v>
      </c>
      <c r="AX158">
        <v>56617008</v>
      </c>
      <c r="AY158">
        <v>1</v>
      </c>
      <c r="AZ158">
        <v>0</v>
      </c>
      <c r="BA158">
        <v>742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ROUND(Y158*Source!I151,9)</f>
        <v>0</v>
      </c>
      <c r="CY158">
        <f t="shared" si="60"/>
        <v>7982.5</v>
      </c>
      <c r="CZ158">
        <f t="shared" si="61"/>
        <v>7982.5</v>
      </c>
      <c r="DA158">
        <f t="shared" si="62"/>
        <v>1</v>
      </c>
      <c r="DB158">
        <f t="shared" si="63"/>
        <v>0.32</v>
      </c>
      <c r="DC158">
        <f t="shared" si="64"/>
        <v>0</v>
      </c>
      <c r="DD158" t="s">
        <v>3</v>
      </c>
      <c r="DE158" t="s">
        <v>3</v>
      </c>
      <c r="DF158">
        <f t="shared" si="58"/>
        <v>0</v>
      </c>
      <c r="DG158">
        <f t="shared" si="55"/>
        <v>0</v>
      </c>
      <c r="DH158">
        <f t="shared" si="56"/>
        <v>0</v>
      </c>
      <c r="DI158">
        <f t="shared" si="40"/>
        <v>0</v>
      </c>
      <c r="DJ158">
        <f t="shared" si="65"/>
        <v>0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">
      <c r="A159">
        <f>ROW(Source!A151)</f>
        <v>151</v>
      </c>
      <c r="B159">
        <v>56622586</v>
      </c>
      <c r="C159">
        <v>56616989</v>
      </c>
      <c r="D159">
        <v>52048144</v>
      </c>
      <c r="E159">
        <v>1</v>
      </c>
      <c r="F159">
        <v>1</v>
      </c>
      <c r="G159">
        <v>27786564</v>
      </c>
      <c r="H159">
        <v>3</v>
      </c>
      <c r="I159" t="s">
        <v>508</v>
      </c>
      <c r="J159" t="s">
        <v>509</v>
      </c>
      <c r="K159" t="s">
        <v>510</v>
      </c>
      <c r="L159">
        <v>1356</v>
      </c>
      <c r="N159">
        <v>1010</v>
      </c>
      <c r="O159" t="s">
        <v>511</v>
      </c>
      <c r="P159" t="s">
        <v>511</v>
      </c>
      <c r="Q159">
        <v>1000</v>
      </c>
      <c r="W159">
        <v>0</v>
      </c>
      <c r="X159">
        <v>1183006993</v>
      </c>
      <c r="Y159">
        <f t="shared" si="59"/>
        <v>4.0000000000000001E-3</v>
      </c>
      <c r="AA159">
        <v>226.68</v>
      </c>
      <c r="AB159">
        <v>0</v>
      </c>
      <c r="AC159">
        <v>0</v>
      </c>
      <c r="AD159">
        <v>0</v>
      </c>
      <c r="AE159">
        <v>226.68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-2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4.0000000000000001E-3</v>
      </c>
      <c r="AU159" t="s">
        <v>3</v>
      </c>
      <c r="AV159">
        <v>0</v>
      </c>
      <c r="AW159">
        <v>2</v>
      </c>
      <c r="AX159">
        <v>56617009</v>
      </c>
      <c r="AY159">
        <v>1</v>
      </c>
      <c r="AZ159">
        <v>0</v>
      </c>
      <c r="BA159">
        <v>743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ROUND(Y159*Source!I151,9)</f>
        <v>0</v>
      </c>
      <c r="CY159">
        <f t="shared" si="60"/>
        <v>226.68</v>
      </c>
      <c r="CZ159">
        <f t="shared" si="61"/>
        <v>226.68</v>
      </c>
      <c r="DA159">
        <f t="shared" si="62"/>
        <v>1</v>
      </c>
      <c r="DB159">
        <f t="shared" si="63"/>
        <v>0.91</v>
      </c>
      <c r="DC159">
        <f t="shared" si="64"/>
        <v>0</v>
      </c>
      <c r="DD159" t="s">
        <v>3</v>
      </c>
      <c r="DE159" t="s">
        <v>3</v>
      </c>
      <c r="DF159">
        <f t="shared" si="58"/>
        <v>0</v>
      </c>
      <c r="DG159">
        <f t="shared" si="55"/>
        <v>0</v>
      </c>
      <c r="DH159">
        <f t="shared" si="56"/>
        <v>0</v>
      </c>
      <c r="DI159">
        <f t="shared" si="40"/>
        <v>0</v>
      </c>
      <c r="DJ159">
        <f t="shared" si="65"/>
        <v>0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ROW(Source!A151)</f>
        <v>151</v>
      </c>
      <c r="B160">
        <v>56622586</v>
      </c>
      <c r="C160">
        <v>56616989</v>
      </c>
      <c r="D160">
        <v>46735506</v>
      </c>
      <c r="E160">
        <v>1</v>
      </c>
      <c r="F160">
        <v>1</v>
      </c>
      <c r="G160">
        <v>27786564</v>
      </c>
      <c r="H160">
        <v>3</v>
      </c>
      <c r="I160" t="s">
        <v>512</v>
      </c>
      <c r="J160" t="s">
        <v>513</v>
      </c>
      <c r="K160" t="s">
        <v>514</v>
      </c>
      <c r="L160">
        <v>1301</v>
      </c>
      <c r="N160">
        <v>1003</v>
      </c>
      <c r="O160" t="s">
        <v>55</v>
      </c>
      <c r="P160" t="s">
        <v>55</v>
      </c>
      <c r="Q160">
        <v>1</v>
      </c>
      <c r="W160">
        <v>0</v>
      </c>
      <c r="X160">
        <v>1159735927</v>
      </c>
      <c r="Y160">
        <f t="shared" si="59"/>
        <v>0.96</v>
      </c>
      <c r="AA160">
        <v>0.7</v>
      </c>
      <c r="AB160">
        <v>0</v>
      </c>
      <c r="AC160">
        <v>0</v>
      </c>
      <c r="AD160">
        <v>0</v>
      </c>
      <c r="AE160">
        <v>0.7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-2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0.96</v>
      </c>
      <c r="AU160" t="s">
        <v>3</v>
      </c>
      <c r="AV160">
        <v>0</v>
      </c>
      <c r="AW160">
        <v>2</v>
      </c>
      <c r="AX160">
        <v>56617010</v>
      </c>
      <c r="AY160">
        <v>1</v>
      </c>
      <c r="AZ160">
        <v>0</v>
      </c>
      <c r="BA160">
        <v>744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ROUND(Y160*Source!I151,9)</f>
        <v>0</v>
      </c>
      <c r="CY160">
        <f t="shared" si="60"/>
        <v>0.7</v>
      </c>
      <c r="CZ160">
        <f t="shared" si="61"/>
        <v>0.7</v>
      </c>
      <c r="DA160">
        <f t="shared" si="62"/>
        <v>1</v>
      </c>
      <c r="DB160">
        <f t="shared" si="63"/>
        <v>0.67</v>
      </c>
      <c r="DC160">
        <f t="shared" si="64"/>
        <v>0</v>
      </c>
      <c r="DD160" t="s">
        <v>3</v>
      </c>
      <c r="DE160" t="s">
        <v>3</v>
      </c>
      <c r="DF160">
        <f t="shared" si="58"/>
        <v>0</v>
      </c>
      <c r="DG160">
        <f t="shared" si="55"/>
        <v>0</v>
      </c>
      <c r="DH160">
        <f t="shared" si="56"/>
        <v>0</v>
      </c>
      <c r="DI160">
        <f t="shared" si="40"/>
        <v>0</v>
      </c>
      <c r="DJ160">
        <f t="shared" si="65"/>
        <v>0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">
      <c r="A161">
        <f>ROW(Source!A151)</f>
        <v>151</v>
      </c>
      <c r="B161">
        <v>56622586</v>
      </c>
      <c r="C161">
        <v>56616989</v>
      </c>
      <c r="D161">
        <v>46735508</v>
      </c>
      <c r="E161">
        <v>1</v>
      </c>
      <c r="F161">
        <v>1</v>
      </c>
      <c r="G161">
        <v>27786564</v>
      </c>
      <c r="H161">
        <v>3</v>
      </c>
      <c r="I161" t="s">
        <v>515</v>
      </c>
      <c r="J161" t="s">
        <v>516</v>
      </c>
      <c r="K161" t="s">
        <v>517</v>
      </c>
      <c r="L161">
        <v>1356</v>
      </c>
      <c r="N161">
        <v>1010</v>
      </c>
      <c r="O161" t="s">
        <v>511</v>
      </c>
      <c r="P161" t="s">
        <v>511</v>
      </c>
      <c r="Q161">
        <v>1000</v>
      </c>
      <c r="W161">
        <v>0</v>
      </c>
      <c r="X161">
        <v>1674776227</v>
      </c>
      <c r="Y161">
        <f t="shared" si="59"/>
        <v>8.3199999999999993E-3</v>
      </c>
      <c r="AA161">
        <v>6.44</v>
      </c>
      <c r="AB161">
        <v>0</v>
      </c>
      <c r="AC161">
        <v>0</v>
      </c>
      <c r="AD161">
        <v>0</v>
      </c>
      <c r="AE161">
        <v>6.44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-2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8.3199999999999993E-3</v>
      </c>
      <c r="AU161" t="s">
        <v>3</v>
      </c>
      <c r="AV161">
        <v>0</v>
      </c>
      <c r="AW161">
        <v>2</v>
      </c>
      <c r="AX161">
        <v>56617011</v>
      </c>
      <c r="AY161">
        <v>1</v>
      </c>
      <c r="AZ161">
        <v>0</v>
      </c>
      <c r="BA161">
        <v>745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v>0</v>
      </c>
      <c r="CX161">
        <f>ROUND(Y161*Source!I151,9)</f>
        <v>0</v>
      </c>
      <c r="CY161">
        <f t="shared" si="60"/>
        <v>6.44</v>
      </c>
      <c r="CZ161">
        <f t="shared" si="61"/>
        <v>6.44</v>
      </c>
      <c r="DA161">
        <f t="shared" si="62"/>
        <v>1</v>
      </c>
      <c r="DB161">
        <f t="shared" si="63"/>
        <v>0.05</v>
      </c>
      <c r="DC161">
        <f t="shared" si="64"/>
        <v>0</v>
      </c>
      <c r="DD161" t="s">
        <v>3</v>
      </c>
      <c r="DE161" t="s">
        <v>3</v>
      </c>
      <c r="DF161">
        <f t="shared" si="58"/>
        <v>0</v>
      </c>
      <c r="DG161">
        <f t="shared" si="55"/>
        <v>0</v>
      </c>
      <c r="DH161">
        <f t="shared" si="56"/>
        <v>0</v>
      </c>
      <c r="DI161">
        <f t="shared" si="40"/>
        <v>0</v>
      </c>
      <c r="DJ161">
        <f t="shared" si="65"/>
        <v>0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">
      <c r="A162">
        <f>ROW(Source!A152)</f>
        <v>152</v>
      </c>
      <c r="B162">
        <v>56616093</v>
      </c>
      <c r="C162">
        <v>56616989</v>
      </c>
      <c r="D162">
        <v>47634407</v>
      </c>
      <c r="E162">
        <v>27786564</v>
      </c>
      <c r="F162">
        <v>1</v>
      </c>
      <c r="G162">
        <v>27786564</v>
      </c>
      <c r="H162">
        <v>1</v>
      </c>
      <c r="I162" t="s">
        <v>439</v>
      </c>
      <c r="J162" t="s">
        <v>3</v>
      </c>
      <c r="K162" t="s">
        <v>440</v>
      </c>
      <c r="L162">
        <v>1191</v>
      </c>
      <c r="N162">
        <v>1013</v>
      </c>
      <c r="O162" t="s">
        <v>441</v>
      </c>
      <c r="P162" t="s">
        <v>441</v>
      </c>
      <c r="Q162">
        <v>1</v>
      </c>
      <c r="W162">
        <v>0</v>
      </c>
      <c r="X162">
        <v>476480486</v>
      </c>
      <c r="Y162">
        <f>(AT162*1.1)</f>
        <v>12.100000000000001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1</v>
      </c>
      <c r="AL162">
        <v>1</v>
      </c>
      <c r="AM162">
        <v>-2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11</v>
      </c>
      <c r="AU162" t="s">
        <v>22</v>
      </c>
      <c r="AV162">
        <v>1</v>
      </c>
      <c r="AW162">
        <v>2</v>
      </c>
      <c r="AX162">
        <v>56617001</v>
      </c>
      <c r="AY162">
        <v>1</v>
      </c>
      <c r="AZ162">
        <v>0</v>
      </c>
      <c r="BA162">
        <v>748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U162">
        <f>ROUND(AT162*Source!I152*AH162*AL162,2)</f>
        <v>0</v>
      </c>
      <c r="CV162">
        <f>ROUND(Y162*Source!I152,9)</f>
        <v>0</v>
      </c>
      <c r="CW162">
        <v>0</v>
      </c>
      <c r="CX162">
        <f>ROUND(Y162*Source!I152,9)</f>
        <v>0</v>
      </c>
      <c r="CY162">
        <f>AD162</f>
        <v>0</v>
      </c>
      <c r="CZ162">
        <f>AH162</f>
        <v>0</v>
      </c>
      <c r="DA162">
        <f>AL162</f>
        <v>1</v>
      </c>
      <c r="DB162">
        <f>ROUND((ROUND(AT162*CZ162,2)*1.1),6)</f>
        <v>0</v>
      </c>
      <c r="DC162">
        <f>ROUND((ROUND(AT162*AG162,2)*1.1),6)</f>
        <v>0</v>
      </c>
      <c r="DD162" t="s">
        <v>3</v>
      </c>
      <c r="DE162" t="s">
        <v>3</v>
      </c>
      <c r="DF162">
        <f t="shared" si="58"/>
        <v>0</v>
      </c>
      <c r="DG162">
        <f t="shared" si="55"/>
        <v>0</v>
      </c>
      <c r="DH162">
        <f t="shared" si="56"/>
        <v>0</v>
      </c>
      <c r="DI162">
        <f t="shared" si="40"/>
        <v>0</v>
      </c>
      <c r="DJ162">
        <f>DI162</f>
        <v>0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">
      <c r="A163">
        <f>ROW(Source!A152)</f>
        <v>152</v>
      </c>
      <c r="B163">
        <v>56616093</v>
      </c>
      <c r="C163">
        <v>56616989</v>
      </c>
      <c r="D163">
        <v>47767106</v>
      </c>
      <c r="E163">
        <v>1</v>
      </c>
      <c r="F163">
        <v>1</v>
      </c>
      <c r="G163">
        <v>27786564</v>
      </c>
      <c r="H163">
        <v>2</v>
      </c>
      <c r="I163" t="s">
        <v>487</v>
      </c>
      <c r="J163" t="s">
        <v>488</v>
      </c>
      <c r="K163" t="s">
        <v>489</v>
      </c>
      <c r="L163">
        <v>1368</v>
      </c>
      <c r="N163">
        <v>1011</v>
      </c>
      <c r="O163" t="s">
        <v>445</v>
      </c>
      <c r="P163" t="s">
        <v>445</v>
      </c>
      <c r="Q163">
        <v>1</v>
      </c>
      <c r="W163">
        <v>0</v>
      </c>
      <c r="X163">
        <v>-7781208</v>
      </c>
      <c r="Y163">
        <f>(AT163*1.1)</f>
        <v>1.6280000000000001</v>
      </c>
      <c r="AA163">
        <v>0</v>
      </c>
      <c r="AB163">
        <v>1140.27</v>
      </c>
      <c r="AC163">
        <v>464.7</v>
      </c>
      <c r="AD163">
        <v>0</v>
      </c>
      <c r="AE163">
        <v>0</v>
      </c>
      <c r="AF163">
        <v>83.1</v>
      </c>
      <c r="AG163">
        <v>12.62</v>
      </c>
      <c r="AH163">
        <v>0</v>
      </c>
      <c r="AI163">
        <v>1</v>
      </c>
      <c r="AJ163">
        <v>12.86</v>
      </c>
      <c r="AK163">
        <v>34.51</v>
      </c>
      <c r="AL163">
        <v>1</v>
      </c>
      <c r="AM163">
        <v>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1.48</v>
      </c>
      <c r="AU163" t="s">
        <v>22</v>
      </c>
      <c r="AV163">
        <v>0</v>
      </c>
      <c r="AW163">
        <v>2</v>
      </c>
      <c r="AX163">
        <v>56617002</v>
      </c>
      <c r="AY163">
        <v>1</v>
      </c>
      <c r="AZ163">
        <v>0</v>
      </c>
      <c r="BA163">
        <v>749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f>ROUND(Y163*Source!I152*DO163,9)</f>
        <v>0</v>
      </c>
      <c r="CX163">
        <f>ROUND(Y163*Source!I152,9)</f>
        <v>0</v>
      </c>
      <c r="CY163">
        <f>AB163</f>
        <v>1140.27</v>
      </c>
      <c r="CZ163">
        <f>AF163</f>
        <v>83.1</v>
      </c>
      <c r="DA163">
        <f>AJ163</f>
        <v>12.86</v>
      </c>
      <c r="DB163">
        <f>ROUND((ROUND(AT163*CZ163,2)*1.1),6)</f>
        <v>135.28899999999999</v>
      </c>
      <c r="DC163">
        <f>ROUND((ROUND(AT163*AG163,2)*1.1),6)</f>
        <v>20.547999999999998</v>
      </c>
      <c r="DD163" t="s">
        <v>3</v>
      </c>
      <c r="DE163" t="s">
        <v>3</v>
      </c>
      <c r="DF163">
        <f t="shared" si="58"/>
        <v>0</v>
      </c>
      <c r="DG163">
        <f>ROUND(ROUND(AF163*AJ163,2)*CX163,2)</f>
        <v>0</v>
      </c>
      <c r="DH163">
        <f>ROUND(ROUND(AG163*AK163,2)*CX163,2)</f>
        <v>0</v>
      </c>
      <c r="DI163">
        <f t="shared" si="40"/>
        <v>0</v>
      </c>
      <c r="DJ163">
        <f>DG163</f>
        <v>0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">
      <c r="A164">
        <f>ROW(Source!A152)</f>
        <v>152</v>
      </c>
      <c r="B164">
        <v>56616093</v>
      </c>
      <c r="C164">
        <v>56616989</v>
      </c>
      <c r="D164">
        <v>47766545</v>
      </c>
      <c r="E164">
        <v>1</v>
      </c>
      <c r="F164">
        <v>1</v>
      </c>
      <c r="G164">
        <v>27786564</v>
      </c>
      <c r="H164">
        <v>2</v>
      </c>
      <c r="I164" t="s">
        <v>490</v>
      </c>
      <c r="J164" t="s">
        <v>491</v>
      </c>
      <c r="K164" t="s">
        <v>492</v>
      </c>
      <c r="L164">
        <v>1368</v>
      </c>
      <c r="N164">
        <v>1011</v>
      </c>
      <c r="O164" t="s">
        <v>445</v>
      </c>
      <c r="P164" t="s">
        <v>445</v>
      </c>
      <c r="Q164">
        <v>1</v>
      </c>
      <c r="W164">
        <v>0</v>
      </c>
      <c r="X164">
        <v>1766156404</v>
      </c>
      <c r="Y164">
        <f>(AT164*1.1)</f>
        <v>2.64</v>
      </c>
      <c r="AA164">
        <v>0</v>
      </c>
      <c r="AB164">
        <v>6.51</v>
      </c>
      <c r="AC164">
        <v>0</v>
      </c>
      <c r="AD164">
        <v>0</v>
      </c>
      <c r="AE164">
        <v>0</v>
      </c>
      <c r="AF164">
        <v>0.73</v>
      </c>
      <c r="AG164">
        <v>0</v>
      </c>
      <c r="AH164">
        <v>0</v>
      </c>
      <c r="AI164">
        <v>1</v>
      </c>
      <c r="AJ164">
        <v>8.36</v>
      </c>
      <c r="AK164">
        <v>34.51</v>
      </c>
      <c r="AL164">
        <v>1</v>
      </c>
      <c r="AM164">
        <v>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2.4</v>
      </c>
      <c r="AU164" t="s">
        <v>22</v>
      </c>
      <c r="AV164">
        <v>0</v>
      </c>
      <c r="AW164">
        <v>2</v>
      </c>
      <c r="AX164">
        <v>56617003</v>
      </c>
      <c r="AY164">
        <v>1</v>
      </c>
      <c r="AZ164">
        <v>0</v>
      </c>
      <c r="BA164">
        <v>750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f>ROUND(Y164*Source!I152*DO164,9)</f>
        <v>0</v>
      </c>
      <c r="CX164">
        <f>ROUND(Y164*Source!I152,9)</f>
        <v>0</v>
      </c>
      <c r="CY164">
        <f>AB164</f>
        <v>6.51</v>
      </c>
      <c r="CZ164">
        <f>AF164</f>
        <v>0.73</v>
      </c>
      <c r="DA164">
        <f>AJ164</f>
        <v>8.36</v>
      </c>
      <c r="DB164">
        <f>ROUND((ROUND(AT164*CZ164,2)*1.1),6)</f>
        <v>1.925</v>
      </c>
      <c r="DC164">
        <f>ROUND((ROUND(AT164*AG164,2)*1.1),6)</f>
        <v>0</v>
      </c>
      <c r="DD164" t="s">
        <v>3</v>
      </c>
      <c r="DE164" t="s">
        <v>3</v>
      </c>
      <c r="DF164">
        <f t="shared" si="58"/>
        <v>0</v>
      </c>
      <c r="DG164">
        <f>ROUND(ROUND(AF164*AJ164,2)*CX164,2)</f>
        <v>0</v>
      </c>
      <c r="DH164">
        <f>ROUND(ROUND(AG164*AK164,2)*CX164,2)</f>
        <v>0</v>
      </c>
      <c r="DI164">
        <f t="shared" si="40"/>
        <v>0</v>
      </c>
      <c r="DJ164">
        <f>DG164</f>
        <v>0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">
      <c r="A165">
        <f>ROW(Source!A152)</f>
        <v>152</v>
      </c>
      <c r="B165">
        <v>56616093</v>
      </c>
      <c r="C165">
        <v>56616989</v>
      </c>
      <c r="D165">
        <v>47766581</v>
      </c>
      <c r="E165">
        <v>1</v>
      </c>
      <c r="F165">
        <v>1</v>
      </c>
      <c r="G165">
        <v>27786564</v>
      </c>
      <c r="H165">
        <v>2</v>
      </c>
      <c r="I165" t="s">
        <v>493</v>
      </c>
      <c r="J165" t="s">
        <v>494</v>
      </c>
      <c r="K165" t="s">
        <v>495</v>
      </c>
      <c r="L165">
        <v>1368</v>
      </c>
      <c r="N165">
        <v>1011</v>
      </c>
      <c r="O165" t="s">
        <v>445</v>
      </c>
      <c r="P165" t="s">
        <v>445</v>
      </c>
      <c r="Q165">
        <v>1</v>
      </c>
      <c r="W165">
        <v>0</v>
      </c>
      <c r="X165">
        <v>1106171417</v>
      </c>
      <c r="Y165">
        <f>(AT165*1.1)</f>
        <v>2.64</v>
      </c>
      <c r="AA165">
        <v>0</v>
      </c>
      <c r="AB165">
        <v>38.03</v>
      </c>
      <c r="AC165">
        <v>0</v>
      </c>
      <c r="AD165">
        <v>0</v>
      </c>
      <c r="AE165">
        <v>0</v>
      </c>
      <c r="AF165">
        <v>4</v>
      </c>
      <c r="AG165">
        <v>0</v>
      </c>
      <c r="AH165">
        <v>0</v>
      </c>
      <c r="AI165">
        <v>1</v>
      </c>
      <c r="AJ165">
        <v>8.91</v>
      </c>
      <c r="AK165">
        <v>34.51</v>
      </c>
      <c r="AL165">
        <v>1</v>
      </c>
      <c r="AM165">
        <v>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2.4</v>
      </c>
      <c r="AU165" t="s">
        <v>22</v>
      </c>
      <c r="AV165">
        <v>0</v>
      </c>
      <c r="AW165">
        <v>2</v>
      </c>
      <c r="AX165">
        <v>56617004</v>
      </c>
      <c r="AY165">
        <v>1</v>
      </c>
      <c r="AZ165">
        <v>0</v>
      </c>
      <c r="BA165">
        <v>751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f>ROUND(Y165*Source!I152*DO165,9)</f>
        <v>0</v>
      </c>
      <c r="CX165">
        <f>ROUND(Y165*Source!I152,9)</f>
        <v>0</v>
      </c>
      <c r="CY165">
        <f>AB165</f>
        <v>38.03</v>
      </c>
      <c r="CZ165">
        <f>AF165</f>
        <v>4</v>
      </c>
      <c r="DA165">
        <f>AJ165</f>
        <v>8.91</v>
      </c>
      <c r="DB165">
        <f>ROUND((ROUND(AT165*CZ165,2)*1.1),6)</f>
        <v>10.56</v>
      </c>
      <c r="DC165">
        <f>ROUND((ROUND(AT165*AG165,2)*1.1),6)</f>
        <v>0</v>
      </c>
      <c r="DD165" t="s">
        <v>3</v>
      </c>
      <c r="DE165" t="s">
        <v>3</v>
      </c>
      <c r="DF165">
        <f t="shared" si="58"/>
        <v>0</v>
      </c>
      <c r="DG165">
        <f>ROUND(ROUND(AF165*AJ165,2)*CX165,2)</f>
        <v>0</v>
      </c>
      <c r="DH165">
        <f>ROUND(ROUND(AG165*AK165,2)*CX165,2)</f>
        <v>0</v>
      </c>
      <c r="DI165">
        <f t="shared" si="40"/>
        <v>0</v>
      </c>
      <c r="DJ165">
        <f>DG165</f>
        <v>0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ROW(Source!A152)</f>
        <v>152</v>
      </c>
      <c r="B166">
        <v>56616093</v>
      </c>
      <c r="C166">
        <v>56616989</v>
      </c>
      <c r="D166">
        <v>46723498</v>
      </c>
      <c r="E166">
        <v>1</v>
      </c>
      <c r="F166">
        <v>1</v>
      </c>
      <c r="G166">
        <v>27786564</v>
      </c>
      <c r="H166">
        <v>3</v>
      </c>
      <c r="I166" t="s">
        <v>496</v>
      </c>
      <c r="J166" t="s">
        <v>497</v>
      </c>
      <c r="K166" t="s">
        <v>498</v>
      </c>
      <c r="L166">
        <v>1348</v>
      </c>
      <c r="N166">
        <v>1009</v>
      </c>
      <c r="O166" t="s">
        <v>367</v>
      </c>
      <c r="P166" t="s">
        <v>367</v>
      </c>
      <c r="Q166">
        <v>1000</v>
      </c>
      <c r="W166">
        <v>0</v>
      </c>
      <c r="X166">
        <v>975641442</v>
      </c>
      <c r="Y166">
        <f t="shared" ref="Y166:Y172" si="66">AT166</f>
        <v>6.0000000000000002E-5</v>
      </c>
      <c r="AA166">
        <v>83856.09</v>
      </c>
      <c r="AB166">
        <v>0</v>
      </c>
      <c r="AC166">
        <v>0</v>
      </c>
      <c r="AD166">
        <v>0</v>
      </c>
      <c r="AE166">
        <v>11242.42</v>
      </c>
      <c r="AF166">
        <v>0</v>
      </c>
      <c r="AG166">
        <v>0</v>
      </c>
      <c r="AH166">
        <v>0</v>
      </c>
      <c r="AI166">
        <v>6.9</v>
      </c>
      <c r="AJ166">
        <v>1</v>
      </c>
      <c r="AK166">
        <v>1</v>
      </c>
      <c r="AL166">
        <v>1</v>
      </c>
      <c r="AM166">
        <v>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6.0000000000000002E-5</v>
      </c>
      <c r="AU166" t="s">
        <v>3</v>
      </c>
      <c r="AV166">
        <v>0</v>
      </c>
      <c r="AW166">
        <v>2</v>
      </c>
      <c r="AX166">
        <v>56617005</v>
      </c>
      <c r="AY166">
        <v>1</v>
      </c>
      <c r="AZ166">
        <v>0</v>
      </c>
      <c r="BA166">
        <v>752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ROUND(Y166*Source!I152,9)</f>
        <v>0</v>
      </c>
      <c r="CY166">
        <f t="shared" ref="CY166:CY172" si="67">AA166</f>
        <v>83856.09</v>
      </c>
      <c r="CZ166">
        <f t="shared" ref="CZ166:CZ172" si="68">AE166</f>
        <v>11242.42</v>
      </c>
      <c r="DA166">
        <f t="shared" ref="DA166:DA172" si="69">AI166</f>
        <v>6.9</v>
      </c>
      <c r="DB166">
        <f t="shared" ref="DB166:DB172" si="70">ROUND(ROUND(AT166*CZ166,2),6)</f>
        <v>0.67</v>
      </c>
      <c r="DC166">
        <f t="shared" ref="DC166:DC172" si="71">ROUND(ROUND(AT166*AG166,2),6)</f>
        <v>0</v>
      </c>
      <c r="DD166" t="s">
        <v>3</v>
      </c>
      <c r="DE166" t="s">
        <v>3</v>
      </c>
      <c r="DF166">
        <f t="shared" ref="DF166:DF172" si="72">ROUND(ROUND(AE166*AI166,2)*CX166,2)</f>
        <v>0</v>
      </c>
      <c r="DG166">
        <f t="shared" ref="DG166:DG187" si="73">ROUND(ROUND(AF166,2)*CX166,2)</f>
        <v>0</v>
      </c>
      <c r="DH166">
        <f t="shared" ref="DH166:DH187" si="74">ROUND(ROUND(AG166,2)*CX166,2)</f>
        <v>0</v>
      </c>
      <c r="DI166">
        <f t="shared" si="40"/>
        <v>0</v>
      </c>
      <c r="DJ166">
        <f t="shared" ref="DJ166:DJ172" si="75">DF166</f>
        <v>0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">
      <c r="A167">
        <f>ROW(Source!A152)</f>
        <v>152</v>
      </c>
      <c r="B167">
        <v>56616093</v>
      </c>
      <c r="C167">
        <v>56616989</v>
      </c>
      <c r="D167">
        <v>45796980</v>
      </c>
      <c r="E167">
        <v>1</v>
      </c>
      <c r="F167">
        <v>1</v>
      </c>
      <c r="G167">
        <v>27786564</v>
      </c>
      <c r="H167">
        <v>3</v>
      </c>
      <c r="I167" t="s">
        <v>499</v>
      </c>
      <c r="J167" t="s">
        <v>500</v>
      </c>
      <c r="K167" t="s">
        <v>501</v>
      </c>
      <c r="L167">
        <v>1346</v>
      </c>
      <c r="N167">
        <v>1009</v>
      </c>
      <c r="O167" t="s">
        <v>104</v>
      </c>
      <c r="P167" t="s">
        <v>104</v>
      </c>
      <c r="Q167">
        <v>1</v>
      </c>
      <c r="W167">
        <v>0</v>
      </c>
      <c r="X167">
        <v>1533725368</v>
      </c>
      <c r="Y167">
        <f t="shared" si="66"/>
        <v>0.8</v>
      </c>
      <c r="AA167">
        <v>211.96</v>
      </c>
      <c r="AB167">
        <v>0</v>
      </c>
      <c r="AC167">
        <v>0</v>
      </c>
      <c r="AD167">
        <v>0</v>
      </c>
      <c r="AE167">
        <v>25.8</v>
      </c>
      <c r="AF167">
        <v>0</v>
      </c>
      <c r="AG167">
        <v>0</v>
      </c>
      <c r="AH167">
        <v>0</v>
      </c>
      <c r="AI167">
        <v>7.6</v>
      </c>
      <c r="AJ167">
        <v>1</v>
      </c>
      <c r="AK167">
        <v>1</v>
      </c>
      <c r="AL167">
        <v>1</v>
      </c>
      <c r="AM167">
        <v>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0.8</v>
      </c>
      <c r="AU167" t="s">
        <v>3</v>
      </c>
      <c r="AV167">
        <v>0</v>
      </c>
      <c r="AW167">
        <v>2</v>
      </c>
      <c r="AX167">
        <v>56617006</v>
      </c>
      <c r="AY167">
        <v>1</v>
      </c>
      <c r="AZ167">
        <v>0</v>
      </c>
      <c r="BA167">
        <v>753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ROUND(Y167*Source!I152,9)</f>
        <v>0</v>
      </c>
      <c r="CY167">
        <f t="shared" si="67"/>
        <v>211.96</v>
      </c>
      <c r="CZ167">
        <f t="shared" si="68"/>
        <v>25.8</v>
      </c>
      <c r="DA167">
        <f t="shared" si="69"/>
        <v>7.6</v>
      </c>
      <c r="DB167">
        <f t="shared" si="70"/>
        <v>20.64</v>
      </c>
      <c r="DC167">
        <f t="shared" si="71"/>
        <v>0</v>
      </c>
      <c r="DD167" t="s">
        <v>3</v>
      </c>
      <c r="DE167" t="s">
        <v>3</v>
      </c>
      <c r="DF167">
        <f t="shared" si="72"/>
        <v>0</v>
      </c>
      <c r="DG167">
        <f t="shared" si="73"/>
        <v>0</v>
      </c>
      <c r="DH167">
        <f t="shared" si="74"/>
        <v>0</v>
      </c>
      <c r="DI167">
        <f t="shared" si="40"/>
        <v>0</v>
      </c>
      <c r="DJ167">
        <f t="shared" si="75"/>
        <v>0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ROW(Source!A152)</f>
        <v>152</v>
      </c>
      <c r="B168">
        <v>56616093</v>
      </c>
      <c r="C168">
        <v>56616989</v>
      </c>
      <c r="D168">
        <v>46723689</v>
      </c>
      <c r="E168">
        <v>1</v>
      </c>
      <c r="F168">
        <v>1</v>
      </c>
      <c r="G168">
        <v>27786564</v>
      </c>
      <c r="H168">
        <v>3</v>
      </c>
      <c r="I168" t="s">
        <v>502</v>
      </c>
      <c r="J168" t="s">
        <v>503</v>
      </c>
      <c r="K168" t="s">
        <v>504</v>
      </c>
      <c r="L168">
        <v>1348</v>
      </c>
      <c r="N168">
        <v>1009</v>
      </c>
      <c r="O168" t="s">
        <v>367</v>
      </c>
      <c r="P168" t="s">
        <v>367</v>
      </c>
      <c r="Q168">
        <v>1000</v>
      </c>
      <c r="W168">
        <v>0</v>
      </c>
      <c r="X168">
        <v>-1817633629</v>
      </c>
      <c r="Y168">
        <f t="shared" si="66"/>
        <v>5.0000000000000001E-4</v>
      </c>
      <c r="AA168">
        <v>1617949.24</v>
      </c>
      <c r="AB168">
        <v>0</v>
      </c>
      <c r="AC168">
        <v>0</v>
      </c>
      <c r="AD168">
        <v>0</v>
      </c>
      <c r="AE168">
        <v>60966</v>
      </c>
      <c r="AF168">
        <v>0</v>
      </c>
      <c r="AG168">
        <v>0</v>
      </c>
      <c r="AH168">
        <v>0</v>
      </c>
      <c r="AI168">
        <v>24.55</v>
      </c>
      <c r="AJ168">
        <v>1</v>
      </c>
      <c r="AK168">
        <v>1</v>
      </c>
      <c r="AL168">
        <v>1</v>
      </c>
      <c r="AM168">
        <v>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5.0000000000000001E-4</v>
      </c>
      <c r="AU168" t="s">
        <v>3</v>
      </c>
      <c r="AV168">
        <v>0</v>
      </c>
      <c r="AW168">
        <v>2</v>
      </c>
      <c r="AX168">
        <v>56617007</v>
      </c>
      <c r="AY168">
        <v>1</v>
      </c>
      <c r="AZ168">
        <v>0</v>
      </c>
      <c r="BA168">
        <v>754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ROUND(Y168*Source!I152,9)</f>
        <v>0</v>
      </c>
      <c r="CY168">
        <f t="shared" si="67"/>
        <v>1617949.24</v>
      </c>
      <c r="CZ168">
        <f t="shared" si="68"/>
        <v>60966</v>
      </c>
      <c r="DA168">
        <f t="shared" si="69"/>
        <v>24.55</v>
      </c>
      <c r="DB168">
        <f t="shared" si="70"/>
        <v>30.48</v>
      </c>
      <c r="DC168">
        <f t="shared" si="71"/>
        <v>0</v>
      </c>
      <c r="DD168" t="s">
        <v>3</v>
      </c>
      <c r="DE168" t="s">
        <v>3</v>
      </c>
      <c r="DF168">
        <f t="shared" si="72"/>
        <v>0</v>
      </c>
      <c r="DG168">
        <f t="shared" si="73"/>
        <v>0</v>
      </c>
      <c r="DH168">
        <f t="shared" si="74"/>
        <v>0</v>
      </c>
      <c r="DI168">
        <f t="shared" si="40"/>
        <v>0</v>
      </c>
      <c r="DJ168">
        <f t="shared" si="75"/>
        <v>0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">
      <c r="A169">
        <f>ROW(Source!A152)</f>
        <v>152</v>
      </c>
      <c r="B169">
        <v>56616093</v>
      </c>
      <c r="C169">
        <v>56616989</v>
      </c>
      <c r="D169">
        <v>46723704</v>
      </c>
      <c r="E169">
        <v>1</v>
      </c>
      <c r="F169">
        <v>1</v>
      </c>
      <c r="G169">
        <v>27786564</v>
      </c>
      <c r="H169">
        <v>3</v>
      </c>
      <c r="I169" t="s">
        <v>505</v>
      </c>
      <c r="J169" t="s">
        <v>506</v>
      </c>
      <c r="K169" t="s">
        <v>507</v>
      </c>
      <c r="L169">
        <v>1348</v>
      </c>
      <c r="N169">
        <v>1009</v>
      </c>
      <c r="O169" t="s">
        <v>367</v>
      </c>
      <c r="P169" t="s">
        <v>367</v>
      </c>
      <c r="Q169">
        <v>1000</v>
      </c>
      <c r="W169">
        <v>0</v>
      </c>
      <c r="X169">
        <v>1862018911</v>
      </c>
      <c r="Y169">
        <f t="shared" si="66"/>
        <v>4.0000000000000003E-5</v>
      </c>
      <c r="AA169">
        <v>94661.04</v>
      </c>
      <c r="AB169">
        <v>0</v>
      </c>
      <c r="AC169">
        <v>0</v>
      </c>
      <c r="AD169">
        <v>0</v>
      </c>
      <c r="AE169">
        <v>7982.5</v>
      </c>
      <c r="AF169">
        <v>0</v>
      </c>
      <c r="AG169">
        <v>0</v>
      </c>
      <c r="AH169">
        <v>0</v>
      </c>
      <c r="AI169">
        <v>10.97</v>
      </c>
      <c r="AJ169">
        <v>1</v>
      </c>
      <c r="AK169">
        <v>1</v>
      </c>
      <c r="AL169">
        <v>1</v>
      </c>
      <c r="AM169">
        <v>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4.0000000000000003E-5</v>
      </c>
      <c r="AU169" t="s">
        <v>3</v>
      </c>
      <c r="AV169">
        <v>0</v>
      </c>
      <c r="AW169">
        <v>2</v>
      </c>
      <c r="AX169">
        <v>56617008</v>
      </c>
      <c r="AY169">
        <v>1</v>
      </c>
      <c r="AZ169">
        <v>0</v>
      </c>
      <c r="BA169">
        <v>755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ROUND(Y169*Source!I152,9)</f>
        <v>0</v>
      </c>
      <c r="CY169">
        <f t="shared" si="67"/>
        <v>94661.04</v>
      </c>
      <c r="CZ169">
        <f t="shared" si="68"/>
        <v>7982.5</v>
      </c>
      <c r="DA169">
        <f t="shared" si="69"/>
        <v>10.97</v>
      </c>
      <c r="DB169">
        <f t="shared" si="70"/>
        <v>0.32</v>
      </c>
      <c r="DC169">
        <f t="shared" si="71"/>
        <v>0</v>
      </c>
      <c r="DD169" t="s">
        <v>3</v>
      </c>
      <c r="DE169" t="s">
        <v>3</v>
      </c>
      <c r="DF169">
        <f t="shared" si="72"/>
        <v>0</v>
      </c>
      <c r="DG169">
        <f t="shared" si="73"/>
        <v>0</v>
      </c>
      <c r="DH169">
        <f t="shared" si="74"/>
        <v>0</v>
      </c>
      <c r="DI169">
        <f t="shared" si="40"/>
        <v>0</v>
      </c>
      <c r="DJ169">
        <f t="shared" si="75"/>
        <v>0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ROW(Source!A152)</f>
        <v>152</v>
      </c>
      <c r="B170">
        <v>56616093</v>
      </c>
      <c r="C170">
        <v>56616989</v>
      </c>
      <c r="D170">
        <v>52048144</v>
      </c>
      <c r="E170">
        <v>1</v>
      </c>
      <c r="F170">
        <v>1</v>
      </c>
      <c r="G170">
        <v>27786564</v>
      </c>
      <c r="H170">
        <v>3</v>
      </c>
      <c r="I170" t="s">
        <v>508</v>
      </c>
      <c r="J170" t="s">
        <v>509</v>
      </c>
      <c r="K170" t="s">
        <v>510</v>
      </c>
      <c r="L170">
        <v>1356</v>
      </c>
      <c r="N170">
        <v>1010</v>
      </c>
      <c r="O170" t="s">
        <v>511</v>
      </c>
      <c r="P170" t="s">
        <v>511</v>
      </c>
      <c r="Q170">
        <v>1000</v>
      </c>
      <c r="W170">
        <v>0</v>
      </c>
      <c r="X170">
        <v>1183006993</v>
      </c>
      <c r="Y170">
        <f t="shared" si="66"/>
        <v>4.0000000000000001E-3</v>
      </c>
      <c r="AA170">
        <v>1470.25</v>
      </c>
      <c r="AB170">
        <v>0</v>
      </c>
      <c r="AC170">
        <v>0</v>
      </c>
      <c r="AD170">
        <v>0</v>
      </c>
      <c r="AE170">
        <v>226.68</v>
      </c>
      <c r="AF170">
        <v>0</v>
      </c>
      <c r="AG170">
        <v>0</v>
      </c>
      <c r="AH170">
        <v>0</v>
      </c>
      <c r="AI170">
        <v>6</v>
      </c>
      <c r="AJ170">
        <v>1</v>
      </c>
      <c r="AK170">
        <v>1</v>
      </c>
      <c r="AL170">
        <v>1</v>
      </c>
      <c r="AM170">
        <v>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4.0000000000000001E-3</v>
      </c>
      <c r="AU170" t="s">
        <v>3</v>
      </c>
      <c r="AV170">
        <v>0</v>
      </c>
      <c r="AW170">
        <v>2</v>
      </c>
      <c r="AX170">
        <v>56617009</v>
      </c>
      <c r="AY170">
        <v>1</v>
      </c>
      <c r="AZ170">
        <v>0</v>
      </c>
      <c r="BA170">
        <v>756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ROUND(Y170*Source!I152,9)</f>
        <v>0</v>
      </c>
      <c r="CY170">
        <f t="shared" si="67"/>
        <v>1470.25</v>
      </c>
      <c r="CZ170">
        <f t="shared" si="68"/>
        <v>226.68</v>
      </c>
      <c r="DA170">
        <f t="shared" si="69"/>
        <v>6</v>
      </c>
      <c r="DB170">
        <f t="shared" si="70"/>
        <v>0.91</v>
      </c>
      <c r="DC170">
        <f t="shared" si="71"/>
        <v>0</v>
      </c>
      <c r="DD170" t="s">
        <v>3</v>
      </c>
      <c r="DE170" t="s">
        <v>3</v>
      </c>
      <c r="DF170">
        <f t="shared" si="72"/>
        <v>0</v>
      </c>
      <c r="DG170">
        <f t="shared" si="73"/>
        <v>0</v>
      </c>
      <c r="DH170">
        <f t="shared" si="74"/>
        <v>0</v>
      </c>
      <c r="DI170">
        <f t="shared" si="40"/>
        <v>0</v>
      </c>
      <c r="DJ170">
        <f t="shared" si="75"/>
        <v>0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">
      <c r="A171">
        <f>ROW(Source!A152)</f>
        <v>152</v>
      </c>
      <c r="B171">
        <v>56616093</v>
      </c>
      <c r="C171">
        <v>56616989</v>
      </c>
      <c r="D171">
        <v>46735506</v>
      </c>
      <c r="E171">
        <v>1</v>
      </c>
      <c r="F171">
        <v>1</v>
      </c>
      <c r="G171">
        <v>27786564</v>
      </c>
      <c r="H171">
        <v>3</v>
      </c>
      <c r="I171" t="s">
        <v>512</v>
      </c>
      <c r="J171" t="s">
        <v>513</v>
      </c>
      <c r="K171" t="s">
        <v>514</v>
      </c>
      <c r="L171">
        <v>1301</v>
      </c>
      <c r="N171">
        <v>1003</v>
      </c>
      <c r="O171" t="s">
        <v>55</v>
      </c>
      <c r="P171" t="s">
        <v>55</v>
      </c>
      <c r="Q171">
        <v>1</v>
      </c>
      <c r="W171">
        <v>0</v>
      </c>
      <c r="X171">
        <v>1159735927</v>
      </c>
      <c r="Y171">
        <f t="shared" si="66"/>
        <v>0.96</v>
      </c>
      <c r="AA171">
        <v>5.0999999999999996</v>
      </c>
      <c r="AB171">
        <v>0</v>
      </c>
      <c r="AC171">
        <v>0</v>
      </c>
      <c r="AD171">
        <v>0</v>
      </c>
      <c r="AE171">
        <v>0.7</v>
      </c>
      <c r="AF171">
        <v>0</v>
      </c>
      <c r="AG171">
        <v>0</v>
      </c>
      <c r="AH171">
        <v>0</v>
      </c>
      <c r="AI171">
        <v>6.74</v>
      </c>
      <c r="AJ171">
        <v>1</v>
      </c>
      <c r="AK171">
        <v>1</v>
      </c>
      <c r="AL171">
        <v>1</v>
      </c>
      <c r="AM171">
        <v>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0.96</v>
      </c>
      <c r="AU171" t="s">
        <v>3</v>
      </c>
      <c r="AV171">
        <v>0</v>
      </c>
      <c r="AW171">
        <v>2</v>
      </c>
      <c r="AX171">
        <v>56617010</v>
      </c>
      <c r="AY171">
        <v>1</v>
      </c>
      <c r="AZ171">
        <v>0</v>
      </c>
      <c r="BA171">
        <v>757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ROUND(Y171*Source!I152,9)</f>
        <v>0</v>
      </c>
      <c r="CY171">
        <f t="shared" si="67"/>
        <v>5.0999999999999996</v>
      </c>
      <c r="CZ171">
        <f t="shared" si="68"/>
        <v>0.7</v>
      </c>
      <c r="DA171">
        <f t="shared" si="69"/>
        <v>6.74</v>
      </c>
      <c r="DB171">
        <f t="shared" si="70"/>
        <v>0.67</v>
      </c>
      <c r="DC171">
        <f t="shared" si="71"/>
        <v>0</v>
      </c>
      <c r="DD171" t="s">
        <v>3</v>
      </c>
      <c r="DE171" t="s">
        <v>3</v>
      </c>
      <c r="DF171">
        <f t="shared" si="72"/>
        <v>0</v>
      </c>
      <c r="DG171">
        <f t="shared" si="73"/>
        <v>0</v>
      </c>
      <c r="DH171">
        <f t="shared" si="74"/>
        <v>0</v>
      </c>
      <c r="DI171">
        <f t="shared" si="40"/>
        <v>0</v>
      </c>
      <c r="DJ171">
        <f t="shared" si="75"/>
        <v>0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">
      <c r="A172">
        <f>ROW(Source!A152)</f>
        <v>152</v>
      </c>
      <c r="B172">
        <v>56616093</v>
      </c>
      <c r="C172">
        <v>56616989</v>
      </c>
      <c r="D172">
        <v>46735508</v>
      </c>
      <c r="E172">
        <v>1</v>
      </c>
      <c r="F172">
        <v>1</v>
      </c>
      <c r="G172">
        <v>27786564</v>
      </c>
      <c r="H172">
        <v>3</v>
      </c>
      <c r="I172" t="s">
        <v>515</v>
      </c>
      <c r="J172" t="s">
        <v>516</v>
      </c>
      <c r="K172" t="s">
        <v>517</v>
      </c>
      <c r="L172">
        <v>1356</v>
      </c>
      <c r="N172">
        <v>1010</v>
      </c>
      <c r="O172" t="s">
        <v>511</v>
      </c>
      <c r="P172" t="s">
        <v>511</v>
      </c>
      <c r="Q172">
        <v>1000</v>
      </c>
      <c r="W172">
        <v>0</v>
      </c>
      <c r="X172">
        <v>1674776227</v>
      </c>
      <c r="Y172">
        <f t="shared" si="66"/>
        <v>8.3199999999999993E-3</v>
      </c>
      <c r="AA172">
        <v>229.8</v>
      </c>
      <c r="AB172">
        <v>0</v>
      </c>
      <c r="AC172">
        <v>0</v>
      </c>
      <c r="AD172">
        <v>0</v>
      </c>
      <c r="AE172">
        <v>6.44</v>
      </c>
      <c r="AF172">
        <v>0</v>
      </c>
      <c r="AG172">
        <v>0</v>
      </c>
      <c r="AH172">
        <v>0</v>
      </c>
      <c r="AI172">
        <v>33.01</v>
      </c>
      <c r="AJ172">
        <v>1</v>
      </c>
      <c r="AK172">
        <v>1</v>
      </c>
      <c r="AL172">
        <v>1</v>
      </c>
      <c r="AM172">
        <v>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8.3199999999999993E-3</v>
      </c>
      <c r="AU172" t="s">
        <v>3</v>
      </c>
      <c r="AV172">
        <v>0</v>
      </c>
      <c r="AW172">
        <v>2</v>
      </c>
      <c r="AX172">
        <v>56617011</v>
      </c>
      <c r="AY172">
        <v>1</v>
      </c>
      <c r="AZ172">
        <v>0</v>
      </c>
      <c r="BA172">
        <v>758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ROUND(Y172*Source!I152,9)</f>
        <v>0</v>
      </c>
      <c r="CY172">
        <f t="shared" si="67"/>
        <v>229.8</v>
      </c>
      <c r="CZ172">
        <f t="shared" si="68"/>
        <v>6.44</v>
      </c>
      <c r="DA172">
        <f t="shared" si="69"/>
        <v>33.01</v>
      </c>
      <c r="DB172">
        <f t="shared" si="70"/>
        <v>0.05</v>
      </c>
      <c r="DC172">
        <f t="shared" si="71"/>
        <v>0</v>
      </c>
      <c r="DD172" t="s">
        <v>3</v>
      </c>
      <c r="DE172" t="s">
        <v>3</v>
      </c>
      <c r="DF172">
        <f t="shared" si="72"/>
        <v>0</v>
      </c>
      <c r="DG172">
        <f t="shared" si="73"/>
        <v>0</v>
      </c>
      <c r="DH172">
        <f t="shared" si="74"/>
        <v>0</v>
      </c>
      <c r="DI172">
        <f t="shared" si="40"/>
        <v>0</v>
      </c>
      <c r="DJ172">
        <f t="shared" si="75"/>
        <v>0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">
      <c r="A173">
        <f>ROW(Source!A153)</f>
        <v>153</v>
      </c>
      <c r="B173">
        <v>56622586</v>
      </c>
      <c r="C173">
        <v>56617014</v>
      </c>
      <c r="D173">
        <v>47634407</v>
      </c>
      <c r="E173">
        <v>27786564</v>
      </c>
      <c r="F173">
        <v>1</v>
      </c>
      <c r="G173">
        <v>27786564</v>
      </c>
      <c r="H173">
        <v>1</v>
      </c>
      <c r="I173" t="s">
        <v>439</v>
      </c>
      <c r="J173" t="s">
        <v>3</v>
      </c>
      <c r="K173" t="s">
        <v>440</v>
      </c>
      <c r="L173">
        <v>1191</v>
      </c>
      <c r="N173">
        <v>1013</v>
      </c>
      <c r="O173" t="s">
        <v>441</v>
      </c>
      <c r="P173" t="s">
        <v>441</v>
      </c>
      <c r="Q173">
        <v>1</v>
      </c>
      <c r="W173">
        <v>0</v>
      </c>
      <c r="X173">
        <v>476480486</v>
      </c>
      <c r="Y173">
        <f t="shared" ref="Y173:Y185" si="76">(AT173*1.1)</f>
        <v>12.100000000000001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-2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11</v>
      </c>
      <c r="AU173" t="s">
        <v>22</v>
      </c>
      <c r="AV173">
        <v>1</v>
      </c>
      <c r="AW173">
        <v>2</v>
      </c>
      <c r="AX173">
        <v>56617016</v>
      </c>
      <c r="AY173">
        <v>1</v>
      </c>
      <c r="AZ173">
        <v>0</v>
      </c>
      <c r="BA173">
        <v>761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U173">
        <f>ROUND(AT173*Source!I153*AH173*AL173,2)</f>
        <v>0</v>
      </c>
      <c r="CV173">
        <f>ROUND(Y173*Source!I153,9)</f>
        <v>0</v>
      </c>
      <c r="CW173">
        <v>0</v>
      </c>
      <c r="CX173">
        <f>ROUND(Y173*Source!I153,9)</f>
        <v>0</v>
      </c>
      <c r="CY173">
        <f t="shared" ref="CY173:CY183" si="77">AD173</f>
        <v>0</v>
      </c>
      <c r="CZ173">
        <f t="shared" ref="CZ173:CZ183" si="78">AH173</f>
        <v>0</v>
      </c>
      <c r="DA173">
        <f t="shared" ref="DA173:DA183" si="79">AL173</f>
        <v>1</v>
      </c>
      <c r="DB173">
        <f t="shared" ref="DB173:DB185" si="80">ROUND((ROUND(AT173*CZ173,2)*1.1),6)</f>
        <v>0</v>
      </c>
      <c r="DC173">
        <f t="shared" ref="DC173:DC185" si="81">ROUND((ROUND(AT173*AG173,2)*1.1),6)</f>
        <v>0</v>
      </c>
      <c r="DD173" t="s">
        <v>3</v>
      </c>
      <c r="DE173" t="s">
        <v>3</v>
      </c>
      <c r="DF173">
        <f t="shared" ref="DF173:DF189" si="82">ROUND(ROUND(AE173,2)*CX173,2)</f>
        <v>0</v>
      </c>
      <c r="DG173">
        <f t="shared" si="73"/>
        <v>0</v>
      </c>
      <c r="DH173">
        <f t="shared" si="74"/>
        <v>0</v>
      </c>
      <c r="DI173">
        <f t="shared" si="40"/>
        <v>0</v>
      </c>
      <c r="DJ173">
        <f t="shared" ref="DJ173:DJ183" si="83">DI173</f>
        <v>0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">
      <c r="A174">
        <f>ROW(Source!A154)</f>
        <v>154</v>
      </c>
      <c r="B174">
        <v>56616093</v>
      </c>
      <c r="C174">
        <v>56617014</v>
      </c>
      <c r="D174">
        <v>47634407</v>
      </c>
      <c r="E174">
        <v>27786564</v>
      </c>
      <c r="F174">
        <v>1</v>
      </c>
      <c r="G174">
        <v>27786564</v>
      </c>
      <c r="H174">
        <v>1</v>
      </c>
      <c r="I174" t="s">
        <v>439</v>
      </c>
      <c r="J174" t="s">
        <v>3</v>
      </c>
      <c r="K174" t="s">
        <v>440</v>
      </c>
      <c r="L174">
        <v>1191</v>
      </c>
      <c r="N174">
        <v>1013</v>
      </c>
      <c r="O174" t="s">
        <v>441</v>
      </c>
      <c r="P174" t="s">
        <v>441</v>
      </c>
      <c r="Q174">
        <v>1</v>
      </c>
      <c r="W174">
        <v>0</v>
      </c>
      <c r="X174">
        <v>476480486</v>
      </c>
      <c r="Y174">
        <f t="shared" si="76"/>
        <v>12.100000000000001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-2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11</v>
      </c>
      <c r="AU174" t="s">
        <v>22</v>
      </c>
      <c r="AV174">
        <v>1</v>
      </c>
      <c r="AW174">
        <v>2</v>
      </c>
      <c r="AX174">
        <v>56617016</v>
      </c>
      <c r="AY174">
        <v>1</v>
      </c>
      <c r="AZ174">
        <v>0</v>
      </c>
      <c r="BA174">
        <v>774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U174">
        <f>ROUND(AT174*Source!I154*AH174*AL174,2)</f>
        <v>0</v>
      </c>
      <c r="CV174">
        <f>ROUND(Y174*Source!I154,9)</f>
        <v>0</v>
      </c>
      <c r="CW174">
        <v>0</v>
      </c>
      <c r="CX174">
        <f>ROUND(Y174*Source!I154,9)</f>
        <v>0</v>
      </c>
      <c r="CY174">
        <f t="shared" si="77"/>
        <v>0</v>
      </c>
      <c r="CZ174">
        <f t="shared" si="78"/>
        <v>0</v>
      </c>
      <c r="DA174">
        <f t="shared" si="79"/>
        <v>1</v>
      </c>
      <c r="DB174">
        <f t="shared" si="80"/>
        <v>0</v>
      </c>
      <c r="DC174">
        <f t="shared" si="81"/>
        <v>0</v>
      </c>
      <c r="DD174" t="s">
        <v>3</v>
      </c>
      <c r="DE174" t="s">
        <v>3</v>
      </c>
      <c r="DF174">
        <f t="shared" si="82"/>
        <v>0</v>
      </c>
      <c r="DG174">
        <f t="shared" si="73"/>
        <v>0</v>
      </c>
      <c r="DH174">
        <f t="shared" si="74"/>
        <v>0</v>
      </c>
      <c r="DI174">
        <f t="shared" si="40"/>
        <v>0</v>
      </c>
      <c r="DJ174">
        <f t="shared" si="83"/>
        <v>0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">
      <c r="A175">
        <f>ROW(Source!A155)</f>
        <v>155</v>
      </c>
      <c r="B175">
        <v>56622586</v>
      </c>
      <c r="C175">
        <v>56617029</v>
      </c>
      <c r="D175">
        <v>47634407</v>
      </c>
      <c r="E175">
        <v>27786564</v>
      </c>
      <c r="F175">
        <v>1</v>
      </c>
      <c r="G175">
        <v>27786564</v>
      </c>
      <c r="H175">
        <v>1</v>
      </c>
      <c r="I175" t="s">
        <v>439</v>
      </c>
      <c r="J175" t="s">
        <v>3</v>
      </c>
      <c r="K175" t="s">
        <v>440</v>
      </c>
      <c r="L175">
        <v>1191</v>
      </c>
      <c r="N175">
        <v>1013</v>
      </c>
      <c r="O175" t="s">
        <v>441</v>
      </c>
      <c r="P175" t="s">
        <v>441</v>
      </c>
      <c r="Q175">
        <v>1</v>
      </c>
      <c r="W175">
        <v>0</v>
      </c>
      <c r="X175">
        <v>476480486</v>
      </c>
      <c r="Y175">
        <f t="shared" si="76"/>
        <v>20.460000000000004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18.600000000000001</v>
      </c>
      <c r="AU175" t="s">
        <v>22</v>
      </c>
      <c r="AV175">
        <v>1</v>
      </c>
      <c r="AW175">
        <v>2</v>
      </c>
      <c r="AX175">
        <v>56617031</v>
      </c>
      <c r="AY175">
        <v>1</v>
      </c>
      <c r="AZ175">
        <v>0</v>
      </c>
      <c r="BA175">
        <v>787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U175">
        <f>ROUND(AT175*Source!I155*AH175*AL175,2)</f>
        <v>0</v>
      </c>
      <c r="CV175">
        <f>ROUND(Y175*Source!I155,9)</f>
        <v>0</v>
      </c>
      <c r="CW175">
        <v>0</v>
      </c>
      <c r="CX175">
        <f>ROUND(Y175*Source!I155,9)</f>
        <v>0</v>
      </c>
      <c r="CY175">
        <f t="shared" si="77"/>
        <v>0</v>
      </c>
      <c r="CZ175">
        <f t="shared" si="78"/>
        <v>0</v>
      </c>
      <c r="DA175">
        <f t="shared" si="79"/>
        <v>1</v>
      </c>
      <c r="DB175">
        <f t="shared" si="80"/>
        <v>0</v>
      </c>
      <c r="DC175">
        <f t="shared" si="81"/>
        <v>0</v>
      </c>
      <c r="DD175" t="s">
        <v>3</v>
      </c>
      <c r="DE175" t="s">
        <v>3</v>
      </c>
      <c r="DF175">
        <f t="shared" si="82"/>
        <v>0</v>
      </c>
      <c r="DG175">
        <f t="shared" si="73"/>
        <v>0</v>
      </c>
      <c r="DH175">
        <f t="shared" si="74"/>
        <v>0</v>
      </c>
      <c r="DI175">
        <f t="shared" si="40"/>
        <v>0</v>
      </c>
      <c r="DJ175">
        <f t="shared" si="83"/>
        <v>0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">
      <c r="A176">
        <f>ROW(Source!A156)</f>
        <v>156</v>
      </c>
      <c r="B176">
        <v>56616093</v>
      </c>
      <c r="C176">
        <v>56617029</v>
      </c>
      <c r="D176">
        <v>47634407</v>
      </c>
      <c r="E176">
        <v>27786564</v>
      </c>
      <c r="F176">
        <v>1</v>
      </c>
      <c r="G176">
        <v>27786564</v>
      </c>
      <c r="H176">
        <v>1</v>
      </c>
      <c r="I176" t="s">
        <v>439</v>
      </c>
      <c r="J176" t="s">
        <v>3</v>
      </c>
      <c r="K176" t="s">
        <v>440</v>
      </c>
      <c r="L176">
        <v>1191</v>
      </c>
      <c r="N176">
        <v>1013</v>
      </c>
      <c r="O176" t="s">
        <v>441</v>
      </c>
      <c r="P176" t="s">
        <v>441</v>
      </c>
      <c r="Q176">
        <v>1</v>
      </c>
      <c r="W176">
        <v>0</v>
      </c>
      <c r="X176">
        <v>476480486</v>
      </c>
      <c r="Y176">
        <f t="shared" si="76"/>
        <v>20.460000000000004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-2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18.600000000000001</v>
      </c>
      <c r="AU176" t="s">
        <v>22</v>
      </c>
      <c r="AV176">
        <v>1</v>
      </c>
      <c r="AW176">
        <v>2</v>
      </c>
      <c r="AX176">
        <v>56617031</v>
      </c>
      <c r="AY176">
        <v>1</v>
      </c>
      <c r="AZ176">
        <v>0</v>
      </c>
      <c r="BA176">
        <v>802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U176">
        <f>ROUND(AT176*Source!I156*AH176*AL176,2)</f>
        <v>0</v>
      </c>
      <c r="CV176">
        <f>ROUND(Y176*Source!I156,9)</f>
        <v>0</v>
      </c>
      <c r="CW176">
        <v>0</v>
      </c>
      <c r="CX176">
        <f>ROUND(Y176*Source!I156,9)</f>
        <v>0</v>
      </c>
      <c r="CY176">
        <f t="shared" si="77"/>
        <v>0</v>
      </c>
      <c r="CZ176">
        <f t="shared" si="78"/>
        <v>0</v>
      </c>
      <c r="DA176">
        <f t="shared" si="79"/>
        <v>1</v>
      </c>
      <c r="DB176">
        <f t="shared" si="80"/>
        <v>0</v>
      </c>
      <c r="DC176">
        <f t="shared" si="81"/>
        <v>0</v>
      </c>
      <c r="DD176" t="s">
        <v>3</v>
      </c>
      <c r="DE176" t="s">
        <v>3</v>
      </c>
      <c r="DF176">
        <f t="shared" si="82"/>
        <v>0</v>
      </c>
      <c r="DG176">
        <f t="shared" si="73"/>
        <v>0</v>
      </c>
      <c r="DH176">
        <f t="shared" si="74"/>
        <v>0</v>
      </c>
      <c r="DI176">
        <f t="shared" si="40"/>
        <v>0</v>
      </c>
      <c r="DJ176">
        <f t="shared" si="83"/>
        <v>0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">
      <c r="A177">
        <f>ROW(Source!A157)</f>
        <v>157</v>
      </c>
      <c r="B177">
        <v>56622586</v>
      </c>
      <c r="C177">
        <v>56617046</v>
      </c>
      <c r="D177">
        <v>47634407</v>
      </c>
      <c r="E177">
        <v>27786564</v>
      </c>
      <c r="F177">
        <v>1</v>
      </c>
      <c r="G177">
        <v>27786564</v>
      </c>
      <c r="H177">
        <v>1</v>
      </c>
      <c r="I177" t="s">
        <v>439</v>
      </c>
      <c r="J177" t="s">
        <v>3</v>
      </c>
      <c r="K177" t="s">
        <v>440</v>
      </c>
      <c r="L177">
        <v>1191</v>
      </c>
      <c r="N177">
        <v>1013</v>
      </c>
      <c r="O177" t="s">
        <v>441</v>
      </c>
      <c r="P177" t="s">
        <v>441</v>
      </c>
      <c r="Q177">
        <v>1</v>
      </c>
      <c r="W177">
        <v>0</v>
      </c>
      <c r="X177">
        <v>476480486</v>
      </c>
      <c r="Y177">
        <f t="shared" si="76"/>
        <v>24.64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22.4</v>
      </c>
      <c r="AU177" t="s">
        <v>22</v>
      </c>
      <c r="AV177">
        <v>1</v>
      </c>
      <c r="AW177">
        <v>2</v>
      </c>
      <c r="AX177">
        <v>56617048</v>
      </c>
      <c r="AY177">
        <v>1</v>
      </c>
      <c r="AZ177">
        <v>0</v>
      </c>
      <c r="BA177">
        <v>817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U177">
        <f>ROUND(AT177*Source!I157*AH177*AL177,2)</f>
        <v>0</v>
      </c>
      <c r="CV177">
        <f>ROUND(Y177*Source!I157,9)</f>
        <v>0</v>
      </c>
      <c r="CW177">
        <v>0</v>
      </c>
      <c r="CX177">
        <f>ROUND(Y177*Source!I157,9)</f>
        <v>0</v>
      </c>
      <c r="CY177">
        <f t="shared" si="77"/>
        <v>0</v>
      </c>
      <c r="CZ177">
        <f t="shared" si="78"/>
        <v>0</v>
      </c>
      <c r="DA177">
        <f t="shared" si="79"/>
        <v>1</v>
      </c>
      <c r="DB177">
        <f t="shared" si="80"/>
        <v>0</v>
      </c>
      <c r="DC177">
        <f t="shared" si="81"/>
        <v>0</v>
      </c>
      <c r="DD177" t="s">
        <v>3</v>
      </c>
      <c r="DE177" t="s">
        <v>3</v>
      </c>
      <c r="DF177">
        <f t="shared" si="82"/>
        <v>0</v>
      </c>
      <c r="DG177">
        <f t="shared" si="73"/>
        <v>0</v>
      </c>
      <c r="DH177">
        <f t="shared" si="74"/>
        <v>0</v>
      </c>
      <c r="DI177">
        <f t="shared" si="40"/>
        <v>0</v>
      </c>
      <c r="DJ177">
        <f t="shared" si="83"/>
        <v>0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">
      <c r="A178">
        <f>ROW(Source!A158)</f>
        <v>158</v>
      </c>
      <c r="B178">
        <v>56616093</v>
      </c>
      <c r="C178">
        <v>56617046</v>
      </c>
      <c r="D178">
        <v>47634407</v>
      </c>
      <c r="E178">
        <v>27786564</v>
      </c>
      <c r="F178">
        <v>1</v>
      </c>
      <c r="G178">
        <v>27786564</v>
      </c>
      <c r="H178">
        <v>1</v>
      </c>
      <c r="I178" t="s">
        <v>439</v>
      </c>
      <c r="J178" t="s">
        <v>3</v>
      </c>
      <c r="K178" t="s">
        <v>440</v>
      </c>
      <c r="L178">
        <v>1191</v>
      </c>
      <c r="N178">
        <v>1013</v>
      </c>
      <c r="O178" t="s">
        <v>441</v>
      </c>
      <c r="P178" t="s">
        <v>441</v>
      </c>
      <c r="Q178">
        <v>1</v>
      </c>
      <c r="W178">
        <v>0</v>
      </c>
      <c r="X178">
        <v>476480486</v>
      </c>
      <c r="Y178">
        <f t="shared" si="76"/>
        <v>24.64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-2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22.4</v>
      </c>
      <c r="AU178" t="s">
        <v>22</v>
      </c>
      <c r="AV178">
        <v>1</v>
      </c>
      <c r="AW178">
        <v>2</v>
      </c>
      <c r="AX178">
        <v>56617048</v>
      </c>
      <c r="AY178">
        <v>1</v>
      </c>
      <c r="AZ178">
        <v>0</v>
      </c>
      <c r="BA178">
        <v>832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U178">
        <f>ROUND(AT178*Source!I158*AH178*AL178,2)</f>
        <v>0</v>
      </c>
      <c r="CV178">
        <f>ROUND(Y178*Source!I158,9)</f>
        <v>0</v>
      </c>
      <c r="CW178">
        <v>0</v>
      </c>
      <c r="CX178">
        <f>ROUND(Y178*Source!I158,9)</f>
        <v>0</v>
      </c>
      <c r="CY178">
        <f t="shared" si="77"/>
        <v>0</v>
      </c>
      <c r="CZ178">
        <f t="shared" si="78"/>
        <v>0</v>
      </c>
      <c r="DA178">
        <f t="shared" si="79"/>
        <v>1</v>
      </c>
      <c r="DB178">
        <f t="shared" si="80"/>
        <v>0</v>
      </c>
      <c r="DC178">
        <f t="shared" si="81"/>
        <v>0</v>
      </c>
      <c r="DD178" t="s">
        <v>3</v>
      </c>
      <c r="DE178" t="s">
        <v>3</v>
      </c>
      <c r="DF178">
        <f t="shared" si="82"/>
        <v>0</v>
      </c>
      <c r="DG178">
        <f t="shared" si="73"/>
        <v>0</v>
      </c>
      <c r="DH178">
        <f t="shared" si="74"/>
        <v>0</v>
      </c>
      <c r="DI178">
        <f t="shared" si="40"/>
        <v>0</v>
      </c>
      <c r="DJ178">
        <f t="shared" si="83"/>
        <v>0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">
      <c r="A179">
        <f>ROW(Source!A159)</f>
        <v>159</v>
      </c>
      <c r="B179">
        <v>56622586</v>
      </c>
      <c r="C179">
        <v>56617063</v>
      </c>
      <c r="D179">
        <v>47634407</v>
      </c>
      <c r="E179">
        <v>27786564</v>
      </c>
      <c r="F179">
        <v>1</v>
      </c>
      <c r="G179">
        <v>27786564</v>
      </c>
      <c r="H179">
        <v>1</v>
      </c>
      <c r="I179" t="s">
        <v>439</v>
      </c>
      <c r="J179" t="s">
        <v>3</v>
      </c>
      <c r="K179" t="s">
        <v>440</v>
      </c>
      <c r="L179">
        <v>1191</v>
      </c>
      <c r="N179">
        <v>1013</v>
      </c>
      <c r="O179" t="s">
        <v>441</v>
      </c>
      <c r="P179" t="s">
        <v>441</v>
      </c>
      <c r="Q179">
        <v>1</v>
      </c>
      <c r="W179">
        <v>0</v>
      </c>
      <c r="X179">
        <v>476480486</v>
      </c>
      <c r="Y179">
        <f t="shared" si="76"/>
        <v>35.200000000000003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-2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32</v>
      </c>
      <c r="AU179" t="s">
        <v>22</v>
      </c>
      <c r="AV179">
        <v>1</v>
      </c>
      <c r="AW179">
        <v>2</v>
      </c>
      <c r="AX179">
        <v>56617065</v>
      </c>
      <c r="AY179">
        <v>1</v>
      </c>
      <c r="AZ179">
        <v>0</v>
      </c>
      <c r="BA179">
        <v>847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U179">
        <f>ROUND(AT179*Source!I159*AH179*AL179,2)</f>
        <v>0</v>
      </c>
      <c r="CV179">
        <f>ROUND(Y179*Source!I159,9)</f>
        <v>0</v>
      </c>
      <c r="CW179">
        <v>0</v>
      </c>
      <c r="CX179">
        <f>ROUND(Y179*Source!I159,9)</f>
        <v>0</v>
      </c>
      <c r="CY179">
        <f t="shared" si="77"/>
        <v>0</v>
      </c>
      <c r="CZ179">
        <f t="shared" si="78"/>
        <v>0</v>
      </c>
      <c r="DA179">
        <f t="shared" si="79"/>
        <v>1</v>
      </c>
      <c r="DB179">
        <f t="shared" si="80"/>
        <v>0</v>
      </c>
      <c r="DC179">
        <f t="shared" si="81"/>
        <v>0</v>
      </c>
      <c r="DD179" t="s">
        <v>3</v>
      </c>
      <c r="DE179" t="s">
        <v>3</v>
      </c>
      <c r="DF179">
        <f t="shared" si="82"/>
        <v>0</v>
      </c>
      <c r="DG179">
        <f t="shared" si="73"/>
        <v>0</v>
      </c>
      <c r="DH179">
        <f t="shared" si="74"/>
        <v>0</v>
      </c>
      <c r="DI179">
        <f t="shared" si="40"/>
        <v>0</v>
      </c>
      <c r="DJ179">
        <f t="shared" si="83"/>
        <v>0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">
      <c r="A180">
        <f>ROW(Source!A160)</f>
        <v>160</v>
      </c>
      <c r="B180">
        <v>56616093</v>
      </c>
      <c r="C180">
        <v>56617063</v>
      </c>
      <c r="D180">
        <v>47634407</v>
      </c>
      <c r="E180">
        <v>27786564</v>
      </c>
      <c r="F180">
        <v>1</v>
      </c>
      <c r="G180">
        <v>27786564</v>
      </c>
      <c r="H180">
        <v>1</v>
      </c>
      <c r="I180" t="s">
        <v>439</v>
      </c>
      <c r="J180" t="s">
        <v>3</v>
      </c>
      <c r="K180" t="s">
        <v>440</v>
      </c>
      <c r="L180">
        <v>1191</v>
      </c>
      <c r="N180">
        <v>1013</v>
      </c>
      <c r="O180" t="s">
        <v>441</v>
      </c>
      <c r="P180" t="s">
        <v>441</v>
      </c>
      <c r="Q180">
        <v>1</v>
      </c>
      <c r="W180">
        <v>0</v>
      </c>
      <c r="X180">
        <v>476480486</v>
      </c>
      <c r="Y180">
        <f t="shared" si="76"/>
        <v>35.200000000000003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-2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32</v>
      </c>
      <c r="AU180" t="s">
        <v>22</v>
      </c>
      <c r="AV180">
        <v>1</v>
      </c>
      <c r="AW180">
        <v>2</v>
      </c>
      <c r="AX180">
        <v>56617065</v>
      </c>
      <c r="AY180">
        <v>1</v>
      </c>
      <c r="AZ180">
        <v>0</v>
      </c>
      <c r="BA180">
        <v>862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U180">
        <f>ROUND(AT180*Source!I160*AH180*AL180,2)</f>
        <v>0</v>
      </c>
      <c r="CV180">
        <f>ROUND(Y180*Source!I160,9)</f>
        <v>0</v>
      </c>
      <c r="CW180">
        <v>0</v>
      </c>
      <c r="CX180">
        <f>ROUND(Y180*Source!I160,9)</f>
        <v>0</v>
      </c>
      <c r="CY180">
        <f t="shared" si="77"/>
        <v>0</v>
      </c>
      <c r="CZ180">
        <f t="shared" si="78"/>
        <v>0</v>
      </c>
      <c r="DA180">
        <f t="shared" si="79"/>
        <v>1</v>
      </c>
      <c r="DB180">
        <f t="shared" si="80"/>
        <v>0</v>
      </c>
      <c r="DC180">
        <f t="shared" si="81"/>
        <v>0</v>
      </c>
      <c r="DD180" t="s">
        <v>3</v>
      </c>
      <c r="DE180" t="s">
        <v>3</v>
      </c>
      <c r="DF180">
        <f t="shared" si="82"/>
        <v>0</v>
      </c>
      <c r="DG180">
        <f t="shared" si="73"/>
        <v>0</v>
      </c>
      <c r="DH180">
        <f t="shared" si="74"/>
        <v>0</v>
      </c>
      <c r="DI180">
        <f t="shared" si="40"/>
        <v>0</v>
      </c>
      <c r="DJ180">
        <f t="shared" si="83"/>
        <v>0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">
      <c r="A181">
        <f>ROW(Source!A161)</f>
        <v>161</v>
      </c>
      <c r="B181">
        <v>56622586</v>
      </c>
      <c r="C181">
        <v>56617080</v>
      </c>
      <c r="D181">
        <v>47634407</v>
      </c>
      <c r="E181">
        <v>27786564</v>
      </c>
      <c r="F181">
        <v>1</v>
      </c>
      <c r="G181">
        <v>27786564</v>
      </c>
      <c r="H181">
        <v>1</v>
      </c>
      <c r="I181" t="s">
        <v>439</v>
      </c>
      <c r="J181" t="s">
        <v>3</v>
      </c>
      <c r="K181" t="s">
        <v>440</v>
      </c>
      <c r="L181">
        <v>1191</v>
      </c>
      <c r="N181">
        <v>1013</v>
      </c>
      <c r="O181" t="s">
        <v>441</v>
      </c>
      <c r="P181" t="s">
        <v>441</v>
      </c>
      <c r="Q181">
        <v>1</v>
      </c>
      <c r="W181">
        <v>0</v>
      </c>
      <c r="X181">
        <v>476480486</v>
      </c>
      <c r="Y181">
        <f t="shared" si="76"/>
        <v>35.200000000000003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32</v>
      </c>
      <c r="AU181" t="s">
        <v>22</v>
      </c>
      <c r="AV181">
        <v>1</v>
      </c>
      <c r="AW181">
        <v>2</v>
      </c>
      <c r="AX181">
        <v>56617082</v>
      </c>
      <c r="AY181">
        <v>1</v>
      </c>
      <c r="AZ181">
        <v>0</v>
      </c>
      <c r="BA181">
        <v>877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U181">
        <f>ROUND(AT181*Source!I161*AH181*AL181,2)</f>
        <v>0</v>
      </c>
      <c r="CV181">
        <f>ROUND(Y181*Source!I161,9)</f>
        <v>0</v>
      </c>
      <c r="CW181">
        <v>0</v>
      </c>
      <c r="CX181">
        <f>ROUND(Y181*Source!I161,9)</f>
        <v>0</v>
      </c>
      <c r="CY181">
        <f t="shared" si="77"/>
        <v>0</v>
      </c>
      <c r="CZ181">
        <f t="shared" si="78"/>
        <v>0</v>
      </c>
      <c r="DA181">
        <f t="shared" si="79"/>
        <v>1</v>
      </c>
      <c r="DB181">
        <f t="shared" si="80"/>
        <v>0</v>
      </c>
      <c r="DC181">
        <f t="shared" si="81"/>
        <v>0</v>
      </c>
      <c r="DD181" t="s">
        <v>3</v>
      </c>
      <c r="DE181" t="s">
        <v>3</v>
      </c>
      <c r="DF181">
        <f t="shared" si="82"/>
        <v>0</v>
      </c>
      <c r="DG181">
        <f t="shared" si="73"/>
        <v>0</v>
      </c>
      <c r="DH181">
        <f t="shared" si="74"/>
        <v>0</v>
      </c>
      <c r="DI181">
        <f t="shared" si="40"/>
        <v>0</v>
      </c>
      <c r="DJ181">
        <f t="shared" si="83"/>
        <v>0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">
      <c r="A182">
        <f>ROW(Source!A162)</f>
        <v>162</v>
      </c>
      <c r="B182">
        <v>56616093</v>
      </c>
      <c r="C182">
        <v>56617080</v>
      </c>
      <c r="D182">
        <v>47634407</v>
      </c>
      <c r="E182">
        <v>27786564</v>
      </c>
      <c r="F182">
        <v>1</v>
      </c>
      <c r="G182">
        <v>27786564</v>
      </c>
      <c r="H182">
        <v>1</v>
      </c>
      <c r="I182" t="s">
        <v>439</v>
      </c>
      <c r="J182" t="s">
        <v>3</v>
      </c>
      <c r="K182" t="s">
        <v>440</v>
      </c>
      <c r="L182">
        <v>1191</v>
      </c>
      <c r="N182">
        <v>1013</v>
      </c>
      <c r="O182" t="s">
        <v>441</v>
      </c>
      <c r="P182" t="s">
        <v>441</v>
      </c>
      <c r="Q182">
        <v>1</v>
      </c>
      <c r="W182">
        <v>0</v>
      </c>
      <c r="X182">
        <v>476480486</v>
      </c>
      <c r="Y182">
        <f t="shared" si="76"/>
        <v>35.200000000000003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-2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32</v>
      </c>
      <c r="AU182" t="s">
        <v>22</v>
      </c>
      <c r="AV182">
        <v>1</v>
      </c>
      <c r="AW182">
        <v>2</v>
      </c>
      <c r="AX182">
        <v>56617082</v>
      </c>
      <c r="AY182">
        <v>1</v>
      </c>
      <c r="AZ182">
        <v>0</v>
      </c>
      <c r="BA182">
        <v>892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U182">
        <f>ROUND(AT182*Source!I162*AH182*AL182,2)</f>
        <v>0</v>
      </c>
      <c r="CV182">
        <f>ROUND(Y182*Source!I162,9)</f>
        <v>0</v>
      </c>
      <c r="CW182">
        <v>0</v>
      </c>
      <c r="CX182">
        <f>ROUND(Y182*Source!I162,9)</f>
        <v>0</v>
      </c>
      <c r="CY182">
        <f t="shared" si="77"/>
        <v>0</v>
      </c>
      <c r="CZ182">
        <f t="shared" si="78"/>
        <v>0</v>
      </c>
      <c r="DA182">
        <f t="shared" si="79"/>
        <v>1</v>
      </c>
      <c r="DB182">
        <f t="shared" si="80"/>
        <v>0</v>
      </c>
      <c r="DC182">
        <f t="shared" si="81"/>
        <v>0</v>
      </c>
      <c r="DD182" t="s">
        <v>3</v>
      </c>
      <c r="DE182" t="s">
        <v>3</v>
      </c>
      <c r="DF182">
        <f t="shared" si="82"/>
        <v>0</v>
      </c>
      <c r="DG182">
        <f t="shared" si="73"/>
        <v>0</v>
      </c>
      <c r="DH182">
        <f t="shared" si="74"/>
        <v>0</v>
      </c>
      <c r="DI182">
        <f t="shared" si="40"/>
        <v>0</v>
      </c>
      <c r="DJ182">
        <f t="shared" si="83"/>
        <v>0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">
      <c r="A183">
        <f>ROW(Source!A171)</f>
        <v>171</v>
      </c>
      <c r="B183">
        <v>56622586</v>
      </c>
      <c r="C183">
        <v>56617129</v>
      </c>
      <c r="D183">
        <v>47634407</v>
      </c>
      <c r="E183">
        <v>27786564</v>
      </c>
      <c r="F183">
        <v>1</v>
      </c>
      <c r="G183">
        <v>27786564</v>
      </c>
      <c r="H183">
        <v>1</v>
      </c>
      <c r="I183" t="s">
        <v>439</v>
      </c>
      <c r="J183" t="s">
        <v>3</v>
      </c>
      <c r="K183" t="s">
        <v>440</v>
      </c>
      <c r="L183">
        <v>1191</v>
      </c>
      <c r="N183">
        <v>1013</v>
      </c>
      <c r="O183" t="s">
        <v>441</v>
      </c>
      <c r="P183" t="s">
        <v>441</v>
      </c>
      <c r="Q183">
        <v>1</v>
      </c>
      <c r="W183">
        <v>0</v>
      </c>
      <c r="X183">
        <v>476480486</v>
      </c>
      <c r="Y183">
        <f t="shared" si="76"/>
        <v>7.3810000000000002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-2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6.71</v>
      </c>
      <c r="AU183" t="s">
        <v>22</v>
      </c>
      <c r="AV183">
        <v>1</v>
      </c>
      <c r="AW183">
        <v>2</v>
      </c>
      <c r="AX183">
        <v>56617134</v>
      </c>
      <c r="AY183">
        <v>1</v>
      </c>
      <c r="AZ183">
        <v>0</v>
      </c>
      <c r="BA183">
        <v>963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U183">
        <f>ROUND(AT183*Source!I171*AH183*AL183,2)</f>
        <v>0</v>
      </c>
      <c r="CV183">
        <f>ROUND(Y183*Source!I171,9)</f>
        <v>0</v>
      </c>
      <c r="CW183">
        <v>0</v>
      </c>
      <c r="CX183">
        <f>ROUND(Y183*Source!I171,9)</f>
        <v>0</v>
      </c>
      <c r="CY183">
        <f t="shared" si="77"/>
        <v>0</v>
      </c>
      <c r="CZ183">
        <f t="shared" si="78"/>
        <v>0</v>
      </c>
      <c r="DA183">
        <f t="shared" si="79"/>
        <v>1</v>
      </c>
      <c r="DB183">
        <f t="shared" si="80"/>
        <v>0</v>
      </c>
      <c r="DC183">
        <f t="shared" si="81"/>
        <v>0</v>
      </c>
      <c r="DD183" t="s">
        <v>3</v>
      </c>
      <c r="DE183" t="s">
        <v>3</v>
      </c>
      <c r="DF183">
        <f t="shared" si="82"/>
        <v>0</v>
      </c>
      <c r="DG183">
        <f t="shared" si="73"/>
        <v>0</v>
      </c>
      <c r="DH183">
        <f t="shared" si="74"/>
        <v>0</v>
      </c>
      <c r="DI183">
        <f t="shared" si="40"/>
        <v>0</v>
      </c>
      <c r="DJ183">
        <f t="shared" si="83"/>
        <v>0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">
      <c r="A184">
        <f>ROW(Source!A171)</f>
        <v>171</v>
      </c>
      <c r="B184">
        <v>56622586</v>
      </c>
      <c r="C184">
        <v>56617129</v>
      </c>
      <c r="D184">
        <v>47766965</v>
      </c>
      <c r="E184">
        <v>1</v>
      </c>
      <c r="F184">
        <v>1</v>
      </c>
      <c r="G184">
        <v>27786564</v>
      </c>
      <c r="H184">
        <v>2</v>
      </c>
      <c r="I184" t="s">
        <v>518</v>
      </c>
      <c r="J184" t="s">
        <v>519</v>
      </c>
      <c r="K184" t="s">
        <v>520</v>
      </c>
      <c r="L184">
        <v>1368</v>
      </c>
      <c r="N184">
        <v>1011</v>
      </c>
      <c r="O184" t="s">
        <v>445</v>
      </c>
      <c r="P184" t="s">
        <v>445</v>
      </c>
      <c r="Q184">
        <v>1</v>
      </c>
      <c r="W184">
        <v>0</v>
      </c>
      <c r="X184">
        <v>-1515886774</v>
      </c>
      <c r="Y184">
        <f t="shared" si="76"/>
        <v>0.79200000000000004</v>
      </c>
      <c r="AA184">
        <v>0</v>
      </c>
      <c r="AB184">
        <v>0.12</v>
      </c>
      <c r="AC184">
        <v>0</v>
      </c>
      <c r="AD184">
        <v>0</v>
      </c>
      <c r="AE184">
        <v>0</v>
      </c>
      <c r="AF184">
        <v>0.12</v>
      </c>
      <c r="AG184">
        <v>0</v>
      </c>
      <c r="AH184">
        <v>0</v>
      </c>
      <c r="AI184">
        <v>1</v>
      </c>
      <c r="AJ184">
        <v>1</v>
      </c>
      <c r="AK184">
        <v>1</v>
      </c>
      <c r="AL184">
        <v>1</v>
      </c>
      <c r="AM184">
        <v>-2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0.72</v>
      </c>
      <c r="AU184" t="s">
        <v>22</v>
      </c>
      <c r="AV184">
        <v>0</v>
      </c>
      <c r="AW184">
        <v>2</v>
      </c>
      <c r="AX184">
        <v>56617135</v>
      </c>
      <c r="AY184">
        <v>1</v>
      </c>
      <c r="AZ184">
        <v>0</v>
      </c>
      <c r="BA184">
        <v>964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f>ROUND(Y184*Source!I171*DO184,9)</f>
        <v>0</v>
      </c>
      <c r="CX184">
        <f>ROUND(Y184*Source!I171,9)</f>
        <v>0</v>
      </c>
      <c r="CY184">
        <f>AB184</f>
        <v>0.12</v>
      </c>
      <c r="CZ184">
        <f>AF184</f>
        <v>0.12</v>
      </c>
      <c r="DA184">
        <f>AJ184</f>
        <v>1</v>
      </c>
      <c r="DB184">
        <f t="shared" si="80"/>
        <v>9.9000000000000005E-2</v>
      </c>
      <c r="DC184">
        <f t="shared" si="81"/>
        <v>0</v>
      </c>
      <c r="DD184" t="s">
        <v>3</v>
      </c>
      <c r="DE184" t="s">
        <v>3</v>
      </c>
      <c r="DF184">
        <f t="shared" si="82"/>
        <v>0</v>
      </c>
      <c r="DG184">
        <f t="shared" si="73"/>
        <v>0</v>
      </c>
      <c r="DH184">
        <f t="shared" si="74"/>
        <v>0</v>
      </c>
      <c r="DI184">
        <f t="shared" si="40"/>
        <v>0</v>
      </c>
      <c r="DJ184">
        <f>DG184</f>
        <v>0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">
      <c r="A185">
        <f>ROW(Source!A171)</f>
        <v>171</v>
      </c>
      <c r="B185">
        <v>56622586</v>
      </c>
      <c r="C185">
        <v>56617129</v>
      </c>
      <c r="D185">
        <v>47767106</v>
      </c>
      <c r="E185">
        <v>1</v>
      </c>
      <c r="F185">
        <v>1</v>
      </c>
      <c r="G185">
        <v>27786564</v>
      </c>
      <c r="H185">
        <v>2</v>
      </c>
      <c r="I185" t="s">
        <v>487</v>
      </c>
      <c r="J185" t="s">
        <v>488</v>
      </c>
      <c r="K185" t="s">
        <v>489</v>
      </c>
      <c r="L185">
        <v>1368</v>
      </c>
      <c r="N185">
        <v>1011</v>
      </c>
      <c r="O185" t="s">
        <v>445</v>
      </c>
      <c r="P185" t="s">
        <v>445</v>
      </c>
      <c r="Q185">
        <v>1</v>
      </c>
      <c r="W185">
        <v>0</v>
      </c>
      <c r="X185">
        <v>-7781208</v>
      </c>
      <c r="Y185">
        <f t="shared" si="76"/>
        <v>1.1000000000000001E-2</v>
      </c>
      <c r="AA185">
        <v>0</v>
      </c>
      <c r="AB185">
        <v>83.1</v>
      </c>
      <c r="AC185">
        <v>12.62</v>
      </c>
      <c r="AD185">
        <v>0</v>
      </c>
      <c r="AE185">
        <v>0</v>
      </c>
      <c r="AF185">
        <v>83.1</v>
      </c>
      <c r="AG185">
        <v>12.62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-2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0.01</v>
      </c>
      <c r="AU185" t="s">
        <v>22</v>
      </c>
      <c r="AV185">
        <v>0</v>
      </c>
      <c r="AW185">
        <v>2</v>
      </c>
      <c r="AX185">
        <v>56617136</v>
      </c>
      <c r="AY185">
        <v>1</v>
      </c>
      <c r="AZ185">
        <v>0</v>
      </c>
      <c r="BA185">
        <v>965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f>ROUND(Y185*Source!I171*DO185,9)</f>
        <v>0</v>
      </c>
      <c r="CX185">
        <f>ROUND(Y185*Source!I171,9)</f>
        <v>0</v>
      </c>
      <c r="CY185">
        <f>AB185</f>
        <v>83.1</v>
      </c>
      <c r="CZ185">
        <f>AF185</f>
        <v>83.1</v>
      </c>
      <c r="DA185">
        <f>AJ185</f>
        <v>1</v>
      </c>
      <c r="DB185">
        <f t="shared" si="80"/>
        <v>0.91300000000000003</v>
      </c>
      <c r="DC185">
        <f t="shared" si="81"/>
        <v>0.14299999999999999</v>
      </c>
      <c r="DD185" t="s">
        <v>3</v>
      </c>
      <c r="DE185" t="s">
        <v>3</v>
      </c>
      <c r="DF185">
        <f t="shared" si="82"/>
        <v>0</v>
      </c>
      <c r="DG185">
        <f t="shared" si="73"/>
        <v>0</v>
      </c>
      <c r="DH185">
        <f t="shared" si="74"/>
        <v>0</v>
      </c>
      <c r="DI185">
        <f t="shared" si="40"/>
        <v>0</v>
      </c>
      <c r="DJ185">
        <f>DG185</f>
        <v>0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">
      <c r="A186">
        <f>ROW(Source!A171)</f>
        <v>171</v>
      </c>
      <c r="B186">
        <v>56622586</v>
      </c>
      <c r="C186">
        <v>56617129</v>
      </c>
      <c r="D186">
        <v>37620224</v>
      </c>
      <c r="E186">
        <v>1</v>
      </c>
      <c r="F186">
        <v>1</v>
      </c>
      <c r="G186">
        <v>27786564</v>
      </c>
      <c r="H186">
        <v>3</v>
      </c>
      <c r="I186" t="s">
        <v>521</v>
      </c>
      <c r="J186" t="s">
        <v>522</v>
      </c>
      <c r="K186" t="s">
        <v>523</v>
      </c>
      <c r="L186">
        <v>1346</v>
      </c>
      <c r="N186">
        <v>1009</v>
      </c>
      <c r="O186" t="s">
        <v>104</v>
      </c>
      <c r="P186" t="s">
        <v>104</v>
      </c>
      <c r="Q186">
        <v>1</v>
      </c>
      <c r="W186">
        <v>0</v>
      </c>
      <c r="X186">
        <v>-1770684771</v>
      </c>
      <c r="Y186">
        <f>AT186</f>
        <v>2.2578</v>
      </c>
      <c r="AA186">
        <v>6.27</v>
      </c>
      <c r="AB186">
        <v>0</v>
      </c>
      <c r="AC186">
        <v>0</v>
      </c>
      <c r="AD186">
        <v>0</v>
      </c>
      <c r="AE186">
        <v>6.27</v>
      </c>
      <c r="AF186">
        <v>0</v>
      </c>
      <c r="AG186">
        <v>0</v>
      </c>
      <c r="AH186">
        <v>0</v>
      </c>
      <c r="AI186">
        <v>1</v>
      </c>
      <c r="AJ186">
        <v>1</v>
      </c>
      <c r="AK186">
        <v>1</v>
      </c>
      <c r="AL186">
        <v>1</v>
      </c>
      <c r="AM186">
        <v>-2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2.2578</v>
      </c>
      <c r="AU186" t="s">
        <v>3</v>
      </c>
      <c r="AV186">
        <v>0</v>
      </c>
      <c r="AW186">
        <v>2</v>
      </c>
      <c r="AX186">
        <v>56617137</v>
      </c>
      <c r="AY186">
        <v>1</v>
      </c>
      <c r="AZ186">
        <v>0</v>
      </c>
      <c r="BA186">
        <v>966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ROUND(Y186*Source!I171,9)</f>
        <v>0</v>
      </c>
      <c r="CY186">
        <f>AA186</f>
        <v>6.27</v>
      </c>
      <c r="CZ186">
        <f>AE186</f>
        <v>6.27</v>
      </c>
      <c r="DA186">
        <f>AI186</f>
        <v>1</v>
      </c>
      <c r="DB186">
        <f>ROUND(ROUND(AT186*CZ186,2),6)</f>
        <v>14.16</v>
      </c>
      <c r="DC186">
        <f>ROUND(ROUND(AT186*AG186,2),6)</f>
        <v>0</v>
      </c>
      <c r="DD186" t="s">
        <v>3</v>
      </c>
      <c r="DE186" t="s">
        <v>3</v>
      </c>
      <c r="DF186">
        <f t="shared" si="82"/>
        <v>0</v>
      </c>
      <c r="DG186">
        <f t="shared" si="73"/>
        <v>0</v>
      </c>
      <c r="DH186">
        <f t="shared" si="74"/>
        <v>0</v>
      </c>
      <c r="DI186">
        <f t="shared" si="40"/>
        <v>0</v>
      </c>
      <c r="DJ186">
        <f>DF186</f>
        <v>0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">
      <c r="A187">
        <f>ROW(Source!A172)</f>
        <v>172</v>
      </c>
      <c r="B187">
        <v>56616093</v>
      </c>
      <c r="C187">
        <v>56617129</v>
      </c>
      <c r="D187">
        <v>47634407</v>
      </c>
      <c r="E187">
        <v>27786564</v>
      </c>
      <c r="F187">
        <v>1</v>
      </c>
      <c r="G187">
        <v>27786564</v>
      </c>
      <c r="H187">
        <v>1</v>
      </c>
      <c r="I187" t="s">
        <v>439</v>
      </c>
      <c r="J187" t="s">
        <v>3</v>
      </c>
      <c r="K187" t="s">
        <v>440</v>
      </c>
      <c r="L187">
        <v>1191</v>
      </c>
      <c r="N187">
        <v>1013</v>
      </c>
      <c r="O187" t="s">
        <v>441</v>
      </c>
      <c r="P187" t="s">
        <v>441</v>
      </c>
      <c r="Q187">
        <v>1</v>
      </c>
      <c r="W187">
        <v>0</v>
      </c>
      <c r="X187">
        <v>476480486</v>
      </c>
      <c r="Y187">
        <f>(AT187*1.1)</f>
        <v>7.3810000000000002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-2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6.71</v>
      </c>
      <c r="AU187" t="s">
        <v>22</v>
      </c>
      <c r="AV187">
        <v>1</v>
      </c>
      <c r="AW187">
        <v>2</v>
      </c>
      <c r="AX187">
        <v>56617134</v>
      </c>
      <c r="AY187">
        <v>1</v>
      </c>
      <c r="AZ187">
        <v>0</v>
      </c>
      <c r="BA187">
        <v>968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U187">
        <f>ROUND(AT187*Source!I172*AH187*AL187,2)</f>
        <v>0</v>
      </c>
      <c r="CV187">
        <f>ROUND(Y187*Source!I172,9)</f>
        <v>0</v>
      </c>
      <c r="CW187">
        <v>0</v>
      </c>
      <c r="CX187">
        <f>ROUND(Y187*Source!I172,9)</f>
        <v>0</v>
      </c>
      <c r="CY187">
        <f>AD187</f>
        <v>0</v>
      </c>
      <c r="CZ187">
        <f>AH187</f>
        <v>0</v>
      </c>
      <c r="DA187">
        <f>AL187</f>
        <v>1</v>
      </c>
      <c r="DB187">
        <f>ROUND((ROUND(AT187*CZ187,2)*1.1),6)</f>
        <v>0</v>
      </c>
      <c r="DC187">
        <f>ROUND((ROUND(AT187*AG187,2)*1.1),6)</f>
        <v>0</v>
      </c>
      <c r="DD187" t="s">
        <v>3</v>
      </c>
      <c r="DE187" t="s">
        <v>3</v>
      </c>
      <c r="DF187">
        <f t="shared" si="82"/>
        <v>0</v>
      </c>
      <c r="DG187">
        <f t="shared" si="73"/>
        <v>0</v>
      </c>
      <c r="DH187">
        <f t="shared" si="74"/>
        <v>0</v>
      </c>
      <c r="DI187">
        <f t="shared" si="40"/>
        <v>0</v>
      </c>
      <c r="DJ187">
        <f>DI187</f>
        <v>0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">
      <c r="A188">
        <f>ROW(Source!A172)</f>
        <v>172</v>
      </c>
      <c r="B188">
        <v>56616093</v>
      </c>
      <c r="C188">
        <v>56617129</v>
      </c>
      <c r="D188">
        <v>47766965</v>
      </c>
      <c r="E188">
        <v>1</v>
      </c>
      <c r="F188">
        <v>1</v>
      </c>
      <c r="G188">
        <v>27786564</v>
      </c>
      <c r="H188">
        <v>2</v>
      </c>
      <c r="I188" t="s">
        <v>518</v>
      </c>
      <c r="J188" t="s">
        <v>519</v>
      </c>
      <c r="K188" t="s">
        <v>520</v>
      </c>
      <c r="L188">
        <v>1368</v>
      </c>
      <c r="N188">
        <v>1011</v>
      </c>
      <c r="O188" t="s">
        <v>445</v>
      </c>
      <c r="P188" t="s">
        <v>445</v>
      </c>
      <c r="Q188">
        <v>1</v>
      </c>
      <c r="W188">
        <v>0</v>
      </c>
      <c r="X188">
        <v>-1515886774</v>
      </c>
      <c r="Y188">
        <f>(AT188*1.1)</f>
        <v>0.79200000000000004</v>
      </c>
      <c r="AA188">
        <v>0</v>
      </c>
      <c r="AB188">
        <v>1.05</v>
      </c>
      <c r="AC188">
        <v>0</v>
      </c>
      <c r="AD188">
        <v>0</v>
      </c>
      <c r="AE188">
        <v>0</v>
      </c>
      <c r="AF188">
        <v>0.12</v>
      </c>
      <c r="AG188">
        <v>0</v>
      </c>
      <c r="AH188">
        <v>0</v>
      </c>
      <c r="AI188">
        <v>1</v>
      </c>
      <c r="AJ188">
        <v>8.33</v>
      </c>
      <c r="AK188">
        <v>34.51</v>
      </c>
      <c r="AL188">
        <v>1</v>
      </c>
      <c r="AM188">
        <v>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0.72</v>
      </c>
      <c r="AU188" t="s">
        <v>22</v>
      </c>
      <c r="AV188">
        <v>0</v>
      </c>
      <c r="AW188">
        <v>2</v>
      </c>
      <c r="AX188">
        <v>56617135</v>
      </c>
      <c r="AY188">
        <v>1</v>
      </c>
      <c r="AZ188">
        <v>0</v>
      </c>
      <c r="BA188">
        <v>969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f>ROUND(Y188*Source!I172*DO188,9)</f>
        <v>0</v>
      </c>
      <c r="CX188">
        <f>ROUND(Y188*Source!I172,9)</f>
        <v>0</v>
      </c>
      <c r="CY188">
        <f>AB188</f>
        <v>1.05</v>
      </c>
      <c r="CZ188">
        <f>AF188</f>
        <v>0.12</v>
      </c>
      <c r="DA188">
        <f>AJ188</f>
        <v>8.33</v>
      </c>
      <c r="DB188">
        <f>ROUND((ROUND(AT188*CZ188,2)*1.1),6)</f>
        <v>9.9000000000000005E-2</v>
      </c>
      <c r="DC188">
        <f>ROUND((ROUND(AT188*AG188,2)*1.1),6)</f>
        <v>0</v>
      </c>
      <c r="DD188" t="s">
        <v>3</v>
      </c>
      <c r="DE188" t="s">
        <v>3</v>
      </c>
      <c r="DF188">
        <f t="shared" si="82"/>
        <v>0</v>
      </c>
      <c r="DG188">
        <f>ROUND(ROUND(AF188*AJ188,2)*CX188,2)</f>
        <v>0</v>
      </c>
      <c r="DH188">
        <f>ROUND(ROUND(AG188*AK188,2)*CX188,2)</f>
        <v>0</v>
      </c>
      <c r="DI188">
        <f t="shared" si="40"/>
        <v>0</v>
      </c>
      <c r="DJ188">
        <f>DG188</f>
        <v>0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">
      <c r="A189">
        <f>ROW(Source!A172)</f>
        <v>172</v>
      </c>
      <c r="B189">
        <v>56616093</v>
      </c>
      <c r="C189">
        <v>56617129</v>
      </c>
      <c r="D189">
        <v>47767106</v>
      </c>
      <c r="E189">
        <v>1</v>
      </c>
      <c r="F189">
        <v>1</v>
      </c>
      <c r="G189">
        <v>27786564</v>
      </c>
      <c r="H189">
        <v>2</v>
      </c>
      <c r="I189" t="s">
        <v>487</v>
      </c>
      <c r="J189" t="s">
        <v>488</v>
      </c>
      <c r="K189" t="s">
        <v>489</v>
      </c>
      <c r="L189">
        <v>1368</v>
      </c>
      <c r="N189">
        <v>1011</v>
      </c>
      <c r="O189" t="s">
        <v>445</v>
      </c>
      <c r="P189" t="s">
        <v>445</v>
      </c>
      <c r="Q189">
        <v>1</v>
      </c>
      <c r="W189">
        <v>0</v>
      </c>
      <c r="X189">
        <v>-7781208</v>
      </c>
      <c r="Y189">
        <f>(AT189*1.1)</f>
        <v>1.1000000000000001E-2</v>
      </c>
      <c r="AA189">
        <v>0</v>
      </c>
      <c r="AB189">
        <v>1118.8900000000001</v>
      </c>
      <c r="AC189">
        <v>455.99</v>
      </c>
      <c r="AD189">
        <v>0</v>
      </c>
      <c r="AE189">
        <v>0</v>
      </c>
      <c r="AF189">
        <v>83.1</v>
      </c>
      <c r="AG189">
        <v>12.62</v>
      </c>
      <c r="AH189">
        <v>0</v>
      </c>
      <c r="AI189">
        <v>1</v>
      </c>
      <c r="AJ189">
        <v>12.86</v>
      </c>
      <c r="AK189">
        <v>34.51</v>
      </c>
      <c r="AL189">
        <v>1</v>
      </c>
      <c r="AM189">
        <v>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0.01</v>
      </c>
      <c r="AU189" t="s">
        <v>22</v>
      </c>
      <c r="AV189">
        <v>0</v>
      </c>
      <c r="AW189">
        <v>2</v>
      </c>
      <c r="AX189">
        <v>56617136</v>
      </c>
      <c r="AY189">
        <v>1</v>
      </c>
      <c r="AZ189">
        <v>0</v>
      </c>
      <c r="BA189">
        <v>970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f>ROUND(Y189*Source!I172*DO189,9)</f>
        <v>0</v>
      </c>
      <c r="CX189">
        <f>ROUND(Y189*Source!I172,9)</f>
        <v>0</v>
      </c>
      <c r="CY189">
        <f>AB189</f>
        <v>1118.8900000000001</v>
      </c>
      <c r="CZ189">
        <f>AF189</f>
        <v>83.1</v>
      </c>
      <c r="DA189">
        <f>AJ189</f>
        <v>12.86</v>
      </c>
      <c r="DB189">
        <f>ROUND((ROUND(AT189*CZ189,2)*1.1),6)</f>
        <v>0.91300000000000003</v>
      </c>
      <c r="DC189">
        <f>ROUND((ROUND(AT189*AG189,2)*1.1),6)</f>
        <v>0.14299999999999999</v>
      </c>
      <c r="DD189" t="s">
        <v>3</v>
      </c>
      <c r="DE189" t="s">
        <v>3</v>
      </c>
      <c r="DF189">
        <f t="shared" si="82"/>
        <v>0</v>
      </c>
      <c r="DG189">
        <f>ROUND(ROUND(AF189*AJ189,2)*CX189,2)</f>
        <v>0</v>
      </c>
      <c r="DH189">
        <f>ROUND(ROUND(AG189*AK189,2)*CX189,2)</f>
        <v>0</v>
      </c>
      <c r="DI189">
        <f t="shared" si="40"/>
        <v>0</v>
      </c>
      <c r="DJ189">
        <f>DG189</f>
        <v>0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">
      <c r="A190">
        <f>ROW(Source!A172)</f>
        <v>172</v>
      </c>
      <c r="B190">
        <v>56616093</v>
      </c>
      <c r="C190">
        <v>56617129</v>
      </c>
      <c r="D190">
        <v>37620224</v>
      </c>
      <c r="E190">
        <v>1</v>
      </c>
      <c r="F190">
        <v>1</v>
      </c>
      <c r="G190">
        <v>27786564</v>
      </c>
      <c r="H190">
        <v>3</v>
      </c>
      <c r="I190" t="s">
        <v>521</v>
      </c>
      <c r="J190" t="s">
        <v>522</v>
      </c>
      <c r="K190" t="s">
        <v>523</v>
      </c>
      <c r="L190">
        <v>1346</v>
      </c>
      <c r="N190">
        <v>1009</v>
      </c>
      <c r="O190" t="s">
        <v>104</v>
      </c>
      <c r="P190" t="s">
        <v>104</v>
      </c>
      <c r="Q190">
        <v>1</v>
      </c>
      <c r="W190">
        <v>0</v>
      </c>
      <c r="X190">
        <v>-1770684771</v>
      </c>
      <c r="Y190">
        <f t="shared" ref="Y190:Y212" si="84">AT190</f>
        <v>2.2578</v>
      </c>
      <c r="AA190">
        <v>63.64</v>
      </c>
      <c r="AB190">
        <v>0</v>
      </c>
      <c r="AC190">
        <v>0</v>
      </c>
      <c r="AD190">
        <v>0</v>
      </c>
      <c r="AE190">
        <v>6.27</v>
      </c>
      <c r="AF190">
        <v>0</v>
      </c>
      <c r="AG190">
        <v>0</v>
      </c>
      <c r="AH190">
        <v>0</v>
      </c>
      <c r="AI190">
        <v>10.15</v>
      </c>
      <c r="AJ190">
        <v>1</v>
      </c>
      <c r="AK190">
        <v>1</v>
      </c>
      <c r="AL190">
        <v>1</v>
      </c>
      <c r="AM190">
        <v>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2.2578</v>
      </c>
      <c r="AU190" t="s">
        <v>3</v>
      </c>
      <c r="AV190">
        <v>0</v>
      </c>
      <c r="AW190">
        <v>2</v>
      </c>
      <c r="AX190">
        <v>56617137</v>
      </c>
      <c r="AY190">
        <v>1</v>
      </c>
      <c r="AZ190">
        <v>0</v>
      </c>
      <c r="BA190">
        <v>971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ROUND(Y190*Source!I172,9)</f>
        <v>0</v>
      </c>
      <c r="CY190">
        <f t="shared" ref="CY190:CY212" si="85">AA190</f>
        <v>63.64</v>
      </c>
      <c r="CZ190">
        <f t="shared" ref="CZ190:CZ212" si="86">AE190</f>
        <v>6.27</v>
      </c>
      <c r="DA190">
        <f t="shared" ref="DA190:DA212" si="87">AI190</f>
        <v>10.15</v>
      </c>
      <c r="DB190">
        <f t="shared" ref="DB190:DB212" si="88">ROUND(ROUND(AT190*CZ190,2),6)</f>
        <v>14.16</v>
      </c>
      <c r="DC190">
        <f t="shared" ref="DC190:DC212" si="89">ROUND(ROUND(AT190*AG190,2),6)</f>
        <v>0</v>
      </c>
      <c r="DD190" t="s">
        <v>3</v>
      </c>
      <c r="DE190" t="s">
        <v>3</v>
      </c>
      <c r="DF190">
        <f>ROUND(ROUND(AE190*AI190,2)*CX190,2)</f>
        <v>0</v>
      </c>
      <c r="DG190">
        <f t="shared" ref="DG190:DG214" si="90">ROUND(ROUND(AF190,2)*CX190,2)</f>
        <v>0</v>
      </c>
      <c r="DH190">
        <f t="shared" ref="DH190:DH214" si="91">ROUND(ROUND(AG190,2)*CX190,2)</f>
        <v>0</v>
      </c>
      <c r="DI190">
        <f t="shared" si="40"/>
        <v>0</v>
      </c>
      <c r="DJ190">
        <f t="shared" ref="DJ190:DJ212" si="92">DF190</f>
        <v>0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">
      <c r="A191">
        <f>ROW(Source!A273)</f>
        <v>273</v>
      </c>
      <c r="B191">
        <v>56622586</v>
      </c>
      <c r="C191">
        <v>56617162</v>
      </c>
      <c r="D191">
        <v>49108184</v>
      </c>
      <c r="E191">
        <v>1</v>
      </c>
      <c r="F191">
        <v>1</v>
      </c>
      <c r="G191">
        <v>27786564</v>
      </c>
      <c r="H191">
        <v>3</v>
      </c>
      <c r="I191" t="s">
        <v>91</v>
      </c>
      <c r="J191" t="s">
        <v>94</v>
      </c>
      <c r="K191" t="s">
        <v>341</v>
      </c>
      <c r="L191">
        <v>1339</v>
      </c>
      <c r="N191">
        <v>1007</v>
      </c>
      <c r="O191" t="s">
        <v>93</v>
      </c>
      <c r="P191" t="s">
        <v>93</v>
      </c>
      <c r="Q191">
        <v>1</v>
      </c>
      <c r="W191">
        <v>0</v>
      </c>
      <c r="X191">
        <v>921520</v>
      </c>
      <c r="Y191">
        <f t="shared" si="84"/>
        <v>110</v>
      </c>
      <c r="AA191">
        <v>104.99</v>
      </c>
      <c r="AB191">
        <v>0</v>
      </c>
      <c r="AC191">
        <v>0</v>
      </c>
      <c r="AD191">
        <v>0</v>
      </c>
      <c r="AE191">
        <v>104.99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-2</v>
      </c>
      <c r="AN191">
        <v>0</v>
      </c>
      <c r="AO191">
        <v>0</v>
      </c>
      <c r="AP191">
        <v>1</v>
      </c>
      <c r="AQ191">
        <v>0</v>
      </c>
      <c r="AR191">
        <v>0</v>
      </c>
      <c r="AS191" t="s">
        <v>3</v>
      </c>
      <c r="AT191">
        <v>110</v>
      </c>
      <c r="AU191" t="s">
        <v>3</v>
      </c>
      <c r="AV191">
        <v>0</v>
      </c>
      <c r="AW191">
        <v>1</v>
      </c>
      <c r="AX191">
        <v>-1</v>
      </c>
      <c r="AY191">
        <v>0</v>
      </c>
      <c r="AZ191">
        <v>0</v>
      </c>
      <c r="BA191" t="s">
        <v>3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ROUND(Y191*Source!I273,9)</f>
        <v>0</v>
      </c>
      <c r="CY191">
        <f t="shared" si="85"/>
        <v>104.99</v>
      </c>
      <c r="CZ191">
        <f t="shared" si="86"/>
        <v>104.99</v>
      </c>
      <c r="DA191">
        <f t="shared" si="87"/>
        <v>1</v>
      </c>
      <c r="DB191">
        <f t="shared" si="88"/>
        <v>11548.9</v>
      </c>
      <c r="DC191">
        <f t="shared" si="89"/>
        <v>0</v>
      </c>
      <c r="DD191" t="s">
        <v>3</v>
      </c>
      <c r="DE191" t="s">
        <v>3</v>
      </c>
      <c r="DF191">
        <f>ROUND(ROUND(AE191,2)*CX191,2)</f>
        <v>0</v>
      </c>
      <c r="DG191">
        <f t="shared" si="90"/>
        <v>0</v>
      </c>
      <c r="DH191">
        <f t="shared" si="91"/>
        <v>0</v>
      </c>
      <c r="DI191">
        <f t="shared" si="40"/>
        <v>0</v>
      </c>
      <c r="DJ191">
        <f t="shared" si="92"/>
        <v>0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">
      <c r="A192">
        <f>ROW(Source!A274)</f>
        <v>274</v>
      </c>
      <c r="B192">
        <v>56616093</v>
      </c>
      <c r="C192">
        <v>56617162</v>
      </c>
      <c r="D192">
        <v>49108184</v>
      </c>
      <c r="E192">
        <v>1</v>
      </c>
      <c r="F192">
        <v>1</v>
      </c>
      <c r="G192">
        <v>27786564</v>
      </c>
      <c r="H192">
        <v>3</v>
      </c>
      <c r="I192" t="s">
        <v>91</v>
      </c>
      <c r="J192" t="s">
        <v>94</v>
      </c>
      <c r="K192" t="s">
        <v>341</v>
      </c>
      <c r="L192">
        <v>1339</v>
      </c>
      <c r="N192">
        <v>1007</v>
      </c>
      <c r="O192" t="s">
        <v>93</v>
      </c>
      <c r="P192" t="s">
        <v>93</v>
      </c>
      <c r="Q192">
        <v>1</v>
      </c>
      <c r="W192">
        <v>0</v>
      </c>
      <c r="X192">
        <v>921520</v>
      </c>
      <c r="Y192">
        <f t="shared" si="84"/>
        <v>110</v>
      </c>
      <c r="AA192">
        <v>808.99</v>
      </c>
      <c r="AB192">
        <v>0</v>
      </c>
      <c r="AC192">
        <v>0</v>
      </c>
      <c r="AD192">
        <v>0</v>
      </c>
      <c r="AE192">
        <v>104.99</v>
      </c>
      <c r="AF192">
        <v>0</v>
      </c>
      <c r="AG192">
        <v>0</v>
      </c>
      <c r="AH192">
        <v>0</v>
      </c>
      <c r="AI192">
        <v>7.69</v>
      </c>
      <c r="AJ192">
        <v>1</v>
      </c>
      <c r="AK192">
        <v>1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 t="s">
        <v>3</v>
      </c>
      <c r="AT192">
        <v>110</v>
      </c>
      <c r="AU192" t="s">
        <v>3</v>
      </c>
      <c r="AV192">
        <v>0</v>
      </c>
      <c r="AW192">
        <v>1</v>
      </c>
      <c r="AX192">
        <v>-1</v>
      </c>
      <c r="AY192">
        <v>0</v>
      </c>
      <c r="AZ192">
        <v>0</v>
      </c>
      <c r="BA192" t="s">
        <v>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ROUND(Y192*Source!I274,9)</f>
        <v>0</v>
      </c>
      <c r="CY192">
        <f t="shared" si="85"/>
        <v>808.99</v>
      </c>
      <c r="CZ192">
        <f t="shared" si="86"/>
        <v>104.99</v>
      </c>
      <c r="DA192">
        <f t="shared" si="87"/>
        <v>7.69</v>
      </c>
      <c r="DB192">
        <f t="shared" si="88"/>
        <v>11548.9</v>
      </c>
      <c r="DC192">
        <f t="shared" si="89"/>
        <v>0</v>
      </c>
      <c r="DD192" t="s">
        <v>3</v>
      </c>
      <c r="DE192" t="s">
        <v>3</v>
      </c>
      <c r="DF192">
        <f>ROUND(ROUND(AE192*AI192,2)*CX192,2)</f>
        <v>0</v>
      </c>
      <c r="DG192">
        <f t="shared" si="90"/>
        <v>0</v>
      </c>
      <c r="DH192">
        <f t="shared" si="91"/>
        <v>0</v>
      </c>
      <c r="DI192">
        <f t="shared" si="40"/>
        <v>0</v>
      </c>
      <c r="DJ192">
        <f t="shared" si="92"/>
        <v>0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">
      <c r="A193">
        <f>ROW(Source!A277)</f>
        <v>277</v>
      </c>
      <c r="B193">
        <v>56622586</v>
      </c>
      <c r="C193">
        <v>56617173</v>
      </c>
      <c r="D193">
        <v>46725728</v>
      </c>
      <c r="E193">
        <v>1</v>
      </c>
      <c r="F193">
        <v>1</v>
      </c>
      <c r="G193">
        <v>27786564</v>
      </c>
      <c r="H193">
        <v>3</v>
      </c>
      <c r="I193" t="s">
        <v>350</v>
      </c>
      <c r="J193" t="s">
        <v>352</v>
      </c>
      <c r="K193" t="s">
        <v>351</v>
      </c>
      <c r="L193">
        <v>1339</v>
      </c>
      <c r="N193">
        <v>1007</v>
      </c>
      <c r="O193" t="s">
        <v>93</v>
      </c>
      <c r="P193" t="s">
        <v>93</v>
      </c>
      <c r="Q193">
        <v>1</v>
      </c>
      <c r="W193">
        <v>0</v>
      </c>
      <c r="X193">
        <v>-520181400</v>
      </c>
      <c r="Y193">
        <f t="shared" si="84"/>
        <v>162</v>
      </c>
      <c r="AA193">
        <v>517.14</v>
      </c>
      <c r="AB193">
        <v>0</v>
      </c>
      <c r="AC193">
        <v>0</v>
      </c>
      <c r="AD193">
        <v>0</v>
      </c>
      <c r="AE193">
        <v>517.14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0</v>
      </c>
      <c r="AP193">
        <v>1</v>
      </c>
      <c r="AQ193">
        <v>0</v>
      </c>
      <c r="AR193">
        <v>0</v>
      </c>
      <c r="AS193" t="s">
        <v>3</v>
      </c>
      <c r="AT193">
        <v>162</v>
      </c>
      <c r="AU193" t="s">
        <v>3</v>
      </c>
      <c r="AV193">
        <v>0</v>
      </c>
      <c r="AW193">
        <v>1</v>
      </c>
      <c r="AX193">
        <v>-1</v>
      </c>
      <c r="AY193">
        <v>0</v>
      </c>
      <c r="AZ193">
        <v>0</v>
      </c>
      <c r="BA193" t="s">
        <v>3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ROUND(Y193*Source!I277,9)</f>
        <v>0</v>
      </c>
      <c r="CY193">
        <f t="shared" si="85"/>
        <v>517.14</v>
      </c>
      <c r="CZ193">
        <f t="shared" si="86"/>
        <v>517.14</v>
      </c>
      <c r="DA193">
        <f t="shared" si="87"/>
        <v>1</v>
      </c>
      <c r="DB193">
        <f t="shared" si="88"/>
        <v>83776.679999999993</v>
      </c>
      <c r="DC193">
        <f t="shared" si="89"/>
        <v>0</v>
      </c>
      <c r="DD193" t="s">
        <v>3</v>
      </c>
      <c r="DE193" t="s">
        <v>3</v>
      </c>
      <c r="DF193">
        <f>ROUND(ROUND(AE193,2)*CX193,2)</f>
        <v>0</v>
      </c>
      <c r="DG193">
        <f t="shared" si="90"/>
        <v>0</v>
      </c>
      <c r="DH193">
        <f t="shared" si="91"/>
        <v>0</v>
      </c>
      <c r="DI193">
        <f t="shared" ref="DI193:DI214" si="93">ROUND(ROUND(AH193,2)*CX193,2)</f>
        <v>0</v>
      </c>
      <c r="DJ193">
        <f t="shared" si="92"/>
        <v>0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">
      <c r="A194">
        <f>ROW(Source!A278)</f>
        <v>278</v>
      </c>
      <c r="B194">
        <v>56616093</v>
      </c>
      <c r="C194">
        <v>56617173</v>
      </c>
      <c r="D194">
        <v>46725728</v>
      </c>
      <c r="E194">
        <v>1</v>
      </c>
      <c r="F194">
        <v>1</v>
      </c>
      <c r="G194">
        <v>27786564</v>
      </c>
      <c r="H194">
        <v>3</v>
      </c>
      <c r="I194" t="s">
        <v>350</v>
      </c>
      <c r="J194" t="s">
        <v>352</v>
      </c>
      <c r="K194" t="s">
        <v>351</v>
      </c>
      <c r="L194">
        <v>1339</v>
      </c>
      <c r="N194">
        <v>1007</v>
      </c>
      <c r="O194" t="s">
        <v>93</v>
      </c>
      <c r="P194" t="s">
        <v>93</v>
      </c>
      <c r="Q194">
        <v>1</v>
      </c>
      <c r="W194">
        <v>0</v>
      </c>
      <c r="X194">
        <v>-520181400</v>
      </c>
      <c r="Y194">
        <f t="shared" si="84"/>
        <v>162</v>
      </c>
      <c r="AA194">
        <v>5715.46</v>
      </c>
      <c r="AB194">
        <v>0</v>
      </c>
      <c r="AC194">
        <v>0</v>
      </c>
      <c r="AD194">
        <v>0</v>
      </c>
      <c r="AE194">
        <v>517.14</v>
      </c>
      <c r="AF194">
        <v>0</v>
      </c>
      <c r="AG194">
        <v>0</v>
      </c>
      <c r="AH194">
        <v>0</v>
      </c>
      <c r="AI194">
        <v>11.03</v>
      </c>
      <c r="AJ194">
        <v>1</v>
      </c>
      <c r="AK194">
        <v>1</v>
      </c>
      <c r="AL194">
        <v>1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 t="s">
        <v>3</v>
      </c>
      <c r="AT194">
        <v>162</v>
      </c>
      <c r="AU194" t="s">
        <v>3</v>
      </c>
      <c r="AV194">
        <v>0</v>
      </c>
      <c r="AW194">
        <v>1</v>
      </c>
      <c r="AX194">
        <v>-1</v>
      </c>
      <c r="AY194">
        <v>0</v>
      </c>
      <c r="AZ194">
        <v>0</v>
      </c>
      <c r="BA194" t="s">
        <v>3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ROUND(Y194*Source!I278,9)</f>
        <v>0</v>
      </c>
      <c r="CY194">
        <f t="shared" si="85"/>
        <v>5715.46</v>
      </c>
      <c r="CZ194">
        <f t="shared" si="86"/>
        <v>517.14</v>
      </c>
      <c r="DA194">
        <f t="shared" si="87"/>
        <v>11.03</v>
      </c>
      <c r="DB194">
        <f t="shared" si="88"/>
        <v>83776.679999999993</v>
      </c>
      <c r="DC194">
        <f t="shared" si="89"/>
        <v>0</v>
      </c>
      <c r="DD194" t="s">
        <v>3</v>
      </c>
      <c r="DE194" t="s">
        <v>3</v>
      </c>
      <c r="DF194">
        <f>ROUND(ROUND(AE194*AI194,2)*CX194,2)</f>
        <v>0</v>
      </c>
      <c r="DG194">
        <f t="shared" si="90"/>
        <v>0</v>
      </c>
      <c r="DH194">
        <f t="shared" si="91"/>
        <v>0</v>
      </c>
      <c r="DI194">
        <f t="shared" si="93"/>
        <v>0</v>
      </c>
      <c r="DJ194">
        <f t="shared" si="92"/>
        <v>0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">
      <c r="A195">
        <f>ROW(Source!A281)</f>
        <v>281</v>
      </c>
      <c r="B195">
        <v>56622586</v>
      </c>
      <c r="C195">
        <v>56617188</v>
      </c>
      <c r="D195">
        <v>46725728</v>
      </c>
      <c r="E195">
        <v>1</v>
      </c>
      <c r="F195">
        <v>1</v>
      </c>
      <c r="G195">
        <v>27786564</v>
      </c>
      <c r="H195">
        <v>3</v>
      </c>
      <c r="I195" t="s">
        <v>350</v>
      </c>
      <c r="J195" t="s">
        <v>352</v>
      </c>
      <c r="K195" t="s">
        <v>351</v>
      </c>
      <c r="L195">
        <v>1339</v>
      </c>
      <c r="N195">
        <v>1007</v>
      </c>
      <c r="O195" t="s">
        <v>93</v>
      </c>
      <c r="P195" t="s">
        <v>93</v>
      </c>
      <c r="Q195">
        <v>1</v>
      </c>
      <c r="W195">
        <v>0</v>
      </c>
      <c r="X195">
        <v>-520181400</v>
      </c>
      <c r="Y195">
        <f t="shared" si="84"/>
        <v>10.199999999999999</v>
      </c>
      <c r="AA195">
        <v>517.14</v>
      </c>
      <c r="AB195">
        <v>0</v>
      </c>
      <c r="AC195">
        <v>0</v>
      </c>
      <c r="AD195">
        <v>0</v>
      </c>
      <c r="AE195">
        <v>517.14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-2</v>
      </c>
      <c r="AN195">
        <v>0</v>
      </c>
      <c r="AO195">
        <v>0</v>
      </c>
      <c r="AP195">
        <v>1</v>
      </c>
      <c r="AQ195">
        <v>0</v>
      </c>
      <c r="AR195">
        <v>0</v>
      </c>
      <c r="AS195" t="s">
        <v>3</v>
      </c>
      <c r="AT195">
        <v>10.199999999999999</v>
      </c>
      <c r="AU195" t="s">
        <v>3</v>
      </c>
      <c r="AV195">
        <v>0</v>
      </c>
      <c r="AW195">
        <v>1</v>
      </c>
      <c r="AX195">
        <v>-1</v>
      </c>
      <c r="AY195">
        <v>0</v>
      </c>
      <c r="AZ195">
        <v>0</v>
      </c>
      <c r="BA195" t="s">
        <v>3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ROUND(Y195*Source!I281,9)</f>
        <v>0</v>
      </c>
      <c r="CY195">
        <f t="shared" si="85"/>
        <v>517.14</v>
      </c>
      <c r="CZ195">
        <f t="shared" si="86"/>
        <v>517.14</v>
      </c>
      <c r="DA195">
        <f t="shared" si="87"/>
        <v>1</v>
      </c>
      <c r="DB195">
        <f t="shared" si="88"/>
        <v>5274.83</v>
      </c>
      <c r="DC195">
        <f t="shared" si="89"/>
        <v>0</v>
      </c>
      <c r="DD195" t="s">
        <v>3</v>
      </c>
      <c r="DE195" t="s">
        <v>3</v>
      </c>
      <c r="DF195">
        <f>ROUND(ROUND(AE195,2)*CX195,2)</f>
        <v>0</v>
      </c>
      <c r="DG195">
        <f t="shared" si="90"/>
        <v>0</v>
      </c>
      <c r="DH195">
        <f t="shared" si="91"/>
        <v>0</v>
      </c>
      <c r="DI195">
        <f t="shared" si="93"/>
        <v>0</v>
      </c>
      <c r="DJ195">
        <f t="shared" si="92"/>
        <v>0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">
      <c r="A196">
        <f>ROW(Source!A282)</f>
        <v>282</v>
      </c>
      <c r="B196">
        <v>56616093</v>
      </c>
      <c r="C196">
        <v>56617188</v>
      </c>
      <c r="D196">
        <v>46725728</v>
      </c>
      <c r="E196">
        <v>1</v>
      </c>
      <c r="F196">
        <v>1</v>
      </c>
      <c r="G196">
        <v>27786564</v>
      </c>
      <c r="H196">
        <v>3</v>
      </c>
      <c r="I196" t="s">
        <v>350</v>
      </c>
      <c r="J196" t="s">
        <v>352</v>
      </c>
      <c r="K196" t="s">
        <v>351</v>
      </c>
      <c r="L196">
        <v>1339</v>
      </c>
      <c r="N196">
        <v>1007</v>
      </c>
      <c r="O196" t="s">
        <v>93</v>
      </c>
      <c r="P196" t="s">
        <v>93</v>
      </c>
      <c r="Q196">
        <v>1</v>
      </c>
      <c r="W196">
        <v>0</v>
      </c>
      <c r="X196">
        <v>-520181400</v>
      </c>
      <c r="Y196">
        <f t="shared" si="84"/>
        <v>10.199999999999999</v>
      </c>
      <c r="AA196">
        <v>5715.46</v>
      </c>
      <c r="AB196">
        <v>0</v>
      </c>
      <c r="AC196">
        <v>0</v>
      </c>
      <c r="AD196">
        <v>0</v>
      </c>
      <c r="AE196">
        <v>517.14</v>
      </c>
      <c r="AF196">
        <v>0</v>
      </c>
      <c r="AG196">
        <v>0</v>
      </c>
      <c r="AH196">
        <v>0</v>
      </c>
      <c r="AI196">
        <v>11.03</v>
      </c>
      <c r="AJ196">
        <v>1</v>
      </c>
      <c r="AK196">
        <v>1</v>
      </c>
      <c r="AL196">
        <v>1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0</v>
      </c>
      <c r="AS196" t="s">
        <v>3</v>
      </c>
      <c r="AT196">
        <v>10.199999999999999</v>
      </c>
      <c r="AU196" t="s">
        <v>3</v>
      </c>
      <c r="AV196">
        <v>0</v>
      </c>
      <c r="AW196">
        <v>1</v>
      </c>
      <c r="AX196">
        <v>-1</v>
      </c>
      <c r="AY196">
        <v>0</v>
      </c>
      <c r="AZ196">
        <v>0</v>
      </c>
      <c r="BA196" t="s">
        <v>3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ROUND(Y196*Source!I282,9)</f>
        <v>0</v>
      </c>
      <c r="CY196">
        <f t="shared" si="85"/>
        <v>5715.46</v>
      </c>
      <c r="CZ196">
        <f t="shared" si="86"/>
        <v>517.14</v>
      </c>
      <c r="DA196">
        <f t="shared" si="87"/>
        <v>11.03</v>
      </c>
      <c r="DB196">
        <f t="shared" si="88"/>
        <v>5274.83</v>
      </c>
      <c r="DC196">
        <f t="shared" si="89"/>
        <v>0</v>
      </c>
      <c r="DD196" t="s">
        <v>3</v>
      </c>
      <c r="DE196" t="s">
        <v>3</v>
      </c>
      <c r="DF196">
        <f>ROUND(ROUND(AE196*AI196,2)*CX196,2)</f>
        <v>0</v>
      </c>
      <c r="DG196">
        <f t="shared" si="90"/>
        <v>0</v>
      </c>
      <c r="DH196">
        <f t="shared" si="91"/>
        <v>0</v>
      </c>
      <c r="DI196">
        <f t="shared" si="93"/>
        <v>0</v>
      </c>
      <c r="DJ196">
        <f t="shared" si="92"/>
        <v>0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">
      <c r="A197">
        <f>ROW(Source!A285)</f>
        <v>285</v>
      </c>
      <c r="B197">
        <v>56622586</v>
      </c>
      <c r="C197">
        <v>56617194</v>
      </c>
      <c r="D197">
        <v>46725956</v>
      </c>
      <c r="E197">
        <v>1</v>
      </c>
      <c r="F197">
        <v>1</v>
      </c>
      <c r="G197">
        <v>27786564</v>
      </c>
      <c r="H197">
        <v>3</v>
      </c>
      <c r="I197" t="s">
        <v>365</v>
      </c>
      <c r="J197" t="s">
        <v>368</v>
      </c>
      <c r="K197" t="s">
        <v>366</v>
      </c>
      <c r="L197">
        <v>1348</v>
      </c>
      <c r="N197">
        <v>1009</v>
      </c>
      <c r="O197" t="s">
        <v>367</v>
      </c>
      <c r="P197" t="s">
        <v>367</v>
      </c>
      <c r="Q197">
        <v>1000</v>
      </c>
      <c r="W197">
        <v>0</v>
      </c>
      <c r="X197">
        <v>1855215121</v>
      </c>
      <c r="Y197">
        <f t="shared" si="84"/>
        <v>9.58</v>
      </c>
      <c r="AA197">
        <v>296.7</v>
      </c>
      <c r="AB197">
        <v>0</v>
      </c>
      <c r="AC197">
        <v>0</v>
      </c>
      <c r="AD197">
        <v>0</v>
      </c>
      <c r="AE197">
        <v>296.7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-2</v>
      </c>
      <c r="AN197">
        <v>0</v>
      </c>
      <c r="AO197">
        <v>0</v>
      </c>
      <c r="AP197">
        <v>1</v>
      </c>
      <c r="AQ197">
        <v>0</v>
      </c>
      <c r="AR197">
        <v>0</v>
      </c>
      <c r="AS197" t="s">
        <v>3</v>
      </c>
      <c r="AT197">
        <v>9.58</v>
      </c>
      <c r="AU197" t="s">
        <v>3</v>
      </c>
      <c r="AV197">
        <v>0</v>
      </c>
      <c r="AW197">
        <v>1</v>
      </c>
      <c r="AX197">
        <v>-1</v>
      </c>
      <c r="AY197">
        <v>0</v>
      </c>
      <c r="AZ197">
        <v>0</v>
      </c>
      <c r="BA197" t="s">
        <v>3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ROUND(Y197*Source!I285,9)</f>
        <v>0</v>
      </c>
      <c r="CY197">
        <f t="shared" si="85"/>
        <v>296.7</v>
      </c>
      <c r="CZ197">
        <f t="shared" si="86"/>
        <v>296.7</v>
      </c>
      <c r="DA197">
        <f t="shared" si="87"/>
        <v>1</v>
      </c>
      <c r="DB197">
        <f t="shared" si="88"/>
        <v>2842.39</v>
      </c>
      <c r="DC197">
        <f t="shared" si="89"/>
        <v>0</v>
      </c>
      <c r="DD197" t="s">
        <v>3</v>
      </c>
      <c r="DE197" t="s">
        <v>3</v>
      </c>
      <c r="DF197">
        <f>ROUND(ROUND(AE197,2)*CX197,2)</f>
        <v>0</v>
      </c>
      <c r="DG197">
        <f t="shared" si="90"/>
        <v>0</v>
      </c>
      <c r="DH197">
        <f t="shared" si="91"/>
        <v>0</v>
      </c>
      <c r="DI197">
        <f t="shared" si="93"/>
        <v>0</v>
      </c>
      <c r="DJ197">
        <f t="shared" si="92"/>
        <v>0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">
      <c r="A198">
        <f>ROW(Source!A286)</f>
        <v>286</v>
      </c>
      <c r="B198">
        <v>56616093</v>
      </c>
      <c r="C198">
        <v>56617194</v>
      </c>
      <c r="D198">
        <v>46725956</v>
      </c>
      <c r="E198">
        <v>1</v>
      </c>
      <c r="F198">
        <v>1</v>
      </c>
      <c r="G198">
        <v>27786564</v>
      </c>
      <c r="H198">
        <v>3</v>
      </c>
      <c r="I198" t="s">
        <v>365</v>
      </c>
      <c r="J198" t="s">
        <v>368</v>
      </c>
      <c r="K198" t="s">
        <v>366</v>
      </c>
      <c r="L198">
        <v>1348</v>
      </c>
      <c r="N198">
        <v>1009</v>
      </c>
      <c r="O198" t="s">
        <v>367</v>
      </c>
      <c r="P198" t="s">
        <v>367</v>
      </c>
      <c r="Q198">
        <v>1000</v>
      </c>
      <c r="W198">
        <v>0</v>
      </c>
      <c r="X198">
        <v>1855215121</v>
      </c>
      <c r="Y198">
        <f t="shared" si="84"/>
        <v>9.58</v>
      </c>
      <c r="AA198">
        <v>4566.21</v>
      </c>
      <c r="AB198">
        <v>0</v>
      </c>
      <c r="AC198">
        <v>0</v>
      </c>
      <c r="AD198">
        <v>0</v>
      </c>
      <c r="AE198">
        <v>296.7</v>
      </c>
      <c r="AF198">
        <v>0</v>
      </c>
      <c r="AG198">
        <v>0</v>
      </c>
      <c r="AH198">
        <v>0</v>
      </c>
      <c r="AI198">
        <v>15.39</v>
      </c>
      <c r="AJ198">
        <v>1</v>
      </c>
      <c r="AK198">
        <v>1</v>
      </c>
      <c r="AL198">
        <v>1</v>
      </c>
      <c r="AM198">
        <v>0</v>
      </c>
      <c r="AN198">
        <v>0</v>
      </c>
      <c r="AO198">
        <v>0</v>
      </c>
      <c r="AP198">
        <v>1</v>
      </c>
      <c r="AQ198">
        <v>0</v>
      </c>
      <c r="AR198">
        <v>0</v>
      </c>
      <c r="AS198" t="s">
        <v>3</v>
      </c>
      <c r="AT198">
        <v>9.58</v>
      </c>
      <c r="AU198" t="s">
        <v>3</v>
      </c>
      <c r="AV198">
        <v>0</v>
      </c>
      <c r="AW198">
        <v>1</v>
      </c>
      <c r="AX198">
        <v>-1</v>
      </c>
      <c r="AY198">
        <v>0</v>
      </c>
      <c r="AZ198">
        <v>0</v>
      </c>
      <c r="BA198" t="s">
        <v>3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ROUND(Y198*Source!I286,9)</f>
        <v>0</v>
      </c>
      <c r="CY198">
        <f t="shared" si="85"/>
        <v>4566.21</v>
      </c>
      <c r="CZ198">
        <f t="shared" si="86"/>
        <v>296.7</v>
      </c>
      <c r="DA198">
        <f t="shared" si="87"/>
        <v>15.39</v>
      </c>
      <c r="DB198">
        <f t="shared" si="88"/>
        <v>2842.39</v>
      </c>
      <c r="DC198">
        <f t="shared" si="89"/>
        <v>0</v>
      </c>
      <c r="DD198" t="s">
        <v>3</v>
      </c>
      <c r="DE198" t="s">
        <v>3</v>
      </c>
      <c r="DF198">
        <f>ROUND(ROUND(AE198*AI198,2)*CX198,2)</f>
        <v>0</v>
      </c>
      <c r="DG198">
        <f t="shared" si="90"/>
        <v>0</v>
      </c>
      <c r="DH198">
        <f t="shared" si="91"/>
        <v>0</v>
      </c>
      <c r="DI198">
        <f t="shared" si="93"/>
        <v>0</v>
      </c>
      <c r="DJ198">
        <f t="shared" si="92"/>
        <v>0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">
      <c r="A199">
        <f>ROW(Source!A289)</f>
        <v>289</v>
      </c>
      <c r="B199">
        <v>56622586</v>
      </c>
      <c r="C199">
        <v>56617208</v>
      </c>
      <c r="D199">
        <v>46725956</v>
      </c>
      <c r="E199">
        <v>1</v>
      </c>
      <c r="F199">
        <v>1</v>
      </c>
      <c r="G199">
        <v>27786564</v>
      </c>
      <c r="H199">
        <v>3</v>
      </c>
      <c r="I199" t="s">
        <v>365</v>
      </c>
      <c r="J199" t="s">
        <v>368</v>
      </c>
      <c r="K199" t="s">
        <v>366</v>
      </c>
      <c r="L199">
        <v>1348</v>
      </c>
      <c r="N199">
        <v>1009</v>
      </c>
      <c r="O199" t="s">
        <v>367</v>
      </c>
      <c r="P199" t="s">
        <v>367</v>
      </c>
      <c r="Q199">
        <v>1000</v>
      </c>
      <c r="W199">
        <v>0</v>
      </c>
      <c r="X199">
        <v>1855215121</v>
      </c>
      <c r="Y199">
        <f t="shared" si="84"/>
        <v>9.58</v>
      </c>
      <c r="AA199">
        <v>296.7</v>
      </c>
      <c r="AB199">
        <v>0</v>
      </c>
      <c r="AC199">
        <v>0</v>
      </c>
      <c r="AD199">
        <v>0</v>
      </c>
      <c r="AE199">
        <v>296.7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-2</v>
      </c>
      <c r="AN199">
        <v>0</v>
      </c>
      <c r="AO199">
        <v>0</v>
      </c>
      <c r="AP199">
        <v>1</v>
      </c>
      <c r="AQ199">
        <v>0</v>
      </c>
      <c r="AR199">
        <v>0</v>
      </c>
      <c r="AS199" t="s">
        <v>3</v>
      </c>
      <c r="AT199">
        <v>9.58</v>
      </c>
      <c r="AU199" t="s">
        <v>3</v>
      </c>
      <c r="AV199">
        <v>0</v>
      </c>
      <c r="AW199">
        <v>1</v>
      </c>
      <c r="AX199">
        <v>-1</v>
      </c>
      <c r="AY199">
        <v>0</v>
      </c>
      <c r="AZ199">
        <v>0</v>
      </c>
      <c r="BA199" t="s">
        <v>3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ROUND(Y199*Source!I289,9)</f>
        <v>0</v>
      </c>
      <c r="CY199">
        <f t="shared" si="85"/>
        <v>296.7</v>
      </c>
      <c r="CZ199">
        <f t="shared" si="86"/>
        <v>296.7</v>
      </c>
      <c r="DA199">
        <f t="shared" si="87"/>
        <v>1</v>
      </c>
      <c r="DB199">
        <f t="shared" si="88"/>
        <v>2842.39</v>
      </c>
      <c r="DC199">
        <f t="shared" si="89"/>
        <v>0</v>
      </c>
      <c r="DD199" t="s">
        <v>3</v>
      </c>
      <c r="DE199" t="s">
        <v>3</v>
      </c>
      <c r="DF199">
        <f>ROUND(ROUND(AE199,2)*CX199,2)</f>
        <v>0</v>
      </c>
      <c r="DG199">
        <f t="shared" si="90"/>
        <v>0</v>
      </c>
      <c r="DH199">
        <f t="shared" si="91"/>
        <v>0</v>
      </c>
      <c r="DI199">
        <f t="shared" si="93"/>
        <v>0</v>
      </c>
      <c r="DJ199">
        <f t="shared" si="92"/>
        <v>0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">
      <c r="A200">
        <f>ROW(Source!A290)</f>
        <v>290</v>
      </c>
      <c r="B200">
        <v>56616093</v>
      </c>
      <c r="C200">
        <v>56617208</v>
      </c>
      <c r="D200">
        <v>46725956</v>
      </c>
      <c r="E200">
        <v>1</v>
      </c>
      <c r="F200">
        <v>1</v>
      </c>
      <c r="G200">
        <v>27786564</v>
      </c>
      <c r="H200">
        <v>3</v>
      </c>
      <c r="I200" t="s">
        <v>365</v>
      </c>
      <c r="J200" t="s">
        <v>368</v>
      </c>
      <c r="K200" t="s">
        <v>366</v>
      </c>
      <c r="L200">
        <v>1348</v>
      </c>
      <c r="N200">
        <v>1009</v>
      </c>
      <c r="O200" t="s">
        <v>367</v>
      </c>
      <c r="P200" t="s">
        <v>367</v>
      </c>
      <c r="Q200">
        <v>1000</v>
      </c>
      <c r="W200">
        <v>0</v>
      </c>
      <c r="X200">
        <v>1855215121</v>
      </c>
      <c r="Y200">
        <f t="shared" si="84"/>
        <v>9.58</v>
      </c>
      <c r="AA200">
        <v>4566.21</v>
      </c>
      <c r="AB200">
        <v>0</v>
      </c>
      <c r="AC200">
        <v>0</v>
      </c>
      <c r="AD200">
        <v>0</v>
      </c>
      <c r="AE200">
        <v>296.7</v>
      </c>
      <c r="AF200">
        <v>0</v>
      </c>
      <c r="AG200">
        <v>0</v>
      </c>
      <c r="AH200">
        <v>0</v>
      </c>
      <c r="AI200">
        <v>15.39</v>
      </c>
      <c r="AJ200">
        <v>1</v>
      </c>
      <c r="AK200">
        <v>1</v>
      </c>
      <c r="AL200">
        <v>1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 t="s">
        <v>3</v>
      </c>
      <c r="AT200">
        <v>9.58</v>
      </c>
      <c r="AU200" t="s">
        <v>3</v>
      </c>
      <c r="AV200">
        <v>0</v>
      </c>
      <c r="AW200">
        <v>1</v>
      </c>
      <c r="AX200">
        <v>-1</v>
      </c>
      <c r="AY200">
        <v>0</v>
      </c>
      <c r="AZ200">
        <v>0</v>
      </c>
      <c r="BA200" t="s">
        <v>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ROUND(Y200*Source!I290,9)</f>
        <v>0</v>
      </c>
      <c r="CY200">
        <f t="shared" si="85"/>
        <v>4566.21</v>
      </c>
      <c r="CZ200">
        <f t="shared" si="86"/>
        <v>296.7</v>
      </c>
      <c r="DA200">
        <f t="shared" si="87"/>
        <v>15.39</v>
      </c>
      <c r="DB200">
        <f t="shared" si="88"/>
        <v>2842.39</v>
      </c>
      <c r="DC200">
        <f t="shared" si="89"/>
        <v>0</v>
      </c>
      <c r="DD200" t="s">
        <v>3</v>
      </c>
      <c r="DE200" t="s">
        <v>3</v>
      </c>
      <c r="DF200">
        <f>ROUND(ROUND(AE200*AI200,2)*CX200,2)</f>
        <v>0</v>
      </c>
      <c r="DG200">
        <f t="shared" si="90"/>
        <v>0</v>
      </c>
      <c r="DH200">
        <f t="shared" si="91"/>
        <v>0</v>
      </c>
      <c r="DI200">
        <f t="shared" si="93"/>
        <v>0</v>
      </c>
      <c r="DJ200">
        <f t="shared" si="92"/>
        <v>0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">
      <c r="A201">
        <f>ROW(Source!A293)</f>
        <v>293</v>
      </c>
      <c r="B201">
        <v>56622586</v>
      </c>
      <c r="C201">
        <v>56617222</v>
      </c>
      <c r="D201">
        <v>46725956</v>
      </c>
      <c r="E201">
        <v>1</v>
      </c>
      <c r="F201">
        <v>1</v>
      </c>
      <c r="G201">
        <v>27786564</v>
      </c>
      <c r="H201">
        <v>3</v>
      </c>
      <c r="I201" t="s">
        <v>365</v>
      </c>
      <c r="J201" t="s">
        <v>368</v>
      </c>
      <c r="K201" t="s">
        <v>366</v>
      </c>
      <c r="L201">
        <v>1348</v>
      </c>
      <c r="N201">
        <v>1009</v>
      </c>
      <c r="O201" t="s">
        <v>367</v>
      </c>
      <c r="P201" t="s">
        <v>367</v>
      </c>
      <c r="Q201">
        <v>1000</v>
      </c>
      <c r="W201">
        <v>0</v>
      </c>
      <c r="X201">
        <v>1855215121</v>
      </c>
      <c r="Y201">
        <f t="shared" si="84"/>
        <v>2.4</v>
      </c>
      <c r="AA201">
        <v>296.7</v>
      </c>
      <c r="AB201">
        <v>0</v>
      </c>
      <c r="AC201">
        <v>0</v>
      </c>
      <c r="AD201">
        <v>0</v>
      </c>
      <c r="AE201">
        <v>296.7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-2</v>
      </c>
      <c r="AN201">
        <v>0</v>
      </c>
      <c r="AO201">
        <v>0</v>
      </c>
      <c r="AP201">
        <v>1</v>
      </c>
      <c r="AQ201">
        <v>0</v>
      </c>
      <c r="AR201">
        <v>0</v>
      </c>
      <c r="AS201" t="s">
        <v>3</v>
      </c>
      <c r="AT201">
        <v>2.4</v>
      </c>
      <c r="AU201" t="s">
        <v>3</v>
      </c>
      <c r="AV201">
        <v>0</v>
      </c>
      <c r="AW201">
        <v>1</v>
      </c>
      <c r="AX201">
        <v>-1</v>
      </c>
      <c r="AY201">
        <v>0</v>
      </c>
      <c r="AZ201">
        <v>0</v>
      </c>
      <c r="BA201" t="s">
        <v>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v>0</v>
      </c>
      <c r="CX201">
        <f>ROUND(Y201*Source!I293,9)</f>
        <v>0</v>
      </c>
      <c r="CY201">
        <f t="shared" si="85"/>
        <v>296.7</v>
      </c>
      <c r="CZ201">
        <f t="shared" si="86"/>
        <v>296.7</v>
      </c>
      <c r="DA201">
        <f t="shared" si="87"/>
        <v>1</v>
      </c>
      <c r="DB201">
        <f t="shared" si="88"/>
        <v>712.08</v>
      </c>
      <c r="DC201">
        <f t="shared" si="89"/>
        <v>0</v>
      </c>
      <c r="DD201" t="s">
        <v>3</v>
      </c>
      <c r="DE201" t="s">
        <v>3</v>
      </c>
      <c r="DF201">
        <f>ROUND(ROUND(AE201,2)*CX201,2)</f>
        <v>0</v>
      </c>
      <c r="DG201">
        <f t="shared" si="90"/>
        <v>0</v>
      </c>
      <c r="DH201">
        <f t="shared" si="91"/>
        <v>0</v>
      </c>
      <c r="DI201">
        <f t="shared" si="93"/>
        <v>0</v>
      </c>
      <c r="DJ201">
        <f t="shared" si="92"/>
        <v>0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">
      <c r="A202">
        <f>ROW(Source!A294)</f>
        <v>294</v>
      </c>
      <c r="B202">
        <v>56616093</v>
      </c>
      <c r="C202">
        <v>56617222</v>
      </c>
      <c r="D202">
        <v>46725956</v>
      </c>
      <c r="E202">
        <v>1</v>
      </c>
      <c r="F202">
        <v>1</v>
      </c>
      <c r="G202">
        <v>27786564</v>
      </c>
      <c r="H202">
        <v>3</v>
      </c>
      <c r="I202" t="s">
        <v>365</v>
      </c>
      <c r="J202" t="s">
        <v>368</v>
      </c>
      <c r="K202" t="s">
        <v>366</v>
      </c>
      <c r="L202">
        <v>1348</v>
      </c>
      <c r="N202">
        <v>1009</v>
      </c>
      <c r="O202" t="s">
        <v>367</v>
      </c>
      <c r="P202" t="s">
        <v>367</v>
      </c>
      <c r="Q202">
        <v>1000</v>
      </c>
      <c r="W202">
        <v>0</v>
      </c>
      <c r="X202">
        <v>1855215121</v>
      </c>
      <c r="Y202">
        <f t="shared" si="84"/>
        <v>2.4</v>
      </c>
      <c r="AA202">
        <v>4566.21</v>
      </c>
      <c r="AB202">
        <v>0</v>
      </c>
      <c r="AC202">
        <v>0</v>
      </c>
      <c r="AD202">
        <v>0</v>
      </c>
      <c r="AE202">
        <v>296.7</v>
      </c>
      <c r="AF202">
        <v>0</v>
      </c>
      <c r="AG202">
        <v>0</v>
      </c>
      <c r="AH202">
        <v>0</v>
      </c>
      <c r="AI202">
        <v>15.39</v>
      </c>
      <c r="AJ202">
        <v>1</v>
      </c>
      <c r="AK202">
        <v>1</v>
      </c>
      <c r="AL202">
        <v>1</v>
      </c>
      <c r="AM202">
        <v>0</v>
      </c>
      <c r="AN202">
        <v>0</v>
      </c>
      <c r="AO202">
        <v>0</v>
      </c>
      <c r="AP202">
        <v>1</v>
      </c>
      <c r="AQ202">
        <v>0</v>
      </c>
      <c r="AR202">
        <v>0</v>
      </c>
      <c r="AS202" t="s">
        <v>3</v>
      </c>
      <c r="AT202">
        <v>2.4</v>
      </c>
      <c r="AU202" t="s">
        <v>3</v>
      </c>
      <c r="AV202">
        <v>0</v>
      </c>
      <c r="AW202">
        <v>1</v>
      </c>
      <c r="AX202">
        <v>-1</v>
      </c>
      <c r="AY202">
        <v>0</v>
      </c>
      <c r="AZ202">
        <v>0</v>
      </c>
      <c r="BA202" t="s">
        <v>3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ROUND(Y202*Source!I294,9)</f>
        <v>0</v>
      </c>
      <c r="CY202">
        <f t="shared" si="85"/>
        <v>4566.21</v>
      </c>
      <c r="CZ202">
        <f t="shared" si="86"/>
        <v>296.7</v>
      </c>
      <c r="DA202">
        <f t="shared" si="87"/>
        <v>15.39</v>
      </c>
      <c r="DB202">
        <f t="shared" si="88"/>
        <v>712.08</v>
      </c>
      <c r="DC202">
        <f t="shared" si="89"/>
        <v>0</v>
      </c>
      <c r="DD202" t="s">
        <v>3</v>
      </c>
      <c r="DE202" t="s">
        <v>3</v>
      </c>
      <c r="DF202">
        <f>ROUND(ROUND(AE202*AI202,2)*CX202,2)</f>
        <v>0</v>
      </c>
      <c r="DG202">
        <f t="shared" si="90"/>
        <v>0</v>
      </c>
      <c r="DH202">
        <f t="shared" si="91"/>
        <v>0</v>
      </c>
      <c r="DI202">
        <f t="shared" si="93"/>
        <v>0</v>
      </c>
      <c r="DJ202">
        <f t="shared" si="92"/>
        <v>0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">
      <c r="A203">
        <f>ROW(Source!A297)</f>
        <v>297</v>
      </c>
      <c r="B203">
        <v>56622586</v>
      </c>
      <c r="C203">
        <v>56617229</v>
      </c>
      <c r="D203">
        <v>46725958</v>
      </c>
      <c r="E203">
        <v>1</v>
      </c>
      <c r="F203">
        <v>1</v>
      </c>
      <c r="G203">
        <v>27786564</v>
      </c>
      <c r="H203">
        <v>3</v>
      </c>
      <c r="I203" t="s">
        <v>378</v>
      </c>
      <c r="J203" t="s">
        <v>380</v>
      </c>
      <c r="K203" t="s">
        <v>379</v>
      </c>
      <c r="L203">
        <v>1348</v>
      </c>
      <c r="N203">
        <v>1009</v>
      </c>
      <c r="O203" t="s">
        <v>367</v>
      </c>
      <c r="P203" t="s">
        <v>367</v>
      </c>
      <c r="Q203">
        <v>1000</v>
      </c>
      <c r="W203">
        <v>0</v>
      </c>
      <c r="X203">
        <v>-1899420918</v>
      </c>
      <c r="Y203">
        <f t="shared" si="84"/>
        <v>9.66</v>
      </c>
      <c r="AA203">
        <v>307.58999999999997</v>
      </c>
      <c r="AB203">
        <v>0</v>
      </c>
      <c r="AC203">
        <v>0</v>
      </c>
      <c r="AD203">
        <v>0</v>
      </c>
      <c r="AE203">
        <v>307.58999999999997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-2</v>
      </c>
      <c r="AN203">
        <v>0</v>
      </c>
      <c r="AO203">
        <v>0</v>
      </c>
      <c r="AP203">
        <v>1</v>
      </c>
      <c r="AQ203">
        <v>0</v>
      </c>
      <c r="AR203">
        <v>0</v>
      </c>
      <c r="AS203" t="s">
        <v>3</v>
      </c>
      <c r="AT203">
        <v>9.66</v>
      </c>
      <c r="AU203" t="s">
        <v>3</v>
      </c>
      <c r="AV203">
        <v>0</v>
      </c>
      <c r="AW203">
        <v>1</v>
      </c>
      <c r="AX203">
        <v>-1</v>
      </c>
      <c r="AY203">
        <v>0</v>
      </c>
      <c r="AZ203">
        <v>0</v>
      </c>
      <c r="BA203" t="s">
        <v>3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v>0</v>
      </c>
      <c r="CX203">
        <f>ROUND(Y203*Source!I297,9)</f>
        <v>0</v>
      </c>
      <c r="CY203">
        <f t="shared" si="85"/>
        <v>307.58999999999997</v>
      </c>
      <c r="CZ203">
        <f t="shared" si="86"/>
        <v>307.58999999999997</v>
      </c>
      <c r="DA203">
        <f t="shared" si="87"/>
        <v>1</v>
      </c>
      <c r="DB203">
        <f t="shared" si="88"/>
        <v>2971.32</v>
      </c>
      <c r="DC203">
        <f t="shared" si="89"/>
        <v>0</v>
      </c>
      <c r="DD203" t="s">
        <v>3</v>
      </c>
      <c r="DE203" t="s">
        <v>3</v>
      </c>
      <c r="DF203">
        <f>ROUND(ROUND(AE203,2)*CX203,2)</f>
        <v>0</v>
      </c>
      <c r="DG203">
        <f t="shared" si="90"/>
        <v>0</v>
      </c>
      <c r="DH203">
        <f t="shared" si="91"/>
        <v>0</v>
      </c>
      <c r="DI203">
        <f t="shared" si="93"/>
        <v>0</v>
      </c>
      <c r="DJ203">
        <f t="shared" si="92"/>
        <v>0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">
      <c r="A204">
        <f>ROW(Source!A298)</f>
        <v>298</v>
      </c>
      <c r="B204">
        <v>56616093</v>
      </c>
      <c r="C204">
        <v>56617229</v>
      </c>
      <c r="D204">
        <v>46725958</v>
      </c>
      <c r="E204">
        <v>1</v>
      </c>
      <c r="F204">
        <v>1</v>
      </c>
      <c r="G204">
        <v>27786564</v>
      </c>
      <c r="H204">
        <v>3</v>
      </c>
      <c r="I204" t="s">
        <v>378</v>
      </c>
      <c r="J204" t="s">
        <v>380</v>
      </c>
      <c r="K204" t="s">
        <v>379</v>
      </c>
      <c r="L204">
        <v>1348</v>
      </c>
      <c r="N204">
        <v>1009</v>
      </c>
      <c r="O204" t="s">
        <v>367</v>
      </c>
      <c r="P204" t="s">
        <v>367</v>
      </c>
      <c r="Q204">
        <v>1000</v>
      </c>
      <c r="W204">
        <v>0</v>
      </c>
      <c r="X204">
        <v>-1899420918</v>
      </c>
      <c r="Y204">
        <f t="shared" si="84"/>
        <v>9.66</v>
      </c>
      <c r="AA204">
        <v>4712.28</v>
      </c>
      <c r="AB204">
        <v>0</v>
      </c>
      <c r="AC204">
        <v>0</v>
      </c>
      <c r="AD204">
        <v>0</v>
      </c>
      <c r="AE204">
        <v>307.58999999999997</v>
      </c>
      <c r="AF204">
        <v>0</v>
      </c>
      <c r="AG204">
        <v>0</v>
      </c>
      <c r="AH204">
        <v>0</v>
      </c>
      <c r="AI204">
        <v>15.32</v>
      </c>
      <c r="AJ204">
        <v>1</v>
      </c>
      <c r="AK204">
        <v>1</v>
      </c>
      <c r="AL204">
        <v>1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 t="s">
        <v>3</v>
      </c>
      <c r="AT204">
        <v>9.66</v>
      </c>
      <c r="AU204" t="s">
        <v>3</v>
      </c>
      <c r="AV204">
        <v>0</v>
      </c>
      <c r="AW204">
        <v>1</v>
      </c>
      <c r="AX204">
        <v>-1</v>
      </c>
      <c r="AY204">
        <v>0</v>
      </c>
      <c r="AZ204">
        <v>0</v>
      </c>
      <c r="BA204" t="s">
        <v>3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ROUND(Y204*Source!I298,9)</f>
        <v>0</v>
      </c>
      <c r="CY204">
        <f t="shared" si="85"/>
        <v>4712.28</v>
      </c>
      <c r="CZ204">
        <f t="shared" si="86"/>
        <v>307.58999999999997</v>
      </c>
      <c r="DA204">
        <f t="shared" si="87"/>
        <v>15.32</v>
      </c>
      <c r="DB204">
        <f t="shared" si="88"/>
        <v>2971.32</v>
      </c>
      <c r="DC204">
        <f t="shared" si="89"/>
        <v>0</v>
      </c>
      <c r="DD204" t="s">
        <v>3</v>
      </c>
      <c r="DE204" t="s">
        <v>3</v>
      </c>
      <c r="DF204">
        <f>ROUND(ROUND(AE204*AI204,2)*CX204,2)</f>
        <v>0</v>
      </c>
      <c r="DG204">
        <f t="shared" si="90"/>
        <v>0</v>
      </c>
      <c r="DH204">
        <f t="shared" si="91"/>
        <v>0</v>
      </c>
      <c r="DI204">
        <f t="shared" si="93"/>
        <v>0</v>
      </c>
      <c r="DJ204">
        <f t="shared" si="92"/>
        <v>0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">
      <c r="A205">
        <f>ROW(Source!A342)</f>
        <v>342</v>
      </c>
      <c r="B205">
        <v>56622586</v>
      </c>
      <c r="C205">
        <v>56617256</v>
      </c>
      <c r="D205">
        <v>49108184</v>
      </c>
      <c r="E205">
        <v>1</v>
      </c>
      <c r="F205">
        <v>1</v>
      </c>
      <c r="G205">
        <v>27786564</v>
      </c>
      <c r="H205">
        <v>3</v>
      </c>
      <c r="I205" t="s">
        <v>91</v>
      </c>
      <c r="J205" t="s">
        <v>94</v>
      </c>
      <c r="K205" t="s">
        <v>341</v>
      </c>
      <c r="L205">
        <v>1339</v>
      </c>
      <c r="N205">
        <v>1007</v>
      </c>
      <c r="O205" t="s">
        <v>93</v>
      </c>
      <c r="P205" t="s">
        <v>93</v>
      </c>
      <c r="Q205">
        <v>1</v>
      </c>
      <c r="W205">
        <v>0</v>
      </c>
      <c r="X205">
        <v>921520</v>
      </c>
      <c r="Y205">
        <f t="shared" si="84"/>
        <v>110</v>
      </c>
      <c r="AA205">
        <v>104.99</v>
      </c>
      <c r="AB205">
        <v>0</v>
      </c>
      <c r="AC205">
        <v>0</v>
      </c>
      <c r="AD205">
        <v>0</v>
      </c>
      <c r="AE205">
        <v>104.99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-2</v>
      </c>
      <c r="AN205">
        <v>0</v>
      </c>
      <c r="AO205">
        <v>0</v>
      </c>
      <c r="AP205">
        <v>1</v>
      </c>
      <c r="AQ205">
        <v>0</v>
      </c>
      <c r="AR205">
        <v>0</v>
      </c>
      <c r="AS205" t="s">
        <v>3</v>
      </c>
      <c r="AT205">
        <v>110</v>
      </c>
      <c r="AU205" t="s">
        <v>3</v>
      </c>
      <c r="AV205">
        <v>0</v>
      </c>
      <c r="AW205">
        <v>1</v>
      </c>
      <c r="AX205">
        <v>-1</v>
      </c>
      <c r="AY205">
        <v>0</v>
      </c>
      <c r="AZ205">
        <v>0</v>
      </c>
      <c r="BA205" t="s">
        <v>3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ROUND(Y205*Source!I342,9)</f>
        <v>0</v>
      </c>
      <c r="CY205">
        <f t="shared" si="85"/>
        <v>104.99</v>
      </c>
      <c r="CZ205">
        <f t="shared" si="86"/>
        <v>104.99</v>
      </c>
      <c r="DA205">
        <f t="shared" si="87"/>
        <v>1</v>
      </c>
      <c r="DB205">
        <f t="shared" si="88"/>
        <v>11548.9</v>
      </c>
      <c r="DC205">
        <f t="shared" si="89"/>
        <v>0</v>
      </c>
      <c r="DD205" t="s">
        <v>3</v>
      </c>
      <c r="DE205" t="s">
        <v>3</v>
      </c>
      <c r="DF205">
        <f>ROUND(ROUND(AE205,2)*CX205,2)</f>
        <v>0</v>
      </c>
      <c r="DG205">
        <f t="shared" si="90"/>
        <v>0</v>
      </c>
      <c r="DH205">
        <f t="shared" si="91"/>
        <v>0</v>
      </c>
      <c r="DI205">
        <f t="shared" si="93"/>
        <v>0</v>
      </c>
      <c r="DJ205">
        <f t="shared" si="92"/>
        <v>0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">
      <c r="A206">
        <f>ROW(Source!A343)</f>
        <v>343</v>
      </c>
      <c r="B206">
        <v>56616093</v>
      </c>
      <c r="C206">
        <v>56617256</v>
      </c>
      <c r="D206">
        <v>49108184</v>
      </c>
      <c r="E206">
        <v>1</v>
      </c>
      <c r="F206">
        <v>1</v>
      </c>
      <c r="G206">
        <v>27786564</v>
      </c>
      <c r="H206">
        <v>3</v>
      </c>
      <c r="I206" t="s">
        <v>91</v>
      </c>
      <c r="J206" t="s">
        <v>94</v>
      </c>
      <c r="K206" t="s">
        <v>341</v>
      </c>
      <c r="L206">
        <v>1339</v>
      </c>
      <c r="N206">
        <v>1007</v>
      </c>
      <c r="O206" t="s">
        <v>93</v>
      </c>
      <c r="P206" t="s">
        <v>93</v>
      </c>
      <c r="Q206">
        <v>1</v>
      </c>
      <c r="W206">
        <v>0</v>
      </c>
      <c r="X206">
        <v>921520</v>
      </c>
      <c r="Y206">
        <f t="shared" si="84"/>
        <v>110</v>
      </c>
      <c r="AA206">
        <v>808.99</v>
      </c>
      <c r="AB206">
        <v>0</v>
      </c>
      <c r="AC206">
        <v>0</v>
      </c>
      <c r="AD206">
        <v>0</v>
      </c>
      <c r="AE206">
        <v>104.99</v>
      </c>
      <c r="AF206">
        <v>0</v>
      </c>
      <c r="AG206">
        <v>0</v>
      </c>
      <c r="AH206">
        <v>0</v>
      </c>
      <c r="AI206">
        <v>7.69</v>
      </c>
      <c r="AJ206">
        <v>1</v>
      </c>
      <c r="AK206">
        <v>1</v>
      </c>
      <c r="AL206">
        <v>1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  <c r="AS206" t="s">
        <v>3</v>
      </c>
      <c r="AT206">
        <v>110</v>
      </c>
      <c r="AU206" t="s">
        <v>3</v>
      </c>
      <c r="AV206">
        <v>0</v>
      </c>
      <c r="AW206">
        <v>1</v>
      </c>
      <c r="AX206">
        <v>-1</v>
      </c>
      <c r="AY206">
        <v>0</v>
      </c>
      <c r="AZ206">
        <v>0</v>
      </c>
      <c r="BA206" t="s">
        <v>3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ROUND(Y206*Source!I343,9)</f>
        <v>0</v>
      </c>
      <c r="CY206">
        <f t="shared" si="85"/>
        <v>808.99</v>
      </c>
      <c r="CZ206">
        <f t="shared" si="86"/>
        <v>104.99</v>
      </c>
      <c r="DA206">
        <f t="shared" si="87"/>
        <v>7.69</v>
      </c>
      <c r="DB206">
        <f t="shared" si="88"/>
        <v>11548.9</v>
      </c>
      <c r="DC206">
        <f t="shared" si="89"/>
        <v>0</v>
      </c>
      <c r="DD206" t="s">
        <v>3</v>
      </c>
      <c r="DE206" t="s">
        <v>3</v>
      </c>
      <c r="DF206">
        <f>ROUND(ROUND(AE206*AI206,2)*CX206,2)</f>
        <v>0</v>
      </c>
      <c r="DG206">
        <f t="shared" si="90"/>
        <v>0</v>
      </c>
      <c r="DH206">
        <f t="shared" si="91"/>
        <v>0</v>
      </c>
      <c r="DI206">
        <f t="shared" si="93"/>
        <v>0</v>
      </c>
      <c r="DJ206">
        <f t="shared" si="92"/>
        <v>0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">
      <c r="A207">
        <f>ROW(Source!A346)</f>
        <v>346</v>
      </c>
      <c r="B207">
        <v>56622586</v>
      </c>
      <c r="C207">
        <v>56617267</v>
      </c>
      <c r="D207">
        <v>46724066</v>
      </c>
      <c r="E207">
        <v>1</v>
      </c>
      <c r="F207">
        <v>1</v>
      </c>
      <c r="G207">
        <v>27786564</v>
      </c>
      <c r="H207">
        <v>3</v>
      </c>
      <c r="I207" t="s">
        <v>399</v>
      </c>
      <c r="J207" t="s">
        <v>401</v>
      </c>
      <c r="K207" t="s">
        <v>400</v>
      </c>
      <c r="L207">
        <v>1339</v>
      </c>
      <c r="N207">
        <v>1007</v>
      </c>
      <c r="O207" t="s">
        <v>93</v>
      </c>
      <c r="P207" t="s">
        <v>93</v>
      </c>
      <c r="Q207">
        <v>1</v>
      </c>
      <c r="W207">
        <v>0</v>
      </c>
      <c r="X207">
        <v>1868310757</v>
      </c>
      <c r="Y207">
        <f t="shared" si="84"/>
        <v>12</v>
      </c>
      <c r="AA207">
        <v>160.62</v>
      </c>
      <c r="AB207">
        <v>0</v>
      </c>
      <c r="AC207">
        <v>0</v>
      </c>
      <c r="AD207">
        <v>0</v>
      </c>
      <c r="AE207">
        <v>160.62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-2</v>
      </c>
      <c r="AN207">
        <v>0</v>
      </c>
      <c r="AO207">
        <v>0</v>
      </c>
      <c r="AP207">
        <v>1</v>
      </c>
      <c r="AQ207">
        <v>0</v>
      </c>
      <c r="AR207">
        <v>0</v>
      </c>
      <c r="AS207" t="s">
        <v>3</v>
      </c>
      <c r="AT207">
        <v>12</v>
      </c>
      <c r="AU207" t="s">
        <v>3</v>
      </c>
      <c r="AV207">
        <v>0</v>
      </c>
      <c r="AW207">
        <v>1</v>
      </c>
      <c r="AX207">
        <v>-1</v>
      </c>
      <c r="AY207">
        <v>0</v>
      </c>
      <c r="AZ207">
        <v>0</v>
      </c>
      <c r="BA207" t="s">
        <v>3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ROUND(Y207*Source!I346,9)</f>
        <v>0</v>
      </c>
      <c r="CY207">
        <f t="shared" si="85"/>
        <v>160.62</v>
      </c>
      <c r="CZ207">
        <f t="shared" si="86"/>
        <v>160.62</v>
      </c>
      <c r="DA207">
        <f t="shared" si="87"/>
        <v>1</v>
      </c>
      <c r="DB207">
        <f t="shared" si="88"/>
        <v>1927.44</v>
      </c>
      <c r="DC207">
        <f t="shared" si="89"/>
        <v>0</v>
      </c>
      <c r="DD207" t="s">
        <v>3</v>
      </c>
      <c r="DE207" t="s">
        <v>3</v>
      </c>
      <c r="DF207">
        <f>ROUND(ROUND(AE207,2)*CX207,2)</f>
        <v>0</v>
      </c>
      <c r="DG207">
        <f t="shared" si="90"/>
        <v>0</v>
      </c>
      <c r="DH207">
        <f t="shared" si="91"/>
        <v>0</v>
      </c>
      <c r="DI207">
        <f t="shared" si="93"/>
        <v>0</v>
      </c>
      <c r="DJ207">
        <f t="shared" si="92"/>
        <v>0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">
      <c r="A208">
        <f>ROW(Source!A347)</f>
        <v>347</v>
      </c>
      <c r="B208">
        <v>56616093</v>
      </c>
      <c r="C208">
        <v>56617267</v>
      </c>
      <c r="D208">
        <v>46724066</v>
      </c>
      <c r="E208">
        <v>1</v>
      </c>
      <c r="F208">
        <v>1</v>
      </c>
      <c r="G208">
        <v>27786564</v>
      </c>
      <c r="H208">
        <v>3</v>
      </c>
      <c r="I208" t="s">
        <v>399</v>
      </c>
      <c r="J208" t="s">
        <v>401</v>
      </c>
      <c r="K208" t="s">
        <v>400</v>
      </c>
      <c r="L208">
        <v>1339</v>
      </c>
      <c r="N208">
        <v>1007</v>
      </c>
      <c r="O208" t="s">
        <v>93</v>
      </c>
      <c r="P208" t="s">
        <v>93</v>
      </c>
      <c r="Q208">
        <v>1</v>
      </c>
      <c r="W208">
        <v>0</v>
      </c>
      <c r="X208">
        <v>1868310757</v>
      </c>
      <c r="Y208">
        <f t="shared" si="84"/>
        <v>12</v>
      </c>
      <c r="AA208">
        <v>2913.04</v>
      </c>
      <c r="AB208">
        <v>0</v>
      </c>
      <c r="AC208">
        <v>0</v>
      </c>
      <c r="AD208">
        <v>0</v>
      </c>
      <c r="AE208">
        <v>160.62</v>
      </c>
      <c r="AF208">
        <v>0</v>
      </c>
      <c r="AG208">
        <v>0</v>
      </c>
      <c r="AH208">
        <v>0</v>
      </c>
      <c r="AI208">
        <v>18.100000000000001</v>
      </c>
      <c r="AJ208">
        <v>1</v>
      </c>
      <c r="AK208">
        <v>1</v>
      </c>
      <c r="AL208">
        <v>1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 t="s">
        <v>3</v>
      </c>
      <c r="AT208">
        <v>12</v>
      </c>
      <c r="AU208" t="s">
        <v>3</v>
      </c>
      <c r="AV208">
        <v>0</v>
      </c>
      <c r="AW208">
        <v>1</v>
      </c>
      <c r="AX208">
        <v>-1</v>
      </c>
      <c r="AY208">
        <v>0</v>
      </c>
      <c r="AZ208">
        <v>0</v>
      </c>
      <c r="BA208" t="s">
        <v>3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ROUND(Y208*Source!I347,9)</f>
        <v>0</v>
      </c>
      <c r="CY208">
        <f t="shared" si="85"/>
        <v>2913.04</v>
      </c>
      <c r="CZ208">
        <f t="shared" si="86"/>
        <v>160.62</v>
      </c>
      <c r="DA208">
        <f t="shared" si="87"/>
        <v>18.100000000000001</v>
      </c>
      <c r="DB208">
        <f t="shared" si="88"/>
        <v>1927.44</v>
      </c>
      <c r="DC208">
        <f t="shared" si="89"/>
        <v>0</v>
      </c>
      <c r="DD208" t="s">
        <v>3</v>
      </c>
      <c r="DE208" t="s">
        <v>3</v>
      </c>
      <c r="DF208">
        <f>ROUND(ROUND(AE208*AI208,2)*CX208,2)</f>
        <v>0</v>
      </c>
      <c r="DG208">
        <f t="shared" si="90"/>
        <v>0</v>
      </c>
      <c r="DH208">
        <f t="shared" si="91"/>
        <v>0</v>
      </c>
      <c r="DI208">
        <f t="shared" si="93"/>
        <v>0</v>
      </c>
      <c r="DJ208">
        <f t="shared" si="92"/>
        <v>0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">
      <c r="A209">
        <f>ROW(Source!A350)</f>
        <v>350</v>
      </c>
      <c r="B209">
        <v>56622586</v>
      </c>
      <c r="C209">
        <v>56617275</v>
      </c>
      <c r="D209">
        <v>46725956</v>
      </c>
      <c r="E209">
        <v>1</v>
      </c>
      <c r="F209">
        <v>1</v>
      </c>
      <c r="G209">
        <v>27786564</v>
      </c>
      <c r="H209">
        <v>3</v>
      </c>
      <c r="I209" t="s">
        <v>365</v>
      </c>
      <c r="J209" t="s">
        <v>368</v>
      </c>
      <c r="K209" t="s">
        <v>366</v>
      </c>
      <c r="L209">
        <v>1348</v>
      </c>
      <c r="N209">
        <v>1009</v>
      </c>
      <c r="O209" t="s">
        <v>367</v>
      </c>
      <c r="P209" t="s">
        <v>367</v>
      </c>
      <c r="Q209">
        <v>1000</v>
      </c>
      <c r="W209">
        <v>0</v>
      </c>
      <c r="X209">
        <v>1855215121</v>
      </c>
      <c r="Y209">
        <f t="shared" si="84"/>
        <v>10.7</v>
      </c>
      <c r="AA209">
        <v>296.7</v>
      </c>
      <c r="AB209">
        <v>0</v>
      </c>
      <c r="AC209">
        <v>0</v>
      </c>
      <c r="AD209">
        <v>0</v>
      </c>
      <c r="AE209">
        <v>296.7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-2</v>
      </c>
      <c r="AN209">
        <v>0</v>
      </c>
      <c r="AO209">
        <v>0</v>
      </c>
      <c r="AP209">
        <v>1</v>
      </c>
      <c r="AQ209">
        <v>0</v>
      </c>
      <c r="AR209">
        <v>0</v>
      </c>
      <c r="AS209" t="s">
        <v>3</v>
      </c>
      <c r="AT209">
        <v>10.7</v>
      </c>
      <c r="AU209" t="s">
        <v>3</v>
      </c>
      <c r="AV209">
        <v>0</v>
      </c>
      <c r="AW209">
        <v>1</v>
      </c>
      <c r="AX209">
        <v>-1</v>
      </c>
      <c r="AY209">
        <v>0</v>
      </c>
      <c r="AZ209">
        <v>0</v>
      </c>
      <c r="BA209" t="s">
        <v>3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v>0</v>
      </c>
      <c r="CX209">
        <f>ROUND(Y209*Source!I350,9)</f>
        <v>0</v>
      </c>
      <c r="CY209">
        <f t="shared" si="85"/>
        <v>296.7</v>
      </c>
      <c r="CZ209">
        <f t="shared" si="86"/>
        <v>296.7</v>
      </c>
      <c r="DA209">
        <f t="shared" si="87"/>
        <v>1</v>
      </c>
      <c r="DB209">
        <f t="shared" si="88"/>
        <v>3174.69</v>
      </c>
      <c r="DC209">
        <f t="shared" si="89"/>
        <v>0</v>
      </c>
      <c r="DD209" t="s">
        <v>3</v>
      </c>
      <c r="DE209" t="s">
        <v>3</v>
      </c>
      <c r="DF209">
        <f>ROUND(ROUND(AE209,2)*CX209,2)</f>
        <v>0</v>
      </c>
      <c r="DG209">
        <f t="shared" si="90"/>
        <v>0</v>
      </c>
      <c r="DH209">
        <f t="shared" si="91"/>
        <v>0</v>
      </c>
      <c r="DI209">
        <f t="shared" si="93"/>
        <v>0</v>
      </c>
      <c r="DJ209">
        <f t="shared" si="92"/>
        <v>0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">
      <c r="A210">
        <f>ROW(Source!A351)</f>
        <v>351</v>
      </c>
      <c r="B210">
        <v>56616093</v>
      </c>
      <c r="C210">
        <v>56617275</v>
      </c>
      <c r="D210">
        <v>46725956</v>
      </c>
      <c r="E210">
        <v>1</v>
      </c>
      <c r="F210">
        <v>1</v>
      </c>
      <c r="G210">
        <v>27786564</v>
      </c>
      <c r="H210">
        <v>3</v>
      </c>
      <c r="I210" t="s">
        <v>365</v>
      </c>
      <c r="J210" t="s">
        <v>368</v>
      </c>
      <c r="K210" t="s">
        <v>366</v>
      </c>
      <c r="L210">
        <v>1348</v>
      </c>
      <c r="N210">
        <v>1009</v>
      </c>
      <c r="O210" t="s">
        <v>367</v>
      </c>
      <c r="P210" t="s">
        <v>367</v>
      </c>
      <c r="Q210">
        <v>1000</v>
      </c>
      <c r="W210">
        <v>0</v>
      </c>
      <c r="X210">
        <v>1855215121</v>
      </c>
      <c r="Y210">
        <f t="shared" si="84"/>
        <v>10.7</v>
      </c>
      <c r="AA210">
        <v>4566.21</v>
      </c>
      <c r="AB210">
        <v>0</v>
      </c>
      <c r="AC210">
        <v>0</v>
      </c>
      <c r="AD210">
        <v>0</v>
      </c>
      <c r="AE210">
        <v>296.7</v>
      </c>
      <c r="AF210">
        <v>0</v>
      </c>
      <c r="AG210">
        <v>0</v>
      </c>
      <c r="AH210">
        <v>0</v>
      </c>
      <c r="AI210">
        <v>15.39</v>
      </c>
      <c r="AJ210">
        <v>1</v>
      </c>
      <c r="AK210">
        <v>1</v>
      </c>
      <c r="AL210">
        <v>1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 t="s">
        <v>3</v>
      </c>
      <c r="AT210">
        <v>10.7</v>
      </c>
      <c r="AU210" t="s">
        <v>3</v>
      </c>
      <c r="AV210">
        <v>0</v>
      </c>
      <c r="AW210">
        <v>1</v>
      </c>
      <c r="AX210">
        <v>-1</v>
      </c>
      <c r="AY210">
        <v>0</v>
      </c>
      <c r="AZ210">
        <v>0</v>
      </c>
      <c r="BA210" t="s">
        <v>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ROUND(Y210*Source!I351,9)</f>
        <v>0</v>
      </c>
      <c r="CY210">
        <f t="shared" si="85"/>
        <v>4566.21</v>
      </c>
      <c r="CZ210">
        <f t="shared" si="86"/>
        <v>296.7</v>
      </c>
      <c r="DA210">
        <f t="shared" si="87"/>
        <v>15.39</v>
      </c>
      <c r="DB210">
        <f t="shared" si="88"/>
        <v>3174.69</v>
      </c>
      <c r="DC210">
        <f t="shared" si="89"/>
        <v>0</v>
      </c>
      <c r="DD210" t="s">
        <v>3</v>
      </c>
      <c r="DE210" t="s">
        <v>3</v>
      </c>
      <c r="DF210">
        <f>ROUND(ROUND(AE210*AI210,2)*CX210,2)</f>
        <v>0</v>
      </c>
      <c r="DG210">
        <f t="shared" si="90"/>
        <v>0</v>
      </c>
      <c r="DH210">
        <f t="shared" si="91"/>
        <v>0</v>
      </c>
      <c r="DI210">
        <f t="shared" si="93"/>
        <v>0</v>
      </c>
      <c r="DJ210">
        <f t="shared" si="92"/>
        <v>0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">
      <c r="A211">
        <f>ROW(Source!A354)</f>
        <v>354</v>
      </c>
      <c r="B211">
        <v>56622586</v>
      </c>
      <c r="C211">
        <v>56617282</v>
      </c>
      <c r="D211">
        <v>46725961</v>
      </c>
      <c r="E211">
        <v>1</v>
      </c>
      <c r="F211">
        <v>1</v>
      </c>
      <c r="G211">
        <v>27786564</v>
      </c>
      <c r="H211">
        <v>3</v>
      </c>
      <c r="I211" t="s">
        <v>414</v>
      </c>
      <c r="J211" t="s">
        <v>416</v>
      </c>
      <c r="K211" t="s">
        <v>415</v>
      </c>
      <c r="L211">
        <v>1348</v>
      </c>
      <c r="N211">
        <v>1009</v>
      </c>
      <c r="O211" t="s">
        <v>367</v>
      </c>
      <c r="P211" t="s">
        <v>367</v>
      </c>
      <c r="Q211">
        <v>1000</v>
      </c>
      <c r="W211">
        <v>0</v>
      </c>
      <c r="X211">
        <v>-1088409324</v>
      </c>
      <c r="Y211">
        <f t="shared" si="84"/>
        <v>7.14</v>
      </c>
      <c r="AA211">
        <v>293.51</v>
      </c>
      <c r="AB211">
        <v>0</v>
      </c>
      <c r="AC211">
        <v>0</v>
      </c>
      <c r="AD211">
        <v>0</v>
      </c>
      <c r="AE211">
        <v>293.51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-2</v>
      </c>
      <c r="AN211">
        <v>0</v>
      </c>
      <c r="AO211">
        <v>0</v>
      </c>
      <c r="AP211">
        <v>1</v>
      </c>
      <c r="AQ211">
        <v>0</v>
      </c>
      <c r="AR211">
        <v>0</v>
      </c>
      <c r="AS211" t="s">
        <v>3</v>
      </c>
      <c r="AT211">
        <v>7.14</v>
      </c>
      <c r="AU211" t="s">
        <v>3</v>
      </c>
      <c r="AV211">
        <v>0</v>
      </c>
      <c r="AW211">
        <v>1</v>
      </c>
      <c r="AX211">
        <v>-1</v>
      </c>
      <c r="AY211">
        <v>0</v>
      </c>
      <c r="AZ211">
        <v>0</v>
      </c>
      <c r="BA211" t="s">
        <v>3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ROUND(Y211*Source!I354,9)</f>
        <v>0</v>
      </c>
      <c r="CY211">
        <f t="shared" si="85"/>
        <v>293.51</v>
      </c>
      <c r="CZ211">
        <f t="shared" si="86"/>
        <v>293.51</v>
      </c>
      <c r="DA211">
        <f t="shared" si="87"/>
        <v>1</v>
      </c>
      <c r="DB211">
        <f t="shared" si="88"/>
        <v>2095.66</v>
      </c>
      <c r="DC211">
        <f t="shared" si="89"/>
        <v>0</v>
      </c>
      <c r="DD211" t="s">
        <v>3</v>
      </c>
      <c r="DE211" t="s">
        <v>3</v>
      </c>
      <c r="DF211">
        <f>ROUND(ROUND(AE211,2)*CX211,2)</f>
        <v>0</v>
      </c>
      <c r="DG211">
        <f t="shared" si="90"/>
        <v>0</v>
      </c>
      <c r="DH211">
        <f t="shared" si="91"/>
        <v>0</v>
      </c>
      <c r="DI211">
        <f t="shared" si="93"/>
        <v>0</v>
      </c>
      <c r="DJ211">
        <f t="shared" si="92"/>
        <v>0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">
      <c r="A212">
        <f>ROW(Source!A355)</f>
        <v>355</v>
      </c>
      <c r="B212">
        <v>56616093</v>
      </c>
      <c r="C212">
        <v>56617282</v>
      </c>
      <c r="D212">
        <v>46725961</v>
      </c>
      <c r="E212">
        <v>1</v>
      </c>
      <c r="F212">
        <v>1</v>
      </c>
      <c r="G212">
        <v>27786564</v>
      </c>
      <c r="H212">
        <v>3</v>
      </c>
      <c r="I212" t="s">
        <v>414</v>
      </c>
      <c r="J212" t="s">
        <v>416</v>
      </c>
      <c r="K212" t="s">
        <v>415</v>
      </c>
      <c r="L212">
        <v>1348</v>
      </c>
      <c r="N212">
        <v>1009</v>
      </c>
      <c r="O212" t="s">
        <v>367</v>
      </c>
      <c r="P212" t="s">
        <v>367</v>
      </c>
      <c r="Q212">
        <v>1000</v>
      </c>
      <c r="W212">
        <v>0</v>
      </c>
      <c r="X212">
        <v>-1088409324</v>
      </c>
      <c r="Y212">
        <f t="shared" si="84"/>
        <v>7.14</v>
      </c>
      <c r="AA212">
        <v>5154.04</v>
      </c>
      <c r="AB212">
        <v>0</v>
      </c>
      <c r="AC212">
        <v>0</v>
      </c>
      <c r="AD212">
        <v>0</v>
      </c>
      <c r="AE212">
        <v>293.51</v>
      </c>
      <c r="AF212">
        <v>0</v>
      </c>
      <c r="AG212">
        <v>0</v>
      </c>
      <c r="AH212">
        <v>0</v>
      </c>
      <c r="AI212">
        <v>17.559999999999999</v>
      </c>
      <c r="AJ212">
        <v>1</v>
      </c>
      <c r="AK212">
        <v>1</v>
      </c>
      <c r="AL212">
        <v>1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 t="s">
        <v>3</v>
      </c>
      <c r="AT212">
        <v>7.14</v>
      </c>
      <c r="AU212" t="s">
        <v>3</v>
      </c>
      <c r="AV212">
        <v>0</v>
      </c>
      <c r="AW212">
        <v>1</v>
      </c>
      <c r="AX212">
        <v>-1</v>
      </c>
      <c r="AY212">
        <v>0</v>
      </c>
      <c r="AZ212">
        <v>0</v>
      </c>
      <c r="BA212" t="s">
        <v>3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ROUND(Y212*Source!I355,9)</f>
        <v>0</v>
      </c>
      <c r="CY212">
        <f t="shared" si="85"/>
        <v>5154.04</v>
      </c>
      <c r="CZ212">
        <f t="shared" si="86"/>
        <v>293.51</v>
      </c>
      <c r="DA212">
        <f t="shared" si="87"/>
        <v>17.559999999999999</v>
      </c>
      <c r="DB212">
        <f t="shared" si="88"/>
        <v>2095.66</v>
      </c>
      <c r="DC212">
        <f t="shared" si="89"/>
        <v>0</v>
      </c>
      <c r="DD212" t="s">
        <v>3</v>
      </c>
      <c r="DE212" t="s">
        <v>3</v>
      </c>
      <c r="DF212">
        <f>ROUND(ROUND(AE212*AI212,2)*CX212,2)</f>
        <v>0</v>
      </c>
      <c r="DG212">
        <f t="shared" si="90"/>
        <v>0</v>
      </c>
      <c r="DH212">
        <f t="shared" si="91"/>
        <v>0</v>
      </c>
      <c r="DI212">
        <f t="shared" si="93"/>
        <v>0</v>
      </c>
      <c r="DJ212">
        <f t="shared" si="92"/>
        <v>0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">
      <c r="A213">
        <f>ROW(Source!A358)</f>
        <v>358</v>
      </c>
      <c r="B213">
        <v>56622586</v>
      </c>
      <c r="C213">
        <v>56617289</v>
      </c>
      <c r="D213">
        <v>47634407</v>
      </c>
      <c r="E213">
        <v>27786564</v>
      </c>
      <c r="F213">
        <v>1</v>
      </c>
      <c r="G213">
        <v>27786564</v>
      </c>
      <c r="H213">
        <v>1</v>
      </c>
      <c r="I213" t="s">
        <v>439</v>
      </c>
      <c r="J213" t="s">
        <v>3</v>
      </c>
      <c r="K213" t="s">
        <v>440</v>
      </c>
      <c r="L213">
        <v>1191</v>
      </c>
      <c r="N213">
        <v>1013</v>
      </c>
      <c r="O213" t="s">
        <v>441</v>
      </c>
      <c r="P213" t="s">
        <v>441</v>
      </c>
      <c r="Q213">
        <v>1</v>
      </c>
      <c r="W213">
        <v>0</v>
      </c>
      <c r="X213">
        <v>476480486</v>
      </c>
      <c r="Y213">
        <f>(AT213*1.1)</f>
        <v>84.37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-2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76.7</v>
      </c>
      <c r="AU213" t="s">
        <v>22</v>
      </c>
      <c r="AV213">
        <v>1</v>
      </c>
      <c r="AW213">
        <v>2</v>
      </c>
      <c r="AX213">
        <v>56617291</v>
      </c>
      <c r="AY213">
        <v>1</v>
      </c>
      <c r="AZ213">
        <v>0</v>
      </c>
      <c r="BA213">
        <v>1175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U213">
        <f>ROUND(AT213*Source!I358*AH213*AL213,2)</f>
        <v>0</v>
      </c>
      <c r="CV213">
        <f>ROUND(Y213*Source!I358,9)</f>
        <v>0</v>
      </c>
      <c r="CW213">
        <v>0</v>
      </c>
      <c r="CX213">
        <f>ROUND(Y213*Source!I358,9)</f>
        <v>0</v>
      </c>
      <c r="CY213">
        <f>AD213</f>
        <v>0</v>
      </c>
      <c r="CZ213">
        <f>AH213</f>
        <v>0</v>
      </c>
      <c r="DA213">
        <f>AL213</f>
        <v>1</v>
      </c>
      <c r="DB213">
        <f>ROUND((ROUND(AT213*CZ213,2)*1.1),6)</f>
        <v>0</v>
      </c>
      <c r="DC213">
        <f>ROUND((ROUND(AT213*AG213,2)*1.1),6)</f>
        <v>0</v>
      </c>
      <c r="DD213" t="s">
        <v>3</v>
      </c>
      <c r="DE213" t="s">
        <v>3</v>
      </c>
      <c r="DF213">
        <f>ROUND(ROUND(AE213,2)*CX213,2)</f>
        <v>0</v>
      </c>
      <c r="DG213">
        <f t="shared" si="90"/>
        <v>0</v>
      </c>
      <c r="DH213">
        <f t="shared" si="91"/>
        <v>0</v>
      </c>
      <c r="DI213">
        <f t="shared" si="93"/>
        <v>0</v>
      </c>
      <c r="DJ213">
        <f>DI213</f>
        <v>0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">
      <c r="A214">
        <f>ROW(Source!A359)</f>
        <v>359</v>
      </c>
      <c r="B214">
        <v>56616093</v>
      </c>
      <c r="C214">
        <v>56617289</v>
      </c>
      <c r="D214">
        <v>47634407</v>
      </c>
      <c r="E214">
        <v>27786564</v>
      </c>
      <c r="F214">
        <v>1</v>
      </c>
      <c r="G214">
        <v>27786564</v>
      </c>
      <c r="H214">
        <v>1</v>
      </c>
      <c r="I214" t="s">
        <v>439</v>
      </c>
      <c r="J214" t="s">
        <v>3</v>
      </c>
      <c r="K214" t="s">
        <v>440</v>
      </c>
      <c r="L214">
        <v>1191</v>
      </c>
      <c r="N214">
        <v>1013</v>
      </c>
      <c r="O214" t="s">
        <v>441</v>
      </c>
      <c r="P214" t="s">
        <v>441</v>
      </c>
      <c r="Q214">
        <v>1</v>
      </c>
      <c r="W214">
        <v>0</v>
      </c>
      <c r="X214">
        <v>476480486</v>
      </c>
      <c r="Y214">
        <f>(AT214*1.1)</f>
        <v>84.37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1</v>
      </c>
      <c r="AK214">
        <v>1</v>
      </c>
      <c r="AL214">
        <v>1</v>
      </c>
      <c r="AM214">
        <v>-2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76.7</v>
      </c>
      <c r="AU214" t="s">
        <v>22</v>
      </c>
      <c r="AV214">
        <v>1</v>
      </c>
      <c r="AW214">
        <v>2</v>
      </c>
      <c r="AX214">
        <v>56617291</v>
      </c>
      <c r="AY214">
        <v>1</v>
      </c>
      <c r="AZ214">
        <v>0</v>
      </c>
      <c r="BA214">
        <v>1176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U214">
        <f>ROUND(AT214*Source!I359*AH214*AL214,2)</f>
        <v>0</v>
      </c>
      <c r="CV214">
        <f>ROUND(Y214*Source!I359,9)</f>
        <v>0</v>
      </c>
      <c r="CW214">
        <v>0</v>
      </c>
      <c r="CX214">
        <f>ROUND(Y214*Source!I359,9)</f>
        <v>0</v>
      </c>
      <c r="CY214">
        <f>AD214</f>
        <v>0</v>
      </c>
      <c r="CZ214">
        <f>AH214</f>
        <v>0</v>
      </c>
      <c r="DA214">
        <f>AL214</f>
        <v>1</v>
      </c>
      <c r="DB214">
        <f>ROUND((ROUND(AT214*CZ214,2)*1.1),6)</f>
        <v>0</v>
      </c>
      <c r="DC214">
        <f>ROUND((ROUND(AT214*AG214,2)*1.1),6)</f>
        <v>0</v>
      </c>
      <c r="DD214" t="s">
        <v>3</v>
      </c>
      <c r="DE214" t="s">
        <v>3</v>
      </c>
      <c r="DF214">
        <f>ROUND(ROUND(AE214,2)*CX214,2)</f>
        <v>0</v>
      </c>
      <c r="DG214">
        <f t="shared" si="90"/>
        <v>0</v>
      </c>
      <c r="DH214">
        <f t="shared" si="91"/>
        <v>0</v>
      </c>
      <c r="DI214">
        <f t="shared" si="93"/>
        <v>0</v>
      </c>
      <c r="DJ214">
        <f>DI214</f>
        <v>0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24385-7E03-4579-85C3-C19349B47502}">
  <dimension ref="A1:AR119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56616505</v>
      </c>
      <c r="C1">
        <v>56616503</v>
      </c>
      <c r="D1">
        <v>47634407</v>
      </c>
      <c r="E1">
        <v>27786564</v>
      </c>
      <c r="F1">
        <v>1</v>
      </c>
      <c r="G1">
        <v>27786564</v>
      </c>
      <c r="H1">
        <v>1</v>
      </c>
      <c r="I1" t="s">
        <v>439</v>
      </c>
      <c r="J1" t="s">
        <v>3</v>
      </c>
      <c r="K1" t="s">
        <v>440</v>
      </c>
      <c r="L1">
        <v>1191</v>
      </c>
      <c r="N1">
        <v>1013</v>
      </c>
      <c r="O1" t="s">
        <v>441</v>
      </c>
      <c r="P1" t="s">
        <v>441</v>
      </c>
      <c r="Q1">
        <v>1</v>
      </c>
      <c r="X1">
        <v>192.7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22</v>
      </c>
      <c r="AG1">
        <v>211.97</v>
      </c>
      <c r="AH1">
        <v>2</v>
      </c>
      <c r="AI1">
        <v>56616504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ROW(Source!A29)</f>
        <v>29</v>
      </c>
      <c r="B2">
        <v>56616505</v>
      </c>
      <c r="C2">
        <v>56616503</v>
      </c>
      <c r="D2">
        <v>47634407</v>
      </c>
      <c r="E2">
        <v>27786564</v>
      </c>
      <c r="F2">
        <v>1</v>
      </c>
      <c r="G2">
        <v>27786564</v>
      </c>
      <c r="H2">
        <v>1</v>
      </c>
      <c r="I2" t="s">
        <v>439</v>
      </c>
      <c r="J2" t="s">
        <v>3</v>
      </c>
      <c r="K2" t="s">
        <v>440</v>
      </c>
      <c r="L2">
        <v>1191</v>
      </c>
      <c r="N2">
        <v>1013</v>
      </c>
      <c r="O2" t="s">
        <v>441</v>
      </c>
      <c r="P2" t="s">
        <v>441</v>
      </c>
      <c r="Q2">
        <v>1</v>
      </c>
      <c r="X2">
        <v>192.7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 t="s">
        <v>22</v>
      </c>
      <c r="AG2">
        <v>211.97</v>
      </c>
      <c r="AH2">
        <v>2</v>
      </c>
      <c r="AI2">
        <v>56616504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ROW(Source!A30)</f>
        <v>30</v>
      </c>
      <c r="B3">
        <v>56616511</v>
      </c>
      <c r="C3">
        <v>56616506</v>
      </c>
      <c r="D3">
        <v>27731869</v>
      </c>
      <c r="E3">
        <v>27731863</v>
      </c>
      <c r="F3">
        <v>1</v>
      </c>
      <c r="G3">
        <v>27786564</v>
      </c>
      <c r="H3">
        <v>1</v>
      </c>
      <c r="I3" t="s">
        <v>439</v>
      </c>
      <c r="J3" t="s">
        <v>3</v>
      </c>
      <c r="K3" t="s">
        <v>440</v>
      </c>
      <c r="L3">
        <v>1191</v>
      </c>
      <c r="N3">
        <v>1013</v>
      </c>
      <c r="O3" t="s">
        <v>441</v>
      </c>
      <c r="P3" t="s">
        <v>441</v>
      </c>
      <c r="Q3">
        <v>1</v>
      </c>
      <c r="X3">
        <v>2.95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 t="s">
        <v>22</v>
      </c>
      <c r="AG3">
        <v>3.2450000000000006</v>
      </c>
      <c r="AH3">
        <v>2</v>
      </c>
      <c r="AI3">
        <v>56616507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ROW(Source!A30)</f>
        <v>30</v>
      </c>
      <c r="B4">
        <v>56616512</v>
      </c>
      <c r="C4">
        <v>56616506</v>
      </c>
      <c r="D4">
        <v>27810822</v>
      </c>
      <c r="E4">
        <v>1</v>
      </c>
      <c r="F4">
        <v>1</v>
      </c>
      <c r="G4">
        <v>27786564</v>
      </c>
      <c r="H4">
        <v>2</v>
      </c>
      <c r="I4" t="s">
        <v>442</v>
      </c>
      <c r="J4" t="s">
        <v>443</v>
      </c>
      <c r="K4" t="s">
        <v>444</v>
      </c>
      <c r="L4">
        <v>1368</v>
      </c>
      <c r="N4">
        <v>1011</v>
      </c>
      <c r="O4" t="s">
        <v>445</v>
      </c>
      <c r="P4" t="s">
        <v>445</v>
      </c>
      <c r="Q4">
        <v>1</v>
      </c>
      <c r="X4">
        <v>7.4139999999999997</v>
      </c>
      <c r="Y4">
        <v>0</v>
      </c>
      <c r="Z4">
        <v>147.49</v>
      </c>
      <c r="AA4">
        <v>14.54</v>
      </c>
      <c r="AB4">
        <v>0</v>
      </c>
      <c r="AC4">
        <v>0</v>
      </c>
      <c r="AD4">
        <v>1</v>
      </c>
      <c r="AE4">
        <v>0</v>
      </c>
      <c r="AF4" t="s">
        <v>22</v>
      </c>
      <c r="AG4">
        <v>8.1554000000000002</v>
      </c>
      <c r="AH4">
        <v>2</v>
      </c>
      <c r="AI4">
        <v>56616508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ROW(Source!A30)</f>
        <v>30</v>
      </c>
      <c r="B5">
        <v>56616513</v>
      </c>
      <c r="C5">
        <v>56616506</v>
      </c>
      <c r="D5">
        <v>27810834</v>
      </c>
      <c r="E5">
        <v>1</v>
      </c>
      <c r="F5">
        <v>1</v>
      </c>
      <c r="G5">
        <v>27786564</v>
      </c>
      <c r="H5">
        <v>2</v>
      </c>
      <c r="I5" t="s">
        <v>446</v>
      </c>
      <c r="J5" t="s">
        <v>447</v>
      </c>
      <c r="K5" t="s">
        <v>448</v>
      </c>
      <c r="L5">
        <v>1368</v>
      </c>
      <c r="N5">
        <v>1011</v>
      </c>
      <c r="O5" t="s">
        <v>445</v>
      </c>
      <c r="P5" t="s">
        <v>445</v>
      </c>
      <c r="Q5">
        <v>1</v>
      </c>
      <c r="X5">
        <v>1.6975</v>
      </c>
      <c r="Y5">
        <v>0</v>
      </c>
      <c r="Z5">
        <v>145.59</v>
      </c>
      <c r="AA5">
        <v>14.54</v>
      </c>
      <c r="AB5">
        <v>0</v>
      </c>
      <c r="AC5">
        <v>0</v>
      </c>
      <c r="AD5">
        <v>1</v>
      </c>
      <c r="AE5">
        <v>0</v>
      </c>
      <c r="AF5" t="s">
        <v>22</v>
      </c>
      <c r="AG5">
        <v>1.8672500000000001</v>
      </c>
      <c r="AH5">
        <v>2</v>
      </c>
      <c r="AI5">
        <v>56616509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ROW(Source!A31)</f>
        <v>31</v>
      </c>
      <c r="B6">
        <v>56616511</v>
      </c>
      <c r="C6">
        <v>56616506</v>
      </c>
      <c r="D6">
        <v>27731869</v>
      </c>
      <c r="E6">
        <v>27731863</v>
      </c>
      <c r="F6">
        <v>1</v>
      </c>
      <c r="G6">
        <v>27786564</v>
      </c>
      <c r="H6">
        <v>1</v>
      </c>
      <c r="I6" t="s">
        <v>439</v>
      </c>
      <c r="J6" t="s">
        <v>3</v>
      </c>
      <c r="K6" t="s">
        <v>440</v>
      </c>
      <c r="L6">
        <v>1191</v>
      </c>
      <c r="N6">
        <v>1013</v>
      </c>
      <c r="O6" t="s">
        <v>441</v>
      </c>
      <c r="P6" t="s">
        <v>441</v>
      </c>
      <c r="Q6">
        <v>1</v>
      </c>
      <c r="X6">
        <v>2.95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22</v>
      </c>
      <c r="AG6">
        <v>3.2450000000000006</v>
      </c>
      <c r="AH6">
        <v>2</v>
      </c>
      <c r="AI6">
        <v>56616507</v>
      </c>
      <c r="AJ6">
        <v>7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ROW(Source!A31)</f>
        <v>31</v>
      </c>
      <c r="B7">
        <v>56616512</v>
      </c>
      <c r="C7">
        <v>56616506</v>
      </c>
      <c r="D7">
        <v>27810822</v>
      </c>
      <c r="E7">
        <v>1</v>
      </c>
      <c r="F7">
        <v>1</v>
      </c>
      <c r="G7">
        <v>27786564</v>
      </c>
      <c r="H7">
        <v>2</v>
      </c>
      <c r="I7" t="s">
        <v>442</v>
      </c>
      <c r="J7" t="s">
        <v>443</v>
      </c>
      <c r="K7" t="s">
        <v>444</v>
      </c>
      <c r="L7">
        <v>1368</v>
      </c>
      <c r="N7">
        <v>1011</v>
      </c>
      <c r="O7" t="s">
        <v>445</v>
      </c>
      <c r="P7" t="s">
        <v>445</v>
      </c>
      <c r="Q7">
        <v>1</v>
      </c>
      <c r="X7">
        <v>7.4139999999999997</v>
      </c>
      <c r="Y7">
        <v>0</v>
      </c>
      <c r="Z7">
        <v>147.49</v>
      </c>
      <c r="AA7">
        <v>14.54</v>
      </c>
      <c r="AB7">
        <v>0</v>
      </c>
      <c r="AC7">
        <v>0</v>
      </c>
      <c r="AD7">
        <v>1</v>
      </c>
      <c r="AE7">
        <v>0</v>
      </c>
      <c r="AF7" t="s">
        <v>22</v>
      </c>
      <c r="AG7">
        <v>8.1554000000000002</v>
      </c>
      <c r="AH7">
        <v>2</v>
      </c>
      <c r="AI7">
        <v>56616508</v>
      </c>
      <c r="AJ7">
        <v>8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ROW(Source!A31)</f>
        <v>31</v>
      </c>
      <c r="B8">
        <v>56616513</v>
      </c>
      <c r="C8">
        <v>56616506</v>
      </c>
      <c r="D8">
        <v>27810834</v>
      </c>
      <c r="E8">
        <v>1</v>
      </c>
      <c r="F8">
        <v>1</v>
      </c>
      <c r="G8">
        <v>27786564</v>
      </c>
      <c r="H8">
        <v>2</v>
      </c>
      <c r="I8" t="s">
        <v>446</v>
      </c>
      <c r="J8" t="s">
        <v>447</v>
      </c>
      <c r="K8" t="s">
        <v>448</v>
      </c>
      <c r="L8">
        <v>1368</v>
      </c>
      <c r="N8">
        <v>1011</v>
      </c>
      <c r="O8" t="s">
        <v>445</v>
      </c>
      <c r="P8" t="s">
        <v>445</v>
      </c>
      <c r="Q8">
        <v>1</v>
      </c>
      <c r="X8">
        <v>1.6975</v>
      </c>
      <c r="Y8">
        <v>0</v>
      </c>
      <c r="Z8">
        <v>145.59</v>
      </c>
      <c r="AA8">
        <v>14.54</v>
      </c>
      <c r="AB8">
        <v>0</v>
      </c>
      <c r="AC8">
        <v>0</v>
      </c>
      <c r="AD8">
        <v>1</v>
      </c>
      <c r="AE8">
        <v>0</v>
      </c>
      <c r="AF8" t="s">
        <v>22</v>
      </c>
      <c r="AG8">
        <v>1.8672500000000001</v>
      </c>
      <c r="AH8">
        <v>2</v>
      </c>
      <c r="AI8">
        <v>56616509</v>
      </c>
      <c r="AJ8">
        <v>9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ROW(Source!A32)</f>
        <v>32</v>
      </c>
      <c r="B9">
        <v>56616517</v>
      </c>
      <c r="C9">
        <v>56616514</v>
      </c>
      <c r="D9">
        <v>47634407</v>
      </c>
      <c r="E9">
        <v>27786564</v>
      </c>
      <c r="F9">
        <v>1</v>
      </c>
      <c r="G9">
        <v>27786564</v>
      </c>
      <c r="H9">
        <v>1</v>
      </c>
      <c r="I9" t="s">
        <v>439</v>
      </c>
      <c r="J9" t="s">
        <v>3</v>
      </c>
      <c r="K9" t="s">
        <v>440</v>
      </c>
      <c r="L9">
        <v>1191</v>
      </c>
      <c r="N9">
        <v>1013</v>
      </c>
      <c r="O9" t="s">
        <v>441</v>
      </c>
      <c r="P9" t="s">
        <v>441</v>
      </c>
      <c r="Q9">
        <v>1</v>
      </c>
      <c r="X9">
        <v>1.19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22</v>
      </c>
      <c r="AG9">
        <v>1.3089999999999999</v>
      </c>
      <c r="AH9">
        <v>2</v>
      </c>
      <c r="AI9">
        <v>56616515</v>
      </c>
      <c r="AJ9">
        <v>11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ROW(Source!A32)</f>
        <v>32</v>
      </c>
      <c r="B10">
        <v>56616518</v>
      </c>
      <c r="C10">
        <v>56616514</v>
      </c>
      <c r="D10">
        <v>47766391</v>
      </c>
      <c r="E10">
        <v>1</v>
      </c>
      <c r="F10">
        <v>1</v>
      </c>
      <c r="G10">
        <v>27786564</v>
      </c>
      <c r="H10">
        <v>2</v>
      </c>
      <c r="I10" t="s">
        <v>442</v>
      </c>
      <c r="J10" t="s">
        <v>443</v>
      </c>
      <c r="K10" t="s">
        <v>444</v>
      </c>
      <c r="L10">
        <v>1368</v>
      </c>
      <c r="N10">
        <v>1011</v>
      </c>
      <c r="O10" t="s">
        <v>445</v>
      </c>
      <c r="P10" t="s">
        <v>445</v>
      </c>
      <c r="Q10">
        <v>1</v>
      </c>
      <c r="X10">
        <v>6.3194999999999997</v>
      </c>
      <c r="Y10">
        <v>0</v>
      </c>
      <c r="Z10">
        <v>147.49</v>
      </c>
      <c r="AA10">
        <v>14.54</v>
      </c>
      <c r="AB10">
        <v>0</v>
      </c>
      <c r="AC10">
        <v>0</v>
      </c>
      <c r="AD10">
        <v>1</v>
      </c>
      <c r="AE10">
        <v>0</v>
      </c>
      <c r="AF10" t="s">
        <v>22</v>
      </c>
      <c r="AG10">
        <v>6.9514500000000004</v>
      </c>
      <c r="AH10">
        <v>2</v>
      </c>
      <c r="AI10">
        <v>56616516</v>
      </c>
      <c r="AJ10">
        <v>12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ROW(Source!A33)</f>
        <v>33</v>
      </c>
      <c r="B11">
        <v>56616517</v>
      </c>
      <c r="C11">
        <v>56616514</v>
      </c>
      <c r="D11">
        <v>47634407</v>
      </c>
      <c r="E11">
        <v>27786564</v>
      </c>
      <c r="F11">
        <v>1</v>
      </c>
      <c r="G11">
        <v>27786564</v>
      </c>
      <c r="H11">
        <v>1</v>
      </c>
      <c r="I11" t="s">
        <v>439</v>
      </c>
      <c r="J11" t="s">
        <v>3</v>
      </c>
      <c r="K11" t="s">
        <v>440</v>
      </c>
      <c r="L11">
        <v>1191</v>
      </c>
      <c r="N11">
        <v>1013</v>
      </c>
      <c r="O11" t="s">
        <v>441</v>
      </c>
      <c r="P11" t="s">
        <v>441</v>
      </c>
      <c r="Q11">
        <v>1</v>
      </c>
      <c r="X11">
        <v>1.19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22</v>
      </c>
      <c r="AG11">
        <v>1.3089999999999999</v>
      </c>
      <c r="AH11">
        <v>2</v>
      </c>
      <c r="AI11">
        <v>56616515</v>
      </c>
      <c r="AJ11">
        <v>13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ROW(Source!A33)</f>
        <v>33</v>
      </c>
      <c r="B12">
        <v>56616518</v>
      </c>
      <c r="C12">
        <v>56616514</v>
      </c>
      <c r="D12">
        <v>47766391</v>
      </c>
      <c r="E12">
        <v>1</v>
      </c>
      <c r="F12">
        <v>1</v>
      </c>
      <c r="G12">
        <v>27786564</v>
      </c>
      <c r="H12">
        <v>2</v>
      </c>
      <c r="I12" t="s">
        <v>442</v>
      </c>
      <c r="J12" t="s">
        <v>443</v>
      </c>
      <c r="K12" t="s">
        <v>444</v>
      </c>
      <c r="L12">
        <v>1368</v>
      </c>
      <c r="N12">
        <v>1011</v>
      </c>
      <c r="O12" t="s">
        <v>445</v>
      </c>
      <c r="P12" t="s">
        <v>445</v>
      </c>
      <c r="Q12">
        <v>1</v>
      </c>
      <c r="X12">
        <v>6.3194999999999997</v>
      </c>
      <c r="Y12">
        <v>0</v>
      </c>
      <c r="Z12">
        <v>147.49</v>
      </c>
      <c r="AA12">
        <v>14.54</v>
      </c>
      <c r="AB12">
        <v>0</v>
      </c>
      <c r="AC12">
        <v>0</v>
      </c>
      <c r="AD12">
        <v>1</v>
      </c>
      <c r="AE12">
        <v>0</v>
      </c>
      <c r="AF12" t="s">
        <v>22</v>
      </c>
      <c r="AG12">
        <v>6.9514500000000004</v>
      </c>
      <c r="AH12">
        <v>2</v>
      </c>
      <c r="AI12">
        <v>56616516</v>
      </c>
      <c r="AJ12">
        <v>14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ROW(Source!A34)</f>
        <v>34</v>
      </c>
      <c r="B13">
        <v>56616521</v>
      </c>
      <c r="C13">
        <v>56616519</v>
      </c>
      <c r="D13">
        <v>47634407</v>
      </c>
      <c r="E13">
        <v>27786564</v>
      </c>
      <c r="F13">
        <v>1</v>
      </c>
      <c r="G13">
        <v>27786564</v>
      </c>
      <c r="H13">
        <v>1</v>
      </c>
      <c r="I13" t="s">
        <v>439</v>
      </c>
      <c r="J13" t="s">
        <v>3</v>
      </c>
      <c r="K13" t="s">
        <v>440</v>
      </c>
      <c r="L13">
        <v>1191</v>
      </c>
      <c r="N13">
        <v>1013</v>
      </c>
      <c r="O13" t="s">
        <v>441</v>
      </c>
      <c r="P13" t="s">
        <v>441</v>
      </c>
      <c r="Q13">
        <v>1</v>
      </c>
      <c r="X13">
        <v>107.04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 t="s">
        <v>22</v>
      </c>
      <c r="AG13">
        <v>117.74400000000001</v>
      </c>
      <c r="AH13">
        <v>2</v>
      </c>
      <c r="AI13">
        <v>56616520</v>
      </c>
      <c r="AJ13">
        <v>15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ROW(Source!A35)</f>
        <v>35</v>
      </c>
      <c r="B14">
        <v>56616521</v>
      </c>
      <c r="C14">
        <v>56616519</v>
      </c>
      <c r="D14">
        <v>47634407</v>
      </c>
      <c r="E14">
        <v>27786564</v>
      </c>
      <c r="F14">
        <v>1</v>
      </c>
      <c r="G14">
        <v>27786564</v>
      </c>
      <c r="H14">
        <v>1</v>
      </c>
      <c r="I14" t="s">
        <v>439</v>
      </c>
      <c r="J14" t="s">
        <v>3</v>
      </c>
      <c r="K14" t="s">
        <v>440</v>
      </c>
      <c r="L14">
        <v>1191</v>
      </c>
      <c r="N14">
        <v>1013</v>
      </c>
      <c r="O14" t="s">
        <v>441</v>
      </c>
      <c r="P14" t="s">
        <v>441</v>
      </c>
      <c r="Q14">
        <v>1</v>
      </c>
      <c r="X14">
        <v>107.04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 t="s">
        <v>22</v>
      </c>
      <c r="AG14">
        <v>117.74400000000001</v>
      </c>
      <c r="AH14">
        <v>2</v>
      </c>
      <c r="AI14">
        <v>56616520</v>
      </c>
      <c r="AJ14">
        <v>16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ROW(Source!A36)</f>
        <v>36</v>
      </c>
      <c r="B15">
        <v>56616525</v>
      </c>
      <c r="C15">
        <v>56616522</v>
      </c>
      <c r="D15">
        <v>47634407</v>
      </c>
      <c r="E15">
        <v>27786564</v>
      </c>
      <c r="F15">
        <v>1</v>
      </c>
      <c r="G15">
        <v>27786564</v>
      </c>
      <c r="H15">
        <v>1</v>
      </c>
      <c r="I15" t="s">
        <v>439</v>
      </c>
      <c r="J15" t="s">
        <v>3</v>
      </c>
      <c r="K15" t="s">
        <v>440</v>
      </c>
      <c r="L15">
        <v>1191</v>
      </c>
      <c r="N15">
        <v>1013</v>
      </c>
      <c r="O15" t="s">
        <v>441</v>
      </c>
      <c r="P15" t="s">
        <v>441</v>
      </c>
      <c r="Q15">
        <v>1</v>
      </c>
      <c r="X15">
        <v>1.19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 t="s">
        <v>43</v>
      </c>
      <c r="AG15">
        <v>0.65449999999999997</v>
      </c>
      <c r="AH15">
        <v>2</v>
      </c>
      <c r="AI15">
        <v>56616523</v>
      </c>
      <c r="AJ15">
        <v>17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ROW(Source!A36)</f>
        <v>36</v>
      </c>
      <c r="B16">
        <v>56616526</v>
      </c>
      <c r="C16">
        <v>56616522</v>
      </c>
      <c r="D16">
        <v>47766391</v>
      </c>
      <c r="E16">
        <v>1</v>
      </c>
      <c r="F16">
        <v>1</v>
      </c>
      <c r="G16">
        <v>27786564</v>
      </c>
      <c r="H16">
        <v>2</v>
      </c>
      <c r="I16" t="s">
        <v>442</v>
      </c>
      <c r="J16" t="s">
        <v>443</v>
      </c>
      <c r="K16" t="s">
        <v>444</v>
      </c>
      <c r="L16">
        <v>1368</v>
      </c>
      <c r="N16">
        <v>1011</v>
      </c>
      <c r="O16" t="s">
        <v>445</v>
      </c>
      <c r="P16" t="s">
        <v>445</v>
      </c>
      <c r="Q16">
        <v>1</v>
      </c>
      <c r="X16">
        <v>6.3194999999999997</v>
      </c>
      <c r="Y16">
        <v>0</v>
      </c>
      <c r="Z16">
        <v>147.49</v>
      </c>
      <c r="AA16">
        <v>14.54</v>
      </c>
      <c r="AB16">
        <v>0</v>
      </c>
      <c r="AC16">
        <v>0</v>
      </c>
      <c r="AD16">
        <v>1</v>
      </c>
      <c r="AE16">
        <v>0</v>
      </c>
      <c r="AF16" t="s">
        <v>42</v>
      </c>
      <c r="AG16">
        <v>6.2563050000000002</v>
      </c>
      <c r="AH16">
        <v>2</v>
      </c>
      <c r="AI16">
        <v>56616524</v>
      </c>
      <c r="AJ16">
        <v>18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ROW(Source!A37)</f>
        <v>37</v>
      </c>
      <c r="B17">
        <v>56616525</v>
      </c>
      <c r="C17">
        <v>56616522</v>
      </c>
      <c r="D17">
        <v>47634407</v>
      </c>
      <c r="E17">
        <v>27786564</v>
      </c>
      <c r="F17">
        <v>1</v>
      </c>
      <c r="G17">
        <v>27786564</v>
      </c>
      <c r="H17">
        <v>1</v>
      </c>
      <c r="I17" t="s">
        <v>439</v>
      </c>
      <c r="J17" t="s">
        <v>3</v>
      </c>
      <c r="K17" t="s">
        <v>440</v>
      </c>
      <c r="L17">
        <v>1191</v>
      </c>
      <c r="N17">
        <v>1013</v>
      </c>
      <c r="O17" t="s">
        <v>441</v>
      </c>
      <c r="P17" t="s">
        <v>441</v>
      </c>
      <c r="Q17">
        <v>1</v>
      </c>
      <c r="X17">
        <v>1.19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 t="s">
        <v>43</v>
      </c>
      <c r="AG17">
        <v>0.65449999999999997</v>
      </c>
      <c r="AH17">
        <v>2</v>
      </c>
      <c r="AI17">
        <v>56616523</v>
      </c>
      <c r="AJ17">
        <v>19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ROW(Source!A37)</f>
        <v>37</v>
      </c>
      <c r="B18">
        <v>56616526</v>
      </c>
      <c r="C18">
        <v>56616522</v>
      </c>
      <c r="D18">
        <v>47766391</v>
      </c>
      <c r="E18">
        <v>1</v>
      </c>
      <c r="F18">
        <v>1</v>
      </c>
      <c r="G18">
        <v>27786564</v>
      </c>
      <c r="H18">
        <v>2</v>
      </c>
      <c r="I18" t="s">
        <v>442</v>
      </c>
      <c r="J18" t="s">
        <v>443</v>
      </c>
      <c r="K18" t="s">
        <v>444</v>
      </c>
      <c r="L18">
        <v>1368</v>
      </c>
      <c r="N18">
        <v>1011</v>
      </c>
      <c r="O18" t="s">
        <v>445</v>
      </c>
      <c r="P18" t="s">
        <v>445</v>
      </c>
      <c r="Q18">
        <v>1</v>
      </c>
      <c r="X18">
        <v>6.3194999999999997</v>
      </c>
      <c r="Y18">
        <v>0</v>
      </c>
      <c r="Z18">
        <v>147.49</v>
      </c>
      <c r="AA18">
        <v>14.54</v>
      </c>
      <c r="AB18">
        <v>0</v>
      </c>
      <c r="AC18">
        <v>0</v>
      </c>
      <c r="AD18">
        <v>1</v>
      </c>
      <c r="AE18">
        <v>0</v>
      </c>
      <c r="AF18" t="s">
        <v>42</v>
      </c>
      <c r="AG18">
        <v>6.2563050000000002</v>
      </c>
      <c r="AH18">
        <v>2</v>
      </c>
      <c r="AI18">
        <v>56616524</v>
      </c>
      <c r="AJ18">
        <v>20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ROW(Source!A38)</f>
        <v>38</v>
      </c>
      <c r="B19">
        <v>56616532</v>
      </c>
      <c r="C19">
        <v>56616527</v>
      </c>
      <c r="D19">
        <v>47634407</v>
      </c>
      <c r="E19">
        <v>27786564</v>
      </c>
      <c r="F19">
        <v>1</v>
      </c>
      <c r="G19">
        <v>27786564</v>
      </c>
      <c r="H19">
        <v>1</v>
      </c>
      <c r="I19" t="s">
        <v>439</v>
      </c>
      <c r="J19" t="s">
        <v>3</v>
      </c>
      <c r="K19" t="s">
        <v>440</v>
      </c>
      <c r="L19">
        <v>1191</v>
      </c>
      <c r="N19">
        <v>1013</v>
      </c>
      <c r="O19" t="s">
        <v>441</v>
      </c>
      <c r="P19" t="s">
        <v>441</v>
      </c>
      <c r="Q19">
        <v>1</v>
      </c>
      <c r="X19">
        <v>138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 t="s">
        <v>22</v>
      </c>
      <c r="AG19">
        <v>151.80000000000001</v>
      </c>
      <c r="AH19">
        <v>2</v>
      </c>
      <c r="AI19">
        <v>56616528</v>
      </c>
      <c r="AJ19">
        <v>21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ROW(Source!A38)</f>
        <v>38</v>
      </c>
      <c r="B20">
        <v>56616533</v>
      </c>
      <c r="C20">
        <v>56616527</v>
      </c>
      <c r="D20">
        <v>30395571</v>
      </c>
      <c r="E20">
        <v>1</v>
      </c>
      <c r="F20">
        <v>1</v>
      </c>
      <c r="G20">
        <v>27786564</v>
      </c>
      <c r="H20">
        <v>3</v>
      </c>
      <c r="I20" t="s">
        <v>53</v>
      </c>
      <c r="J20" t="s">
        <v>524</v>
      </c>
      <c r="K20" t="s">
        <v>525</v>
      </c>
      <c r="L20">
        <v>1301</v>
      </c>
      <c r="N20">
        <v>1003</v>
      </c>
      <c r="O20" t="s">
        <v>55</v>
      </c>
      <c r="P20" t="s">
        <v>55</v>
      </c>
      <c r="Q20">
        <v>1</v>
      </c>
      <c r="X20">
        <v>990</v>
      </c>
      <c r="Y20">
        <v>15.01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3</v>
      </c>
      <c r="AG20">
        <v>990</v>
      </c>
      <c r="AH20">
        <v>2</v>
      </c>
      <c r="AI20">
        <v>56616529</v>
      </c>
      <c r="AJ20">
        <v>22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ROW(Source!A38)</f>
        <v>38</v>
      </c>
      <c r="B21">
        <v>56616534</v>
      </c>
      <c r="C21">
        <v>56616527</v>
      </c>
      <c r="D21">
        <v>30395740</v>
      </c>
      <c r="E21">
        <v>1</v>
      </c>
      <c r="F21">
        <v>1</v>
      </c>
      <c r="G21">
        <v>27786564</v>
      </c>
      <c r="H21">
        <v>3</v>
      </c>
      <c r="I21" t="s">
        <v>452</v>
      </c>
      <c r="J21" t="s">
        <v>526</v>
      </c>
      <c r="K21" t="s">
        <v>527</v>
      </c>
      <c r="L21">
        <v>1358</v>
      </c>
      <c r="N21">
        <v>1010</v>
      </c>
      <c r="O21" t="s">
        <v>455</v>
      </c>
      <c r="P21" t="s">
        <v>455</v>
      </c>
      <c r="Q21">
        <v>10</v>
      </c>
      <c r="X21">
        <v>32</v>
      </c>
      <c r="Y21">
        <v>144.77000000000001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3</v>
      </c>
      <c r="AG21">
        <v>32</v>
      </c>
      <c r="AH21">
        <v>2</v>
      </c>
      <c r="AI21">
        <v>56616530</v>
      </c>
      <c r="AJ21">
        <v>23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ROW(Source!A38)</f>
        <v>38</v>
      </c>
      <c r="B22">
        <v>56616535</v>
      </c>
      <c r="C22">
        <v>56616527</v>
      </c>
      <c r="D22">
        <v>47634908</v>
      </c>
      <c r="E22">
        <v>27786564</v>
      </c>
      <c r="F22">
        <v>1</v>
      </c>
      <c r="G22">
        <v>27786564</v>
      </c>
      <c r="H22">
        <v>3</v>
      </c>
      <c r="I22" t="s">
        <v>456</v>
      </c>
      <c r="J22" t="s">
        <v>3</v>
      </c>
      <c r="K22" t="s">
        <v>457</v>
      </c>
      <c r="L22">
        <v>1344</v>
      </c>
      <c r="N22">
        <v>1008</v>
      </c>
      <c r="O22" t="s">
        <v>451</v>
      </c>
      <c r="P22" t="s">
        <v>451</v>
      </c>
      <c r="Q22">
        <v>1</v>
      </c>
      <c r="X22">
        <v>61.6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3</v>
      </c>
      <c r="AG22">
        <v>61.6</v>
      </c>
      <c r="AH22">
        <v>2</v>
      </c>
      <c r="AI22">
        <v>56616531</v>
      </c>
      <c r="AJ22">
        <v>24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ROW(Source!A39)</f>
        <v>39</v>
      </c>
      <c r="B23">
        <v>56616532</v>
      </c>
      <c r="C23">
        <v>56616527</v>
      </c>
      <c r="D23">
        <v>47634407</v>
      </c>
      <c r="E23">
        <v>27786564</v>
      </c>
      <c r="F23">
        <v>1</v>
      </c>
      <c r="G23">
        <v>27786564</v>
      </c>
      <c r="H23">
        <v>1</v>
      </c>
      <c r="I23" t="s">
        <v>439</v>
      </c>
      <c r="J23" t="s">
        <v>3</v>
      </c>
      <c r="K23" t="s">
        <v>440</v>
      </c>
      <c r="L23">
        <v>1191</v>
      </c>
      <c r="N23">
        <v>1013</v>
      </c>
      <c r="O23" t="s">
        <v>441</v>
      </c>
      <c r="P23" t="s">
        <v>441</v>
      </c>
      <c r="Q23">
        <v>1</v>
      </c>
      <c r="X23">
        <v>138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 t="s">
        <v>22</v>
      </c>
      <c r="AG23">
        <v>151.80000000000001</v>
      </c>
      <c r="AH23">
        <v>2</v>
      </c>
      <c r="AI23">
        <v>56616528</v>
      </c>
      <c r="AJ23">
        <v>25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ROW(Source!A39)</f>
        <v>39</v>
      </c>
      <c r="B24">
        <v>56616533</v>
      </c>
      <c r="C24">
        <v>56616527</v>
      </c>
      <c r="D24">
        <v>30395571</v>
      </c>
      <c r="E24">
        <v>1</v>
      </c>
      <c r="F24">
        <v>1</v>
      </c>
      <c r="G24">
        <v>27786564</v>
      </c>
      <c r="H24">
        <v>3</v>
      </c>
      <c r="I24" t="s">
        <v>53</v>
      </c>
      <c r="J24" t="s">
        <v>524</v>
      </c>
      <c r="K24" t="s">
        <v>525</v>
      </c>
      <c r="L24">
        <v>1301</v>
      </c>
      <c r="N24">
        <v>1003</v>
      </c>
      <c r="O24" t="s">
        <v>55</v>
      </c>
      <c r="P24" t="s">
        <v>55</v>
      </c>
      <c r="Q24">
        <v>1</v>
      </c>
      <c r="X24">
        <v>990</v>
      </c>
      <c r="Y24">
        <v>15.01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3</v>
      </c>
      <c r="AG24">
        <v>990</v>
      </c>
      <c r="AH24">
        <v>2</v>
      </c>
      <c r="AI24">
        <v>56616529</v>
      </c>
      <c r="AJ24">
        <v>26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ROW(Source!A39)</f>
        <v>39</v>
      </c>
      <c r="B25">
        <v>56616534</v>
      </c>
      <c r="C25">
        <v>56616527</v>
      </c>
      <c r="D25">
        <v>30395740</v>
      </c>
      <c r="E25">
        <v>1</v>
      </c>
      <c r="F25">
        <v>1</v>
      </c>
      <c r="G25">
        <v>27786564</v>
      </c>
      <c r="H25">
        <v>3</v>
      </c>
      <c r="I25" t="s">
        <v>452</v>
      </c>
      <c r="J25" t="s">
        <v>526</v>
      </c>
      <c r="K25" t="s">
        <v>527</v>
      </c>
      <c r="L25">
        <v>1358</v>
      </c>
      <c r="N25">
        <v>1010</v>
      </c>
      <c r="O25" t="s">
        <v>455</v>
      </c>
      <c r="P25" t="s">
        <v>455</v>
      </c>
      <c r="Q25">
        <v>10</v>
      </c>
      <c r="X25">
        <v>32</v>
      </c>
      <c r="Y25">
        <v>144.77000000000001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3</v>
      </c>
      <c r="AG25">
        <v>32</v>
      </c>
      <c r="AH25">
        <v>2</v>
      </c>
      <c r="AI25">
        <v>56616530</v>
      </c>
      <c r="AJ25">
        <v>27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ROW(Source!A39)</f>
        <v>39</v>
      </c>
      <c r="B26">
        <v>56616535</v>
      </c>
      <c r="C26">
        <v>56616527</v>
      </c>
      <c r="D26">
        <v>47634908</v>
      </c>
      <c r="E26">
        <v>27786564</v>
      </c>
      <c r="F26">
        <v>1</v>
      </c>
      <c r="G26">
        <v>27786564</v>
      </c>
      <c r="H26">
        <v>3</v>
      </c>
      <c r="I26" t="s">
        <v>456</v>
      </c>
      <c r="J26" t="s">
        <v>3</v>
      </c>
      <c r="K26" t="s">
        <v>457</v>
      </c>
      <c r="L26">
        <v>1344</v>
      </c>
      <c r="N26">
        <v>1008</v>
      </c>
      <c r="O26" t="s">
        <v>451</v>
      </c>
      <c r="P26" t="s">
        <v>451</v>
      </c>
      <c r="Q26">
        <v>1</v>
      </c>
      <c r="X26">
        <v>61.6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3</v>
      </c>
      <c r="AG26">
        <v>61.6</v>
      </c>
      <c r="AH26">
        <v>2</v>
      </c>
      <c r="AI26">
        <v>56616531</v>
      </c>
      <c r="AJ26">
        <v>28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ROW(Source!A44)</f>
        <v>44</v>
      </c>
      <c r="B27">
        <v>56616543</v>
      </c>
      <c r="C27">
        <v>56616538</v>
      </c>
      <c r="D27">
        <v>47634407</v>
      </c>
      <c r="E27">
        <v>27786564</v>
      </c>
      <c r="F27">
        <v>1</v>
      </c>
      <c r="G27">
        <v>27786564</v>
      </c>
      <c r="H27">
        <v>1</v>
      </c>
      <c r="I27" t="s">
        <v>439</v>
      </c>
      <c r="J27" t="s">
        <v>3</v>
      </c>
      <c r="K27" t="s">
        <v>440</v>
      </c>
      <c r="L27">
        <v>1191</v>
      </c>
      <c r="N27">
        <v>1013</v>
      </c>
      <c r="O27" t="s">
        <v>441</v>
      </c>
      <c r="P27" t="s">
        <v>441</v>
      </c>
      <c r="Q27">
        <v>1</v>
      </c>
      <c r="X27">
        <v>147.85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 t="s">
        <v>22</v>
      </c>
      <c r="AG27">
        <v>162.63500000000002</v>
      </c>
      <c r="AH27">
        <v>2</v>
      </c>
      <c r="AI27">
        <v>56616539</v>
      </c>
      <c r="AJ27">
        <v>29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ROW(Source!A44)</f>
        <v>44</v>
      </c>
      <c r="B28">
        <v>56616544</v>
      </c>
      <c r="C28">
        <v>56616538</v>
      </c>
      <c r="D28">
        <v>47767124</v>
      </c>
      <c r="E28">
        <v>1</v>
      </c>
      <c r="F28">
        <v>1</v>
      </c>
      <c r="G28">
        <v>27786564</v>
      </c>
      <c r="H28">
        <v>2</v>
      </c>
      <c r="I28" t="s">
        <v>458</v>
      </c>
      <c r="J28" t="s">
        <v>459</v>
      </c>
      <c r="K28" t="s">
        <v>460</v>
      </c>
      <c r="L28">
        <v>1368</v>
      </c>
      <c r="N28">
        <v>1011</v>
      </c>
      <c r="O28" t="s">
        <v>445</v>
      </c>
      <c r="P28" t="s">
        <v>445</v>
      </c>
      <c r="Q28">
        <v>1</v>
      </c>
      <c r="X28">
        <v>0.73</v>
      </c>
      <c r="Y28">
        <v>0</v>
      </c>
      <c r="Z28">
        <v>15.54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22</v>
      </c>
      <c r="AG28">
        <v>0.80300000000000005</v>
      </c>
      <c r="AH28">
        <v>2</v>
      </c>
      <c r="AI28">
        <v>56616540</v>
      </c>
      <c r="AJ28">
        <v>30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ROW(Source!A44)</f>
        <v>44</v>
      </c>
      <c r="B29">
        <v>56616545</v>
      </c>
      <c r="C29">
        <v>56616538</v>
      </c>
      <c r="D29">
        <v>47767126</v>
      </c>
      <c r="E29">
        <v>1</v>
      </c>
      <c r="F29">
        <v>1</v>
      </c>
      <c r="G29">
        <v>27786564</v>
      </c>
      <c r="H29">
        <v>2</v>
      </c>
      <c r="I29" t="s">
        <v>461</v>
      </c>
      <c r="J29" t="s">
        <v>462</v>
      </c>
      <c r="K29" t="s">
        <v>463</v>
      </c>
      <c r="L29">
        <v>1368</v>
      </c>
      <c r="N29">
        <v>1011</v>
      </c>
      <c r="O29" t="s">
        <v>445</v>
      </c>
      <c r="P29" t="s">
        <v>445</v>
      </c>
      <c r="Q29">
        <v>1</v>
      </c>
      <c r="X29">
        <v>0.73</v>
      </c>
      <c r="Y29">
        <v>0</v>
      </c>
      <c r="Z29">
        <v>81.150000000000006</v>
      </c>
      <c r="AA29">
        <v>14.54</v>
      </c>
      <c r="AB29">
        <v>0</v>
      </c>
      <c r="AC29">
        <v>0</v>
      </c>
      <c r="AD29">
        <v>1</v>
      </c>
      <c r="AE29">
        <v>0</v>
      </c>
      <c r="AF29" t="s">
        <v>22</v>
      </c>
      <c r="AG29">
        <v>0.80300000000000005</v>
      </c>
      <c r="AH29">
        <v>2</v>
      </c>
      <c r="AI29">
        <v>56616541</v>
      </c>
      <c r="AJ29">
        <v>31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ROW(Source!A44)</f>
        <v>44</v>
      </c>
      <c r="B30">
        <v>56616546</v>
      </c>
      <c r="C30">
        <v>56616538</v>
      </c>
      <c r="D30">
        <v>47766454</v>
      </c>
      <c r="E30">
        <v>1</v>
      </c>
      <c r="F30">
        <v>1</v>
      </c>
      <c r="G30">
        <v>27786564</v>
      </c>
      <c r="H30">
        <v>2</v>
      </c>
      <c r="I30" t="s">
        <v>464</v>
      </c>
      <c r="J30" t="s">
        <v>465</v>
      </c>
      <c r="K30" t="s">
        <v>466</v>
      </c>
      <c r="L30">
        <v>1368</v>
      </c>
      <c r="N30">
        <v>1011</v>
      </c>
      <c r="O30" t="s">
        <v>445</v>
      </c>
      <c r="P30" t="s">
        <v>445</v>
      </c>
      <c r="Q30">
        <v>1</v>
      </c>
      <c r="X30">
        <v>1.05</v>
      </c>
      <c r="Y30">
        <v>0</v>
      </c>
      <c r="Z30">
        <v>179.17</v>
      </c>
      <c r="AA30">
        <v>16.93</v>
      </c>
      <c r="AB30">
        <v>0</v>
      </c>
      <c r="AC30">
        <v>0</v>
      </c>
      <c r="AD30">
        <v>1</v>
      </c>
      <c r="AE30">
        <v>0</v>
      </c>
      <c r="AF30" t="s">
        <v>22</v>
      </c>
      <c r="AG30">
        <v>1.1550000000000002</v>
      </c>
      <c r="AH30">
        <v>2</v>
      </c>
      <c r="AI30">
        <v>56616542</v>
      </c>
      <c r="AJ30">
        <v>32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ROW(Source!A44)</f>
        <v>44</v>
      </c>
      <c r="B31">
        <v>56616547</v>
      </c>
      <c r="C31">
        <v>56616538</v>
      </c>
      <c r="D31">
        <v>30365725</v>
      </c>
      <c r="E31">
        <v>27786564</v>
      </c>
      <c r="F31">
        <v>1</v>
      </c>
      <c r="G31">
        <v>27786564</v>
      </c>
      <c r="H31">
        <v>3</v>
      </c>
      <c r="I31" t="s">
        <v>528</v>
      </c>
      <c r="J31" t="s">
        <v>3</v>
      </c>
      <c r="K31" t="s">
        <v>529</v>
      </c>
      <c r="L31">
        <v>1301</v>
      </c>
      <c r="N31">
        <v>1003</v>
      </c>
      <c r="O31" t="s">
        <v>55</v>
      </c>
      <c r="P31" t="s">
        <v>55</v>
      </c>
      <c r="Q31">
        <v>1</v>
      </c>
      <c r="X31">
        <v>1025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3</v>
      </c>
      <c r="AG31">
        <v>1025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ROW(Source!A45)</f>
        <v>45</v>
      </c>
      <c r="B32">
        <v>56616543</v>
      </c>
      <c r="C32">
        <v>56616538</v>
      </c>
      <c r="D32">
        <v>47634407</v>
      </c>
      <c r="E32">
        <v>27786564</v>
      </c>
      <c r="F32">
        <v>1</v>
      </c>
      <c r="G32">
        <v>27786564</v>
      </c>
      <c r="H32">
        <v>1</v>
      </c>
      <c r="I32" t="s">
        <v>439</v>
      </c>
      <c r="J32" t="s">
        <v>3</v>
      </c>
      <c r="K32" t="s">
        <v>440</v>
      </c>
      <c r="L32">
        <v>1191</v>
      </c>
      <c r="N32">
        <v>1013</v>
      </c>
      <c r="O32" t="s">
        <v>441</v>
      </c>
      <c r="P32" t="s">
        <v>441</v>
      </c>
      <c r="Q32">
        <v>1</v>
      </c>
      <c r="X32">
        <v>147.85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 t="s">
        <v>22</v>
      </c>
      <c r="AG32">
        <v>162.63500000000002</v>
      </c>
      <c r="AH32">
        <v>2</v>
      </c>
      <c r="AI32">
        <v>56616539</v>
      </c>
      <c r="AJ32">
        <v>33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ROW(Source!A45)</f>
        <v>45</v>
      </c>
      <c r="B33">
        <v>56616544</v>
      </c>
      <c r="C33">
        <v>56616538</v>
      </c>
      <c r="D33">
        <v>47767124</v>
      </c>
      <c r="E33">
        <v>1</v>
      </c>
      <c r="F33">
        <v>1</v>
      </c>
      <c r="G33">
        <v>27786564</v>
      </c>
      <c r="H33">
        <v>2</v>
      </c>
      <c r="I33" t="s">
        <v>458</v>
      </c>
      <c r="J33" t="s">
        <v>459</v>
      </c>
      <c r="K33" t="s">
        <v>460</v>
      </c>
      <c r="L33">
        <v>1368</v>
      </c>
      <c r="N33">
        <v>1011</v>
      </c>
      <c r="O33" t="s">
        <v>445</v>
      </c>
      <c r="P33" t="s">
        <v>445</v>
      </c>
      <c r="Q33">
        <v>1</v>
      </c>
      <c r="X33">
        <v>0.73</v>
      </c>
      <c r="Y33">
        <v>0</v>
      </c>
      <c r="Z33">
        <v>15.54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22</v>
      </c>
      <c r="AG33">
        <v>0.80300000000000005</v>
      </c>
      <c r="AH33">
        <v>2</v>
      </c>
      <c r="AI33">
        <v>56616540</v>
      </c>
      <c r="AJ33">
        <v>34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ROW(Source!A45)</f>
        <v>45</v>
      </c>
      <c r="B34">
        <v>56616545</v>
      </c>
      <c r="C34">
        <v>56616538</v>
      </c>
      <c r="D34">
        <v>47767126</v>
      </c>
      <c r="E34">
        <v>1</v>
      </c>
      <c r="F34">
        <v>1</v>
      </c>
      <c r="G34">
        <v>27786564</v>
      </c>
      <c r="H34">
        <v>2</v>
      </c>
      <c r="I34" t="s">
        <v>461</v>
      </c>
      <c r="J34" t="s">
        <v>462</v>
      </c>
      <c r="K34" t="s">
        <v>463</v>
      </c>
      <c r="L34">
        <v>1368</v>
      </c>
      <c r="N34">
        <v>1011</v>
      </c>
      <c r="O34" t="s">
        <v>445</v>
      </c>
      <c r="P34" t="s">
        <v>445</v>
      </c>
      <c r="Q34">
        <v>1</v>
      </c>
      <c r="X34">
        <v>0.73</v>
      </c>
      <c r="Y34">
        <v>0</v>
      </c>
      <c r="Z34">
        <v>81.150000000000006</v>
      </c>
      <c r="AA34">
        <v>14.54</v>
      </c>
      <c r="AB34">
        <v>0</v>
      </c>
      <c r="AC34">
        <v>0</v>
      </c>
      <c r="AD34">
        <v>1</v>
      </c>
      <c r="AE34">
        <v>0</v>
      </c>
      <c r="AF34" t="s">
        <v>22</v>
      </c>
      <c r="AG34">
        <v>0.80300000000000005</v>
      </c>
      <c r="AH34">
        <v>2</v>
      </c>
      <c r="AI34">
        <v>56616541</v>
      </c>
      <c r="AJ34">
        <v>35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ROW(Source!A45)</f>
        <v>45</v>
      </c>
      <c r="B35">
        <v>56616546</v>
      </c>
      <c r="C35">
        <v>56616538</v>
      </c>
      <c r="D35">
        <v>47766454</v>
      </c>
      <c r="E35">
        <v>1</v>
      </c>
      <c r="F35">
        <v>1</v>
      </c>
      <c r="G35">
        <v>27786564</v>
      </c>
      <c r="H35">
        <v>2</v>
      </c>
      <c r="I35" t="s">
        <v>464</v>
      </c>
      <c r="J35" t="s">
        <v>465</v>
      </c>
      <c r="K35" t="s">
        <v>466</v>
      </c>
      <c r="L35">
        <v>1368</v>
      </c>
      <c r="N35">
        <v>1011</v>
      </c>
      <c r="O35" t="s">
        <v>445</v>
      </c>
      <c r="P35" t="s">
        <v>445</v>
      </c>
      <c r="Q35">
        <v>1</v>
      </c>
      <c r="X35">
        <v>1.05</v>
      </c>
      <c r="Y35">
        <v>0</v>
      </c>
      <c r="Z35">
        <v>179.17</v>
      </c>
      <c r="AA35">
        <v>16.93</v>
      </c>
      <c r="AB35">
        <v>0</v>
      </c>
      <c r="AC35">
        <v>0</v>
      </c>
      <c r="AD35">
        <v>1</v>
      </c>
      <c r="AE35">
        <v>0</v>
      </c>
      <c r="AF35" t="s">
        <v>22</v>
      </c>
      <c r="AG35">
        <v>1.1550000000000002</v>
      </c>
      <c r="AH35">
        <v>2</v>
      </c>
      <c r="AI35">
        <v>56616542</v>
      </c>
      <c r="AJ35">
        <v>36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ROW(Source!A45)</f>
        <v>45</v>
      </c>
      <c r="B36">
        <v>56616547</v>
      </c>
      <c r="C36">
        <v>56616538</v>
      </c>
      <c r="D36">
        <v>30365725</v>
      </c>
      <c r="E36">
        <v>27786564</v>
      </c>
      <c r="F36">
        <v>1</v>
      </c>
      <c r="G36">
        <v>27786564</v>
      </c>
      <c r="H36">
        <v>3</v>
      </c>
      <c r="I36" t="s">
        <v>528</v>
      </c>
      <c r="J36" t="s">
        <v>3</v>
      </c>
      <c r="K36" t="s">
        <v>529</v>
      </c>
      <c r="L36">
        <v>1301</v>
      </c>
      <c r="N36">
        <v>1003</v>
      </c>
      <c r="O36" t="s">
        <v>55</v>
      </c>
      <c r="P36" t="s">
        <v>55</v>
      </c>
      <c r="Q36">
        <v>1</v>
      </c>
      <c r="X36">
        <v>1025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3</v>
      </c>
      <c r="AG36">
        <v>1025</v>
      </c>
      <c r="AH36">
        <v>3</v>
      </c>
      <c r="AI36">
        <v>-1</v>
      </c>
      <c r="AJ36" t="s">
        <v>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ROW(Source!A46)</f>
        <v>46</v>
      </c>
      <c r="B37">
        <v>56616553</v>
      </c>
      <c r="C37">
        <v>56616548</v>
      </c>
      <c r="D37">
        <v>47634407</v>
      </c>
      <c r="E37">
        <v>27786564</v>
      </c>
      <c r="F37">
        <v>1</v>
      </c>
      <c r="G37">
        <v>27786564</v>
      </c>
      <c r="H37">
        <v>1</v>
      </c>
      <c r="I37" t="s">
        <v>439</v>
      </c>
      <c r="J37" t="s">
        <v>3</v>
      </c>
      <c r="K37" t="s">
        <v>440</v>
      </c>
      <c r="L37">
        <v>1191</v>
      </c>
      <c r="N37">
        <v>1013</v>
      </c>
      <c r="O37" t="s">
        <v>441</v>
      </c>
      <c r="P37" t="s">
        <v>441</v>
      </c>
      <c r="Q37">
        <v>1</v>
      </c>
      <c r="X37">
        <v>147.85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 t="s">
        <v>22</v>
      </c>
      <c r="AG37">
        <v>162.63500000000002</v>
      </c>
      <c r="AH37">
        <v>2</v>
      </c>
      <c r="AI37">
        <v>56616549</v>
      </c>
      <c r="AJ37">
        <v>37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ROW(Source!A46)</f>
        <v>46</v>
      </c>
      <c r="B38">
        <v>56616554</v>
      </c>
      <c r="C38">
        <v>56616548</v>
      </c>
      <c r="D38">
        <v>47767124</v>
      </c>
      <c r="E38">
        <v>1</v>
      </c>
      <c r="F38">
        <v>1</v>
      </c>
      <c r="G38">
        <v>27786564</v>
      </c>
      <c r="H38">
        <v>2</v>
      </c>
      <c r="I38" t="s">
        <v>458</v>
      </c>
      <c r="J38" t="s">
        <v>459</v>
      </c>
      <c r="K38" t="s">
        <v>460</v>
      </c>
      <c r="L38">
        <v>1368</v>
      </c>
      <c r="N38">
        <v>1011</v>
      </c>
      <c r="O38" t="s">
        <v>445</v>
      </c>
      <c r="P38" t="s">
        <v>445</v>
      </c>
      <c r="Q38">
        <v>1</v>
      </c>
      <c r="X38">
        <v>0.73</v>
      </c>
      <c r="Y38">
        <v>0</v>
      </c>
      <c r="Z38">
        <v>15.54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22</v>
      </c>
      <c r="AG38">
        <v>0.80300000000000005</v>
      </c>
      <c r="AH38">
        <v>2</v>
      </c>
      <c r="AI38">
        <v>56616550</v>
      </c>
      <c r="AJ38">
        <v>38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ROW(Source!A46)</f>
        <v>46</v>
      </c>
      <c r="B39">
        <v>56616555</v>
      </c>
      <c r="C39">
        <v>56616548</v>
      </c>
      <c r="D39">
        <v>47767126</v>
      </c>
      <c r="E39">
        <v>1</v>
      </c>
      <c r="F39">
        <v>1</v>
      </c>
      <c r="G39">
        <v>27786564</v>
      </c>
      <c r="H39">
        <v>2</v>
      </c>
      <c r="I39" t="s">
        <v>461</v>
      </c>
      <c r="J39" t="s">
        <v>462</v>
      </c>
      <c r="K39" t="s">
        <v>463</v>
      </c>
      <c r="L39">
        <v>1368</v>
      </c>
      <c r="N39">
        <v>1011</v>
      </c>
      <c r="O39" t="s">
        <v>445</v>
      </c>
      <c r="P39" t="s">
        <v>445</v>
      </c>
      <c r="Q39">
        <v>1</v>
      </c>
      <c r="X39">
        <v>0.73</v>
      </c>
      <c r="Y39">
        <v>0</v>
      </c>
      <c r="Z39">
        <v>81.150000000000006</v>
      </c>
      <c r="AA39">
        <v>14.54</v>
      </c>
      <c r="AB39">
        <v>0</v>
      </c>
      <c r="AC39">
        <v>0</v>
      </c>
      <c r="AD39">
        <v>1</v>
      </c>
      <c r="AE39">
        <v>0</v>
      </c>
      <c r="AF39" t="s">
        <v>22</v>
      </c>
      <c r="AG39">
        <v>0.80300000000000005</v>
      </c>
      <c r="AH39">
        <v>2</v>
      </c>
      <c r="AI39">
        <v>56616551</v>
      </c>
      <c r="AJ39">
        <v>39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ROW(Source!A46)</f>
        <v>46</v>
      </c>
      <c r="B40">
        <v>56616556</v>
      </c>
      <c r="C40">
        <v>56616548</v>
      </c>
      <c r="D40">
        <v>47766454</v>
      </c>
      <c r="E40">
        <v>1</v>
      </c>
      <c r="F40">
        <v>1</v>
      </c>
      <c r="G40">
        <v>27786564</v>
      </c>
      <c r="H40">
        <v>2</v>
      </c>
      <c r="I40" t="s">
        <v>464</v>
      </c>
      <c r="J40" t="s">
        <v>465</v>
      </c>
      <c r="K40" t="s">
        <v>466</v>
      </c>
      <c r="L40">
        <v>1368</v>
      </c>
      <c r="N40">
        <v>1011</v>
      </c>
      <c r="O40" t="s">
        <v>445</v>
      </c>
      <c r="P40" t="s">
        <v>445</v>
      </c>
      <c r="Q40">
        <v>1</v>
      </c>
      <c r="X40">
        <v>1.05</v>
      </c>
      <c r="Y40">
        <v>0</v>
      </c>
      <c r="Z40">
        <v>179.17</v>
      </c>
      <c r="AA40">
        <v>16.93</v>
      </c>
      <c r="AB40">
        <v>0</v>
      </c>
      <c r="AC40">
        <v>0</v>
      </c>
      <c r="AD40">
        <v>1</v>
      </c>
      <c r="AE40">
        <v>0</v>
      </c>
      <c r="AF40" t="s">
        <v>22</v>
      </c>
      <c r="AG40">
        <v>1.1550000000000002</v>
      </c>
      <c r="AH40">
        <v>2</v>
      </c>
      <c r="AI40">
        <v>56616552</v>
      </c>
      <c r="AJ40">
        <v>40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ROW(Source!A46)</f>
        <v>46</v>
      </c>
      <c r="B41">
        <v>56616557</v>
      </c>
      <c r="C41">
        <v>56616548</v>
      </c>
      <c r="D41">
        <v>30365725</v>
      </c>
      <c r="E41">
        <v>27786564</v>
      </c>
      <c r="F41">
        <v>1</v>
      </c>
      <c r="G41">
        <v>27786564</v>
      </c>
      <c r="H41">
        <v>3</v>
      </c>
      <c r="I41" t="s">
        <v>528</v>
      </c>
      <c r="J41" t="s">
        <v>3</v>
      </c>
      <c r="K41" t="s">
        <v>529</v>
      </c>
      <c r="L41">
        <v>1301</v>
      </c>
      <c r="N41">
        <v>1003</v>
      </c>
      <c r="O41" t="s">
        <v>55</v>
      </c>
      <c r="P41" t="s">
        <v>55</v>
      </c>
      <c r="Q41">
        <v>1</v>
      </c>
      <c r="X41">
        <v>1025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3</v>
      </c>
      <c r="AG41">
        <v>1025</v>
      </c>
      <c r="AH41">
        <v>3</v>
      </c>
      <c r="AI41">
        <v>-1</v>
      </c>
      <c r="AJ41" t="s">
        <v>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ROW(Source!A47)</f>
        <v>47</v>
      </c>
      <c r="B42">
        <v>56616553</v>
      </c>
      <c r="C42">
        <v>56616548</v>
      </c>
      <c r="D42">
        <v>47634407</v>
      </c>
      <c r="E42">
        <v>27786564</v>
      </c>
      <c r="F42">
        <v>1</v>
      </c>
      <c r="G42">
        <v>27786564</v>
      </c>
      <c r="H42">
        <v>1</v>
      </c>
      <c r="I42" t="s">
        <v>439</v>
      </c>
      <c r="J42" t="s">
        <v>3</v>
      </c>
      <c r="K42" t="s">
        <v>440</v>
      </c>
      <c r="L42">
        <v>1191</v>
      </c>
      <c r="N42">
        <v>1013</v>
      </c>
      <c r="O42" t="s">
        <v>441</v>
      </c>
      <c r="P42" t="s">
        <v>441</v>
      </c>
      <c r="Q42">
        <v>1</v>
      </c>
      <c r="X42">
        <v>147.85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 t="s">
        <v>22</v>
      </c>
      <c r="AG42">
        <v>162.63500000000002</v>
      </c>
      <c r="AH42">
        <v>2</v>
      </c>
      <c r="AI42">
        <v>56616549</v>
      </c>
      <c r="AJ42">
        <v>41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ROW(Source!A47)</f>
        <v>47</v>
      </c>
      <c r="B43">
        <v>56616554</v>
      </c>
      <c r="C43">
        <v>56616548</v>
      </c>
      <c r="D43">
        <v>47767124</v>
      </c>
      <c r="E43">
        <v>1</v>
      </c>
      <c r="F43">
        <v>1</v>
      </c>
      <c r="G43">
        <v>27786564</v>
      </c>
      <c r="H43">
        <v>2</v>
      </c>
      <c r="I43" t="s">
        <v>458</v>
      </c>
      <c r="J43" t="s">
        <v>459</v>
      </c>
      <c r="K43" t="s">
        <v>460</v>
      </c>
      <c r="L43">
        <v>1368</v>
      </c>
      <c r="N43">
        <v>1011</v>
      </c>
      <c r="O43" t="s">
        <v>445</v>
      </c>
      <c r="P43" t="s">
        <v>445</v>
      </c>
      <c r="Q43">
        <v>1</v>
      </c>
      <c r="X43">
        <v>0.73</v>
      </c>
      <c r="Y43">
        <v>0</v>
      </c>
      <c r="Z43">
        <v>15.54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22</v>
      </c>
      <c r="AG43">
        <v>0.80300000000000005</v>
      </c>
      <c r="AH43">
        <v>2</v>
      </c>
      <c r="AI43">
        <v>56616550</v>
      </c>
      <c r="AJ43">
        <v>42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ROW(Source!A47)</f>
        <v>47</v>
      </c>
      <c r="B44">
        <v>56616555</v>
      </c>
      <c r="C44">
        <v>56616548</v>
      </c>
      <c r="D44">
        <v>47767126</v>
      </c>
      <c r="E44">
        <v>1</v>
      </c>
      <c r="F44">
        <v>1</v>
      </c>
      <c r="G44">
        <v>27786564</v>
      </c>
      <c r="H44">
        <v>2</v>
      </c>
      <c r="I44" t="s">
        <v>461</v>
      </c>
      <c r="J44" t="s">
        <v>462</v>
      </c>
      <c r="K44" t="s">
        <v>463</v>
      </c>
      <c r="L44">
        <v>1368</v>
      </c>
      <c r="N44">
        <v>1011</v>
      </c>
      <c r="O44" t="s">
        <v>445</v>
      </c>
      <c r="P44" t="s">
        <v>445</v>
      </c>
      <c r="Q44">
        <v>1</v>
      </c>
      <c r="X44">
        <v>0.73</v>
      </c>
      <c r="Y44">
        <v>0</v>
      </c>
      <c r="Z44">
        <v>81.150000000000006</v>
      </c>
      <c r="AA44">
        <v>14.54</v>
      </c>
      <c r="AB44">
        <v>0</v>
      </c>
      <c r="AC44">
        <v>0</v>
      </c>
      <c r="AD44">
        <v>1</v>
      </c>
      <c r="AE44">
        <v>0</v>
      </c>
      <c r="AF44" t="s">
        <v>22</v>
      </c>
      <c r="AG44">
        <v>0.80300000000000005</v>
      </c>
      <c r="AH44">
        <v>2</v>
      </c>
      <c r="AI44">
        <v>56616551</v>
      </c>
      <c r="AJ44">
        <v>43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ROW(Source!A47)</f>
        <v>47</v>
      </c>
      <c r="B45">
        <v>56616556</v>
      </c>
      <c r="C45">
        <v>56616548</v>
      </c>
      <c r="D45">
        <v>47766454</v>
      </c>
      <c r="E45">
        <v>1</v>
      </c>
      <c r="F45">
        <v>1</v>
      </c>
      <c r="G45">
        <v>27786564</v>
      </c>
      <c r="H45">
        <v>2</v>
      </c>
      <c r="I45" t="s">
        <v>464</v>
      </c>
      <c r="J45" t="s">
        <v>465</v>
      </c>
      <c r="K45" t="s">
        <v>466</v>
      </c>
      <c r="L45">
        <v>1368</v>
      </c>
      <c r="N45">
        <v>1011</v>
      </c>
      <c r="O45" t="s">
        <v>445</v>
      </c>
      <c r="P45" t="s">
        <v>445</v>
      </c>
      <c r="Q45">
        <v>1</v>
      </c>
      <c r="X45">
        <v>1.05</v>
      </c>
      <c r="Y45">
        <v>0</v>
      </c>
      <c r="Z45">
        <v>179.17</v>
      </c>
      <c r="AA45">
        <v>16.93</v>
      </c>
      <c r="AB45">
        <v>0</v>
      </c>
      <c r="AC45">
        <v>0</v>
      </c>
      <c r="AD45">
        <v>1</v>
      </c>
      <c r="AE45">
        <v>0</v>
      </c>
      <c r="AF45" t="s">
        <v>22</v>
      </c>
      <c r="AG45">
        <v>1.1550000000000002</v>
      </c>
      <c r="AH45">
        <v>2</v>
      </c>
      <c r="AI45">
        <v>56616552</v>
      </c>
      <c r="AJ45">
        <v>44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ROW(Source!A47)</f>
        <v>47</v>
      </c>
      <c r="B46">
        <v>56616557</v>
      </c>
      <c r="C46">
        <v>56616548</v>
      </c>
      <c r="D46">
        <v>30365725</v>
      </c>
      <c r="E46">
        <v>27786564</v>
      </c>
      <c r="F46">
        <v>1</v>
      </c>
      <c r="G46">
        <v>27786564</v>
      </c>
      <c r="H46">
        <v>3</v>
      </c>
      <c r="I46" t="s">
        <v>528</v>
      </c>
      <c r="J46" t="s">
        <v>3</v>
      </c>
      <c r="K46" t="s">
        <v>529</v>
      </c>
      <c r="L46">
        <v>1301</v>
      </c>
      <c r="N46">
        <v>1003</v>
      </c>
      <c r="O46" t="s">
        <v>55</v>
      </c>
      <c r="P46" t="s">
        <v>55</v>
      </c>
      <c r="Q46">
        <v>1</v>
      </c>
      <c r="X46">
        <v>1025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3</v>
      </c>
      <c r="AG46">
        <v>1025</v>
      </c>
      <c r="AH46">
        <v>3</v>
      </c>
      <c r="AI46">
        <v>-1</v>
      </c>
      <c r="AJ46" t="s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ROW(Source!A48)</f>
        <v>48</v>
      </c>
      <c r="B47">
        <v>56616564</v>
      </c>
      <c r="C47">
        <v>56616558</v>
      </c>
      <c r="D47">
        <v>47634407</v>
      </c>
      <c r="E47">
        <v>27786564</v>
      </c>
      <c r="F47">
        <v>1</v>
      </c>
      <c r="G47">
        <v>27786564</v>
      </c>
      <c r="H47">
        <v>1</v>
      </c>
      <c r="I47" t="s">
        <v>439</v>
      </c>
      <c r="J47" t="s">
        <v>3</v>
      </c>
      <c r="K47" t="s">
        <v>440</v>
      </c>
      <c r="L47">
        <v>1191</v>
      </c>
      <c r="N47">
        <v>1013</v>
      </c>
      <c r="O47" t="s">
        <v>441</v>
      </c>
      <c r="P47" t="s">
        <v>441</v>
      </c>
      <c r="Q47">
        <v>1</v>
      </c>
      <c r="X47">
        <v>107.8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 t="s">
        <v>22</v>
      </c>
      <c r="AG47">
        <v>118.58000000000001</v>
      </c>
      <c r="AH47">
        <v>2</v>
      </c>
      <c r="AI47">
        <v>56616559</v>
      </c>
      <c r="AJ47">
        <v>45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ROW(Source!A48)</f>
        <v>48</v>
      </c>
      <c r="B48">
        <v>56616565</v>
      </c>
      <c r="C48">
        <v>56616558</v>
      </c>
      <c r="D48">
        <v>47767124</v>
      </c>
      <c r="E48">
        <v>1</v>
      </c>
      <c r="F48">
        <v>1</v>
      </c>
      <c r="G48">
        <v>27786564</v>
      </c>
      <c r="H48">
        <v>2</v>
      </c>
      <c r="I48" t="s">
        <v>458</v>
      </c>
      <c r="J48" t="s">
        <v>459</v>
      </c>
      <c r="K48" t="s">
        <v>460</v>
      </c>
      <c r="L48">
        <v>1368</v>
      </c>
      <c r="N48">
        <v>1011</v>
      </c>
      <c r="O48" t="s">
        <v>445</v>
      </c>
      <c r="P48" t="s">
        <v>445</v>
      </c>
      <c r="Q48">
        <v>1</v>
      </c>
      <c r="X48">
        <v>0.72</v>
      </c>
      <c r="Y48">
        <v>0</v>
      </c>
      <c r="Z48">
        <v>15.54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22</v>
      </c>
      <c r="AG48">
        <v>0.79200000000000004</v>
      </c>
      <c r="AH48">
        <v>2</v>
      </c>
      <c r="AI48">
        <v>56616560</v>
      </c>
      <c r="AJ48">
        <v>46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ROW(Source!A48)</f>
        <v>48</v>
      </c>
      <c r="B49">
        <v>56616566</v>
      </c>
      <c r="C49">
        <v>56616558</v>
      </c>
      <c r="D49">
        <v>47767126</v>
      </c>
      <c r="E49">
        <v>1</v>
      </c>
      <c r="F49">
        <v>1</v>
      </c>
      <c r="G49">
        <v>27786564</v>
      </c>
      <c r="H49">
        <v>2</v>
      </c>
      <c r="I49" t="s">
        <v>461</v>
      </c>
      <c r="J49" t="s">
        <v>462</v>
      </c>
      <c r="K49" t="s">
        <v>463</v>
      </c>
      <c r="L49">
        <v>1368</v>
      </c>
      <c r="N49">
        <v>1011</v>
      </c>
      <c r="O49" t="s">
        <v>445</v>
      </c>
      <c r="P49" t="s">
        <v>445</v>
      </c>
      <c r="Q49">
        <v>1</v>
      </c>
      <c r="X49">
        <v>0.72</v>
      </c>
      <c r="Y49">
        <v>0</v>
      </c>
      <c r="Z49">
        <v>81.150000000000006</v>
      </c>
      <c r="AA49">
        <v>14.54</v>
      </c>
      <c r="AB49">
        <v>0</v>
      </c>
      <c r="AC49">
        <v>0</v>
      </c>
      <c r="AD49">
        <v>1</v>
      </c>
      <c r="AE49">
        <v>0</v>
      </c>
      <c r="AF49" t="s">
        <v>22</v>
      </c>
      <c r="AG49">
        <v>0.79200000000000004</v>
      </c>
      <c r="AH49">
        <v>2</v>
      </c>
      <c r="AI49">
        <v>56616561</v>
      </c>
      <c r="AJ49">
        <v>47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ROW(Source!A48)</f>
        <v>48</v>
      </c>
      <c r="B50">
        <v>56616567</v>
      </c>
      <c r="C50">
        <v>56616558</v>
      </c>
      <c r="D50">
        <v>47766454</v>
      </c>
      <c r="E50">
        <v>1</v>
      </c>
      <c r="F50">
        <v>1</v>
      </c>
      <c r="G50">
        <v>27786564</v>
      </c>
      <c r="H50">
        <v>2</v>
      </c>
      <c r="I50" t="s">
        <v>464</v>
      </c>
      <c r="J50" t="s">
        <v>465</v>
      </c>
      <c r="K50" t="s">
        <v>466</v>
      </c>
      <c r="L50">
        <v>1368</v>
      </c>
      <c r="N50">
        <v>1011</v>
      </c>
      <c r="O50" t="s">
        <v>445</v>
      </c>
      <c r="P50" t="s">
        <v>445</v>
      </c>
      <c r="Q50">
        <v>1</v>
      </c>
      <c r="X50">
        <v>1.04</v>
      </c>
      <c r="Y50">
        <v>0</v>
      </c>
      <c r="Z50">
        <v>179.17</v>
      </c>
      <c r="AA50">
        <v>16.93</v>
      </c>
      <c r="AB50">
        <v>0</v>
      </c>
      <c r="AC50">
        <v>0</v>
      </c>
      <c r="AD50">
        <v>1</v>
      </c>
      <c r="AE50">
        <v>0</v>
      </c>
      <c r="AF50" t="s">
        <v>22</v>
      </c>
      <c r="AG50">
        <v>1.1440000000000001</v>
      </c>
      <c r="AH50">
        <v>2</v>
      </c>
      <c r="AI50">
        <v>56616562</v>
      </c>
      <c r="AJ50">
        <v>48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ROW(Source!A48)</f>
        <v>48</v>
      </c>
      <c r="B51">
        <v>56616568</v>
      </c>
      <c r="C51">
        <v>56616558</v>
      </c>
      <c r="D51">
        <v>47634960</v>
      </c>
      <c r="E51">
        <v>27786564</v>
      </c>
      <c r="F51">
        <v>1</v>
      </c>
      <c r="G51">
        <v>27786564</v>
      </c>
      <c r="H51">
        <v>2</v>
      </c>
      <c r="I51" t="s">
        <v>449</v>
      </c>
      <c r="J51" t="s">
        <v>3</v>
      </c>
      <c r="K51" t="s">
        <v>450</v>
      </c>
      <c r="L51">
        <v>1344</v>
      </c>
      <c r="N51">
        <v>1008</v>
      </c>
      <c r="O51" t="s">
        <v>451</v>
      </c>
      <c r="P51" t="s">
        <v>451</v>
      </c>
      <c r="Q51">
        <v>1</v>
      </c>
      <c r="X51">
        <v>0.02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22</v>
      </c>
      <c r="AG51">
        <v>2.2000000000000002E-2</v>
      </c>
      <c r="AH51">
        <v>2</v>
      </c>
      <c r="AI51">
        <v>56616563</v>
      </c>
      <c r="AJ51">
        <v>49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ROW(Source!A48)</f>
        <v>48</v>
      </c>
      <c r="B52">
        <v>56616569</v>
      </c>
      <c r="C52">
        <v>56616558</v>
      </c>
      <c r="D52">
        <v>30365725</v>
      </c>
      <c r="E52">
        <v>27786564</v>
      </c>
      <c r="F52">
        <v>1</v>
      </c>
      <c r="G52">
        <v>27786564</v>
      </c>
      <c r="H52">
        <v>3</v>
      </c>
      <c r="I52" t="s">
        <v>528</v>
      </c>
      <c r="J52" t="s">
        <v>3</v>
      </c>
      <c r="K52" t="s">
        <v>529</v>
      </c>
      <c r="L52">
        <v>1301</v>
      </c>
      <c r="N52">
        <v>1003</v>
      </c>
      <c r="O52" t="s">
        <v>55</v>
      </c>
      <c r="P52" t="s">
        <v>55</v>
      </c>
      <c r="Q52">
        <v>1</v>
      </c>
      <c r="X52">
        <v>1025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3</v>
      </c>
      <c r="AG52">
        <v>1025</v>
      </c>
      <c r="AH52">
        <v>3</v>
      </c>
      <c r="AI52">
        <v>-1</v>
      </c>
      <c r="AJ52" t="s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ROW(Source!A49)</f>
        <v>49</v>
      </c>
      <c r="B53">
        <v>56616564</v>
      </c>
      <c r="C53">
        <v>56616558</v>
      </c>
      <c r="D53">
        <v>47634407</v>
      </c>
      <c r="E53">
        <v>27786564</v>
      </c>
      <c r="F53">
        <v>1</v>
      </c>
      <c r="G53">
        <v>27786564</v>
      </c>
      <c r="H53">
        <v>1</v>
      </c>
      <c r="I53" t="s">
        <v>439</v>
      </c>
      <c r="J53" t="s">
        <v>3</v>
      </c>
      <c r="K53" t="s">
        <v>440</v>
      </c>
      <c r="L53">
        <v>1191</v>
      </c>
      <c r="N53">
        <v>1013</v>
      </c>
      <c r="O53" t="s">
        <v>441</v>
      </c>
      <c r="P53" t="s">
        <v>441</v>
      </c>
      <c r="Q53">
        <v>1</v>
      </c>
      <c r="X53">
        <v>107.8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 t="s">
        <v>22</v>
      </c>
      <c r="AG53">
        <v>118.58000000000001</v>
      </c>
      <c r="AH53">
        <v>2</v>
      </c>
      <c r="AI53">
        <v>56616559</v>
      </c>
      <c r="AJ53">
        <v>50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ROW(Source!A49)</f>
        <v>49</v>
      </c>
      <c r="B54">
        <v>56616565</v>
      </c>
      <c r="C54">
        <v>56616558</v>
      </c>
      <c r="D54">
        <v>47767124</v>
      </c>
      <c r="E54">
        <v>1</v>
      </c>
      <c r="F54">
        <v>1</v>
      </c>
      <c r="G54">
        <v>27786564</v>
      </c>
      <c r="H54">
        <v>2</v>
      </c>
      <c r="I54" t="s">
        <v>458</v>
      </c>
      <c r="J54" t="s">
        <v>459</v>
      </c>
      <c r="K54" t="s">
        <v>460</v>
      </c>
      <c r="L54">
        <v>1368</v>
      </c>
      <c r="N54">
        <v>1011</v>
      </c>
      <c r="O54" t="s">
        <v>445</v>
      </c>
      <c r="P54" t="s">
        <v>445</v>
      </c>
      <c r="Q54">
        <v>1</v>
      </c>
      <c r="X54">
        <v>0.72</v>
      </c>
      <c r="Y54">
        <v>0</v>
      </c>
      <c r="Z54">
        <v>15.54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22</v>
      </c>
      <c r="AG54">
        <v>0.79200000000000004</v>
      </c>
      <c r="AH54">
        <v>2</v>
      </c>
      <c r="AI54">
        <v>56616560</v>
      </c>
      <c r="AJ54">
        <v>51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ROW(Source!A49)</f>
        <v>49</v>
      </c>
      <c r="B55">
        <v>56616566</v>
      </c>
      <c r="C55">
        <v>56616558</v>
      </c>
      <c r="D55">
        <v>47767126</v>
      </c>
      <c r="E55">
        <v>1</v>
      </c>
      <c r="F55">
        <v>1</v>
      </c>
      <c r="G55">
        <v>27786564</v>
      </c>
      <c r="H55">
        <v>2</v>
      </c>
      <c r="I55" t="s">
        <v>461</v>
      </c>
      <c r="J55" t="s">
        <v>462</v>
      </c>
      <c r="K55" t="s">
        <v>463</v>
      </c>
      <c r="L55">
        <v>1368</v>
      </c>
      <c r="N55">
        <v>1011</v>
      </c>
      <c r="O55" t="s">
        <v>445</v>
      </c>
      <c r="P55" t="s">
        <v>445</v>
      </c>
      <c r="Q55">
        <v>1</v>
      </c>
      <c r="X55">
        <v>0.72</v>
      </c>
      <c r="Y55">
        <v>0</v>
      </c>
      <c r="Z55">
        <v>81.150000000000006</v>
      </c>
      <c r="AA55">
        <v>14.54</v>
      </c>
      <c r="AB55">
        <v>0</v>
      </c>
      <c r="AC55">
        <v>0</v>
      </c>
      <c r="AD55">
        <v>1</v>
      </c>
      <c r="AE55">
        <v>0</v>
      </c>
      <c r="AF55" t="s">
        <v>22</v>
      </c>
      <c r="AG55">
        <v>0.79200000000000004</v>
      </c>
      <c r="AH55">
        <v>2</v>
      </c>
      <c r="AI55">
        <v>56616561</v>
      </c>
      <c r="AJ55">
        <v>52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ROW(Source!A49)</f>
        <v>49</v>
      </c>
      <c r="B56">
        <v>56616567</v>
      </c>
      <c r="C56">
        <v>56616558</v>
      </c>
      <c r="D56">
        <v>47766454</v>
      </c>
      <c r="E56">
        <v>1</v>
      </c>
      <c r="F56">
        <v>1</v>
      </c>
      <c r="G56">
        <v>27786564</v>
      </c>
      <c r="H56">
        <v>2</v>
      </c>
      <c r="I56" t="s">
        <v>464</v>
      </c>
      <c r="J56" t="s">
        <v>465</v>
      </c>
      <c r="K56" t="s">
        <v>466</v>
      </c>
      <c r="L56">
        <v>1368</v>
      </c>
      <c r="N56">
        <v>1011</v>
      </c>
      <c r="O56" t="s">
        <v>445</v>
      </c>
      <c r="P56" t="s">
        <v>445</v>
      </c>
      <c r="Q56">
        <v>1</v>
      </c>
      <c r="X56">
        <v>1.04</v>
      </c>
      <c r="Y56">
        <v>0</v>
      </c>
      <c r="Z56">
        <v>179.17</v>
      </c>
      <c r="AA56">
        <v>16.93</v>
      </c>
      <c r="AB56">
        <v>0</v>
      </c>
      <c r="AC56">
        <v>0</v>
      </c>
      <c r="AD56">
        <v>1</v>
      </c>
      <c r="AE56">
        <v>0</v>
      </c>
      <c r="AF56" t="s">
        <v>22</v>
      </c>
      <c r="AG56">
        <v>1.1440000000000001</v>
      </c>
      <c r="AH56">
        <v>2</v>
      </c>
      <c r="AI56">
        <v>56616562</v>
      </c>
      <c r="AJ56">
        <v>53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ROW(Source!A49)</f>
        <v>49</v>
      </c>
      <c r="B57">
        <v>56616568</v>
      </c>
      <c r="C57">
        <v>56616558</v>
      </c>
      <c r="D57">
        <v>47634960</v>
      </c>
      <c r="E57">
        <v>27786564</v>
      </c>
      <c r="F57">
        <v>1</v>
      </c>
      <c r="G57">
        <v>27786564</v>
      </c>
      <c r="H57">
        <v>2</v>
      </c>
      <c r="I57" t="s">
        <v>449</v>
      </c>
      <c r="J57" t="s">
        <v>3</v>
      </c>
      <c r="K57" t="s">
        <v>450</v>
      </c>
      <c r="L57">
        <v>1344</v>
      </c>
      <c r="N57">
        <v>1008</v>
      </c>
      <c r="O57" t="s">
        <v>451</v>
      </c>
      <c r="P57" t="s">
        <v>451</v>
      </c>
      <c r="Q57">
        <v>1</v>
      </c>
      <c r="X57">
        <v>0.02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22</v>
      </c>
      <c r="AG57">
        <v>2.2000000000000002E-2</v>
      </c>
      <c r="AH57">
        <v>2</v>
      </c>
      <c r="AI57">
        <v>56616563</v>
      </c>
      <c r="AJ57">
        <v>54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ROW(Source!A49)</f>
        <v>49</v>
      </c>
      <c r="B58">
        <v>56616569</v>
      </c>
      <c r="C58">
        <v>56616558</v>
      </c>
      <c r="D58">
        <v>30365725</v>
      </c>
      <c r="E58">
        <v>27786564</v>
      </c>
      <c r="F58">
        <v>1</v>
      </c>
      <c r="G58">
        <v>27786564</v>
      </c>
      <c r="H58">
        <v>3</v>
      </c>
      <c r="I58" t="s">
        <v>528</v>
      </c>
      <c r="J58" t="s">
        <v>3</v>
      </c>
      <c r="K58" t="s">
        <v>529</v>
      </c>
      <c r="L58">
        <v>1301</v>
      </c>
      <c r="N58">
        <v>1003</v>
      </c>
      <c r="O58" t="s">
        <v>55</v>
      </c>
      <c r="P58" t="s">
        <v>55</v>
      </c>
      <c r="Q58">
        <v>1</v>
      </c>
      <c r="X58">
        <v>1025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3</v>
      </c>
      <c r="AG58">
        <v>1025</v>
      </c>
      <c r="AH58">
        <v>3</v>
      </c>
      <c r="AI58">
        <v>-1</v>
      </c>
      <c r="AJ58" t="s">
        <v>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ROW(Source!A50)</f>
        <v>50</v>
      </c>
      <c r="B59">
        <v>56616576</v>
      </c>
      <c r="C59">
        <v>56616570</v>
      </c>
      <c r="D59">
        <v>47634407</v>
      </c>
      <c r="E59">
        <v>27786564</v>
      </c>
      <c r="F59">
        <v>1</v>
      </c>
      <c r="G59">
        <v>27786564</v>
      </c>
      <c r="H59">
        <v>1</v>
      </c>
      <c r="I59" t="s">
        <v>439</v>
      </c>
      <c r="J59" t="s">
        <v>3</v>
      </c>
      <c r="K59" t="s">
        <v>440</v>
      </c>
      <c r="L59">
        <v>1191</v>
      </c>
      <c r="N59">
        <v>1013</v>
      </c>
      <c r="O59" t="s">
        <v>441</v>
      </c>
      <c r="P59" t="s">
        <v>441</v>
      </c>
      <c r="Q59">
        <v>1</v>
      </c>
      <c r="X59">
        <v>107.8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</v>
      </c>
      <c r="AF59" t="s">
        <v>22</v>
      </c>
      <c r="AG59">
        <v>118.58000000000001</v>
      </c>
      <c r="AH59">
        <v>2</v>
      </c>
      <c r="AI59">
        <v>56616571</v>
      </c>
      <c r="AJ59">
        <v>55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ROW(Source!A50)</f>
        <v>50</v>
      </c>
      <c r="B60">
        <v>56616577</v>
      </c>
      <c r="C60">
        <v>56616570</v>
      </c>
      <c r="D60">
        <v>47767124</v>
      </c>
      <c r="E60">
        <v>1</v>
      </c>
      <c r="F60">
        <v>1</v>
      </c>
      <c r="G60">
        <v>27786564</v>
      </c>
      <c r="H60">
        <v>2</v>
      </c>
      <c r="I60" t="s">
        <v>458</v>
      </c>
      <c r="J60" t="s">
        <v>459</v>
      </c>
      <c r="K60" t="s">
        <v>460</v>
      </c>
      <c r="L60">
        <v>1368</v>
      </c>
      <c r="N60">
        <v>1011</v>
      </c>
      <c r="O60" t="s">
        <v>445</v>
      </c>
      <c r="P60" t="s">
        <v>445</v>
      </c>
      <c r="Q60">
        <v>1</v>
      </c>
      <c r="X60">
        <v>0.72</v>
      </c>
      <c r="Y60">
        <v>0</v>
      </c>
      <c r="Z60">
        <v>15.54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22</v>
      </c>
      <c r="AG60">
        <v>0.79200000000000004</v>
      </c>
      <c r="AH60">
        <v>2</v>
      </c>
      <c r="AI60">
        <v>56616572</v>
      </c>
      <c r="AJ60">
        <v>56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ROW(Source!A50)</f>
        <v>50</v>
      </c>
      <c r="B61">
        <v>56616578</v>
      </c>
      <c r="C61">
        <v>56616570</v>
      </c>
      <c r="D61">
        <v>47767126</v>
      </c>
      <c r="E61">
        <v>1</v>
      </c>
      <c r="F61">
        <v>1</v>
      </c>
      <c r="G61">
        <v>27786564</v>
      </c>
      <c r="H61">
        <v>2</v>
      </c>
      <c r="I61" t="s">
        <v>461</v>
      </c>
      <c r="J61" t="s">
        <v>462</v>
      </c>
      <c r="K61" t="s">
        <v>463</v>
      </c>
      <c r="L61">
        <v>1368</v>
      </c>
      <c r="N61">
        <v>1011</v>
      </c>
      <c r="O61" t="s">
        <v>445</v>
      </c>
      <c r="P61" t="s">
        <v>445</v>
      </c>
      <c r="Q61">
        <v>1</v>
      </c>
      <c r="X61">
        <v>0.72</v>
      </c>
      <c r="Y61">
        <v>0</v>
      </c>
      <c r="Z61">
        <v>81.150000000000006</v>
      </c>
      <c r="AA61">
        <v>14.54</v>
      </c>
      <c r="AB61">
        <v>0</v>
      </c>
      <c r="AC61">
        <v>0</v>
      </c>
      <c r="AD61">
        <v>1</v>
      </c>
      <c r="AE61">
        <v>0</v>
      </c>
      <c r="AF61" t="s">
        <v>22</v>
      </c>
      <c r="AG61">
        <v>0.79200000000000004</v>
      </c>
      <c r="AH61">
        <v>2</v>
      </c>
      <c r="AI61">
        <v>56616573</v>
      </c>
      <c r="AJ61">
        <v>57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ROW(Source!A50)</f>
        <v>50</v>
      </c>
      <c r="B62">
        <v>56616579</v>
      </c>
      <c r="C62">
        <v>56616570</v>
      </c>
      <c r="D62">
        <v>47766454</v>
      </c>
      <c r="E62">
        <v>1</v>
      </c>
      <c r="F62">
        <v>1</v>
      </c>
      <c r="G62">
        <v>27786564</v>
      </c>
      <c r="H62">
        <v>2</v>
      </c>
      <c r="I62" t="s">
        <v>464</v>
      </c>
      <c r="J62" t="s">
        <v>465</v>
      </c>
      <c r="K62" t="s">
        <v>466</v>
      </c>
      <c r="L62">
        <v>1368</v>
      </c>
      <c r="N62">
        <v>1011</v>
      </c>
      <c r="O62" t="s">
        <v>445</v>
      </c>
      <c r="P62" t="s">
        <v>445</v>
      </c>
      <c r="Q62">
        <v>1</v>
      </c>
      <c r="X62">
        <v>1.04</v>
      </c>
      <c r="Y62">
        <v>0</v>
      </c>
      <c r="Z62">
        <v>179.17</v>
      </c>
      <c r="AA62">
        <v>16.93</v>
      </c>
      <c r="AB62">
        <v>0</v>
      </c>
      <c r="AC62">
        <v>0</v>
      </c>
      <c r="AD62">
        <v>1</v>
      </c>
      <c r="AE62">
        <v>0</v>
      </c>
      <c r="AF62" t="s">
        <v>22</v>
      </c>
      <c r="AG62">
        <v>1.1440000000000001</v>
      </c>
      <c r="AH62">
        <v>2</v>
      </c>
      <c r="AI62">
        <v>56616574</v>
      </c>
      <c r="AJ62">
        <v>58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ROW(Source!A50)</f>
        <v>50</v>
      </c>
      <c r="B63">
        <v>56616580</v>
      </c>
      <c r="C63">
        <v>56616570</v>
      </c>
      <c r="D63">
        <v>47634960</v>
      </c>
      <c r="E63">
        <v>27786564</v>
      </c>
      <c r="F63">
        <v>1</v>
      </c>
      <c r="G63">
        <v>27786564</v>
      </c>
      <c r="H63">
        <v>2</v>
      </c>
      <c r="I63" t="s">
        <v>449</v>
      </c>
      <c r="J63" t="s">
        <v>3</v>
      </c>
      <c r="K63" t="s">
        <v>450</v>
      </c>
      <c r="L63">
        <v>1344</v>
      </c>
      <c r="N63">
        <v>1008</v>
      </c>
      <c r="O63" t="s">
        <v>451</v>
      </c>
      <c r="P63" t="s">
        <v>451</v>
      </c>
      <c r="Q63">
        <v>1</v>
      </c>
      <c r="X63">
        <v>0.02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22</v>
      </c>
      <c r="AG63">
        <v>2.2000000000000002E-2</v>
      </c>
      <c r="AH63">
        <v>2</v>
      </c>
      <c r="AI63">
        <v>56616575</v>
      </c>
      <c r="AJ63">
        <v>59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ROW(Source!A50)</f>
        <v>50</v>
      </c>
      <c r="B64">
        <v>56616581</v>
      </c>
      <c r="C64">
        <v>56616570</v>
      </c>
      <c r="D64">
        <v>30365725</v>
      </c>
      <c r="E64">
        <v>27786564</v>
      </c>
      <c r="F64">
        <v>1</v>
      </c>
      <c r="G64">
        <v>27786564</v>
      </c>
      <c r="H64">
        <v>3</v>
      </c>
      <c r="I64" t="s">
        <v>528</v>
      </c>
      <c r="J64" t="s">
        <v>3</v>
      </c>
      <c r="K64" t="s">
        <v>529</v>
      </c>
      <c r="L64">
        <v>1301</v>
      </c>
      <c r="N64">
        <v>1003</v>
      </c>
      <c r="O64" t="s">
        <v>55</v>
      </c>
      <c r="P64" t="s">
        <v>55</v>
      </c>
      <c r="Q64">
        <v>1</v>
      </c>
      <c r="X64">
        <v>1025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3</v>
      </c>
      <c r="AG64">
        <v>1025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ROW(Source!A51)</f>
        <v>51</v>
      </c>
      <c r="B65">
        <v>56616576</v>
      </c>
      <c r="C65">
        <v>56616570</v>
      </c>
      <c r="D65">
        <v>47634407</v>
      </c>
      <c r="E65">
        <v>27786564</v>
      </c>
      <c r="F65">
        <v>1</v>
      </c>
      <c r="G65">
        <v>27786564</v>
      </c>
      <c r="H65">
        <v>1</v>
      </c>
      <c r="I65" t="s">
        <v>439</v>
      </c>
      <c r="J65" t="s">
        <v>3</v>
      </c>
      <c r="K65" t="s">
        <v>440</v>
      </c>
      <c r="L65">
        <v>1191</v>
      </c>
      <c r="N65">
        <v>1013</v>
      </c>
      <c r="O65" t="s">
        <v>441</v>
      </c>
      <c r="P65" t="s">
        <v>441</v>
      </c>
      <c r="Q65">
        <v>1</v>
      </c>
      <c r="X65">
        <v>107.8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 t="s">
        <v>22</v>
      </c>
      <c r="AG65">
        <v>118.58000000000001</v>
      </c>
      <c r="AH65">
        <v>2</v>
      </c>
      <c r="AI65">
        <v>56616571</v>
      </c>
      <c r="AJ65">
        <v>60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ROW(Source!A51)</f>
        <v>51</v>
      </c>
      <c r="B66">
        <v>56616577</v>
      </c>
      <c r="C66">
        <v>56616570</v>
      </c>
      <c r="D66">
        <v>47767124</v>
      </c>
      <c r="E66">
        <v>1</v>
      </c>
      <c r="F66">
        <v>1</v>
      </c>
      <c r="G66">
        <v>27786564</v>
      </c>
      <c r="H66">
        <v>2</v>
      </c>
      <c r="I66" t="s">
        <v>458</v>
      </c>
      <c r="J66" t="s">
        <v>459</v>
      </c>
      <c r="K66" t="s">
        <v>460</v>
      </c>
      <c r="L66">
        <v>1368</v>
      </c>
      <c r="N66">
        <v>1011</v>
      </c>
      <c r="O66" t="s">
        <v>445</v>
      </c>
      <c r="P66" t="s">
        <v>445</v>
      </c>
      <c r="Q66">
        <v>1</v>
      </c>
      <c r="X66">
        <v>0.72</v>
      </c>
      <c r="Y66">
        <v>0</v>
      </c>
      <c r="Z66">
        <v>15.54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22</v>
      </c>
      <c r="AG66">
        <v>0.79200000000000004</v>
      </c>
      <c r="AH66">
        <v>2</v>
      </c>
      <c r="AI66">
        <v>56616572</v>
      </c>
      <c r="AJ66">
        <v>61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ROW(Source!A51)</f>
        <v>51</v>
      </c>
      <c r="B67">
        <v>56616578</v>
      </c>
      <c r="C67">
        <v>56616570</v>
      </c>
      <c r="D67">
        <v>47767126</v>
      </c>
      <c r="E67">
        <v>1</v>
      </c>
      <c r="F67">
        <v>1</v>
      </c>
      <c r="G67">
        <v>27786564</v>
      </c>
      <c r="H67">
        <v>2</v>
      </c>
      <c r="I67" t="s">
        <v>461</v>
      </c>
      <c r="J67" t="s">
        <v>462</v>
      </c>
      <c r="K67" t="s">
        <v>463</v>
      </c>
      <c r="L67">
        <v>1368</v>
      </c>
      <c r="N67">
        <v>1011</v>
      </c>
      <c r="O67" t="s">
        <v>445</v>
      </c>
      <c r="P67" t="s">
        <v>445</v>
      </c>
      <c r="Q67">
        <v>1</v>
      </c>
      <c r="X67">
        <v>0.72</v>
      </c>
      <c r="Y67">
        <v>0</v>
      </c>
      <c r="Z67">
        <v>81.150000000000006</v>
      </c>
      <c r="AA67">
        <v>14.54</v>
      </c>
      <c r="AB67">
        <v>0</v>
      </c>
      <c r="AC67">
        <v>0</v>
      </c>
      <c r="AD67">
        <v>1</v>
      </c>
      <c r="AE67">
        <v>0</v>
      </c>
      <c r="AF67" t="s">
        <v>22</v>
      </c>
      <c r="AG67">
        <v>0.79200000000000004</v>
      </c>
      <c r="AH67">
        <v>2</v>
      </c>
      <c r="AI67">
        <v>56616573</v>
      </c>
      <c r="AJ67">
        <v>62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ROW(Source!A51)</f>
        <v>51</v>
      </c>
      <c r="B68">
        <v>56616579</v>
      </c>
      <c r="C68">
        <v>56616570</v>
      </c>
      <c r="D68">
        <v>47766454</v>
      </c>
      <c r="E68">
        <v>1</v>
      </c>
      <c r="F68">
        <v>1</v>
      </c>
      <c r="G68">
        <v>27786564</v>
      </c>
      <c r="H68">
        <v>2</v>
      </c>
      <c r="I68" t="s">
        <v>464</v>
      </c>
      <c r="J68" t="s">
        <v>465</v>
      </c>
      <c r="K68" t="s">
        <v>466</v>
      </c>
      <c r="L68">
        <v>1368</v>
      </c>
      <c r="N68">
        <v>1011</v>
      </c>
      <c r="O68" t="s">
        <v>445</v>
      </c>
      <c r="P68" t="s">
        <v>445</v>
      </c>
      <c r="Q68">
        <v>1</v>
      </c>
      <c r="X68">
        <v>1.04</v>
      </c>
      <c r="Y68">
        <v>0</v>
      </c>
      <c r="Z68">
        <v>179.17</v>
      </c>
      <c r="AA68">
        <v>16.93</v>
      </c>
      <c r="AB68">
        <v>0</v>
      </c>
      <c r="AC68">
        <v>0</v>
      </c>
      <c r="AD68">
        <v>1</v>
      </c>
      <c r="AE68">
        <v>0</v>
      </c>
      <c r="AF68" t="s">
        <v>22</v>
      </c>
      <c r="AG68">
        <v>1.1440000000000001</v>
      </c>
      <c r="AH68">
        <v>2</v>
      </c>
      <c r="AI68">
        <v>56616574</v>
      </c>
      <c r="AJ68">
        <v>63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ROW(Source!A51)</f>
        <v>51</v>
      </c>
      <c r="B69">
        <v>56616580</v>
      </c>
      <c r="C69">
        <v>56616570</v>
      </c>
      <c r="D69">
        <v>47634960</v>
      </c>
      <c r="E69">
        <v>27786564</v>
      </c>
      <c r="F69">
        <v>1</v>
      </c>
      <c r="G69">
        <v>27786564</v>
      </c>
      <c r="H69">
        <v>2</v>
      </c>
      <c r="I69" t="s">
        <v>449</v>
      </c>
      <c r="J69" t="s">
        <v>3</v>
      </c>
      <c r="K69" t="s">
        <v>450</v>
      </c>
      <c r="L69">
        <v>1344</v>
      </c>
      <c r="N69">
        <v>1008</v>
      </c>
      <c r="O69" t="s">
        <v>451</v>
      </c>
      <c r="P69" t="s">
        <v>451</v>
      </c>
      <c r="Q69">
        <v>1</v>
      </c>
      <c r="X69">
        <v>0.02</v>
      </c>
      <c r="Y69">
        <v>0</v>
      </c>
      <c r="Z69">
        <v>1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22</v>
      </c>
      <c r="AG69">
        <v>2.2000000000000002E-2</v>
      </c>
      <c r="AH69">
        <v>2</v>
      </c>
      <c r="AI69">
        <v>56616575</v>
      </c>
      <c r="AJ69">
        <v>64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ROW(Source!A51)</f>
        <v>51</v>
      </c>
      <c r="B70">
        <v>56616581</v>
      </c>
      <c r="C70">
        <v>56616570</v>
      </c>
      <c r="D70">
        <v>30365725</v>
      </c>
      <c r="E70">
        <v>27786564</v>
      </c>
      <c r="F70">
        <v>1</v>
      </c>
      <c r="G70">
        <v>27786564</v>
      </c>
      <c r="H70">
        <v>3</v>
      </c>
      <c r="I70" t="s">
        <v>528</v>
      </c>
      <c r="J70" t="s">
        <v>3</v>
      </c>
      <c r="K70" t="s">
        <v>529</v>
      </c>
      <c r="L70">
        <v>1301</v>
      </c>
      <c r="N70">
        <v>1003</v>
      </c>
      <c r="O70" t="s">
        <v>55</v>
      </c>
      <c r="P70" t="s">
        <v>55</v>
      </c>
      <c r="Q70">
        <v>1</v>
      </c>
      <c r="X70">
        <v>1025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3</v>
      </c>
      <c r="AG70">
        <v>1025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ROW(Source!A58)</f>
        <v>58</v>
      </c>
      <c r="B71">
        <v>56616595</v>
      </c>
      <c r="C71">
        <v>56616585</v>
      </c>
      <c r="D71">
        <v>47634407</v>
      </c>
      <c r="E71">
        <v>27786564</v>
      </c>
      <c r="F71">
        <v>1</v>
      </c>
      <c r="G71">
        <v>27786564</v>
      </c>
      <c r="H71">
        <v>1</v>
      </c>
      <c r="I71" t="s">
        <v>439</v>
      </c>
      <c r="J71" t="s">
        <v>3</v>
      </c>
      <c r="K71" t="s">
        <v>440</v>
      </c>
      <c r="L71">
        <v>1191</v>
      </c>
      <c r="N71">
        <v>1013</v>
      </c>
      <c r="O71" t="s">
        <v>441</v>
      </c>
      <c r="P71" t="s">
        <v>441</v>
      </c>
      <c r="Q71">
        <v>1</v>
      </c>
      <c r="X71">
        <v>135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 t="s">
        <v>22</v>
      </c>
      <c r="AG71">
        <v>148.5</v>
      </c>
      <c r="AH71">
        <v>2</v>
      </c>
      <c r="AI71">
        <v>56616594</v>
      </c>
      <c r="AJ71">
        <v>65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ROW(Source!A58)</f>
        <v>58</v>
      </c>
      <c r="B72">
        <v>56616596</v>
      </c>
      <c r="C72">
        <v>56616585</v>
      </c>
      <c r="D72">
        <v>47766844</v>
      </c>
      <c r="E72">
        <v>1</v>
      </c>
      <c r="F72">
        <v>1</v>
      </c>
      <c r="G72">
        <v>27786564</v>
      </c>
      <c r="H72">
        <v>2</v>
      </c>
      <c r="I72" t="s">
        <v>467</v>
      </c>
      <c r="J72" t="s">
        <v>468</v>
      </c>
      <c r="K72" t="s">
        <v>469</v>
      </c>
      <c r="L72">
        <v>1368</v>
      </c>
      <c r="N72">
        <v>1011</v>
      </c>
      <c r="O72" t="s">
        <v>445</v>
      </c>
      <c r="P72" t="s">
        <v>445</v>
      </c>
      <c r="Q72">
        <v>1</v>
      </c>
      <c r="X72">
        <v>8</v>
      </c>
      <c r="Y72">
        <v>0</v>
      </c>
      <c r="Z72">
        <v>24.95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22</v>
      </c>
      <c r="AG72">
        <v>8.8000000000000007</v>
      </c>
      <c r="AH72">
        <v>2</v>
      </c>
      <c r="AI72">
        <v>56616586</v>
      </c>
      <c r="AJ72">
        <v>66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ROW(Source!A58)</f>
        <v>58</v>
      </c>
      <c r="B73">
        <v>56616597</v>
      </c>
      <c r="C73">
        <v>56616585</v>
      </c>
      <c r="D73">
        <v>47766894</v>
      </c>
      <c r="E73">
        <v>1</v>
      </c>
      <c r="F73">
        <v>1</v>
      </c>
      <c r="G73">
        <v>27786564</v>
      </c>
      <c r="H73">
        <v>2</v>
      </c>
      <c r="I73" t="s">
        <v>470</v>
      </c>
      <c r="J73" t="s">
        <v>471</v>
      </c>
      <c r="K73" t="s">
        <v>472</v>
      </c>
      <c r="L73">
        <v>1368</v>
      </c>
      <c r="N73">
        <v>1011</v>
      </c>
      <c r="O73" t="s">
        <v>445</v>
      </c>
      <c r="P73" t="s">
        <v>445</v>
      </c>
      <c r="Q73">
        <v>1</v>
      </c>
      <c r="X73">
        <v>2</v>
      </c>
      <c r="Y73">
        <v>0</v>
      </c>
      <c r="Z73">
        <v>4.6900000000000004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22</v>
      </c>
      <c r="AG73">
        <v>2.2000000000000002</v>
      </c>
      <c r="AH73">
        <v>2</v>
      </c>
      <c r="AI73">
        <v>56616587</v>
      </c>
      <c r="AJ73">
        <v>67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ROW(Source!A58)</f>
        <v>58</v>
      </c>
      <c r="B74">
        <v>56616598</v>
      </c>
      <c r="C74">
        <v>56616585</v>
      </c>
      <c r="D74">
        <v>50545312</v>
      </c>
      <c r="E74">
        <v>1</v>
      </c>
      <c r="F74">
        <v>1</v>
      </c>
      <c r="G74">
        <v>27786564</v>
      </c>
      <c r="H74">
        <v>2</v>
      </c>
      <c r="I74" t="s">
        <v>473</v>
      </c>
      <c r="J74" t="s">
        <v>474</v>
      </c>
      <c r="K74" t="s">
        <v>530</v>
      </c>
      <c r="L74">
        <v>1368</v>
      </c>
      <c r="N74">
        <v>1011</v>
      </c>
      <c r="O74" t="s">
        <v>445</v>
      </c>
      <c r="P74" t="s">
        <v>445</v>
      </c>
      <c r="Q74">
        <v>1</v>
      </c>
      <c r="X74">
        <v>30</v>
      </c>
      <c r="Y74">
        <v>0</v>
      </c>
      <c r="Z74">
        <v>6.1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22</v>
      </c>
      <c r="AG74">
        <v>33</v>
      </c>
      <c r="AH74">
        <v>2</v>
      </c>
      <c r="AI74">
        <v>56616588</v>
      </c>
      <c r="AJ74">
        <v>68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ROW(Source!A58)</f>
        <v>58</v>
      </c>
      <c r="B75">
        <v>56616599</v>
      </c>
      <c r="C75">
        <v>56616585</v>
      </c>
      <c r="D75">
        <v>47767106</v>
      </c>
      <c r="E75">
        <v>1</v>
      </c>
      <c r="F75">
        <v>1</v>
      </c>
      <c r="G75">
        <v>27786564</v>
      </c>
      <c r="H75">
        <v>2</v>
      </c>
      <c r="I75" t="s">
        <v>487</v>
      </c>
      <c r="J75" t="s">
        <v>488</v>
      </c>
      <c r="K75" t="s">
        <v>489</v>
      </c>
      <c r="L75">
        <v>1368</v>
      </c>
      <c r="N75">
        <v>1011</v>
      </c>
      <c r="O75" t="s">
        <v>445</v>
      </c>
      <c r="P75" t="s">
        <v>445</v>
      </c>
      <c r="Q75">
        <v>1</v>
      </c>
      <c r="X75">
        <v>0.02</v>
      </c>
      <c r="Y75">
        <v>0</v>
      </c>
      <c r="Z75">
        <v>83.1</v>
      </c>
      <c r="AA75">
        <v>12.62</v>
      </c>
      <c r="AB75">
        <v>0</v>
      </c>
      <c r="AC75">
        <v>0</v>
      </c>
      <c r="AD75">
        <v>1</v>
      </c>
      <c r="AE75">
        <v>0</v>
      </c>
      <c r="AF75" t="s">
        <v>22</v>
      </c>
      <c r="AG75">
        <v>2.2000000000000002E-2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ROW(Source!A58)</f>
        <v>58</v>
      </c>
      <c r="B76">
        <v>56616601</v>
      </c>
      <c r="C76">
        <v>56616585</v>
      </c>
      <c r="D76">
        <v>47767216</v>
      </c>
      <c r="E76">
        <v>1</v>
      </c>
      <c r="F76">
        <v>1</v>
      </c>
      <c r="G76">
        <v>27786564</v>
      </c>
      <c r="H76">
        <v>2</v>
      </c>
      <c r="I76" t="s">
        <v>531</v>
      </c>
      <c r="J76" t="s">
        <v>532</v>
      </c>
      <c r="K76" t="s">
        <v>533</v>
      </c>
      <c r="L76">
        <v>1368</v>
      </c>
      <c r="N76">
        <v>1011</v>
      </c>
      <c r="O76" t="s">
        <v>445</v>
      </c>
      <c r="P76" t="s">
        <v>445</v>
      </c>
      <c r="Q76">
        <v>1</v>
      </c>
      <c r="X76">
        <v>3</v>
      </c>
      <c r="Y76">
        <v>0</v>
      </c>
      <c r="Z76">
        <v>0.8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22</v>
      </c>
      <c r="AG76">
        <v>3.3000000000000003</v>
      </c>
      <c r="AH76">
        <v>3</v>
      </c>
      <c r="AI76">
        <v>-1</v>
      </c>
      <c r="AJ76" t="s">
        <v>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ROW(Source!A58)</f>
        <v>58</v>
      </c>
      <c r="B77">
        <v>56616600</v>
      </c>
      <c r="C77">
        <v>56616585</v>
      </c>
      <c r="D77">
        <v>47766454</v>
      </c>
      <c r="E77">
        <v>1</v>
      </c>
      <c r="F77">
        <v>1</v>
      </c>
      <c r="G77">
        <v>27786564</v>
      </c>
      <c r="H77">
        <v>2</v>
      </c>
      <c r="I77" t="s">
        <v>464</v>
      </c>
      <c r="J77" t="s">
        <v>465</v>
      </c>
      <c r="K77" t="s">
        <v>466</v>
      </c>
      <c r="L77">
        <v>1368</v>
      </c>
      <c r="N77">
        <v>1011</v>
      </c>
      <c r="O77" t="s">
        <v>445</v>
      </c>
      <c r="P77" t="s">
        <v>445</v>
      </c>
      <c r="Q77">
        <v>1</v>
      </c>
      <c r="X77">
        <v>0.02</v>
      </c>
      <c r="Y77">
        <v>0</v>
      </c>
      <c r="Z77">
        <v>179.17</v>
      </c>
      <c r="AA77">
        <v>16.93</v>
      </c>
      <c r="AB77">
        <v>0</v>
      </c>
      <c r="AC77">
        <v>0</v>
      </c>
      <c r="AD77">
        <v>1</v>
      </c>
      <c r="AE77">
        <v>0</v>
      </c>
      <c r="AF77" t="s">
        <v>22</v>
      </c>
      <c r="AG77">
        <v>2.2000000000000002E-2</v>
      </c>
      <c r="AH77">
        <v>3</v>
      </c>
      <c r="AI77">
        <v>-1</v>
      </c>
      <c r="AJ77" t="s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ROW(Source!A58)</f>
        <v>58</v>
      </c>
      <c r="B78">
        <v>56616602</v>
      </c>
      <c r="C78">
        <v>56616585</v>
      </c>
      <c r="D78">
        <v>30390462</v>
      </c>
      <c r="E78">
        <v>1</v>
      </c>
      <c r="F78">
        <v>1</v>
      </c>
      <c r="G78">
        <v>27786564</v>
      </c>
      <c r="H78">
        <v>3</v>
      </c>
      <c r="I78" t="s">
        <v>534</v>
      </c>
      <c r="J78" t="s">
        <v>535</v>
      </c>
      <c r="K78" t="s">
        <v>536</v>
      </c>
      <c r="L78">
        <v>1346</v>
      </c>
      <c r="N78">
        <v>1009</v>
      </c>
      <c r="O78" t="s">
        <v>104</v>
      </c>
      <c r="P78" t="s">
        <v>104</v>
      </c>
      <c r="Q78">
        <v>1</v>
      </c>
      <c r="X78">
        <v>0.8</v>
      </c>
      <c r="Y78">
        <v>1.61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3</v>
      </c>
      <c r="AG78">
        <v>0.8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ROW(Source!A58)</f>
        <v>58</v>
      </c>
      <c r="B79">
        <v>56616603</v>
      </c>
      <c r="C79">
        <v>56616585</v>
      </c>
      <c r="D79">
        <v>46723638</v>
      </c>
      <c r="E79">
        <v>1</v>
      </c>
      <c r="F79">
        <v>1</v>
      </c>
      <c r="G79">
        <v>27786564</v>
      </c>
      <c r="H79">
        <v>3</v>
      </c>
      <c r="I79" t="s">
        <v>480</v>
      </c>
      <c r="J79" t="s">
        <v>481</v>
      </c>
      <c r="K79" t="s">
        <v>482</v>
      </c>
      <c r="L79">
        <v>1327</v>
      </c>
      <c r="N79">
        <v>1005</v>
      </c>
      <c r="O79" t="s">
        <v>483</v>
      </c>
      <c r="P79" t="s">
        <v>483</v>
      </c>
      <c r="Q79">
        <v>1</v>
      </c>
      <c r="X79">
        <v>140</v>
      </c>
      <c r="Y79">
        <v>3.66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3</v>
      </c>
      <c r="AG79">
        <v>140</v>
      </c>
      <c r="AH79">
        <v>2</v>
      </c>
      <c r="AI79">
        <v>56616591</v>
      </c>
      <c r="AJ79">
        <v>71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ROW(Source!A58)</f>
        <v>58</v>
      </c>
      <c r="B80">
        <v>56616604</v>
      </c>
      <c r="C80">
        <v>56616585</v>
      </c>
      <c r="D80">
        <v>46723721</v>
      </c>
      <c r="E80">
        <v>1</v>
      </c>
      <c r="F80">
        <v>1</v>
      </c>
      <c r="G80">
        <v>27786564</v>
      </c>
      <c r="H80">
        <v>3</v>
      </c>
      <c r="I80" t="s">
        <v>484</v>
      </c>
      <c r="J80" t="s">
        <v>485</v>
      </c>
      <c r="K80" t="s">
        <v>486</v>
      </c>
      <c r="L80">
        <v>1348</v>
      </c>
      <c r="N80">
        <v>1009</v>
      </c>
      <c r="O80" t="s">
        <v>367</v>
      </c>
      <c r="P80" t="s">
        <v>367</v>
      </c>
      <c r="Q80">
        <v>1000</v>
      </c>
      <c r="X80">
        <v>2.0000000000000001E-4</v>
      </c>
      <c r="Y80">
        <v>13609.41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3</v>
      </c>
      <c r="AG80">
        <v>2.0000000000000001E-4</v>
      </c>
      <c r="AH80">
        <v>2</v>
      </c>
      <c r="AI80">
        <v>56616592</v>
      </c>
      <c r="AJ80">
        <v>72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ROW(Source!A58)</f>
        <v>58</v>
      </c>
      <c r="B81">
        <v>56616605</v>
      </c>
      <c r="C81">
        <v>56616585</v>
      </c>
      <c r="D81">
        <v>30386407</v>
      </c>
      <c r="E81">
        <v>27786564</v>
      </c>
      <c r="F81">
        <v>1</v>
      </c>
      <c r="G81">
        <v>27786564</v>
      </c>
      <c r="H81">
        <v>3</v>
      </c>
      <c r="I81" t="s">
        <v>537</v>
      </c>
      <c r="J81" t="s">
        <v>3</v>
      </c>
      <c r="K81" t="s">
        <v>538</v>
      </c>
      <c r="L81">
        <v>1348</v>
      </c>
      <c r="N81">
        <v>1009</v>
      </c>
      <c r="O81" t="s">
        <v>367</v>
      </c>
      <c r="P81" t="s">
        <v>367</v>
      </c>
      <c r="Q81">
        <v>1000</v>
      </c>
      <c r="X81">
        <v>0.1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3</v>
      </c>
      <c r="AG81">
        <v>0.1</v>
      </c>
      <c r="AH81">
        <v>3</v>
      </c>
      <c r="AI81">
        <v>-1</v>
      </c>
      <c r="AJ81" t="s">
        <v>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ROW(Source!A59)</f>
        <v>59</v>
      </c>
      <c r="B82">
        <v>56616595</v>
      </c>
      <c r="C82">
        <v>56616585</v>
      </c>
      <c r="D82">
        <v>47634407</v>
      </c>
      <c r="E82">
        <v>27786564</v>
      </c>
      <c r="F82">
        <v>1</v>
      </c>
      <c r="G82">
        <v>27786564</v>
      </c>
      <c r="H82">
        <v>1</v>
      </c>
      <c r="I82" t="s">
        <v>439</v>
      </c>
      <c r="J82" t="s">
        <v>3</v>
      </c>
      <c r="K82" t="s">
        <v>440</v>
      </c>
      <c r="L82">
        <v>1191</v>
      </c>
      <c r="N82">
        <v>1013</v>
      </c>
      <c r="O82" t="s">
        <v>441</v>
      </c>
      <c r="P82" t="s">
        <v>441</v>
      </c>
      <c r="Q82">
        <v>1</v>
      </c>
      <c r="X82">
        <v>135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</v>
      </c>
      <c r="AF82" t="s">
        <v>22</v>
      </c>
      <c r="AG82">
        <v>148.5</v>
      </c>
      <c r="AH82">
        <v>2</v>
      </c>
      <c r="AI82">
        <v>56616594</v>
      </c>
      <c r="AJ82">
        <v>74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ROW(Source!A59)</f>
        <v>59</v>
      </c>
      <c r="B83">
        <v>56616596</v>
      </c>
      <c r="C83">
        <v>56616585</v>
      </c>
      <c r="D83">
        <v>47766844</v>
      </c>
      <c r="E83">
        <v>1</v>
      </c>
      <c r="F83">
        <v>1</v>
      </c>
      <c r="G83">
        <v>27786564</v>
      </c>
      <c r="H83">
        <v>2</v>
      </c>
      <c r="I83" t="s">
        <v>467</v>
      </c>
      <c r="J83" t="s">
        <v>468</v>
      </c>
      <c r="K83" t="s">
        <v>469</v>
      </c>
      <c r="L83">
        <v>1368</v>
      </c>
      <c r="N83">
        <v>1011</v>
      </c>
      <c r="O83" t="s">
        <v>445</v>
      </c>
      <c r="P83" t="s">
        <v>445</v>
      </c>
      <c r="Q83">
        <v>1</v>
      </c>
      <c r="X83">
        <v>8</v>
      </c>
      <c r="Y83">
        <v>0</v>
      </c>
      <c r="Z83">
        <v>24.95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22</v>
      </c>
      <c r="AG83">
        <v>8.8000000000000007</v>
      </c>
      <c r="AH83">
        <v>2</v>
      </c>
      <c r="AI83">
        <v>56616586</v>
      </c>
      <c r="AJ83">
        <v>75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ROW(Source!A59)</f>
        <v>59</v>
      </c>
      <c r="B84">
        <v>56616597</v>
      </c>
      <c r="C84">
        <v>56616585</v>
      </c>
      <c r="D84">
        <v>47766894</v>
      </c>
      <c r="E84">
        <v>1</v>
      </c>
      <c r="F84">
        <v>1</v>
      </c>
      <c r="G84">
        <v>27786564</v>
      </c>
      <c r="H84">
        <v>2</v>
      </c>
      <c r="I84" t="s">
        <v>470</v>
      </c>
      <c r="J84" t="s">
        <v>471</v>
      </c>
      <c r="K84" t="s">
        <v>472</v>
      </c>
      <c r="L84">
        <v>1368</v>
      </c>
      <c r="N84">
        <v>1011</v>
      </c>
      <c r="O84" t="s">
        <v>445</v>
      </c>
      <c r="P84" t="s">
        <v>445</v>
      </c>
      <c r="Q84">
        <v>1</v>
      </c>
      <c r="X84">
        <v>2</v>
      </c>
      <c r="Y84">
        <v>0</v>
      </c>
      <c r="Z84">
        <v>4.6900000000000004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22</v>
      </c>
      <c r="AG84">
        <v>2.2000000000000002</v>
      </c>
      <c r="AH84">
        <v>2</v>
      </c>
      <c r="AI84">
        <v>56616587</v>
      </c>
      <c r="AJ84">
        <v>76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ROW(Source!A59)</f>
        <v>59</v>
      </c>
      <c r="B85">
        <v>56616598</v>
      </c>
      <c r="C85">
        <v>56616585</v>
      </c>
      <c r="D85">
        <v>50545312</v>
      </c>
      <c r="E85">
        <v>1</v>
      </c>
      <c r="F85">
        <v>1</v>
      </c>
      <c r="G85">
        <v>27786564</v>
      </c>
      <c r="H85">
        <v>2</v>
      </c>
      <c r="I85" t="s">
        <v>473</v>
      </c>
      <c r="J85" t="s">
        <v>474</v>
      </c>
      <c r="K85" t="s">
        <v>530</v>
      </c>
      <c r="L85">
        <v>1368</v>
      </c>
      <c r="N85">
        <v>1011</v>
      </c>
      <c r="O85" t="s">
        <v>445</v>
      </c>
      <c r="P85" t="s">
        <v>445</v>
      </c>
      <c r="Q85">
        <v>1</v>
      </c>
      <c r="X85">
        <v>30</v>
      </c>
      <c r="Y85">
        <v>0</v>
      </c>
      <c r="Z85">
        <v>6.1</v>
      </c>
      <c r="AA85">
        <v>0</v>
      </c>
      <c r="AB85">
        <v>0</v>
      </c>
      <c r="AC85">
        <v>0</v>
      </c>
      <c r="AD85">
        <v>1</v>
      </c>
      <c r="AE85">
        <v>0</v>
      </c>
      <c r="AF85" t="s">
        <v>22</v>
      </c>
      <c r="AG85">
        <v>33</v>
      </c>
      <c r="AH85">
        <v>2</v>
      </c>
      <c r="AI85">
        <v>56616588</v>
      </c>
      <c r="AJ85">
        <v>77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ROW(Source!A59)</f>
        <v>59</v>
      </c>
      <c r="B86">
        <v>56616599</v>
      </c>
      <c r="C86">
        <v>56616585</v>
      </c>
      <c r="D86">
        <v>47767106</v>
      </c>
      <c r="E86">
        <v>1</v>
      </c>
      <c r="F86">
        <v>1</v>
      </c>
      <c r="G86">
        <v>27786564</v>
      </c>
      <c r="H86">
        <v>2</v>
      </c>
      <c r="I86" t="s">
        <v>487</v>
      </c>
      <c r="J86" t="s">
        <v>488</v>
      </c>
      <c r="K86" t="s">
        <v>489</v>
      </c>
      <c r="L86">
        <v>1368</v>
      </c>
      <c r="N86">
        <v>1011</v>
      </c>
      <c r="O86" t="s">
        <v>445</v>
      </c>
      <c r="P86" t="s">
        <v>445</v>
      </c>
      <c r="Q86">
        <v>1</v>
      </c>
      <c r="X86">
        <v>0.02</v>
      </c>
      <c r="Y86">
        <v>0</v>
      </c>
      <c r="Z86">
        <v>83.1</v>
      </c>
      <c r="AA86">
        <v>12.62</v>
      </c>
      <c r="AB86">
        <v>0</v>
      </c>
      <c r="AC86">
        <v>0</v>
      </c>
      <c r="AD86">
        <v>1</v>
      </c>
      <c r="AE86">
        <v>0</v>
      </c>
      <c r="AF86" t="s">
        <v>22</v>
      </c>
      <c r="AG86">
        <v>2.2000000000000002E-2</v>
      </c>
      <c r="AH86">
        <v>3</v>
      </c>
      <c r="AI86">
        <v>-1</v>
      </c>
      <c r="AJ86" t="s">
        <v>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ROW(Source!A59)</f>
        <v>59</v>
      </c>
      <c r="B87">
        <v>56616601</v>
      </c>
      <c r="C87">
        <v>56616585</v>
      </c>
      <c r="D87">
        <v>47767216</v>
      </c>
      <c r="E87">
        <v>1</v>
      </c>
      <c r="F87">
        <v>1</v>
      </c>
      <c r="G87">
        <v>27786564</v>
      </c>
      <c r="H87">
        <v>2</v>
      </c>
      <c r="I87" t="s">
        <v>531</v>
      </c>
      <c r="J87" t="s">
        <v>532</v>
      </c>
      <c r="K87" t="s">
        <v>533</v>
      </c>
      <c r="L87">
        <v>1368</v>
      </c>
      <c r="N87">
        <v>1011</v>
      </c>
      <c r="O87" t="s">
        <v>445</v>
      </c>
      <c r="P87" t="s">
        <v>445</v>
      </c>
      <c r="Q87">
        <v>1</v>
      </c>
      <c r="X87">
        <v>3</v>
      </c>
      <c r="Y87">
        <v>0</v>
      </c>
      <c r="Z87">
        <v>0.8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22</v>
      </c>
      <c r="AG87">
        <v>3.3000000000000003</v>
      </c>
      <c r="AH87">
        <v>3</v>
      </c>
      <c r="AI87">
        <v>-1</v>
      </c>
      <c r="AJ87" t="s">
        <v>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ROW(Source!A59)</f>
        <v>59</v>
      </c>
      <c r="B88">
        <v>56616600</v>
      </c>
      <c r="C88">
        <v>56616585</v>
      </c>
      <c r="D88">
        <v>47766454</v>
      </c>
      <c r="E88">
        <v>1</v>
      </c>
      <c r="F88">
        <v>1</v>
      </c>
      <c r="G88">
        <v>27786564</v>
      </c>
      <c r="H88">
        <v>2</v>
      </c>
      <c r="I88" t="s">
        <v>464</v>
      </c>
      <c r="J88" t="s">
        <v>465</v>
      </c>
      <c r="K88" t="s">
        <v>466</v>
      </c>
      <c r="L88">
        <v>1368</v>
      </c>
      <c r="N88">
        <v>1011</v>
      </c>
      <c r="O88" t="s">
        <v>445</v>
      </c>
      <c r="P88" t="s">
        <v>445</v>
      </c>
      <c r="Q88">
        <v>1</v>
      </c>
      <c r="X88">
        <v>0.02</v>
      </c>
      <c r="Y88">
        <v>0</v>
      </c>
      <c r="Z88">
        <v>179.17</v>
      </c>
      <c r="AA88">
        <v>16.93</v>
      </c>
      <c r="AB88">
        <v>0</v>
      </c>
      <c r="AC88">
        <v>0</v>
      </c>
      <c r="AD88">
        <v>1</v>
      </c>
      <c r="AE88">
        <v>0</v>
      </c>
      <c r="AF88" t="s">
        <v>22</v>
      </c>
      <c r="AG88">
        <v>2.2000000000000002E-2</v>
      </c>
      <c r="AH88">
        <v>3</v>
      </c>
      <c r="AI88">
        <v>-1</v>
      </c>
      <c r="AJ88" t="s">
        <v>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ROW(Source!A59)</f>
        <v>59</v>
      </c>
      <c r="B89">
        <v>56616602</v>
      </c>
      <c r="C89">
        <v>56616585</v>
      </c>
      <c r="D89">
        <v>30390462</v>
      </c>
      <c r="E89">
        <v>1</v>
      </c>
      <c r="F89">
        <v>1</v>
      </c>
      <c r="G89">
        <v>27786564</v>
      </c>
      <c r="H89">
        <v>3</v>
      </c>
      <c r="I89" t="s">
        <v>534</v>
      </c>
      <c r="J89" t="s">
        <v>535</v>
      </c>
      <c r="K89" t="s">
        <v>536</v>
      </c>
      <c r="L89">
        <v>1346</v>
      </c>
      <c r="N89">
        <v>1009</v>
      </c>
      <c r="O89" t="s">
        <v>104</v>
      </c>
      <c r="P89" t="s">
        <v>104</v>
      </c>
      <c r="Q89">
        <v>1</v>
      </c>
      <c r="X89">
        <v>0.8</v>
      </c>
      <c r="Y89">
        <v>1.61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 t="s">
        <v>3</v>
      </c>
      <c r="AG89">
        <v>0.8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ROW(Source!A59)</f>
        <v>59</v>
      </c>
      <c r="B90">
        <v>56616603</v>
      </c>
      <c r="C90">
        <v>56616585</v>
      </c>
      <c r="D90">
        <v>46723638</v>
      </c>
      <c r="E90">
        <v>1</v>
      </c>
      <c r="F90">
        <v>1</v>
      </c>
      <c r="G90">
        <v>27786564</v>
      </c>
      <c r="H90">
        <v>3</v>
      </c>
      <c r="I90" t="s">
        <v>480</v>
      </c>
      <c r="J90" t="s">
        <v>481</v>
      </c>
      <c r="K90" t="s">
        <v>482</v>
      </c>
      <c r="L90">
        <v>1327</v>
      </c>
      <c r="N90">
        <v>1005</v>
      </c>
      <c r="O90" t="s">
        <v>483</v>
      </c>
      <c r="P90" t="s">
        <v>483</v>
      </c>
      <c r="Q90">
        <v>1</v>
      </c>
      <c r="X90">
        <v>140</v>
      </c>
      <c r="Y90">
        <v>3.66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3</v>
      </c>
      <c r="AG90">
        <v>140</v>
      </c>
      <c r="AH90">
        <v>2</v>
      </c>
      <c r="AI90">
        <v>56616591</v>
      </c>
      <c r="AJ90">
        <v>80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ROW(Source!A59)</f>
        <v>59</v>
      </c>
      <c r="B91">
        <v>56616604</v>
      </c>
      <c r="C91">
        <v>56616585</v>
      </c>
      <c r="D91">
        <v>46723721</v>
      </c>
      <c r="E91">
        <v>1</v>
      </c>
      <c r="F91">
        <v>1</v>
      </c>
      <c r="G91">
        <v>27786564</v>
      </c>
      <c r="H91">
        <v>3</v>
      </c>
      <c r="I91" t="s">
        <v>484</v>
      </c>
      <c r="J91" t="s">
        <v>485</v>
      </c>
      <c r="K91" t="s">
        <v>486</v>
      </c>
      <c r="L91">
        <v>1348</v>
      </c>
      <c r="N91">
        <v>1009</v>
      </c>
      <c r="O91" t="s">
        <v>367</v>
      </c>
      <c r="P91" t="s">
        <v>367</v>
      </c>
      <c r="Q91">
        <v>1000</v>
      </c>
      <c r="X91">
        <v>2.0000000000000001E-4</v>
      </c>
      <c r="Y91">
        <v>13609.41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3</v>
      </c>
      <c r="AG91">
        <v>2.0000000000000001E-4</v>
      </c>
      <c r="AH91">
        <v>2</v>
      </c>
      <c r="AI91">
        <v>56616592</v>
      </c>
      <c r="AJ91">
        <v>81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ROW(Source!A59)</f>
        <v>59</v>
      </c>
      <c r="B92">
        <v>56616605</v>
      </c>
      <c r="C92">
        <v>56616585</v>
      </c>
      <c r="D92">
        <v>30386407</v>
      </c>
      <c r="E92">
        <v>27786564</v>
      </c>
      <c r="F92">
        <v>1</v>
      </c>
      <c r="G92">
        <v>27786564</v>
      </c>
      <c r="H92">
        <v>3</v>
      </c>
      <c r="I92" t="s">
        <v>537</v>
      </c>
      <c r="J92" t="s">
        <v>3</v>
      </c>
      <c r="K92" t="s">
        <v>538</v>
      </c>
      <c r="L92">
        <v>1348</v>
      </c>
      <c r="N92">
        <v>1009</v>
      </c>
      <c r="O92" t="s">
        <v>367</v>
      </c>
      <c r="P92" t="s">
        <v>367</v>
      </c>
      <c r="Q92">
        <v>1000</v>
      </c>
      <c r="X92">
        <v>0.1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3</v>
      </c>
      <c r="AG92">
        <v>0.1</v>
      </c>
      <c r="AH92">
        <v>3</v>
      </c>
      <c r="AI92">
        <v>-1</v>
      </c>
      <c r="AJ92" t="s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ROW(Source!A97)</f>
        <v>97</v>
      </c>
      <c r="B93">
        <v>56616609</v>
      </c>
      <c r="C93">
        <v>56616607</v>
      </c>
      <c r="D93">
        <v>47634407</v>
      </c>
      <c r="E93">
        <v>27786564</v>
      </c>
      <c r="F93">
        <v>1</v>
      </c>
      <c r="G93">
        <v>27786564</v>
      </c>
      <c r="H93">
        <v>1</v>
      </c>
      <c r="I93" t="s">
        <v>439</v>
      </c>
      <c r="J93" t="s">
        <v>3</v>
      </c>
      <c r="K93" t="s">
        <v>440</v>
      </c>
      <c r="L93">
        <v>1191</v>
      </c>
      <c r="N93">
        <v>1013</v>
      </c>
      <c r="O93" t="s">
        <v>441</v>
      </c>
      <c r="P93" t="s">
        <v>441</v>
      </c>
      <c r="Q93">
        <v>1</v>
      </c>
      <c r="X93">
        <v>6.08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 t="s">
        <v>22</v>
      </c>
      <c r="AG93">
        <v>6.6880000000000006</v>
      </c>
      <c r="AH93">
        <v>2</v>
      </c>
      <c r="AI93">
        <v>56616608</v>
      </c>
      <c r="AJ93">
        <v>83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ROW(Source!A97)</f>
        <v>97</v>
      </c>
      <c r="B94">
        <v>56616610</v>
      </c>
      <c r="C94">
        <v>56616607</v>
      </c>
      <c r="D94">
        <v>47767106</v>
      </c>
      <c r="E94">
        <v>1</v>
      </c>
      <c r="F94">
        <v>1</v>
      </c>
      <c r="G94">
        <v>27786564</v>
      </c>
      <c r="H94">
        <v>2</v>
      </c>
      <c r="I94" t="s">
        <v>487</v>
      </c>
      <c r="J94" t="s">
        <v>488</v>
      </c>
      <c r="K94" t="s">
        <v>489</v>
      </c>
      <c r="L94">
        <v>1368</v>
      </c>
      <c r="N94">
        <v>1011</v>
      </c>
      <c r="O94" t="s">
        <v>445</v>
      </c>
      <c r="P94" t="s">
        <v>445</v>
      </c>
      <c r="Q94">
        <v>1</v>
      </c>
      <c r="X94">
        <v>4.57</v>
      </c>
      <c r="Y94">
        <v>0</v>
      </c>
      <c r="Z94">
        <v>83.1</v>
      </c>
      <c r="AA94">
        <v>12.62</v>
      </c>
      <c r="AB94">
        <v>0</v>
      </c>
      <c r="AC94">
        <v>0</v>
      </c>
      <c r="AD94">
        <v>1</v>
      </c>
      <c r="AE94">
        <v>0</v>
      </c>
      <c r="AF94" t="s">
        <v>22</v>
      </c>
      <c r="AG94">
        <v>5.027000000000001</v>
      </c>
      <c r="AH94">
        <v>3</v>
      </c>
      <c r="AI94">
        <v>-1</v>
      </c>
      <c r="AJ94" t="s">
        <v>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ROW(Source!A97)</f>
        <v>97</v>
      </c>
      <c r="B95">
        <v>56616611</v>
      </c>
      <c r="C95">
        <v>56616607</v>
      </c>
      <c r="D95">
        <v>30384156</v>
      </c>
      <c r="E95">
        <v>27786564</v>
      </c>
      <c r="F95">
        <v>1</v>
      </c>
      <c r="G95">
        <v>27786564</v>
      </c>
      <c r="H95">
        <v>3</v>
      </c>
      <c r="I95" t="s">
        <v>539</v>
      </c>
      <c r="J95" t="s">
        <v>3</v>
      </c>
      <c r="K95" t="s">
        <v>540</v>
      </c>
      <c r="L95">
        <v>1339</v>
      </c>
      <c r="N95">
        <v>1007</v>
      </c>
      <c r="O95" t="s">
        <v>93</v>
      </c>
      <c r="P95" t="s">
        <v>93</v>
      </c>
      <c r="Q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3</v>
      </c>
      <c r="AG95">
        <v>0</v>
      </c>
      <c r="AH95">
        <v>3</v>
      </c>
      <c r="AI95">
        <v>-1</v>
      </c>
      <c r="AJ95" t="s">
        <v>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ROW(Source!A98)</f>
        <v>98</v>
      </c>
      <c r="B96">
        <v>56616609</v>
      </c>
      <c r="C96">
        <v>56616607</v>
      </c>
      <c r="D96">
        <v>47634407</v>
      </c>
      <c r="E96">
        <v>27786564</v>
      </c>
      <c r="F96">
        <v>1</v>
      </c>
      <c r="G96">
        <v>27786564</v>
      </c>
      <c r="H96">
        <v>1</v>
      </c>
      <c r="I96" t="s">
        <v>439</v>
      </c>
      <c r="J96" t="s">
        <v>3</v>
      </c>
      <c r="K96" t="s">
        <v>440</v>
      </c>
      <c r="L96">
        <v>1191</v>
      </c>
      <c r="N96">
        <v>1013</v>
      </c>
      <c r="O96" t="s">
        <v>441</v>
      </c>
      <c r="P96" t="s">
        <v>441</v>
      </c>
      <c r="Q96">
        <v>1</v>
      </c>
      <c r="X96">
        <v>6.08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 t="s">
        <v>22</v>
      </c>
      <c r="AG96">
        <v>6.6880000000000006</v>
      </c>
      <c r="AH96">
        <v>2</v>
      </c>
      <c r="AI96">
        <v>56616608</v>
      </c>
      <c r="AJ96">
        <v>84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ROW(Source!A98)</f>
        <v>98</v>
      </c>
      <c r="B97">
        <v>56616610</v>
      </c>
      <c r="C97">
        <v>56616607</v>
      </c>
      <c r="D97">
        <v>47767106</v>
      </c>
      <c r="E97">
        <v>1</v>
      </c>
      <c r="F97">
        <v>1</v>
      </c>
      <c r="G97">
        <v>27786564</v>
      </c>
      <c r="H97">
        <v>2</v>
      </c>
      <c r="I97" t="s">
        <v>487</v>
      </c>
      <c r="J97" t="s">
        <v>488</v>
      </c>
      <c r="K97" t="s">
        <v>489</v>
      </c>
      <c r="L97">
        <v>1368</v>
      </c>
      <c r="N97">
        <v>1011</v>
      </c>
      <c r="O97" t="s">
        <v>445</v>
      </c>
      <c r="P97" t="s">
        <v>445</v>
      </c>
      <c r="Q97">
        <v>1</v>
      </c>
      <c r="X97">
        <v>4.57</v>
      </c>
      <c r="Y97">
        <v>0</v>
      </c>
      <c r="Z97">
        <v>83.1</v>
      </c>
      <c r="AA97">
        <v>12.62</v>
      </c>
      <c r="AB97">
        <v>0</v>
      </c>
      <c r="AC97">
        <v>0</v>
      </c>
      <c r="AD97">
        <v>1</v>
      </c>
      <c r="AE97">
        <v>0</v>
      </c>
      <c r="AF97" t="s">
        <v>22</v>
      </c>
      <c r="AG97">
        <v>5.027000000000001</v>
      </c>
      <c r="AH97">
        <v>3</v>
      </c>
      <c r="AI97">
        <v>-1</v>
      </c>
      <c r="AJ97" t="s">
        <v>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ROW(Source!A98)</f>
        <v>98</v>
      </c>
      <c r="B98">
        <v>56616611</v>
      </c>
      <c r="C98">
        <v>56616607</v>
      </c>
      <c r="D98">
        <v>30384156</v>
      </c>
      <c r="E98">
        <v>27786564</v>
      </c>
      <c r="F98">
        <v>1</v>
      </c>
      <c r="G98">
        <v>27786564</v>
      </c>
      <c r="H98">
        <v>3</v>
      </c>
      <c r="I98" t="s">
        <v>539</v>
      </c>
      <c r="J98" t="s">
        <v>3</v>
      </c>
      <c r="K98" t="s">
        <v>540</v>
      </c>
      <c r="L98">
        <v>1339</v>
      </c>
      <c r="N98">
        <v>1007</v>
      </c>
      <c r="O98" t="s">
        <v>93</v>
      </c>
      <c r="P98" t="s">
        <v>93</v>
      </c>
      <c r="Q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3</v>
      </c>
      <c r="AG98">
        <v>0</v>
      </c>
      <c r="AH98">
        <v>3</v>
      </c>
      <c r="AI98">
        <v>-1</v>
      </c>
      <c r="AJ98" t="s">
        <v>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ROW(Source!A99)</f>
        <v>99</v>
      </c>
      <c r="B99">
        <v>56616614</v>
      </c>
      <c r="C99">
        <v>56616612</v>
      </c>
      <c r="D99">
        <v>47634407</v>
      </c>
      <c r="E99">
        <v>27786564</v>
      </c>
      <c r="F99">
        <v>1</v>
      </c>
      <c r="G99">
        <v>27786564</v>
      </c>
      <c r="H99">
        <v>1</v>
      </c>
      <c r="I99" t="s">
        <v>439</v>
      </c>
      <c r="J99" t="s">
        <v>3</v>
      </c>
      <c r="K99" t="s">
        <v>440</v>
      </c>
      <c r="L99">
        <v>1191</v>
      </c>
      <c r="N99">
        <v>1013</v>
      </c>
      <c r="O99" t="s">
        <v>441</v>
      </c>
      <c r="P99" t="s">
        <v>441</v>
      </c>
      <c r="Q99">
        <v>1</v>
      </c>
      <c r="X99">
        <v>6.08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 t="s">
        <v>22</v>
      </c>
      <c r="AG99">
        <v>6.6880000000000006</v>
      </c>
      <c r="AH99">
        <v>2</v>
      </c>
      <c r="AI99">
        <v>56616613</v>
      </c>
      <c r="AJ99">
        <v>85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ROW(Source!A99)</f>
        <v>99</v>
      </c>
      <c r="B100">
        <v>56616615</v>
      </c>
      <c r="C100">
        <v>56616612</v>
      </c>
      <c r="D100">
        <v>47767106</v>
      </c>
      <c r="E100">
        <v>1</v>
      </c>
      <c r="F100">
        <v>1</v>
      </c>
      <c r="G100">
        <v>27786564</v>
      </c>
      <c r="H100">
        <v>2</v>
      </c>
      <c r="I100" t="s">
        <v>487</v>
      </c>
      <c r="J100" t="s">
        <v>488</v>
      </c>
      <c r="K100" t="s">
        <v>489</v>
      </c>
      <c r="L100">
        <v>1368</v>
      </c>
      <c r="N100">
        <v>1011</v>
      </c>
      <c r="O100" t="s">
        <v>445</v>
      </c>
      <c r="P100" t="s">
        <v>445</v>
      </c>
      <c r="Q100">
        <v>1</v>
      </c>
      <c r="X100">
        <v>4.57</v>
      </c>
      <c r="Y100">
        <v>0</v>
      </c>
      <c r="Z100">
        <v>83.1</v>
      </c>
      <c r="AA100">
        <v>12.62</v>
      </c>
      <c r="AB100">
        <v>0</v>
      </c>
      <c r="AC100">
        <v>0</v>
      </c>
      <c r="AD100">
        <v>1</v>
      </c>
      <c r="AE100">
        <v>0</v>
      </c>
      <c r="AF100" t="s">
        <v>22</v>
      </c>
      <c r="AG100">
        <v>5.027000000000001</v>
      </c>
      <c r="AH100">
        <v>3</v>
      </c>
      <c r="AI100">
        <v>-1</v>
      </c>
      <c r="AJ100" t="s">
        <v>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ROW(Source!A99)</f>
        <v>99</v>
      </c>
      <c r="B101">
        <v>56616616</v>
      </c>
      <c r="C101">
        <v>56616612</v>
      </c>
      <c r="D101">
        <v>30384156</v>
      </c>
      <c r="E101">
        <v>27786564</v>
      </c>
      <c r="F101">
        <v>1</v>
      </c>
      <c r="G101">
        <v>27786564</v>
      </c>
      <c r="H101">
        <v>3</v>
      </c>
      <c r="I101" t="s">
        <v>539</v>
      </c>
      <c r="J101" t="s">
        <v>3</v>
      </c>
      <c r="K101" t="s">
        <v>540</v>
      </c>
      <c r="L101">
        <v>1339</v>
      </c>
      <c r="N101">
        <v>1007</v>
      </c>
      <c r="O101" t="s">
        <v>93</v>
      </c>
      <c r="P101" t="s">
        <v>93</v>
      </c>
      <c r="Q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 t="s">
        <v>3</v>
      </c>
      <c r="AG101">
        <v>0</v>
      </c>
      <c r="AH101">
        <v>3</v>
      </c>
      <c r="AI101">
        <v>-1</v>
      </c>
      <c r="AJ101" t="s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ROW(Source!A100)</f>
        <v>100</v>
      </c>
      <c r="B102">
        <v>56616614</v>
      </c>
      <c r="C102">
        <v>56616612</v>
      </c>
      <c r="D102">
        <v>47634407</v>
      </c>
      <c r="E102">
        <v>27786564</v>
      </c>
      <c r="F102">
        <v>1</v>
      </c>
      <c r="G102">
        <v>27786564</v>
      </c>
      <c r="H102">
        <v>1</v>
      </c>
      <c r="I102" t="s">
        <v>439</v>
      </c>
      <c r="J102" t="s">
        <v>3</v>
      </c>
      <c r="K102" t="s">
        <v>440</v>
      </c>
      <c r="L102">
        <v>1191</v>
      </c>
      <c r="N102">
        <v>1013</v>
      </c>
      <c r="O102" t="s">
        <v>441</v>
      </c>
      <c r="P102" t="s">
        <v>441</v>
      </c>
      <c r="Q102">
        <v>1</v>
      </c>
      <c r="X102">
        <v>6.08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1</v>
      </c>
      <c r="AF102" t="s">
        <v>22</v>
      </c>
      <c r="AG102">
        <v>6.6880000000000006</v>
      </c>
      <c r="AH102">
        <v>2</v>
      </c>
      <c r="AI102">
        <v>56616613</v>
      </c>
      <c r="AJ102">
        <v>86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ROW(Source!A100)</f>
        <v>100</v>
      </c>
      <c r="B103">
        <v>56616615</v>
      </c>
      <c r="C103">
        <v>56616612</v>
      </c>
      <c r="D103">
        <v>47767106</v>
      </c>
      <c r="E103">
        <v>1</v>
      </c>
      <c r="F103">
        <v>1</v>
      </c>
      <c r="G103">
        <v>27786564</v>
      </c>
      <c r="H103">
        <v>2</v>
      </c>
      <c r="I103" t="s">
        <v>487</v>
      </c>
      <c r="J103" t="s">
        <v>488</v>
      </c>
      <c r="K103" t="s">
        <v>489</v>
      </c>
      <c r="L103">
        <v>1368</v>
      </c>
      <c r="N103">
        <v>1011</v>
      </c>
      <c r="O103" t="s">
        <v>445</v>
      </c>
      <c r="P103" t="s">
        <v>445</v>
      </c>
      <c r="Q103">
        <v>1</v>
      </c>
      <c r="X103">
        <v>4.57</v>
      </c>
      <c r="Y103">
        <v>0</v>
      </c>
      <c r="Z103">
        <v>83.1</v>
      </c>
      <c r="AA103">
        <v>12.62</v>
      </c>
      <c r="AB103">
        <v>0</v>
      </c>
      <c r="AC103">
        <v>0</v>
      </c>
      <c r="AD103">
        <v>1</v>
      </c>
      <c r="AE103">
        <v>0</v>
      </c>
      <c r="AF103" t="s">
        <v>22</v>
      </c>
      <c r="AG103">
        <v>5.027000000000001</v>
      </c>
      <c r="AH103">
        <v>3</v>
      </c>
      <c r="AI103">
        <v>-1</v>
      </c>
      <c r="AJ103" t="s">
        <v>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ROW(Source!A100)</f>
        <v>100</v>
      </c>
      <c r="B104">
        <v>56616616</v>
      </c>
      <c r="C104">
        <v>56616612</v>
      </c>
      <c r="D104">
        <v>30384156</v>
      </c>
      <c r="E104">
        <v>27786564</v>
      </c>
      <c r="F104">
        <v>1</v>
      </c>
      <c r="G104">
        <v>27786564</v>
      </c>
      <c r="H104">
        <v>3</v>
      </c>
      <c r="I104" t="s">
        <v>539</v>
      </c>
      <c r="J104" t="s">
        <v>3</v>
      </c>
      <c r="K104" t="s">
        <v>540</v>
      </c>
      <c r="L104">
        <v>1339</v>
      </c>
      <c r="N104">
        <v>1007</v>
      </c>
      <c r="O104" t="s">
        <v>93</v>
      </c>
      <c r="P104" t="s">
        <v>93</v>
      </c>
      <c r="Q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3</v>
      </c>
      <c r="AG104">
        <v>0</v>
      </c>
      <c r="AH104">
        <v>3</v>
      </c>
      <c r="AI104">
        <v>-1</v>
      </c>
      <c r="AJ104" t="s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ROW(Source!A101)</f>
        <v>101</v>
      </c>
      <c r="B105">
        <v>56616619</v>
      </c>
      <c r="C105">
        <v>56616617</v>
      </c>
      <c r="D105">
        <v>47634407</v>
      </c>
      <c r="E105">
        <v>27786564</v>
      </c>
      <c r="F105">
        <v>1</v>
      </c>
      <c r="G105">
        <v>27786564</v>
      </c>
      <c r="H105">
        <v>1</v>
      </c>
      <c r="I105" t="s">
        <v>439</v>
      </c>
      <c r="J105" t="s">
        <v>3</v>
      </c>
      <c r="K105" t="s">
        <v>440</v>
      </c>
      <c r="L105">
        <v>1191</v>
      </c>
      <c r="N105">
        <v>1013</v>
      </c>
      <c r="O105" t="s">
        <v>441</v>
      </c>
      <c r="P105" t="s">
        <v>441</v>
      </c>
      <c r="Q105">
        <v>1</v>
      </c>
      <c r="X105">
        <v>2.2799999999999998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 t="s">
        <v>22</v>
      </c>
      <c r="AG105">
        <v>2.508</v>
      </c>
      <c r="AH105">
        <v>2</v>
      </c>
      <c r="AI105">
        <v>56616618</v>
      </c>
      <c r="AJ105">
        <v>87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ROW(Source!A101)</f>
        <v>101</v>
      </c>
      <c r="B106">
        <v>56616620</v>
      </c>
      <c r="C106">
        <v>56616617</v>
      </c>
      <c r="D106">
        <v>47767106</v>
      </c>
      <c r="E106">
        <v>1</v>
      </c>
      <c r="F106">
        <v>1</v>
      </c>
      <c r="G106">
        <v>27786564</v>
      </c>
      <c r="H106">
        <v>2</v>
      </c>
      <c r="I106" t="s">
        <v>487</v>
      </c>
      <c r="J106" t="s">
        <v>488</v>
      </c>
      <c r="K106" t="s">
        <v>489</v>
      </c>
      <c r="L106">
        <v>1368</v>
      </c>
      <c r="N106">
        <v>1011</v>
      </c>
      <c r="O106" t="s">
        <v>445</v>
      </c>
      <c r="P106" t="s">
        <v>445</v>
      </c>
      <c r="Q106">
        <v>1</v>
      </c>
      <c r="X106">
        <v>1.31</v>
      </c>
      <c r="Y106">
        <v>0</v>
      </c>
      <c r="Z106">
        <v>83.1</v>
      </c>
      <c r="AA106">
        <v>12.62</v>
      </c>
      <c r="AB106">
        <v>0</v>
      </c>
      <c r="AC106">
        <v>0</v>
      </c>
      <c r="AD106">
        <v>1</v>
      </c>
      <c r="AE106">
        <v>0</v>
      </c>
      <c r="AF106" t="s">
        <v>22</v>
      </c>
      <c r="AG106">
        <v>1.4410000000000003</v>
      </c>
      <c r="AH106">
        <v>3</v>
      </c>
      <c r="AI106">
        <v>-1</v>
      </c>
      <c r="AJ106" t="s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ROW(Source!A101)</f>
        <v>101</v>
      </c>
      <c r="B107">
        <v>56616621</v>
      </c>
      <c r="C107">
        <v>56616617</v>
      </c>
      <c r="D107">
        <v>30384156</v>
      </c>
      <c r="E107">
        <v>27786564</v>
      </c>
      <c r="F107">
        <v>1</v>
      </c>
      <c r="G107">
        <v>27786564</v>
      </c>
      <c r="H107">
        <v>3</v>
      </c>
      <c r="I107" t="s">
        <v>539</v>
      </c>
      <c r="J107" t="s">
        <v>3</v>
      </c>
      <c r="K107" t="s">
        <v>540</v>
      </c>
      <c r="L107">
        <v>1339</v>
      </c>
      <c r="N107">
        <v>1007</v>
      </c>
      <c r="O107" t="s">
        <v>93</v>
      </c>
      <c r="P107" t="s">
        <v>93</v>
      </c>
      <c r="Q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3</v>
      </c>
      <c r="AG107">
        <v>0</v>
      </c>
      <c r="AH107">
        <v>3</v>
      </c>
      <c r="AI107">
        <v>-1</v>
      </c>
      <c r="AJ107" t="s">
        <v>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ROW(Source!A102)</f>
        <v>102</v>
      </c>
      <c r="B108">
        <v>56616619</v>
      </c>
      <c r="C108">
        <v>56616617</v>
      </c>
      <c r="D108">
        <v>47634407</v>
      </c>
      <c r="E108">
        <v>27786564</v>
      </c>
      <c r="F108">
        <v>1</v>
      </c>
      <c r="G108">
        <v>27786564</v>
      </c>
      <c r="H108">
        <v>1</v>
      </c>
      <c r="I108" t="s">
        <v>439</v>
      </c>
      <c r="J108" t="s">
        <v>3</v>
      </c>
      <c r="K108" t="s">
        <v>440</v>
      </c>
      <c r="L108">
        <v>1191</v>
      </c>
      <c r="N108">
        <v>1013</v>
      </c>
      <c r="O108" t="s">
        <v>441</v>
      </c>
      <c r="P108" t="s">
        <v>441</v>
      </c>
      <c r="Q108">
        <v>1</v>
      </c>
      <c r="X108">
        <v>2.2799999999999998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1</v>
      </c>
      <c r="AF108" t="s">
        <v>22</v>
      </c>
      <c r="AG108">
        <v>2.508</v>
      </c>
      <c r="AH108">
        <v>2</v>
      </c>
      <c r="AI108">
        <v>56616618</v>
      </c>
      <c r="AJ108">
        <v>88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ROW(Source!A102)</f>
        <v>102</v>
      </c>
      <c r="B109">
        <v>56616620</v>
      </c>
      <c r="C109">
        <v>56616617</v>
      </c>
      <c r="D109">
        <v>47767106</v>
      </c>
      <c r="E109">
        <v>1</v>
      </c>
      <c r="F109">
        <v>1</v>
      </c>
      <c r="G109">
        <v>27786564</v>
      </c>
      <c r="H109">
        <v>2</v>
      </c>
      <c r="I109" t="s">
        <v>487</v>
      </c>
      <c r="J109" t="s">
        <v>488</v>
      </c>
      <c r="K109" t="s">
        <v>489</v>
      </c>
      <c r="L109">
        <v>1368</v>
      </c>
      <c r="N109">
        <v>1011</v>
      </c>
      <c r="O109" t="s">
        <v>445</v>
      </c>
      <c r="P109" t="s">
        <v>445</v>
      </c>
      <c r="Q109">
        <v>1</v>
      </c>
      <c r="X109">
        <v>1.31</v>
      </c>
      <c r="Y109">
        <v>0</v>
      </c>
      <c r="Z109">
        <v>83.1</v>
      </c>
      <c r="AA109">
        <v>12.62</v>
      </c>
      <c r="AB109">
        <v>0</v>
      </c>
      <c r="AC109">
        <v>0</v>
      </c>
      <c r="AD109">
        <v>1</v>
      </c>
      <c r="AE109">
        <v>0</v>
      </c>
      <c r="AF109" t="s">
        <v>22</v>
      </c>
      <c r="AG109">
        <v>1.4410000000000003</v>
      </c>
      <c r="AH109">
        <v>3</v>
      </c>
      <c r="AI109">
        <v>-1</v>
      </c>
      <c r="AJ109" t="s">
        <v>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ROW(Source!A102)</f>
        <v>102</v>
      </c>
      <c r="B110">
        <v>56616621</v>
      </c>
      <c r="C110">
        <v>56616617</v>
      </c>
      <c r="D110">
        <v>30384156</v>
      </c>
      <c r="E110">
        <v>27786564</v>
      </c>
      <c r="F110">
        <v>1</v>
      </c>
      <c r="G110">
        <v>27786564</v>
      </c>
      <c r="H110">
        <v>3</v>
      </c>
      <c r="I110" t="s">
        <v>539</v>
      </c>
      <c r="J110" t="s">
        <v>3</v>
      </c>
      <c r="K110" t="s">
        <v>540</v>
      </c>
      <c r="L110">
        <v>1339</v>
      </c>
      <c r="N110">
        <v>1007</v>
      </c>
      <c r="O110" t="s">
        <v>93</v>
      </c>
      <c r="P110" t="s">
        <v>93</v>
      </c>
      <c r="Q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 t="s">
        <v>3</v>
      </c>
      <c r="AG110">
        <v>0</v>
      </c>
      <c r="AH110">
        <v>3</v>
      </c>
      <c r="AI110">
        <v>-1</v>
      </c>
      <c r="AJ110" t="s">
        <v>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ROW(Source!A103)</f>
        <v>103</v>
      </c>
      <c r="B111">
        <v>56616624</v>
      </c>
      <c r="C111">
        <v>56616622</v>
      </c>
      <c r="D111">
        <v>47634407</v>
      </c>
      <c r="E111">
        <v>27786564</v>
      </c>
      <c r="F111">
        <v>1</v>
      </c>
      <c r="G111">
        <v>27786564</v>
      </c>
      <c r="H111">
        <v>1</v>
      </c>
      <c r="I111" t="s">
        <v>439</v>
      </c>
      <c r="J111" t="s">
        <v>3</v>
      </c>
      <c r="K111" t="s">
        <v>440</v>
      </c>
      <c r="L111">
        <v>1191</v>
      </c>
      <c r="N111">
        <v>1013</v>
      </c>
      <c r="O111" t="s">
        <v>441</v>
      </c>
      <c r="P111" t="s">
        <v>441</v>
      </c>
      <c r="Q111">
        <v>1</v>
      </c>
      <c r="X111">
        <v>2.2799999999999998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</v>
      </c>
      <c r="AF111" t="s">
        <v>22</v>
      </c>
      <c r="AG111">
        <v>2.508</v>
      </c>
      <c r="AH111">
        <v>2</v>
      </c>
      <c r="AI111">
        <v>56616623</v>
      </c>
      <c r="AJ111">
        <v>89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ROW(Source!A103)</f>
        <v>103</v>
      </c>
      <c r="B112">
        <v>56616625</v>
      </c>
      <c r="C112">
        <v>56616622</v>
      </c>
      <c r="D112">
        <v>47767106</v>
      </c>
      <c r="E112">
        <v>1</v>
      </c>
      <c r="F112">
        <v>1</v>
      </c>
      <c r="G112">
        <v>27786564</v>
      </c>
      <c r="H112">
        <v>2</v>
      </c>
      <c r="I112" t="s">
        <v>487</v>
      </c>
      <c r="J112" t="s">
        <v>488</v>
      </c>
      <c r="K112" t="s">
        <v>489</v>
      </c>
      <c r="L112">
        <v>1368</v>
      </c>
      <c r="N112">
        <v>1011</v>
      </c>
      <c r="O112" t="s">
        <v>445</v>
      </c>
      <c r="P112" t="s">
        <v>445</v>
      </c>
      <c r="Q112">
        <v>1</v>
      </c>
      <c r="X112">
        <v>1.31</v>
      </c>
      <c r="Y112">
        <v>0</v>
      </c>
      <c r="Z112">
        <v>83.1</v>
      </c>
      <c r="AA112">
        <v>12.62</v>
      </c>
      <c r="AB112">
        <v>0</v>
      </c>
      <c r="AC112">
        <v>0</v>
      </c>
      <c r="AD112">
        <v>1</v>
      </c>
      <c r="AE112">
        <v>0</v>
      </c>
      <c r="AF112" t="s">
        <v>22</v>
      </c>
      <c r="AG112">
        <v>1.4410000000000003</v>
      </c>
      <c r="AH112">
        <v>3</v>
      </c>
      <c r="AI112">
        <v>-1</v>
      </c>
      <c r="AJ112" t="s">
        <v>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ROW(Source!A103)</f>
        <v>103</v>
      </c>
      <c r="B113">
        <v>56616626</v>
      </c>
      <c r="C113">
        <v>56616622</v>
      </c>
      <c r="D113">
        <v>30384156</v>
      </c>
      <c r="E113">
        <v>27786564</v>
      </c>
      <c r="F113">
        <v>1</v>
      </c>
      <c r="G113">
        <v>27786564</v>
      </c>
      <c r="H113">
        <v>3</v>
      </c>
      <c r="I113" t="s">
        <v>539</v>
      </c>
      <c r="J113" t="s">
        <v>3</v>
      </c>
      <c r="K113" t="s">
        <v>540</v>
      </c>
      <c r="L113">
        <v>1339</v>
      </c>
      <c r="N113">
        <v>1007</v>
      </c>
      <c r="O113" t="s">
        <v>93</v>
      </c>
      <c r="P113" t="s">
        <v>93</v>
      </c>
      <c r="Q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 t="s">
        <v>3</v>
      </c>
      <c r="AG113">
        <v>0</v>
      </c>
      <c r="AH113">
        <v>3</v>
      </c>
      <c r="AI113">
        <v>-1</v>
      </c>
      <c r="AJ113" t="s">
        <v>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ROW(Source!A104)</f>
        <v>104</v>
      </c>
      <c r="B114">
        <v>56616624</v>
      </c>
      <c r="C114">
        <v>56616622</v>
      </c>
      <c r="D114">
        <v>47634407</v>
      </c>
      <c r="E114">
        <v>27786564</v>
      </c>
      <c r="F114">
        <v>1</v>
      </c>
      <c r="G114">
        <v>27786564</v>
      </c>
      <c r="H114">
        <v>1</v>
      </c>
      <c r="I114" t="s">
        <v>439</v>
      </c>
      <c r="J114" t="s">
        <v>3</v>
      </c>
      <c r="K114" t="s">
        <v>440</v>
      </c>
      <c r="L114">
        <v>1191</v>
      </c>
      <c r="N114">
        <v>1013</v>
      </c>
      <c r="O114" t="s">
        <v>441</v>
      </c>
      <c r="P114" t="s">
        <v>441</v>
      </c>
      <c r="Q114">
        <v>1</v>
      </c>
      <c r="X114">
        <v>2.2799999999999998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22</v>
      </c>
      <c r="AG114">
        <v>2.508</v>
      </c>
      <c r="AH114">
        <v>2</v>
      </c>
      <c r="AI114">
        <v>56616623</v>
      </c>
      <c r="AJ114">
        <v>90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ROW(Source!A104)</f>
        <v>104</v>
      </c>
      <c r="B115">
        <v>56616625</v>
      </c>
      <c r="C115">
        <v>56616622</v>
      </c>
      <c r="D115">
        <v>47767106</v>
      </c>
      <c r="E115">
        <v>1</v>
      </c>
      <c r="F115">
        <v>1</v>
      </c>
      <c r="G115">
        <v>27786564</v>
      </c>
      <c r="H115">
        <v>2</v>
      </c>
      <c r="I115" t="s">
        <v>487</v>
      </c>
      <c r="J115" t="s">
        <v>488</v>
      </c>
      <c r="K115" t="s">
        <v>489</v>
      </c>
      <c r="L115">
        <v>1368</v>
      </c>
      <c r="N115">
        <v>1011</v>
      </c>
      <c r="O115" t="s">
        <v>445</v>
      </c>
      <c r="P115" t="s">
        <v>445</v>
      </c>
      <c r="Q115">
        <v>1</v>
      </c>
      <c r="X115">
        <v>1.31</v>
      </c>
      <c r="Y115">
        <v>0</v>
      </c>
      <c r="Z115">
        <v>83.1</v>
      </c>
      <c r="AA115">
        <v>12.62</v>
      </c>
      <c r="AB115">
        <v>0</v>
      </c>
      <c r="AC115">
        <v>0</v>
      </c>
      <c r="AD115">
        <v>1</v>
      </c>
      <c r="AE115">
        <v>0</v>
      </c>
      <c r="AF115" t="s">
        <v>22</v>
      </c>
      <c r="AG115">
        <v>1.4410000000000003</v>
      </c>
      <c r="AH115">
        <v>3</v>
      </c>
      <c r="AI115">
        <v>-1</v>
      </c>
      <c r="AJ115" t="s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ROW(Source!A104)</f>
        <v>104</v>
      </c>
      <c r="B116">
        <v>56616626</v>
      </c>
      <c r="C116">
        <v>56616622</v>
      </c>
      <c r="D116">
        <v>30384156</v>
      </c>
      <c r="E116">
        <v>27786564</v>
      </c>
      <c r="F116">
        <v>1</v>
      </c>
      <c r="G116">
        <v>27786564</v>
      </c>
      <c r="H116">
        <v>3</v>
      </c>
      <c r="I116" t="s">
        <v>539</v>
      </c>
      <c r="J116" t="s">
        <v>3</v>
      </c>
      <c r="K116" t="s">
        <v>540</v>
      </c>
      <c r="L116">
        <v>1339</v>
      </c>
      <c r="N116">
        <v>1007</v>
      </c>
      <c r="O116" t="s">
        <v>93</v>
      </c>
      <c r="P116" t="s">
        <v>93</v>
      </c>
      <c r="Q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3</v>
      </c>
      <c r="AG116">
        <v>0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ROW(Source!A105)</f>
        <v>105</v>
      </c>
      <c r="B117">
        <v>56616629</v>
      </c>
      <c r="C117">
        <v>56616627</v>
      </c>
      <c r="D117">
        <v>47634407</v>
      </c>
      <c r="E117">
        <v>27786564</v>
      </c>
      <c r="F117">
        <v>1</v>
      </c>
      <c r="G117">
        <v>27786564</v>
      </c>
      <c r="H117">
        <v>1</v>
      </c>
      <c r="I117" t="s">
        <v>439</v>
      </c>
      <c r="J117" t="s">
        <v>3</v>
      </c>
      <c r="K117" t="s">
        <v>440</v>
      </c>
      <c r="L117">
        <v>1191</v>
      </c>
      <c r="N117">
        <v>1013</v>
      </c>
      <c r="O117" t="s">
        <v>441</v>
      </c>
      <c r="P117" t="s">
        <v>441</v>
      </c>
      <c r="Q117">
        <v>1</v>
      </c>
      <c r="X117">
        <v>11.8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 t="s">
        <v>22</v>
      </c>
      <c r="AG117">
        <v>12.980000000000002</v>
      </c>
      <c r="AH117">
        <v>2</v>
      </c>
      <c r="AI117">
        <v>56616628</v>
      </c>
      <c r="AJ117">
        <v>91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ROW(Source!A105)</f>
        <v>105</v>
      </c>
      <c r="B118">
        <v>56616630</v>
      </c>
      <c r="C118">
        <v>56616627</v>
      </c>
      <c r="D118">
        <v>47767106</v>
      </c>
      <c r="E118">
        <v>1</v>
      </c>
      <c r="F118">
        <v>1</v>
      </c>
      <c r="G118">
        <v>27786564</v>
      </c>
      <c r="H118">
        <v>2</v>
      </c>
      <c r="I118" t="s">
        <v>487</v>
      </c>
      <c r="J118" t="s">
        <v>488</v>
      </c>
      <c r="K118" t="s">
        <v>489</v>
      </c>
      <c r="L118">
        <v>1368</v>
      </c>
      <c r="N118">
        <v>1011</v>
      </c>
      <c r="O118" t="s">
        <v>445</v>
      </c>
      <c r="P118" t="s">
        <v>445</v>
      </c>
      <c r="Q118">
        <v>1</v>
      </c>
      <c r="X118">
        <v>0.51</v>
      </c>
      <c r="Y118">
        <v>0</v>
      </c>
      <c r="Z118">
        <v>83.1</v>
      </c>
      <c r="AA118">
        <v>12.62</v>
      </c>
      <c r="AB118">
        <v>0</v>
      </c>
      <c r="AC118">
        <v>0</v>
      </c>
      <c r="AD118">
        <v>1</v>
      </c>
      <c r="AE118">
        <v>0</v>
      </c>
      <c r="AF118" t="s">
        <v>22</v>
      </c>
      <c r="AG118">
        <v>0.56100000000000005</v>
      </c>
      <c r="AH118">
        <v>3</v>
      </c>
      <c r="AI118">
        <v>-1</v>
      </c>
      <c r="AJ118" t="s">
        <v>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ROW(Source!A105)</f>
        <v>105</v>
      </c>
      <c r="B119">
        <v>56616631</v>
      </c>
      <c r="C119">
        <v>56616627</v>
      </c>
      <c r="D119">
        <v>47766535</v>
      </c>
      <c r="E119">
        <v>1</v>
      </c>
      <c r="F119">
        <v>1</v>
      </c>
      <c r="G119">
        <v>27786564</v>
      </c>
      <c r="H119">
        <v>2</v>
      </c>
      <c r="I119" t="s">
        <v>541</v>
      </c>
      <c r="J119" t="s">
        <v>542</v>
      </c>
      <c r="K119" t="s">
        <v>543</v>
      </c>
      <c r="L119">
        <v>1368</v>
      </c>
      <c r="N119">
        <v>1011</v>
      </c>
      <c r="O119" t="s">
        <v>445</v>
      </c>
      <c r="P119" t="s">
        <v>445</v>
      </c>
      <c r="Q119">
        <v>1</v>
      </c>
      <c r="X119">
        <v>2.77</v>
      </c>
      <c r="Y119">
        <v>0</v>
      </c>
      <c r="Z119">
        <v>2.27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22</v>
      </c>
      <c r="AG119">
        <v>3.0470000000000002</v>
      </c>
      <c r="AH119">
        <v>3</v>
      </c>
      <c r="AI119">
        <v>-1</v>
      </c>
      <c r="AJ119" t="s">
        <v>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ROW(Source!A105)</f>
        <v>105</v>
      </c>
      <c r="B120">
        <v>56616632</v>
      </c>
      <c r="C120">
        <v>56616627</v>
      </c>
      <c r="D120">
        <v>47766545</v>
      </c>
      <c r="E120">
        <v>1</v>
      </c>
      <c r="F120">
        <v>1</v>
      </c>
      <c r="G120">
        <v>27786564</v>
      </c>
      <c r="H120">
        <v>2</v>
      </c>
      <c r="I120" t="s">
        <v>490</v>
      </c>
      <c r="J120" t="s">
        <v>491</v>
      </c>
      <c r="K120" t="s">
        <v>492</v>
      </c>
      <c r="L120">
        <v>1368</v>
      </c>
      <c r="N120">
        <v>1011</v>
      </c>
      <c r="O120" t="s">
        <v>445</v>
      </c>
      <c r="P120" t="s">
        <v>445</v>
      </c>
      <c r="Q120">
        <v>1</v>
      </c>
      <c r="X120">
        <v>2.77</v>
      </c>
      <c r="Y120">
        <v>0</v>
      </c>
      <c r="Z120">
        <v>0.73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22</v>
      </c>
      <c r="AG120">
        <v>3.0470000000000002</v>
      </c>
      <c r="AH120">
        <v>3</v>
      </c>
      <c r="AI120">
        <v>-1</v>
      </c>
      <c r="AJ120" t="s">
        <v>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ROW(Source!A105)</f>
        <v>105</v>
      </c>
      <c r="B121">
        <v>56616633</v>
      </c>
      <c r="C121">
        <v>56616627</v>
      </c>
      <c r="D121">
        <v>32913309</v>
      </c>
      <c r="E121">
        <v>1</v>
      </c>
      <c r="F121">
        <v>1</v>
      </c>
      <c r="G121">
        <v>27786564</v>
      </c>
      <c r="H121">
        <v>3</v>
      </c>
      <c r="I121" t="s">
        <v>544</v>
      </c>
      <c r="J121" t="s">
        <v>545</v>
      </c>
      <c r="K121" t="s">
        <v>546</v>
      </c>
      <c r="L121">
        <v>1348</v>
      </c>
      <c r="N121">
        <v>1009</v>
      </c>
      <c r="O121" t="s">
        <v>367</v>
      </c>
      <c r="P121" t="s">
        <v>367</v>
      </c>
      <c r="Q121">
        <v>1000</v>
      </c>
      <c r="X121">
        <v>1E-3</v>
      </c>
      <c r="Y121">
        <v>7254.88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3</v>
      </c>
      <c r="AG121">
        <v>1E-3</v>
      </c>
      <c r="AH121">
        <v>3</v>
      </c>
      <c r="AI121">
        <v>-1</v>
      </c>
      <c r="AJ121" t="s">
        <v>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ROW(Source!A105)</f>
        <v>105</v>
      </c>
      <c r="B122">
        <v>56616634</v>
      </c>
      <c r="C122">
        <v>56616627</v>
      </c>
      <c r="D122">
        <v>32913337</v>
      </c>
      <c r="E122">
        <v>1</v>
      </c>
      <c r="F122">
        <v>1</v>
      </c>
      <c r="G122">
        <v>27786564</v>
      </c>
      <c r="H122">
        <v>3</v>
      </c>
      <c r="I122" t="s">
        <v>547</v>
      </c>
      <c r="J122" t="s">
        <v>548</v>
      </c>
      <c r="K122" t="s">
        <v>549</v>
      </c>
      <c r="L122">
        <v>1348</v>
      </c>
      <c r="N122">
        <v>1009</v>
      </c>
      <c r="O122" t="s">
        <v>367</v>
      </c>
      <c r="P122" t="s">
        <v>367</v>
      </c>
      <c r="Q122">
        <v>1000</v>
      </c>
      <c r="X122">
        <v>0.01</v>
      </c>
      <c r="Y122">
        <v>9853.14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3</v>
      </c>
      <c r="AG122">
        <v>0.01</v>
      </c>
      <c r="AH122">
        <v>3</v>
      </c>
      <c r="AI122">
        <v>-1</v>
      </c>
      <c r="AJ122" t="s">
        <v>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ROW(Source!A105)</f>
        <v>105</v>
      </c>
      <c r="B123">
        <v>56616635</v>
      </c>
      <c r="C123">
        <v>56616627</v>
      </c>
      <c r="D123">
        <v>46723495</v>
      </c>
      <c r="E123">
        <v>1</v>
      </c>
      <c r="F123">
        <v>1</v>
      </c>
      <c r="G123">
        <v>27786564</v>
      </c>
      <c r="H123">
        <v>3</v>
      </c>
      <c r="I123" t="s">
        <v>550</v>
      </c>
      <c r="J123" t="s">
        <v>551</v>
      </c>
      <c r="K123" t="s">
        <v>552</v>
      </c>
      <c r="L123">
        <v>1348</v>
      </c>
      <c r="N123">
        <v>1009</v>
      </c>
      <c r="O123" t="s">
        <v>367</v>
      </c>
      <c r="P123" t="s">
        <v>367</v>
      </c>
      <c r="Q123">
        <v>1000</v>
      </c>
      <c r="X123">
        <v>2.5000000000000001E-4</v>
      </c>
      <c r="Y123">
        <v>16222.39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3</v>
      </c>
      <c r="AG123">
        <v>2.5000000000000001E-4</v>
      </c>
      <c r="AH123">
        <v>3</v>
      </c>
      <c r="AI123">
        <v>-1</v>
      </c>
      <c r="AJ123" t="s">
        <v>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ROW(Source!A105)</f>
        <v>105</v>
      </c>
      <c r="B124">
        <v>56616636</v>
      </c>
      <c r="C124">
        <v>56616627</v>
      </c>
      <c r="D124">
        <v>46723498</v>
      </c>
      <c r="E124">
        <v>1</v>
      </c>
      <c r="F124">
        <v>1</v>
      </c>
      <c r="G124">
        <v>27786564</v>
      </c>
      <c r="H124">
        <v>3</v>
      </c>
      <c r="I124" t="s">
        <v>496</v>
      </c>
      <c r="J124" t="s">
        <v>497</v>
      </c>
      <c r="K124" t="s">
        <v>498</v>
      </c>
      <c r="L124">
        <v>1348</v>
      </c>
      <c r="N124">
        <v>1009</v>
      </c>
      <c r="O124" t="s">
        <v>367</v>
      </c>
      <c r="P124" t="s">
        <v>367</v>
      </c>
      <c r="Q124">
        <v>1000</v>
      </c>
      <c r="X124">
        <v>6.0000000000000002E-5</v>
      </c>
      <c r="Y124">
        <v>11242.42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3</v>
      </c>
      <c r="AG124">
        <v>6.0000000000000002E-5</v>
      </c>
      <c r="AH124">
        <v>3</v>
      </c>
      <c r="AI124">
        <v>-1</v>
      </c>
      <c r="AJ124" t="s">
        <v>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ROW(Source!A105)</f>
        <v>105</v>
      </c>
      <c r="B125">
        <v>56616637</v>
      </c>
      <c r="C125">
        <v>56616627</v>
      </c>
      <c r="D125">
        <v>45796980</v>
      </c>
      <c r="E125">
        <v>1</v>
      </c>
      <c r="F125">
        <v>1</v>
      </c>
      <c r="G125">
        <v>27786564</v>
      </c>
      <c r="H125">
        <v>3</v>
      </c>
      <c r="I125" t="s">
        <v>499</v>
      </c>
      <c r="J125" t="s">
        <v>500</v>
      </c>
      <c r="K125" t="s">
        <v>501</v>
      </c>
      <c r="L125">
        <v>1346</v>
      </c>
      <c r="N125">
        <v>1009</v>
      </c>
      <c r="O125" t="s">
        <v>104</v>
      </c>
      <c r="P125" t="s">
        <v>104</v>
      </c>
      <c r="Q125">
        <v>1</v>
      </c>
      <c r="X125">
        <v>0.8</v>
      </c>
      <c r="Y125">
        <v>25.8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3</v>
      </c>
      <c r="AG125">
        <v>0.8</v>
      </c>
      <c r="AH125">
        <v>3</v>
      </c>
      <c r="AI125">
        <v>-1</v>
      </c>
      <c r="AJ125" t="s">
        <v>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ROW(Source!A105)</f>
        <v>105</v>
      </c>
      <c r="B126">
        <v>56616638</v>
      </c>
      <c r="C126">
        <v>56616627</v>
      </c>
      <c r="D126">
        <v>46723704</v>
      </c>
      <c r="E126">
        <v>1</v>
      </c>
      <c r="F126">
        <v>1</v>
      </c>
      <c r="G126">
        <v>27786564</v>
      </c>
      <c r="H126">
        <v>3</v>
      </c>
      <c r="I126" t="s">
        <v>505</v>
      </c>
      <c r="J126" t="s">
        <v>506</v>
      </c>
      <c r="K126" t="s">
        <v>507</v>
      </c>
      <c r="L126">
        <v>1348</v>
      </c>
      <c r="N126">
        <v>1009</v>
      </c>
      <c r="O126" t="s">
        <v>367</v>
      </c>
      <c r="P126" t="s">
        <v>367</v>
      </c>
      <c r="Q126">
        <v>1000</v>
      </c>
      <c r="X126">
        <v>4.0000000000000003E-5</v>
      </c>
      <c r="Y126">
        <v>7982.5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3</v>
      </c>
      <c r="AG126">
        <v>4.0000000000000003E-5</v>
      </c>
      <c r="AH126">
        <v>3</v>
      </c>
      <c r="AI126">
        <v>-1</v>
      </c>
      <c r="AJ126" t="s">
        <v>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ROW(Source!A105)</f>
        <v>105</v>
      </c>
      <c r="B127">
        <v>56616639</v>
      </c>
      <c r="C127">
        <v>56616627</v>
      </c>
      <c r="D127">
        <v>46735845</v>
      </c>
      <c r="E127">
        <v>1</v>
      </c>
      <c r="F127">
        <v>1</v>
      </c>
      <c r="G127">
        <v>27786564</v>
      </c>
      <c r="H127">
        <v>3</v>
      </c>
      <c r="I127" t="s">
        <v>508</v>
      </c>
      <c r="J127" t="s">
        <v>553</v>
      </c>
      <c r="K127" t="s">
        <v>510</v>
      </c>
      <c r="L127">
        <v>1356</v>
      </c>
      <c r="N127">
        <v>1010</v>
      </c>
      <c r="O127" t="s">
        <v>511</v>
      </c>
      <c r="P127" t="s">
        <v>511</v>
      </c>
      <c r="Q127">
        <v>1000</v>
      </c>
      <c r="X127">
        <v>4.1000000000000003E-3</v>
      </c>
      <c r="Y127">
        <v>226.68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3</v>
      </c>
      <c r="AG127">
        <v>4.1000000000000003E-3</v>
      </c>
      <c r="AH127">
        <v>3</v>
      </c>
      <c r="AI127">
        <v>-1</v>
      </c>
      <c r="AJ127" t="s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ROW(Source!A105)</f>
        <v>105</v>
      </c>
      <c r="B128">
        <v>56616640</v>
      </c>
      <c r="C128">
        <v>56616627</v>
      </c>
      <c r="D128">
        <v>46735506</v>
      </c>
      <c r="E128">
        <v>1</v>
      </c>
      <c r="F128">
        <v>1</v>
      </c>
      <c r="G128">
        <v>27786564</v>
      </c>
      <c r="H128">
        <v>3</v>
      </c>
      <c r="I128" t="s">
        <v>512</v>
      </c>
      <c r="J128" t="s">
        <v>513</v>
      </c>
      <c r="K128" t="s">
        <v>514</v>
      </c>
      <c r="L128">
        <v>1301</v>
      </c>
      <c r="N128">
        <v>1003</v>
      </c>
      <c r="O128" t="s">
        <v>55</v>
      </c>
      <c r="P128" t="s">
        <v>55</v>
      </c>
      <c r="Q128">
        <v>1</v>
      </c>
      <c r="X128">
        <v>0.96</v>
      </c>
      <c r="Y128">
        <v>0.7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3</v>
      </c>
      <c r="AG128">
        <v>0.96</v>
      </c>
      <c r="AH128">
        <v>3</v>
      </c>
      <c r="AI128">
        <v>-1</v>
      </c>
      <c r="AJ128" t="s">
        <v>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ROW(Source!A105)</f>
        <v>105</v>
      </c>
      <c r="B129">
        <v>56616641</v>
      </c>
      <c r="C129">
        <v>56616627</v>
      </c>
      <c r="D129">
        <v>46735508</v>
      </c>
      <c r="E129">
        <v>1</v>
      </c>
      <c r="F129">
        <v>1</v>
      </c>
      <c r="G129">
        <v>27786564</v>
      </c>
      <c r="H129">
        <v>3</v>
      </c>
      <c r="I129" t="s">
        <v>515</v>
      </c>
      <c r="J129" t="s">
        <v>516</v>
      </c>
      <c r="K129" t="s">
        <v>517</v>
      </c>
      <c r="L129">
        <v>1356</v>
      </c>
      <c r="N129">
        <v>1010</v>
      </c>
      <c r="O129" t="s">
        <v>511</v>
      </c>
      <c r="P129" t="s">
        <v>511</v>
      </c>
      <c r="Q129">
        <v>1000</v>
      </c>
      <c r="X129">
        <v>8.3199999999999993E-3</v>
      </c>
      <c r="Y129">
        <v>6.44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3</v>
      </c>
      <c r="AG129">
        <v>8.3199999999999993E-3</v>
      </c>
      <c r="AH129">
        <v>3</v>
      </c>
      <c r="AI129">
        <v>-1</v>
      </c>
      <c r="AJ129" t="s">
        <v>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ROW(Source!A105)</f>
        <v>105</v>
      </c>
      <c r="B130">
        <v>56616642</v>
      </c>
      <c r="C130">
        <v>56616627</v>
      </c>
      <c r="D130">
        <v>49717618</v>
      </c>
      <c r="E130">
        <v>27786564</v>
      </c>
      <c r="F130">
        <v>1</v>
      </c>
      <c r="G130">
        <v>27786564</v>
      </c>
      <c r="H130">
        <v>3</v>
      </c>
      <c r="I130" t="s">
        <v>554</v>
      </c>
      <c r="J130" t="s">
        <v>3</v>
      </c>
      <c r="K130" t="s">
        <v>555</v>
      </c>
      <c r="L130">
        <v>1303</v>
      </c>
      <c r="N130">
        <v>1003</v>
      </c>
      <c r="O130" t="s">
        <v>556</v>
      </c>
      <c r="P130" t="s">
        <v>556</v>
      </c>
      <c r="Q130">
        <v>1000</v>
      </c>
      <c r="X130">
        <v>0.10199999999999999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3</v>
      </c>
      <c r="AG130">
        <v>0.10199999999999999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ROW(Source!A106)</f>
        <v>106</v>
      </c>
      <c r="B131">
        <v>56616629</v>
      </c>
      <c r="C131">
        <v>56616627</v>
      </c>
      <c r="D131">
        <v>47634407</v>
      </c>
      <c r="E131">
        <v>27786564</v>
      </c>
      <c r="F131">
        <v>1</v>
      </c>
      <c r="G131">
        <v>27786564</v>
      </c>
      <c r="H131">
        <v>1</v>
      </c>
      <c r="I131" t="s">
        <v>439</v>
      </c>
      <c r="J131" t="s">
        <v>3</v>
      </c>
      <c r="K131" t="s">
        <v>440</v>
      </c>
      <c r="L131">
        <v>1191</v>
      </c>
      <c r="N131">
        <v>1013</v>
      </c>
      <c r="O131" t="s">
        <v>441</v>
      </c>
      <c r="P131" t="s">
        <v>441</v>
      </c>
      <c r="Q131">
        <v>1</v>
      </c>
      <c r="X131">
        <v>11.8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1</v>
      </c>
      <c r="AF131" t="s">
        <v>22</v>
      </c>
      <c r="AG131">
        <v>12.980000000000002</v>
      </c>
      <c r="AH131">
        <v>2</v>
      </c>
      <c r="AI131">
        <v>56616628</v>
      </c>
      <c r="AJ131">
        <v>92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ROW(Source!A106)</f>
        <v>106</v>
      </c>
      <c r="B132">
        <v>56616630</v>
      </c>
      <c r="C132">
        <v>56616627</v>
      </c>
      <c r="D132">
        <v>47767106</v>
      </c>
      <c r="E132">
        <v>1</v>
      </c>
      <c r="F132">
        <v>1</v>
      </c>
      <c r="G132">
        <v>27786564</v>
      </c>
      <c r="H132">
        <v>2</v>
      </c>
      <c r="I132" t="s">
        <v>487</v>
      </c>
      <c r="J132" t="s">
        <v>488</v>
      </c>
      <c r="K132" t="s">
        <v>489</v>
      </c>
      <c r="L132">
        <v>1368</v>
      </c>
      <c r="N132">
        <v>1011</v>
      </c>
      <c r="O132" t="s">
        <v>445</v>
      </c>
      <c r="P132" t="s">
        <v>445</v>
      </c>
      <c r="Q132">
        <v>1</v>
      </c>
      <c r="X132">
        <v>0.51</v>
      </c>
      <c r="Y132">
        <v>0</v>
      </c>
      <c r="Z132">
        <v>83.1</v>
      </c>
      <c r="AA132">
        <v>12.62</v>
      </c>
      <c r="AB132">
        <v>0</v>
      </c>
      <c r="AC132">
        <v>0</v>
      </c>
      <c r="AD132">
        <v>1</v>
      </c>
      <c r="AE132">
        <v>0</v>
      </c>
      <c r="AF132" t="s">
        <v>22</v>
      </c>
      <c r="AG132">
        <v>0.56100000000000005</v>
      </c>
      <c r="AH132">
        <v>3</v>
      </c>
      <c r="AI132">
        <v>-1</v>
      </c>
      <c r="AJ132" t="s">
        <v>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ROW(Source!A106)</f>
        <v>106</v>
      </c>
      <c r="B133">
        <v>56616631</v>
      </c>
      <c r="C133">
        <v>56616627</v>
      </c>
      <c r="D133">
        <v>47766535</v>
      </c>
      <c r="E133">
        <v>1</v>
      </c>
      <c r="F133">
        <v>1</v>
      </c>
      <c r="G133">
        <v>27786564</v>
      </c>
      <c r="H133">
        <v>2</v>
      </c>
      <c r="I133" t="s">
        <v>541</v>
      </c>
      <c r="J133" t="s">
        <v>542</v>
      </c>
      <c r="K133" t="s">
        <v>543</v>
      </c>
      <c r="L133">
        <v>1368</v>
      </c>
      <c r="N133">
        <v>1011</v>
      </c>
      <c r="O133" t="s">
        <v>445</v>
      </c>
      <c r="P133" t="s">
        <v>445</v>
      </c>
      <c r="Q133">
        <v>1</v>
      </c>
      <c r="X133">
        <v>2.77</v>
      </c>
      <c r="Y133">
        <v>0</v>
      </c>
      <c r="Z133">
        <v>2.27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22</v>
      </c>
      <c r="AG133">
        <v>3.0470000000000002</v>
      </c>
      <c r="AH133">
        <v>3</v>
      </c>
      <c r="AI133">
        <v>-1</v>
      </c>
      <c r="AJ133" t="s">
        <v>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ROW(Source!A106)</f>
        <v>106</v>
      </c>
      <c r="B134">
        <v>56616632</v>
      </c>
      <c r="C134">
        <v>56616627</v>
      </c>
      <c r="D134">
        <v>47766545</v>
      </c>
      <c r="E134">
        <v>1</v>
      </c>
      <c r="F134">
        <v>1</v>
      </c>
      <c r="G134">
        <v>27786564</v>
      </c>
      <c r="H134">
        <v>2</v>
      </c>
      <c r="I134" t="s">
        <v>490</v>
      </c>
      <c r="J134" t="s">
        <v>491</v>
      </c>
      <c r="K134" t="s">
        <v>492</v>
      </c>
      <c r="L134">
        <v>1368</v>
      </c>
      <c r="N134">
        <v>1011</v>
      </c>
      <c r="O134" t="s">
        <v>445</v>
      </c>
      <c r="P134" t="s">
        <v>445</v>
      </c>
      <c r="Q134">
        <v>1</v>
      </c>
      <c r="X134">
        <v>2.77</v>
      </c>
      <c r="Y134">
        <v>0</v>
      </c>
      <c r="Z134">
        <v>0.73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22</v>
      </c>
      <c r="AG134">
        <v>3.0470000000000002</v>
      </c>
      <c r="AH134">
        <v>3</v>
      </c>
      <c r="AI134">
        <v>-1</v>
      </c>
      <c r="AJ134" t="s">
        <v>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ROW(Source!A106)</f>
        <v>106</v>
      </c>
      <c r="B135">
        <v>56616633</v>
      </c>
      <c r="C135">
        <v>56616627</v>
      </c>
      <c r="D135">
        <v>32913309</v>
      </c>
      <c r="E135">
        <v>1</v>
      </c>
      <c r="F135">
        <v>1</v>
      </c>
      <c r="G135">
        <v>27786564</v>
      </c>
      <c r="H135">
        <v>3</v>
      </c>
      <c r="I135" t="s">
        <v>544</v>
      </c>
      <c r="J135" t="s">
        <v>545</v>
      </c>
      <c r="K135" t="s">
        <v>546</v>
      </c>
      <c r="L135">
        <v>1348</v>
      </c>
      <c r="N135">
        <v>1009</v>
      </c>
      <c r="O135" t="s">
        <v>367</v>
      </c>
      <c r="P135" t="s">
        <v>367</v>
      </c>
      <c r="Q135">
        <v>1000</v>
      </c>
      <c r="X135">
        <v>1E-3</v>
      </c>
      <c r="Y135">
        <v>7254.88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3</v>
      </c>
      <c r="AG135">
        <v>1E-3</v>
      </c>
      <c r="AH135">
        <v>3</v>
      </c>
      <c r="AI135">
        <v>-1</v>
      </c>
      <c r="AJ135" t="s">
        <v>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ROW(Source!A106)</f>
        <v>106</v>
      </c>
      <c r="B136">
        <v>56616634</v>
      </c>
      <c r="C136">
        <v>56616627</v>
      </c>
      <c r="D136">
        <v>32913337</v>
      </c>
      <c r="E136">
        <v>1</v>
      </c>
      <c r="F136">
        <v>1</v>
      </c>
      <c r="G136">
        <v>27786564</v>
      </c>
      <c r="H136">
        <v>3</v>
      </c>
      <c r="I136" t="s">
        <v>547</v>
      </c>
      <c r="J136" t="s">
        <v>548</v>
      </c>
      <c r="K136" t="s">
        <v>549</v>
      </c>
      <c r="L136">
        <v>1348</v>
      </c>
      <c r="N136">
        <v>1009</v>
      </c>
      <c r="O136" t="s">
        <v>367</v>
      </c>
      <c r="P136" t="s">
        <v>367</v>
      </c>
      <c r="Q136">
        <v>1000</v>
      </c>
      <c r="X136">
        <v>0.01</v>
      </c>
      <c r="Y136">
        <v>9853.14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3</v>
      </c>
      <c r="AG136">
        <v>0.01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ROW(Source!A106)</f>
        <v>106</v>
      </c>
      <c r="B137">
        <v>56616635</v>
      </c>
      <c r="C137">
        <v>56616627</v>
      </c>
      <c r="D137">
        <v>46723495</v>
      </c>
      <c r="E137">
        <v>1</v>
      </c>
      <c r="F137">
        <v>1</v>
      </c>
      <c r="G137">
        <v>27786564</v>
      </c>
      <c r="H137">
        <v>3</v>
      </c>
      <c r="I137" t="s">
        <v>550</v>
      </c>
      <c r="J137" t="s">
        <v>551</v>
      </c>
      <c r="K137" t="s">
        <v>552</v>
      </c>
      <c r="L137">
        <v>1348</v>
      </c>
      <c r="N137">
        <v>1009</v>
      </c>
      <c r="O137" t="s">
        <v>367</v>
      </c>
      <c r="P137" t="s">
        <v>367</v>
      </c>
      <c r="Q137">
        <v>1000</v>
      </c>
      <c r="X137">
        <v>2.5000000000000001E-4</v>
      </c>
      <c r="Y137">
        <v>16222.39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3</v>
      </c>
      <c r="AG137">
        <v>2.5000000000000001E-4</v>
      </c>
      <c r="AH137">
        <v>3</v>
      </c>
      <c r="AI137">
        <v>-1</v>
      </c>
      <c r="AJ137" t="s">
        <v>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ROW(Source!A106)</f>
        <v>106</v>
      </c>
      <c r="B138">
        <v>56616636</v>
      </c>
      <c r="C138">
        <v>56616627</v>
      </c>
      <c r="D138">
        <v>46723498</v>
      </c>
      <c r="E138">
        <v>1</v>
      </c>
      <c r="F138">
        <v>1</v>
      </c>
      <c r="G138">
        <v>27786564</v>
      </c>
      <c r="H138">
        <v>3</v>
      </c>
      <c r="I138" t="s">
        <v>496</v>
      </c>
      <c r="J138" t="s">
        <v>497</v>
      </c>
      <c r="K138" t="s">
        <v>498</v>
      </c>
      <c r="L138">
        <v>1348</v>
      </c>
      <c r="N138">
        <v>1009</v>
      </c>
      <c r="O138" t="s">
        <v>367</v>
      </c>
      <c r="P138" t="s">
        <v>367</v>
      </c>
      <c r="Q138">
        <v>1000</v>
      </c>
      <c r="X138">
        <v>6.0000000000000002E-5</v>
      </c>
      <c r="Y138">
        <v>11242.42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3</v>
      </c>
      <c r="AG138">
        <v>6.0000000000000002E-5</v>
      </c>
      <c r="AH138">
        <v>3</v>
      </c>
      <c r="AI138">
        <v>-1</v>
      </c>
      <c r="AJ138" t="s">
        <v>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ROW(Source!A106)</f>
        <v>106</v>
      </c>
      <c r="B139">
        <v>56616637</v>
      </c>
      <c r="C139">
        <v>56616627</v>
      </c>
      <c r="D139">
        <v>45796980</v>
      </c>
      <c r="E139">
        <v>1</v>
      </c>
      <c r="F139">
        <v>1</v>
      </c>
      <c r="G139">
        <v>27786564</v>
      </c>
      <c r="H139">
        <v>3</v>
      </c>
      <c r="I139" t="s">
        <v>499</v>
      </c>
      <c r="J139" t="s">
        <v>500</v>
      </c>
      <c r="K139" t="s">
        <v>501</v>
      </c>
      <c r="L139">
        <v>1346</v>
      </c>
      <c r="N139">
        <v>1009</v>
      </c>
      <c r="O139" t="s">
        <v>104</v>
      </c>
      <c r="P139" t="s">
        <v>104</v>
      </c>
      <c r="Q139">
        <v>1</v>
      </c>
      <c r="X139">
        <v>0.8</v>
      </c>
      <c r="Y139">
        <v>25.8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3</v>
      </c>
      <c r="AG139">
        <v>0.8</v>
      </c>
      <c r="AH139">
        <v>3</v>
      </c>
      <c r="AI139">
        <v>-1</v>
      </c>
      <c r="AJ139" t="s">
        <v>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ROW(Source!A106)</f>
        <v>106</v>
      </c>
      <c r="B140">
        <v>56616638</v>
      </c>
      <c r="C140">
        <v>56616627</v>
      </c>
      <c r="D140">
        <v>46723704</v>
      </c>
      <c r="E140">
        <v>1</v>
      </c>
      <c r="F140">
        <v>1</v>
      </c>
      <c r="G140">
        <v>27786564</v>
      </c>
      <c r="H140">
        <v>3</v>
      </c>
      <c r="I140" t="s">
        <v>505</v>
      </c>
      <c r="J140" t="s">
        <v>506</v>
      </c>
      <c r="K140" t="s">
        <v>507</v>
      </c>
      <c r="L140">
        <v>1348</v>
      </c>
      <c r="N140">
        <v>1009</v>
      </c>
      <c r="O140" t="s">
        <v>367</v>
      </c>
      <c r="P140" t="s">
        <v>367</v>
      </c>
      <c r="Q140">
        <v>1000</v>
      </c>
      <c r="X140">
        <v>4.0000000000000003E-5</v>
      </c>
      <c r="Y140">
        <v>7982.5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3</v>
      </c>
      <c r="AG140">
        <v>4.0000000000000003E-5</v>
      </c>
      <c r="AH140">
        <v>3</v>
      </c>
      <c r="AI140">
        <v>-1</v>
      </c>
      <c r="AJ140" t="s">
        <v>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ROW(Source!A106)</f>
        <v>106</v>
      </c>
      <c r="B141">
        <v>56616639</v>
      </c>
      <c r="C141">
        <v>56616627</v>
      </c>
      <c r="D141">
        <v>46735845</v>
      </c>
      <c r="E141">
        <v>1</v>
      </c>
      <c r="F141">
        <v>1</v>
      </c>
      <c r="G141">
        <v>27786564</v>
      </c>
      <c r="H141">
        <v>3</v>
      </c>
      <c r="I141" t="s">
        <v>508</v>
      </c>
      <c r="J141" t="s">
        <v>553</v>
      </c>
      <c r="K141" t="s">
        <v>510</v>
      </c>
      <c r="L141">
        <v>1356</v>
      </c>
      <c r="N141">
        <v>1010</v>
      </c>
      <c r="O141" t="s">
        <v>511</v>
      </c>
      <c r="P141" t="s">
        <v>511</v>
      </c>
      <c r="Q141">
        <v>1000</v>
      </c>
      <c r="X141">
        <v>4.1000000000000003E-3</v>
      </c>
      <c r="Y141">
        <v>226.68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3</v>
      </c>
      <c r="AG141">
        <v>4.1000000000000003E-3</v>
      </c>
      <c r="AH141">
        <v>3</v>
      </c>
      <c r="AI141">
        <v>-1</v>
      </c>
      <c r="AJ141" t="s">
        <v>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ROW(Source!A106)</f>
        <v>106</v>
      </c>
      <c r="B142">
        <v>56616640</v>
      </c>
      <c r="C142">
        <v>56616627</v>
      </c>
      <c r="D142">
        <v>46735506</v>
      </c>
      <c r="E142">
        <v>1</v>
      </c>
      <c r="F142">
        <v>1</v>
      </c>
      <c r="G142">
        <v>27786564</v>
      </c>
      <c r="H142">
        <v>3</v>
      </c>
      <c r="I142" t="s">
        <v>512</v>
      </c>
      <c r="J142" t="s">
        <v>513</v>
      </c>
      <c r="K142" t="s">
        <v>514</v>
      </c>
      <c r="L142">
        <v>1301</v>
      </c>
      <c r="N142">
        <v>1003</v>
      </c>
      <c r="O142" t="s">
        <v>55</v>
      </c>
      <c r="P142" t="s">
        <v>55</v>
      </c>
      <c r="Q142">
        <v>1</v>
      </c>
      <c r="X142">
        <v>0.96</v>
      </c>
      <c r="Y142">
        <v>0.7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3</v>
      </c>
      <c r="AG142">
        <v>0.96</v>
      </c>
      <c r="AH142">
        <v>3</v>
      </c>
      <c r="AI142">
        <v>-1</v>
      </c>
      <c r="AJ142" t="s">
        <v>3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ROW(Source!A106)</f>
        <v>106</v>
      </c>
      <c r="B143">
        <v>56616641</v>
      </c>
      <c r="C143">
        <v>56616627</v>
      </c>
      <c r="D143">
        <v>46735508</v>
      </c>
      <c r="E143">
        <v>1</v>
      </c>
      <c r="F143">
        <v>1</v>
      </c>
      <c r="G143">
        <v>27786564</v>
      </c>
      <c r="H143">
        <v>3</v>
      </c>
      <c r="I143" t="s">
        <v>515</v>
      </c>
      <c r="J143" t="s">
        <v>516</v>
      </c>
      <c r="K143" t="s">
        <v>517</v>
      </c>
      <c r="L143">
        <v>1356</v>
      </c>
      <c r="N143">
        <v>1010</v>
      </c>
      <c r="O143" t="s">
        <v>511</v>
      </c>
      <c r="P143" t="s">
        <v>511</v>
      </c>
      <c r="Q143">
        <v>1000</v>
      </c>
      <c r="X143">
        <v>8.3199999999999993E-3</v>
      </c>
      <c r="Y143">
        <v>6.44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3</v>
      </c>
      <c r="AG143">
        <v>8.3199999999999993E-3</v>
      </c>
      <c r="AH143">
        <v>3</v>
      </c>
      <c r="AI143">
        <v>-1</v>
      </c>
      <c r="AJ143" t="s">
        <v>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ROW(Source!A106)</f>
        <v>106</v>
      </c>
      <c r="B144">
        <v>56616642</v>
      </c>
      <c r="C144">
        <v>56616627</v>
      </c>
      <c r="D144">
        <v>49717618</v>
      </c>
      <c r="E144">
        <v>27786564</v>
      </c>
      <c r="F144">
        <v>1</v>
      </c>
      <c r="G144">
        <v>27786564</v>
      </c>
      <c r="H144">
        <v>3</v>
      </c>
      <c r="I144" t="s">
        <v>554</v>
      </c>
      <c r="J144" t="s">
        <v>3</v>
      </c>
      <c r="K144" t="s">
        <v>555</v>
      </c>
      <c r="L144">
        <v>1303</v>
      </c>
      <c r="N144">
        <v>1003</v>
      </c>
      <c r="O144" t="s">
        <v>556</v>
      </c>
      <c r="P144" t="s">
        <v>556</v>
      </c>
      <c r="Q144">
        <v>1000</v>
      </c>
      <c r="X144">
        <v>0.10199999999999999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 t="s">
        <v>3</v>
      </c>
      <c r="AG144">
        <v>0.10199999999999999</v>
      </c>
      <c r="AH144">
        <v>3</v>
      </c>
      <c r="AI144">
        <v>-1</v>
      </c>
      <c r="AJ144" t="s">
        <v>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ROW(Source!A107)</f>
        <v>107</v>
      </c>
      <c r="B145">
        <v>56616645</v>
      </c>
      <c r="C145">
        <v>56616643</v>
      </c>
      <c r="D145">
        <v>47634407</v>
      </c>
      <c r="E145">
        <v>27786564</v>
      </c>
      <c r="F145">
        <v>1</v>
      </c>
      <c r="G145">
        <v>27786564</v>
      </c>
      <c r="H145">
        <v>1</v>
      </c>
      <c r="I145" t="s">
        <v>439</v>
      </c>
      <c r="J145" t="s">
        <v>3</v>
      </c>
      <c r="K145" t="s">
        <v>440</v>
      </c>
      <c r="L145">
        <v>1191</v>
      </c>
      <c r="N145">
        <v>1013</v>
      </c>
      <c r="O145" t="s">
        <v>441</v>
      </c>
      <c r="P145" t="s">
        <v>441</v>
      </c>
      <c r="Q145">
        <v>1</v>
      </c>
      <c r="X145">
        <v>11.8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1</v>
      </c>
      <c r="AF145" t="s">
        <v>22</v>
      </c>
      <c r="AG145">
        <v>12.980000000000002</v>
      </c>
      <c r="AH145">
        <v>2</v>
      </c>
      <c r="AI145">
        <v>56616644</v>
      </c>
      <c r="AJ145">
        <v>93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ROW(Source!A107)</f>
        <v>107</v>
      </c>
      <c r="B146">
        <v>56616646</v>
      </c>
      <c r="C146">
        <v>56616643</v>
      </c>
      <c r="D146">
        <v>47767106</v>
      </c>
      <c r="E146">
        <v>1</v>
      </c>
      <c r="F146">
        <v>1</v>
      </c>
      <c r="G146">
        <v>27786564</v>
      </c>
      <c r="H146">
        <v>2</v>
      </c>
      <c r="I146" t="s">
        <v>487</v>
      </c>
      <c r="J146" t="s">
        <v>488</v>
      </c>
      <c r="K146" t="s">
        <v>489</v>
      </c>
      <c r="L146">
        <v>1368</v>
      </c>
      <c r="N146">
        <v>1011</v>
      </c>
      <c r="O146" t="s">
        <v>445</v>
      </c>
      <c r="P146" t="s">
        <v>445</v>
      </c>
      <c r="Q146">
        <v>1</v>
      </c>
      <c r="X146">
        <v>0.51</v>
      </c>
      <c r="Y146">
        <v>0</v>
      </c>
      <c r="Z146">
        <v>83.1</v>
      </c>
      <c r="AA146">
        <v>12.62</v>
      </c>
      <c r="AB146">
        <v>0</v>
      </c>
      <c r="AC146">
        <v>0</v>
      </c>
      <c r="AD146">
        <v>1</v>
      </c>
      <c r="AE146">
        <v>0</v>
      </c>
      <c r="AF146" t="s">
        <v>22</v>
      </c>
      <c r="AG146">
        <v>0.56100000000000005</v>
      </c>
      <c r="AH146">
        <v>3</v>
      </c>
      <c r="AI146">
        <v>-1</v>
      </c>
      <c r="AJ146" t="s">
        <v>3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ROW(Source!A107)</f>
        <v>107</v>
      </c>
      <c r="B147">
        <v>56616647</v>
      </c>
      <c r="C147">
        <v>56616643</v>
      </c>
      <c r="D147">
        <v>47766535</v>
      </c>
      <c r="E147">
        <v>1</v>
      </c>
      <c r="F147">
        <v>1</v>
      </c>
      <c r="G147">
        <v>27786564</v>
      </c>
      <c r="H147">
        <v>2</v>
      </c>
      <c r="I147" t="s">
        <v>541</v>
      </c>
      <c r="J147" t="s">
        <v>542</v>
      </c>
      <c r="K147" t="s">
        <v>543</v>
      </c>
      <c r="L147">
        <v>1368</v>
      </c>
      <c r="N147">
        <v>1011</v>
      </c>
      <c r="O147" t="s">
        <v>445</v>
      </c>
      <c r="P147" t="s">
        <v>445</v>
      </c>
      <c r="Q147">
        <v>1</v>
      </c>
      <c r="X147">
        <v>2.77</v>
      </c>
      <c r="Y147">
        <v>0</v>
      </c>
      <c r="Z147">
        <v>2.27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22</v>
      </c>
      <c r="AG147">
        <v>3.0470000000000002</v>
      </c>
      <c r="AH147">
        <v>3</v>
      </c>
      <c r="AI147">
        <v>-1</v>
      </c>
      <c r="AJ147" t="s">
        <v>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ROW(Source!A107)</f>
        <v>107</v>
      </c>
      <c r="B148">
        <v>56616648</v>
      </c>
      <c r="C148">
        <v>56616643</v>
      </c>
      <c r="D148">
        <v>47766545</v>
      </c>
      <c r="E148">
        <v>1</v>
      </c>
      <c r="F148">
        <v>1</v>
      </c>
      <c r="G148">
        <v>27786564</v>
      </c>
      <c r="H148">
        <v>2</v>
      </c>
      <c r="I148" t="s">
        <v>490</v>
      </c>
      <c r="J148" t="s">
        <v>491</v>
      </c>
      <c r="K148" t="s">
        <v>492</v>
      </c>
      <c r="L148">
        <v>1368</v>
      </c>
      <c r="N148">
        <v>1011</v>
      </c>
      <c r="O148" t="s">
        <v>445</v>
      </c>
      <c r="P148" t="s">
        <v>445</v>
      </c>
      <c r="Q148">
        <v>1</v>
      </c>
      <c r="X148">
        <v>2.77</v>
      </c>
      <c r="Y148">
        <v>0</v>
      </c>
      <c r="Z148">
        <v>0.73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22</v>
      </c>
      <c r="AG148">
        <v>3.0470000000000002</v>
      </c>
      <c r="AH148">
        <v>3</v>
      </c>
      <c r="AI148">
        <v>-1</v>
      </c>
      <c r="AJ148" t="s">
        <v>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ROW(Source!A107)</f>
        <v>107</v>
      </c>
      <c r="B149">
        <v>56616649</v>
      </c>
      <c r="C149">
        <v>56616643</v>
      </c>
      <c r="D149">
        <v>32913309</v>
      </c>
      <c r="E149">
        <v>1</v>
      </c>
      <c r="F149">
        <v>1</v>
      </c>
      <c r="G149">
        <v>27786564</v>
      </c>
      <c r="H149">
        <v>3</v>
      </c>
      <c r="I149" t="s">
        <v>544</v>
      </c>
      <c r="J149" t="s">
        <v>545</v>
      </c>
      <c r="K149" t="s">
        <v>546</v>
      </c>
      <c r="L149">
        <v>1348</v>
      </c>
      <c r="N149">
        <v>1009</v>
      </c>
      <c r="O149" t="s">
        <v>367</v>
      </c>
      <c r="P149" t="s">
        <v>367</v>
      </c>
      <c r="Q149">
        <v>1000</v>
      </c>
      <c r="X149">
        <v>1E-3</v>
      </c>
      <c r="Y149">
        <v>7254.88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3</v>
      </c>
      <c r="AG149">
        <v>1E-3</v>
      </c>
      <c r="AH149">
        <v>3</v>
      </c>
      <c r="AI149">
        <v>-1</v>
      </c>
      <c r="AJ149" t="s">
        <v>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ROW(Source!A107)</f>
        <v>107</v>
      </c>
      <c r="B150">
        <v>56616650</v>
      </c>
      <c r="C150">
        <v>56616643</v>
      </c>
      <c r="D150">
        <v>32913337</v>
      </c>
      <c r="E150">
        <v>1</v>
      </c>
      <c r="F150">
        <v>1</v>
      </c>
      <c r="G150">
        <v>27786564</v>
      </c>
      <c r="H150">
        <v>3</v>
      </c>
      <c r="I150" t="s">
        <v>547</v>
      </c>
      <c r="J150" t="s">
        <v>548</v>
      </c>
      <c r="K150" t="s">
        <v>549</v>
      </c>
      <c r="L150">
        <v>1348</v>
      </c>
      <c r="N150">
        <v>1009</v>
      </c>
      <c r="O150" t="s">
        <v>367</v>
      </c>
      <c r="P150" t="s">
        <v>367</v>
      </c>
      <c r="Q150">
        <v>1000</v>
      </c>
      <c r="X150">
        <v>0.01</v>
      </c>
      <c r="Y150">
        <v>9853.14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3</v>
      </c>
      <c r="AG150">
        <v>0.01</v>
      </c>
      <c r="AH150">
        <v>3</v>
      </c>
      <c r="AI150">
        <v>-1</v>
      </c>
      <c r="AJ150" t="s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ROW(Source!A107)</f>
        <v>107</v>
      </c>
      <c r="B151">
        <v>56616651</v>
      </c>
      <c r="C151">
        <v>56616643</v>
      </c>
      <c r="D151">
        <v>46723495</v>
      </c>
      <c r="E151">
        <v>1</v>
      </c>
      <c r="F151">
        <v>1</v>
      </c>
      <c r="G151">
        <v>27786564</v>
      </c>
      <c r="H151">
        <v>3</v>
      </c>
      <c r="I151" t="s">
        <v>550</v>
      </c>
      <c r="J151" t="s">
        <v>551</v>
      </c>
      <c r="K151" t="s">
        <v>552</v>
      </c>
      <c r="L151">
        <v>1348</v>
      </c>
      <c r="N151">
        <v>1009</v>
      </c>
      <c r="O151" t="s">
        <v>367</v>
      </c>
      <c r="P151" t="s">
        <v>367</v>
      </c>
      <c r="Q151">
        <v>1000</v>
      </c>
      <c r="X151">
        <v>2.5000000000000001E-4</v>
      </c>
      <c r="Y151">
        <v>16222.39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3</v>
      </c>
      <c r="AG151">
        <v>2.5000000000000001E-4</v>
      </c>
      <c r="AH151">
        <v>3</v>
      </c>
      <c r="AI151">
        <v>-1</v>
      </c>
      <c r="AJ151" t="s">
        <v>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ROW(Source!A107)</f>
        <v>107</v>
      </c>
      <c r="B152">
        <v>56616652</v>
      </c>
      <c r="C152">
        <v>56616643</v>
      </c>
      <c r="D152">
        <v>46723498</v>
      </c>
      <c r="E152">
        <v>1</v>
      </c>
      <c r="F152">
        <v>1</v>
      </c>
      <c r="G152">
        <v>27786564</v>
      </c>
      <c r="H152">
        <v>3</v>
      </c>
      <c r="I152" t="s">
        <v>496</v>
      </c>
      <c r="J152" t="s">
        <v>497</v>
      </c>
      <c r="K152" t="s">
        <v>498</v>
      </c>
      <c r="L152">
        <v>1348</v>
      </c>
      <c r="N152">
        <v>1009</v>
      </c>
      <c r="O152" t="s">
        <v>367</v>
      </c>
      <c r="P152" t="s">
        <v>367</v>
      </c>
      <c r="Q152">
        <v>1000</v>
      </c>
      <c r="X152">
        <v>6.0000000000000002E-5</v>
      </c>
      <c r="Y152">
        <v>11242.42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3</v>
      </c>
      <c r="AG152">
        <v>6.0000000000000002E-5</v>
      </c>
      <c r="AH152">
        <v>3</v>
      </c>
      <c r="AI152">
        <v>-1</v>
      </c>
      <c r="AJ152" t="s">
        <v>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ROW(Source!A107)</f>
        <v>107</v>
      </c>
      <c r="B153">
        <v>56616653</v>
      </c>
      <c r="C153">
        <v>56616643</v>
      </c>
      <c r="D153">
        <v>45796980</v>
      </c>
      <c r="E153">
        <v>1</v>
      </c>
      <c r="F153">
        <v>1</v>
      </c>
      <c r="G153">
        <v>27786564</v>
      </c>
      <c r="H153">
        <v>3</v>
      </c>
      <c r="I153" t="s">
        <v>499</v>
      </c>
      <c r="J153" t="s">
        <v>500</v>
      </c>
      <c r="K153" t="s">
        <v>501</v>
      </c>
      <c r="L153">
        <v>1346</v>
      </c>
      <c r="N153">
        <v>1009</v>
      </c>
      <c r="O153" t="s">
        <v>104</v>
      </c>
      <c r="P153" t="s">
        <v>104</v>
      </c>
      <c r="Q153">
        <v>1</v>
      </c>
      <c r="X153">
        <v>0.8</v>
      </c>
      <c r="Y153">
        <v>25.8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3</v>
      </c>
      <c r="AG153">
        <v>0.8</v>
      </c>
      <c r="AH153">
        <v>3</v>
      </c>
      <c r="AI153">
        <v>-1</v>
      </c>
      <c r="AJ153" t="s">
        <v>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ROW(Source!A107)</f>
        <v>107</v>
      </c>
      <c r="B154">
        <v>56616654</v>
      </c>
      <c r="C154">
        <v>56616643</v>
      </c>
      <c r="D154">
        <v>46723704</v>
      </c>
      <c r="E154">
        <v>1</v>
      </c>
      <c r="F154">
        <v>1</v>
      </c>
      <c r="G154">
        <v>27786564</v>
      </c>
      <c r="H154">
        <v>3</v>
      </c>
      <c r="I154" t="s">
        <v>505</v>
      </c>
      <c r="J154" t="s">
        <v>506</v>
      </c>
      <c r="K154" t="s">
        <v>507</v>
      </c>
      <c r="L154">
        <v>1348</v>
      </c>
      <c r="N154">
        <v>1009</v>
      </c>
      <c r="O154" t="s">
        <v>367</v>
      </c>
      <c r="P154" t="s">
        <v>367</v>
      </c>
      <c r="Q154">
        <v>1000</v>
      </c>
      <c r="X154">
        <v>4.0000000000000003E-5</v>
      </c>
      <c r="Y154">
        <v>7982.5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3</v>
      </c>
      <c r="AG154">
        <v>4.0000000000000003E-5</v>
      </c>
      <c r="AH154">
        <v>3</v>
      </c>
      <c r="AI154">
        <v>-1</v>
      </c>
      <c r="AJ154" t="s">
        <v>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ROW(Source!A107)</f>
        <v>107</v>
      </c>
      <c r="B155">
        <v>56616655</v>
      </c>
      <c r="C155">
        <v>56616643</v>
      </c>
      <c r="D155">
        <v>46735845</v>
      </c>
      <c r="E155">
        <v>1</v>
      </c>
      <c r="F155">
        <v>1</v>
      </c>
      <c r="G155">
        <v>27786564</v>
      </c>
      <c r="H155">
        <v>3</v>
      </c>
      <c r="I155" t="s">
        <v>508</v>
      </c>
      <c r="J155" t="s">
        <v>553</v>
      </c>
      <c r="K155" t="s">
        <v>510</v>
      </c>
      <c r="L155">
        <v>1356</v>
      </c>
      <c r="N155">
        <v>1010</v>
      </c>
      <c r="O155" t="s">
        <v>511</v>
      </c>
      <c r="P155" t="s">
        <v>511</v>
      </c>
      <c r="Q155">
        <v>1000</v>
      </c>
      <c r="X155">
        <v>4.1000000000000003E-3</v>
      </c>
      <c r="Y155">
        <v>226.68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 t="s">
        <v>3</v>
      </c>
      <c r="AG155">
        <v>4.1000000000000003E-3</v>
      </c>
      <c r="AH155">
        <v>3</v>
      </c>
      <c r="AI155">
        <v>-1</v>
      </c>
      <c r="AJ155" t="s">
        <v>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ROW(Source!A107)</f>
        <v>107</v>
      </c>
      <c r="B156">
        <v>56616656</v>
      </c>
      <c r="C156">
        <v>56616643</v>
      </c>
      <c r="D156">
        <v>46735506</v>
      </c>
      <c r="E156">
        <v>1</v>
      </c>
      <c r="F156">
        <v>1</v>
      </c>
      <c r="G156">
        <v>27786564</v>
      </c>
      <c r="H156">
        <v>3</v>
      </c>
      <c r="I156" t="s">
        <v>512</v>
      </c>
      <c r="J156" t="s">
        <v>513</v>
      </c>
      <c r="K156" t="s">
        <v>514</v>
      </c>
      <c r="L156">
        <v>1301</v>
      </c>
      <c r="N156">
        <v>1003</v>
      </c>
      <c r="O156" t="s">
        <v>55</v>
      </c>
      <c r="P156" t="s">
        <v>55</v>
      </c>
      <c r="Q156">
        <v>1</v>
      </c>
      <c r="X156">
        <v>0.96</v>
      </c>
      <c r="Y156">
        <v>0.7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3</v>
      </c>
      <c r="AG156">
        <v>0.96</v>
      </c>
      <c r="AH156">
        <v>3</v>
      </c>
      <c r="AI156">
        <v>-1</v>
      </c>
      <c r="AJ156" t="s">
        <v>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ROW(Source!A107)</f>
        <v>107</v>
      </c>
      <c r="B157">
        <v>56616657</v>
      </c>
      <c r="C157">
        <v>56616643</v>
      </c>
      <c r="D157">
        <v>46735508</v>
      </c>
      <c r="E157">
        <v>1</v>
      </c>
      <c r="F157">
        <v>1</v>
      </c>
      <c r="G157">
        <v>27786564</v>
      </c>
      <c r="H157">
        <v>3</v>
      </c>
      <c r="I157" t="s">
        <v>515</v>
      </c>
      <c r="J157" t="s">
        <v>516</v>
      </c>
      <c r="K157" t="s">
        <v>517</v>
      </c>
      <c r="L157">
        <v>1356</v>
      </c>
      <c r="N157">
        <v>1010</v>
      </c>
      <c r="O157" t="s">
        <v>511</v>
      </c>
      <c r="P157" t="s">
        <v>511</v>
      </c>
      <c r="Q157">
        <v>1000</v>
      </c>
      <c r="X157">
        <v>8.3199999999999993E-3</v>
      </c>
      <c r="Y157">
        <v>6.44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3</v>
      </c>
      <c r="AG157">
        <v>8.3199999999999993E-3</v>
      </c>
      <c r="AH157">
        <v>3</v>
      </c>
      <c r="AI157">
        <v>-1</v>
      </c>
      <c r="AJ157" t="s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ROW(Source!A107)</f>
        <v>107</v>
      </c>
      <c r="B158">
        <v>56616658</v>
      </c>
      <c r="C158">
        <v>56616643</v>
      </c>
      <c r="D158">
        <v>49717618</v>
      </c>
      <c r="E158">
        <v>27786564</v>
      </c>
      <c r="F158">
        <v>1</v>
      </c>
      <c r="G158">
        <v>27786564</v>
      </c>
      <c r="H158">
        <v>3</v>
      </c>
      <c r="I158" t="s">
        <v>554</v>
      </c>
      <c r="J158" t="s">
        <v>3</v>
      </c>
      <c r="K158" t="s">
        <v>555</v>
      </c>
      <c r="L158">
        <v>1303</v>
      </c>
      <c r="N158">
        <v>1003</v>
      </c>
      <c r="O158" t="s">
        <v>556</v>
      </c>
      <c r="P158" t="s">
        <v>556</v>
      </c>
      <c r="Q158">
        <v>1000</v>
      </c>
      <c r="X158">
        <v>0.10199999999999999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 t="s">
        <v>3</v>
      </c>
      <c r="AG158">
        <v>0.10199999999999999</v>
      </c>
      <c r="AH158">
        <v>3</v>
      </c>
      <c r="AI158">
        <v>-1</v>
      </c>
      <c r="AJ158" t="s">
        <v>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ROW(Source!A108)</f>
        <v>108</v>
      </c>
      <c r="B159">
        <v>56616645</v>
      </c>
      <c r="C159">
        <v>56616643</v>
      </c>
      <c r="D159">
        <v>47634407</v>
      </c>
      <c r="E159">
        <v>27786564</v>
      </c>
      <c r="F159">
        <v>1</v>
      </c>
      <c r="G159">
        <v>27786564</v>
      </c>
      <c r="H159">
        <v>1</v>
      </c>
      <c r="I159" t="s">
        <v>439</v>
      </c>
      <c r="J159" t="s">
        <v>3</v>
      </c>
      <c r="K159" t="s">
        <v>440</v>
      </c>
      <c r="L159">
        <v>1191</v>
      </c>
      <c r="N159">
        <v>1013</v>
      </c>
      <c r="O159" t="s">
        <v>441</v>
      </c>
      <c r="P159" t="s">
        <v>441</v>
      </c>
      <c r="Q159">
        <v>1</v>
      </c>
      <c r="X159">
        <v>11.8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1</v>
      </c>
      <c r="AF159" t="s">
        <v>22</v>
      </c>
      <c r="AG159">
        <v>12.980000000000002</v>
      </c>
      <c r="AH159">
        <v>2</v>
      </c>
      <c r="AI159">
        <v>56616644</v>
      </c>
      <c r="AJ159">
        <v>94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ROW(Source!A108)</f>
        <v>108</v>
      </c>
      <c r="B160">
        <v>56616646</v>
      </c>
      <c r="C160">
        <v>56616643</v>
      </c>
      <c r="D160">
        <v>47767106</v>
      </c>
      <c r="E160">
        <v>1</v>
      </c>
      <c r="F160">
        <v>1</v>
      </c>
      <c r="G160">
        <v>27786564</v>
      </c>
      <c r="H160">
        <v>2</v>
      </c>
      <c r="I160" t="s">
        <v>487</v>
      </c>
      <c r="J160" t="s">
        <v>488</v>
      </c>
      <c r="K160" t="s">
        <v>489</v>
      </c>
      <c r="L160">
        <v>1368</v>
      </c>
      <c r="N160">
        <v>1011</v>
      </c>
      <c r="O160" t="s">
        <v>445</v>
      </c>
      <c r="P160" t="s">
        <v>445</v>
      </c>
      <c r="Q160">
        <v>1</v>
      </c>
      <c r="X160">
        <v>0.51</v>
      </c>
      <c r="Y160">
        <v>0</v>
      </c>
      <c r="Z160">
        <v>83.1</v>
      </c>
      <c r="AA160">
        <v>12.62</v>
      </c>
      <c r="AB160">
        <v>0</v>
      </c>
      <c r="AC160">
        <v>0</v>
      </c>
      <c r="AD160">
        <v>1</v>
      </c>
      <c r="AE160">
        <v>0</v>
      </c>
      <c r="AF160" t="s">
        <v>22</v>
      </c>
      <c r="AG160">
        <v>0.56100000000000005</v>
      </c>
      <c r="AH160">
        <v>3</v>
      </c>
      <c r="AI160">
        <v>-1</v>
      </c>
      <c r="AJ160" t="s">
        <v>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ROW(Source!A108)</f>
        <v>108</v>
      </c>
      <c r="B161">
        <v>56616647</v>
      </c>
      <c r="C161">
        <v>56616643</v>
      </c>
      <c r="D161">
        <v>47766535</v>
      </c>
      <c r="E161">
        <v>1</v>
      </c>
      <c r="F161">
        <v>1</v>
      </c>
      <c r="G161">
        <v>27786564</v>
      </c>
      <c r="H161">
        <v>2</v>
      </c>
      <c r="I161" t="s">
        <v>541</v>
      </c>
      <c r="J161" t="s">
        <v>542</v>
      </c>
      <c r="K161" t="s">
        <v>543</v>
      </c>
      <c r="L161">
        <v>1368</v>
      </c>
      <c r="N161">
        <v>1011</v>
      </c>
      <c r="O161" t="s">
        <v>445</v>
      </c>
      <c r="P161" t="s">
        <v>445</v>
      </c>
      <c r="Q161">
        <v>1</v>
      </c>
      <c r="X161">
        <v>2.77</v>
      </c>
      <c r="Y161">
        <v>0</v>
      </c>
      <c r="Z161">
        <v>2.27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22</v>
      </c>
      <c r="AG161">
        <v>3.0470000000000002</v>
      </c>
      <c r="AH161">
        <v>3</v>
      </c>
      <c r="AI161">
        <v>-1</v>
      </c>
      <c r="AJ161" t="s">
        <v>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ROW(Source!A108)</f>
        <v>108</v>
      </c>
      <c r="B162">
        <v>56616648</v>
      </c>
      <c r="C162">
        <v>56616643</v>
      </c>
      <c r="D162">
        <v>47766545</v>
      </c>
      <c r="E162">
        <v>1</v>
      </c>
      <c r="F162">
        <v>1</v>
      </c>
      <c r="G162">
        <v>27786564</v>
      </c>
      <c r="H162">
        <v>2</v>
      </c>
      <c r="I162" t="s">
        <v>490</v>
      </c>
      <c r="J162" t="s">
        <v>491</v>
      </c>
      <c r="K162" t="s">
        <v>492</v>
      </c>
      <c r="L162">
        <v>1368</v>
      </c>
      <c r="N162">
        <v>1011</v>
      </c>
      <c r="O162" t="s">
        <v>445</v>
      </c>
      <c r="P162" t="s">
        <v>445</v>
      </c>
      <c r="Q162">
        <v>1</v>
      </c>
      <c r="X162">
        <v>2.77</v>
      </c>
      <c r="Y162">
        <v>0</v>
      </c>
      <c r="Z162">
        <v>0.73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22</v>
      </c>
      <c r="AG162">
        <v>3.0470000000000002</v>
      </c>
      <c r="AH162">
        <v>3</v>
      </c>
      <c r="AI162">
        <v>-1</v>
      </c>
      <c r="AJ162" t="s">
        <v>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ROW(Source!A108)</f>
        <v>108</v>
      </c>
      <c r="B163">
        <v>56616649</v>
      </c>
      <c r="C163">
        <v>56616643</v>
      </c>
      <c r="D163">
        <v>32913309</v>
      </c>
      <c r="E163">
        <v>1</v>
      </c>
      <c r="F163">
        <v>1</v>
      </c>
      <c r="G163">
        <v>27786564</v>
      </c>
      <c r="H163">
        <v>3</v>
      </c>
      <c r="I163" t="s">
        <v>544</v>
      </c>
      <c r="J163" t="s">
        <v>545</v>
      </c>
      <c r="K163" t="s">
        <v>546</v>
      </c>
      <c r="L163">
        <v>1348</v>
      </c>
      <c r="N163">
        <v>1009</v>
      </c>
      <c r="O163" t="s">
        <v>367</v>
      </c>
      <c r="P163" t="s">
        <v>367</v>
      </c>
      <c r="Q163">
        <v>1000</v>
      </c>
      <c r="X163">
        <v>1E-3</v>
      </c>
      <c r="Y163">
        <v>7254.88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3</v>
      </c>
      <c r="AG163">
        <v>1E-3</v>
      </c>
      <c r="AH163">
        <v>3</v>
      </c>
      <c r="AI163">
        <v>-1</v>
      </c>
      <c r="AJ163" t="s">
        <v>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ROW(Source!A108)</f>
        <v>108</v>
      </c>
      <c r="B164">
        <v>56616650</v>
      </c>
      <c r="C164">
        <v>56616643</v>
      </c>
      <c r="D164">
        <v>32913337</v>
      </c>
      <c r="E164">
        <v>1</v>
      </c>
      <c r="F164">
        <v>1</v>
      </c>
      <c r="G164">
        <v>27786564</v>
      </c>
      <c r="H164">
        <v>3</v>
      </c>
      <c r="I164" t="s">
        <v>547</v>
      </c>
      <c r="J164" t="s">
        <v>548</v>
      </c>
      <c r="K164" t="s">
        <v>549</v>
      </c>
      <c r="L164">
        <v>1348</v>
      </c>
      <c r="N164">
        <v>1009</v>
      </c>
      <c r="O164" t="s">
        <v>367</v>
      </c>
      <c r="P164" t="s">
        <v>367</v>
      </c>
      <c r="Q164">
        <v>1000</v>
      </c>
      <c r="X164">
        <v>0.01</v>
      </c>
      <c r="Y164">
        <v>9853.14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3</v>
      </c>
      <c r="AG164">
        <v>0.01</v>
      </c>
      <c r="AH164">
        <v>3</v>
      </c>
      <c r="AI164">
        <v>-1</v>
      </c>
      <c r="AJ164" t="s">
        <v>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ROW(Source!A108)</f>
        <v>108</v>
      </c>
      <c r="B165">
        <v>56616651</v>
      </c>
      <c r="C165">
        <v>56616643</v>
      </c>
      <c r="D165">
        <v>46723495</v>
      </c>
      <c r="E165">
        <v>1</v>
      </c>
      <c r="F165">
        <v>1</v>
      </c>
      <c r="G165">
        <v>27786564</v>
      </c>
      <c r="H165">
        <v>3</v>
      </c>
      <c r="I165" t="s">
        <v>550</v>
      </c>
      <c r="J165" t="s">
        <v>551</v>
      </c>
      <c r="K165" t="s">
        <v>552</v>
      </c>
      <c r="L165">
        <v>1348</v>
      </c>
      <c r="N165">
        <v>1009</v>
      </c>
      <c r="O165" t="s">
        <v>367</v>
      </c>
      <c r="P165" t="s">
        <v>367</v>
      </c>
      <c r="Q165">
        <v>1000</v>
      </c>
      <c r="X165">
        <v>2.5000000000000001E-4</v>
      </c>
      <c r="Y165">
        <v>16222.39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 t="s">
        <v>3</v>
      </c>
      <c r="AG165">
        <v>2.5000000000000001E-4</v>
      </c>
      <c r="AH165">
        <v>3</v>
      </c>
      <c r="AI165">
        <v>-1</v>
      </c>
      <c r="AJ165" t="s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ROW(Source!A108)</f>
        <v>108</v>
      </c>
      <c r="B166">
        <v>56616652</v>
      </c>
      <c r="C166">
        <v>56616643</v>
      </c>
      <c r="D166">
        <v>46723498</v>
      </c>
      <c r="E166">
        <v>1</v>
      </c>
      <c r="F166">
        <v>1</v>
      </c>
      <c r="G166">
        <v>27786564</v>
      </c>
      <c r="H166">
        <v>3</v>
      </c>
      <c r="I166" t="s">
        <v>496</v>
      </c>
      <c r="J166" t="s">
        <v>497</v>
      </c>
      <c r="K166" t="s">
        <v>498</v>
      </c>
      <c r="L166">
        <v>1348</v>
      </c>
      <c r="N166">
        <v>1009</v>
      </c>
      <c r="O166" t="s">
        <v>367</v>
      </c>
      <c r="P166" t="s">
        <v>367</v>
      </c>
      <c r="Q166">
        <v>1000</v>
      </c>
      <c r="X166">
        <v>6.0000000000000002E-5</v>
      </c>
      <c r="Y166">
        <v>11242.42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 t="s">
        <v>3</v>
      </c>
      <c r="AG166">
        <v>6.0000000000000002E-5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ROW(Source!A108)</f>
        <v>108</v>
      </c>
      <c r="B167">
        <v>56616653</v>
      </c>
      <c r="C167">
        <v>56616643</v>
      </c>
      <c r="D167">
        <v>45796980</v>
      </c>
      <c r="E167">
        <v>1</v>
      </c>
      <c r="F167">
        <v>1</v>
      </c>
      <c r="G167">
        <v>27786564</v>
      </c>
      <c r="H167">
        <v>3</v>
      </c>
      <c r="I167" t="s">
        <v>499</v>
      </c>
      <c r="J167" t="s">
        <v>500</v>
      </c>
      <c r="K167" t="s">
        <v>501</v>
      </c>
      <c r="L167">
        <v>1346</v>
      </c>
      <c r="N167">
        <v>1009</v>
      </c>
      <c r="O167" t="s">
        <v>104</v>
      </c>
      <c r="P167" t="s">
        <v>104</v>
      </c>
      <c r="Q167">
        <v>1</v>
      </c>
      <c r="X167">
        <v>0.8</v>
      </c>
      <c r="Y167">
        <v>25.8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 t="s">
        <v>3</v>
      </c>
      <c r="AG167">
        <v>0.8</v>
      </c>
      <c r="AH167">
        <v>3</v>
      </c>
      <c r="AI167">
        <v>-1</v>
      </c>
      <c r="AJ167" t="s">
        <v>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ROW(Source!A108)</f>
        <v>108</v>
      </c>
      <c r="B168">
        <v>56616654</v>
      </c>
      <c r="C168">
        <v>56616643</v>
      </c>
      <c r="D168">
        <v>46723704</v>
      </c>
      <c r="E168">
        <v>1</v>
      </c>
      <c r="F168">
        <v>1</v>
      </c>
      <c r="G168">
        <v>27786564</v>
      </c>
      <c r="H168">
        <v>3</v>
      </c>
      <c r="I168" t="s">
        <v>505</v>
      </c>
      <c r="J168" t="s">
        <v>506</v>
      </c>
      <c r="K168" t="s">
        <v>507</v>
      </c>
      <c r="L168">
        <v>1348</v>
      </c>
      <c r="N168">
        <v>1009</v>
      </c>
      <c r="O168" t="s">
        <v>367</v>
      </c>
      <c r="P168" t="s">
        <v>367</v>
      </c>
      <c r="Q168">
        <v>1000</v>
      </c>
      <c r="X168">
        <v>4.0000000000000003E-5</v>
      </c>
      <c r="Y168">
        <v>7982.5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3</v>
      </c>
      <c r="AG168">
        <v>4.0000000000000003E-5</v>
      </c>
      <c r="AH168">
        <v>3</v>
      </c>
      <c r="AI168">
        <v>-1</v>
      </c>
      <c r="AJ168" t="s">
        <v>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ROW(Source!A108)</f>
        <v>108</v>
      </c>
      <c r="B169">
        <v>56616655</v>
      </c>
      <c r="C169">
        <v>56616643</v>
      </c>
      <c r="D169">
        <v>46735845</v>
      </c>
      <c r="E169">
        <v>1</v>
      </c>
      <c r="F169">
        <v>1</v>
      </c>
      <c r="G169">
        <v>27786564</v>
      </c>
      <c r="H169">
        <v>3</v>
      </c>
      <c r="I169" t="s">
        <v>508</v>
      </c>
      <c r="J169" t="s">
        <v>553</v>
      </c>
      <c r="K169" t="s">
        <v>510</v>
      </c>
      <c r="L169">
        <v>1356</v>
      </c>
      <c r="N169">
        <v>1010</v>
      </c>
      <c r="O169" t="s">
        <v>511</v>
      </c>
      <c r="P169" t="s">
        <v>511</v>
      </c>
      <c r="Q169">
        <v>1000</v>
      </c>
      <c r="X169">
        <v>4.1000000000000003E-3</v>
      </c>
      <c r="Y169">
        <v>226.68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3</v>
      </c>
      <c r="AG169">
        <v>4.1000000000000003E-3</v>
      </c>
      <c r="AH169">
        <v>3</v>
      </c>
      <c r="AI169">
        <v>-1</v>
      </c>
      <c r="AJ169" t="s">
        <v>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ROW(Source!A108)</f>
        <v>108</v>
      </c>
      <c r="B170">
        <v>56616656</v>
      </c>
      <c r="C170">
        <v>56616643</v>
      </c>
      <c r="D170">
        <v>46735506</v>
      </c>
      <c r="E170">
        <v>1</v>
      </c>
      <c r="F170">
        <v>1</v>
      </c>
      <c r="G170">
        <v>27786564</v>
      </c>
      <c r="H170">
        <v>3</v>
      </c>
      <c r="I170" t="s">
        <v>512</v>
      </c>
      <c r="J170" t="s">
        <v>513</v>
      </c>
      <c r="K170" t="s">
        <v>514</v>
      </c>
      <c r="L170">
        <v>1301</v>
      </c>
      <c r="N170">
        <v>1003</v>
      </c>
      <c r="O170" t="s">
        <v>55</v>
      </c>
      <c r="P170" t="s">
        <v>55</v>
      </c>
      <c r="Q170">
        <v>1</v>
      </c>
      <c r="X170">
        <v>0.96</v>
      </c>
      <c r="Y170">
        <v>0.7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3</v>
      </c>
      <c r="AG170">
        <v>0.96</v>
      </c>
      <c r="AH170">
        <v>3</v>
      </c>
      <c r="AI170">
        <v>-1</v>
      </c>
      <c r="AJ170" t="s">
        <v>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ROW(Source!A108)</f>
        <v>108</v>
      </c>
      <c r="B171">
        <v>56616657</v>
      </c>
      <c r="C171">
        <v>56616643</v>
      </c>
      <c r="D171">
        <v>46735508</v>
      </c>
      <c r="E171">
        <v>1</v>
      </c>
      <c r="F171">
        <v>1</v>
      </c>
      <c r="G171">
        <v>27786564</v>
      </c>
      <c r="H171">
        <v>3</v>
      </c>
      <c r="I171" t="s">
        <v>515</v>
      </c>
      <c r="J171" t="s">
        <v>516</v>
      </c>
      <c r="K171" t="s">
        <v>517</v>
      </c>
      <c r="L171">
        <v>1356</v>
      </c>
      <c r="N171">
        <v>1010</v>
      </c>
      <c r="O171" t="s">
        <v>511</v>
      </c>
      <c r="P171" t="s">
        <v>511</v>
      </c>
      <c r="Q171">
        <v>1000</v>
      </c>
      <c r="X171">
        <v>8.3199999999999993E-3</v>
      </c>
      <c r="Y171">
        <v>6.44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3</v>
      </c>
      <c r="AG171">
        <v>8.3199999999999993E-3</v>
      </c>
      <c r="AH171">
        <v>3</v>
      </c>
      <c r="AI171">
        <v>-1</v>
      </c>
      <c r="AJ171" t="s">
        <v>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ROW(Source!A108)</f>
        <v>108</v>
      </c>
      <c r="B172">
        <v>56616658</v>
      </c>
      <c r="C172">
        <v>56616643</v>
      </c>
      <c r="D172">
        <v>49717618</v>
      </c>
      <c r="E172">
        <v>27786564</v>
      </c>
      <c r="F172">
        <v>1</v>
      </c>
      <c r="G172">
        <v>27786564</v>
      </c>
      <c r="H172">
        <v>3</v>
      </c>
      <c r="I172" t="s">
        <v>554</v>
      </c>
      <c r="J172" t="s">
        <v>3</v>
      </c>
      <c r="K172" t="s">
        <v>555</v>
      </c>
      <c r="L172">
        <v>1303</v>
      </c>
      <c r="N172">
        <v>1003</v>
      </c>
      <c r="O172" t="s">
        <v>556</v>
      </c>
      <c r="P172" t="s">
        <v>556</v>
      </c>
      <c r="Q172">
        <v>1000</v>
      </c>
      <c r="X172">
        <v>0.10199999999999999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3</v>
      </c>
      <c r="AG172">
        <v>0.10199999999999999</v>
      </c>
      <c r="AH172">
        <v>3</v>
      </c>
      <c r="AI172">
        <v>-1</v>
      </c>
      <c r="AJ172" t="s">
        <v>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ROW(Source!A109)</f>
        <v>109</v>
      </c>
      <c r="B173">
        <v>56616661</v>
      </c>
      <c r="C173">
        <v>56616659</v>
      </c>
      <c r="D173">
        <v>47634407</v>
      </c>
      <c r="E173">
        <v>27786564</v>
      </c>
      <c r="F173">
        <v>1</v>
      </c>
      <c r="G173">
        <v>27786564</v>
      </c>
      <c r="H173">
        <v>1</v>
      </c>
      <c r="I173" t="s">
        <v>439</v>
      </c>
      <c r="J173" t="s">
        <v>3</v>
      </c>
      <c r="K173" t="s">
        <v>440</v>
      </c>
      <c r="L173">
        <v>1191</v>
      </c>
      <c r="N173">
        <v>1013</v>
      </c>
      <c r="O173" t="s">
        <v>441</v>
      </c>
      <c r="P173" t="s">
        <v>441</v>
      </c>
      <c r="Q173">
        <v>1</v>
      </c>
      <c r="X173">
        <v>12.2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1</v>
      </c>
      <c r="AF173" t="s">
        <v>22</v>
      </c>
      <c r="AG173">
        <v>13.42</v>
      </c>
      <c r="AH173">
        <v>2</v>
      </c>
      <c r="AI173">
        <v>56616660</v>
      </c>
      <c r="AJ173">
        <v>95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ROW(Source!A109)</f>
        <v>109</v>
      </c>
      <c r="B174">
        <v>56616662</v>
      </c>
      <c r="C174">
        <v>56616659</v>
      </c>
      <c r="D174">
        <v>47767106</v>
      </c>
      <c r="E174">
        <v>1</v>
      </c>
      <c r="F174">
        <v>1</v>
      </c>
      <c r="G174">
        <v>27786564</v>
      </c>
      <c r="H174">
        <v>2</v>
      </c>
      <c r="I174" t="s">
        <v>487</v>
      </c>
      <c r="J174" t="s">
        <v>488</v>
      </c>
      <c r="K174" t="s">
        <v>489</v>
      </c>
      <c r="L174">
        <v>1368</v>
      </c>
      <c r="N174">
        <v>1011</v>
      </c>
      <c r="O174" t="s">
        <v>445</v>
      </c>
      <c r="P174" t="s">
        <v>445</v>
      </c>
      <c r="Q174">
        <v>1</v>
      </c>
      <c r="X174">
        <v>1.07</v>
      </c>
      <c r="Y174">
        <v>0</v>
      </c>
      <c r="Z174">
        <v>83.1</v>
      </c>
      <c r="AA174">
        <v>12.62</v>
      </c>
      <c r="AB174">
        <v>0</v>
      </c>
      <c r="AC174">
        <v>0</v>
      </c>
      <c r="AD174">
        <v>1</v>
      </c>
      <c r="AE174">
        <v>0</v>
      </c>
      <c r="AF174" t="s">
        <v>22</v>
      </c>
      <c r="AG174">
        <v>1.1770000000000003</v>
      </c>
      <c r="AH174">
        <v>3</v>
      </c>
      <c r="AI174">
        <v>-1</v>
      </c>
      <c r="AJ174" t="s">
        <v>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ROW(Source!A109)</f>
        <v>109</v>
      </c>
      <c r="B175">
        <v>56616663</v>
      </c>
      <c r="C175">
        <v>56616659</v>
      </c>
      <c r="D175">
        <v>47766535</v>
      </c>
      <c r="E175">
        <v>1</v>
      </c>
      <c r="F175">
        <v>1</v>
      </c>
      <c r="G175">
        <v>27786564</v>
      </c>
      <c r="H175">
        <v>2</v>
      </c>
      <c r="I175" t="s">
        <v>541</v>
      </c>
      <c r="J175" t="s">
        <v>542</v>
      </c>
      <c r="K175" t="s">
        <v>543</v>
      </c>
      <c r="L175">
        <v>1368</v>
      </c>
      <c r="N175">
        <v>1011</v>
      </c>
      <c r="O175" t="s">
        <v>445</v>
      </c>
      <c r="P175" t="s">
        <v>445</v>
      </c>
      <c r="Q175">
        <v>1</v>
      </c>
      <c r="X175">
        <v>2.77</v>
      </c>
      <c r="Y175">
        <v>0</v>
      </c>
      <c r="Z175">
        <v>2.27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22</v>
      </c>
      <c r="AG175">
        <v>3.0470000000000002</v>
      </c>
      <c r="AH175">
        <v>3</v>
      </c>
      <c r="AI175">
        <v>-1</v>
      </c>
      <c r="AJ175" t="s">
        <v>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ROW(Source!A109)</f>
        <v>109</v>
      </c>
      <c r="B176">
        <v>56616664</v>
      </c>
      <c r="C176">
        <v>56616659</v>
      </c>
      <c r="D176">
        <v>47766545</v>
      </c>
      <c r="E176">
        <v>1</v>
      </c>
      <c r="F176">
        <v>1</v>
      </c>
      <c r="G176">
        <v>27786564</v>
      </c>
      <c r="H176">
        <v>2</v>
      </c>
      <c r="I176" t="s">
        <v>490</v>
      </c>
      <c r="J176" t="s">
        <v>491</v>
      </c>
      <c r="K176" t="s">
        <v>492</v>
      </c>
      <c r="L176">
        <v>1368</v>
      </c>
      <c r="N176">
        <v>1011</v>
      </c>
      <c r="O176" t="s">
        <v>445</v>
      </c>
      <c r="P176" t="s">
        <v>445</v>
      </c>
      <c r="Q176">
        <v>1</v>
      </c>
      <c r="X176">
        <v>2.77</v>
      </c>
      <c r="Y176">
        <v>0</v>
      </c>
      <c r="Z176">
        <v>0.73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22</v>
      </c>
      <c r="AG176">
        <v>3.0470000000000002</v>
      </c>
      <c r="AH176">
        <v>3</v>
      </c>
      <c r="AI176">
        <v>-1</v>
      </c>
      <c r="AJ176" t="s">
        <v>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ROW(Source!A109)</f>
        <v>109</v>
      </c>
      <c r="B177">
        <v>56616665</v>
      </c>
      <c r="C177">
        <v>56616659</v>
      </c>
      <c r="D177">
        <v>32913309</v>
      </c>
      <c r="E177">
        <v>1</v>
      </c>
      <c r="F177">
        <v>1</v>
      </c>
      <c r="G177">
        <v>27786564</v>
      </c>
      <c r="H177">
        <v>3</v>
      </c>
      <c r="I177" t="s">
        <v>544</v>
      </c>
      <c r="J177" t="s">
        <v>545</v>
      </c>
      <c r="K177" t="s">
        <v>546</v>
      </c>
      <c r="L177">
        <v>1348</v>
      </c>
      <c r="N177">
        <v>1009</v>
      </c>
      <c r="O177" t="s">
        <v>367</v>
      </c>
      <c r="P177" t="s">
        <v>367</v>
      </c>
      <c r="Q177">
        <v>1000</v>
      </c>
      <c r="X177">
        <v>1E-3</v>
      </c>
      <c r="Y177">
        <v>7254.88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3</v>
      </c>
      <c r="AG177">
        <v>1E-3</v>
      </c>
      <c r="AH177">
        <v>3</v>
      </c>
      <c r="AI177">
        <v>-1</v>
      </c>
      <c r="AJ177" t="s">
        <v>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ROW(Source!A109)</f>
        <v>109</v>
      </c>
      <c r="B178">
        <v>56616666</v>
      </c>
      <c r="C178">
        <v>56616659</v>
      </c>
      <c r="D178">
        <v>32913337</v>
      </c>
      <c r="E178">
        <v>1</v>
      </c>
      <c r="F178">
        <v>1</v>
      </c>
      <c r="G178">
        <v>27786564</v>
      </c>
      <c r="H178">
        <v>3</v>
      </c>
      <c r="I178" t="s">
        <v>547</v>
      </c>
      <c r="J178" t="s">
        <v>548</v>
      </c>
      <c r="K178" t="s">
        <v>549</v>
      </c>
      <c r="L178">
        <v>1348</v>
      </c>
      <c r="N178">
        <v>1009</v>
      </c>
      <c r="O178" t="s">
        <v>367</v>
      </c>
      <c r="P178" t="s">
        <v>367</v>
      </c>
      <c r="Q178">
        <v>1000</v>
      </c>
      <c r="X178">
        <v>0.01</v>
      </c>
      <c r="Y178">
        <v>9853.14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3</v>
      </c>
      <c r="AG178">
        <v>0.01</v>
      </c>
      <c r="AH178">
        <v>3</v>
      </c>
      <c r="AI178">
        <v>-1</v>
      </c>
      <c r="AJ178" t="s">
        <v>3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ROW(Source!A109)</f>
        <v>109</v>
      </c>
      <c r="B179">
        <v>56616667</v>
      </c>
      <c r="C179">
        <v>56616659</v>
      </c>
      <c r="D179">
        <v>46723495</v>
      </c>
      <c r="E179">
        <v>1</v>
      </c>
      <c r="F179">
        <v>1</v>
      </c>
      <c r="G179">
        <v>27786564</v>
      </c>
      <c r="H179">
        <v>3</v>
      </c>
      <c r="I179" t="s">
        <v>550</v>
      </c>
      <c r="J179" t="s">
        <v>551</v>
      </c>
      <c r="K179" t="s">
        <v>552</v>
      </c>
      <c r="L179">
        <v>1348</v>
      </c>
      <c r="N179">
        <v>1009</v>
      </c>
      <c r="O179" t="s">
        <v>367</v>
      </c>
      <c r="P179" t="s">
        <v>367</v>
      </c>
      <c r="Q179">
        <v>1000</v>
      </c>
      <c r="X179">
        <v>2.5000000000000001E-4</v>
      </c>
      <c r="Y179">
        <v>16222.39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3</v>
      </c>
      <c r="AG179">
        <v>2.5000000000000001E-4</v>
      </c>
      <c r="AH179">
        <v>3</v>
      </c>
      <c r="AI179">
        <v>-1</v>
      </c>
      <c r="AJ179" t="s">
        <v>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ROW(Source!A109)</f>
        <v>109</v>
      </c>
      <c r="B180">
        <v>56616668</v>
      </c>
      <c r="C180">
        <v>56616659</v>
      </c>
      <c r="D180">
        <v>46723498</v>
      </c>
      <c r="E180">
        <v>1</v>
      </c>
      <c r="F180">
        <v>1</v>
      </c>
      <c r="G180">
        <v>27786564</v>
      </c>
      <c r="H180">
        <v>3</v>
      </c>
      <c r="I180" t="s">
        <v>496</v>
      </c>
      <c r="J180" t="s">
        <v>497</v>
      </c>
      <c r="K180" t="s">
        <v>498</v>
      </c>
      <c r="L180">
        <v>1348</v>
      </c>
      <c r="N180">
        <v>1009</v>
      </c>
      <c r="O180" t="s">
        <v>367</v>
      </c>
      <c r="P180" t="s">
        <v>367</v>
      </c>
      <c r="Q180">
        <v>1000</v>
      </c>
      <c r="X180">
        <v>6.0000000000000002E-5</v>
      </c>
      <c r="Y180">
        <v>11242.42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 t="s">
        <v>3</v>
      </c>
      <c r="AG180">
        <v>6.0000000000000002E-5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ROW(Source!A109)</f>
        <v>109</v>
      </c>
      <c r="B181">
        <v>56616669</v>
      </c>
      <c r="C181">
        <v>56616659</v>
      </c>
      <c r="D181">
        <v>45796980</v>
      </c>
      <c r="E181">
        <v>1</v>
      </c>
      <c r="F181">
        <v>1</v>
      </c>
      <c r="G181">
        <v>27786564</v>
      </c>
      <c r="H181">
        <v>3</v>
      </c>
      <c r="I181" t="s">
        <v>499</v>
      </c>
      <c r="J181" t="s">
        <v>500</v>
      </c>
      <c r="K181" t="s">
        <v>501</v>
      </c>
      <c r="L181">
        <v>1346</v>
      </c>
      <c r="N181">
        <v>1009</v>
      </c>
      <c r="O181" t="s">
        <v>104</v>
      </c>
      <c r="P181" t="s">
        <v>104</v>
      </c>
      <c r="Q181">
        <v>1</v>
      </c>
      <c r="X181">
        <v>0.8</v>
      </c>
      <c r="Y181">
        <v>25.8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 t="s">
        <v>3</v>
      </c>
      <c r="AG181">
        <v>0.8</v>
      </c>
      <c r="AH181">
        <v>3</v>
      </c>
      <c r="AI181">
        <v>-1</v>
      </c>
      <c r="AJ181" t="s">
        <v>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ROW(Source!A109)</f>
        <v>109</v>
      </c>
      <c r="B182">
        <v>56616670</v>
      </c>
      <c r="C182">
        <v>56616659</v>
      </c>
      <c r="D182">
        <v>46723704</v>
      </c>
      <c r="E182">
        <v>1</v>
      </c>
      <c r="F182">
        <v>1</v>
      </c>
      <c r="G182">
        <v>27786564</v>
      </c>
      <c r="H182">
        <v>3</v>
      </c>
      <c r="I182" t="s">
        <v>505</v>
      </c>
      <c r="J182" t="s">
        <v>506</v>
      </c>
      <c r="K182" t="s">
        <v>507</v>
      </c>
      <c r="L182">
        <v>1348</v>
      </c>
      <c r="N182">
        <v>1009</v>
      </c>
      <c r="O182" t="s">
        <v>367</v>
      </c>
      <c r="P182" t="s">
        <v>367</v>
      </c>
      <c r="Q182">
        <v>1000</v>
      </c>
      <c r="X182">
        <v>4.0000000000000003E-5</v>
      </c>
      <c r="Y182">
        <v>7982.5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3</v>
      </c>
      <c r="AG182">
        <v>4.0000000000000003E-5</v>
      </c>
      <c r="AH182">
        <v>3</v>
      </c>
      <c r="AI182">
        <v>-1</v>
      </c>
      <c r="AJ182" t="s">
        <v>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ROW(Source!A109)</f>
        <v>109</v>
      </c>
      <c r="B183">
        <v>56616671</v>
      </c>
      <c r="C183">
        <v>56616659</v>
      </c>
      <c r="D183">
        <v>46735845</v>
      </c>
      <c r="E183">
        <v>1</v>
      </c>
      <c r="F183">
        <v>1</v>
      </c>
      <c r="G183">
        <v>27786564</v>
      </c>
      <c r="H183">
        <v>3</v>
      </c>
      <c r="I183" t="s">
        <v>508</v>
      </c>
      <c r="J183" t="s">
        <v>553</v>
      </c>
      <c r="K183" t="s">
        <v>510</v>
      </c>
      <c r="L183">
        <v>1356</v>
      </c>
      <c r="N183">
        <v>1010</v>
      </c>
      <c r="O183" t="s">
        <v>511</v>
      </c>
      <c r="P183" t="s">
        <v>511</v>
      </c>
      <c r="Q183">
        <v>1000</v>
      </c>
      <c r="X183">
        <v>4.1000000000000003E-3</v>
      </c>
      <c r="Y183">
        <v>226.68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3</v>
      </c>
      <c r="AG183">
        <v>4.1000000000000003E-3</v>
      </c>
      <c r="AH183">
        <v>3</v>
      </c>
      <c r="AI183">
        <v>-1</v>
      </c>
      <c r="AJ183" t="s">
        <v>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ROW(Source!A109)</f>
        <v>109</v>
      </c>
      <c r="B184">
        <v>56616672</v>
      </c>
      <c r="C184">
        <v>56616659</v>
      </c>
      <c r="D184">
        <v>46735506</v>
      </c>
      <c r="E184">
        <v>1</v>
      </c>
      <c r="F184">
        <v>1</v>
      </c>
      <c r="G184">
        <v>27786564</v>
      </c>
      <c r="H184">
        <v>3</v>
      </c>
      <c r="I184" t="s">
        <v>512</v>
      </c>
      <c r="J184" t="s">
        <v>513</v>
      </c>
      <c r="K184" t="s">
        <v>514</v>
      </c>
      <c r="L184">
        <v>1301</v>
      </c>
      <c r="N184">
        <v>1003</v>
      </c>
      <c r="O184" t="s">
        <v>55</v>
      </c>
      <c r="P184" t="s">
        <v>55</v>
      </c>
      <c r="Q184">
        <v>1</v>
      </c>
      <c r="X184">
        <v>0.96</v>
      </c>
      <c r="Y184">
        <v>0.7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3</v>
      </c>
      <c r="AG184">
        <v>0.96</v>
      </c>
      <c r="AH184">
        <v>3</v>
      </c>
      <c r="AI184">
        <v>-1</v>
      </c>
      <c r="AJ184" t="s">
        <v>3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ROW(Source!A109)</f>
        <v>109</v>
      </c>
      <c r="B185">
        <v>56616673</v>
      </c>
      <c r="C185">
        <v>56616659</v>
      </c>
      <c r="D185">
        <v>46735508</v>
      </c>
      <c r="E185">
        <v>1</v>
      </c>
      <c r="F185">
        <v>1</v>
      </c>
      <c r="G185">
        <v>27786564</v>
      </c>
      <c r="H185">
        <v>3</v>
      </c>
      <c r="I185" t="s">
        <v>515</v>
      </c>
      <c r="J185" t="s">
        <v>516</v>
      </c>
      <c r="K185" t="s">
        <v>517</v>
      </c>
      <c r="L185">
        <v>1356</v>
      </c>
      <c r="N185">
        <v>1010</v>
      </c>
      <c r="O185" t="s">
        <v>511</v>
      </c>
      <c r="P185" t="s">
        <v>511</v>
      </c>
      <c r="Q185">
        <v>1000</v>
      </c>
      <c r="X185">
        <v>8.3199999999999993E-3</v>
      </c>
      <c r="Y185">
        <v>6.44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3</v>
      </c>
      <c r="AG185">
        <v>8.3199999999999993E-3</v>
      </c>
      <c r="AH185">
        <v>3</v>
      </c>
      <c r="AI185">
        <v>-1</v>
      </c>
      <c r="AJ185" t="s">
        <v>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ROW(Source!A109)</f>
        <v>109</v>
      </c>
      <c r="B186">
        <v>56616674</v>
      </c>
      <c r="C186">
        <v>56616659</v>
      </c>
      <c r="D186">
        <v>49717618</v>
      </c>
      <c r="E186">
        <v>27786564</v>
      </c>
      <c r="F186">
        <v>1</v>
      </c>
      <c r="G186">
        <v>27786564</v>
      </c>
      <c r="H186">
        <v>3</v>
      </c>
      <c r="I186" t="s">
        <v>554</v>
      </c>
      <c r="J186" t="s">
        <v>3</v>
      </c>
      <c r="K186" t="s">
        <v>555</v>
      </c>
      <c r="L186">
        <v>1303</v>
      </c>
      <c r="N186">
        <v>1003</v>
      </c>
      <c r="O186" t="s">
        <v>556</v>
      </c>
      <c r="P186" t="s">
        <v>556</v>
      </c>
      <c r="Q186">
        <v>1000</v>
      </c>
      <c r="X186">
        <v>0.10199999999999999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3</v>
      </c>
      <c r="AG186">
        <v>0.10199999999999999</v>
      </c>
      <c r="AH186">
        <v>3</v>
      </c>
      <c r="AI186">
        <v>-1</v>
      </c>
      <c r="AJ186" t="s">
        <v>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ROW(Source!A110)</f>
        <v>110</v>
      </c>
      <c r="B187">
        <v>56616661</v>
      </c>
      <c r="C187">
        <v>56616659</v>
      </c>
      <c r="D187">
        <v>47634407</v>
      </c>
      <c r="E187">
        <v>27786564</v>
      </c>
      <c r="F187">
        <v>1</v>
      </c>
      <c r="G187">
        <v>27786564</v>
      </c>
      <c r="H187">
        <v>1</v>
      </c>
      <c r="I187" t="s">
        <v>439</v>
      </c>
      <c r="J187" t="s">
        <v>3</v>
      </c>
      <c r="K187" t="s">
        <v>440</v>
      </c>
      <c r="L187">
        <v>1191</v>
      </c>
      <c r="N187">
        <v>1013</v>
      </c>
      <c r="O187" t="s">
        <v>441</v>
      </c>
      <c r="P187" t="s">
        <v>441</v>
      </c>
      <c r="Q187">
        <v>1</v>
      </c>
      <c r="X187">
        <v>12.2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1</v>
      </c>
      <c r="AF187" t="s">
        <v>22</v>
      </c>
      <c r="AG187">
        <v>13.42</v>
      </c>
      <c r="AH187">
        <v>2</v>
      </c>
      <c r="AI187">
        <v>56616660</v>
      </c>
      <c r="AJ187">
        <v>96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ROW(Source!A110)</f>
        <v>110</v>
      </c>
      <c r="B188">
        <v>56616662</v>
      </c>
      <c r="C188">
        <v>56616659</v>
      </c>
      <c r="D188">
        <v>47767106</v>
      </c>
      <c r="E188">
        <v>1</v>
      </c>
      <c r="F188">
        <v>1</v>
      </c>
      <c r="G188">
        <v>27786564</v>
      </c>
      <c r="H188">
        <v>2</v>
      </c>
      <c r="I188" t="s">
        <v>487</v>
      </c>
      <c r="J188" t="s">
        <v>488</v>
      </c>
      <c r="K188" t="s">
        <v>489</v>
      </c>
      <c r="L188">
        <v>1368</v>
      </c>
      <c r="N188">
        <v>1011</v>
      </c>
      <c r="O188" t="s">
        <v>445</v>
      </c>
      <c r="P188" t="s">
        <v>445</v>
      </c>
      <c r="Q188">
        <v>1</v>
      </c>
      <c r="X188">
        <v>1.07</v>
      </c>
      <c r="Y188">
        <v>0</v>
      </c>
      <c r="Z188">
        <v>83.1</v>
      </c>
      <c r="AA188">
        <v>12.62</v>
      </c>
      <c r="AB188">
        <v>0</v>
      </c>
      <c r="AC188">
        <v>0</v>
      </c>
      <c r="AD188">
        <v>1</v>
      </c>
      <c r="AE188">
        <v>0</v>
      </c>
      <c r="AF188" t="s">
        <v>22</v>
      </c>
      <c r="AG188">
        <v>1.1770000000000003</v>
      </c>
      <c r="AH188">
        <v>3</v>
      </c>
      <c r="AI188">
        <v>-1</v>
      </c>
      <c r="AJ188" t="s">
        <v>3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ROW(Source!A110)</f>
        <v>110</v>
      </c>
      <c r="B189">
        <v>56616663</v>
      </c>
      <c r="C189">
        <v>56616659</v>
      </c>
      <c r="D189">
        <v>47766535</v>
      </c>
      <c r="E189">
        <v>1</v>
      </c>
      <c r="F189">
        <v>1</v>
      </c>
      <c r="G189">
        <v>27786564</v>
      </c>
      <c r="H189">
        <v>2</v>
      </c>
      <c r="I189" t="s">
        <v>541</v>
      </c>
      <c r="J189" t="s">
        <v>542</v>
      </c>
      <c r="K189" t="s">
        <v>543</v>
      </c>
      <c r="L189">
        <v>1368</v>
      </c>
      <c r="N189">
        <v>1011</v>
      </c>
      <c r="O189" t="s">
        <v>445</v>
      </c>
      <c r="P189" t="s">
        <v>445</v>
      </c>
      <c r="Q189">
        <v>1</v>
      </c>
      <c r="X189">
        <v>2.77</v>
      </c>
      <c r="Y189">
        <v>0</v>
      </c>
      <c r="Z189">
        <v>2.27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22</v>
      </c>
      <c r="AG189">
        <v>3.0470000000000002</v>
      </c>
      <c r="AH189">
        <v>3</v>
      </c>
      <c r="AI189">
        <v>-1</v>
      </c>
      <c r="AJ189" t="s">
        <v>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ROW(Source!A110)</f>
        <v>110</v>
      </c>
      <c r="B190">
        <v>56616664</v>
      </c>
      <c r="C190">
        <v>56616659</v>
      </c>
      <c r="D190">
        <v>47766545</v>
      </c>
      <c r="E190">
        <v>1</v>
      </c>
      <c r="F190">
        <v>1</v>
      </c>
      <c r="G190">
        <v>27786564</v>
      </c>
      <c r="H190">
        <v>2</v>
      </c>
      <c r="I190" t="s">
        <v>490</v>
      </c>
      <c r="J190" t="s">
        <v>491</v>
      </c>
      <c r="K190" t="s">
        <v>492</v>
      </c>
      <c r="L190">
        <v>1368</v>
      </c>
      <c r="N190">
        <v>1011</v>
      </c>
      <c r="O190" t="s">
        <v>445</v>
      </c>
      <c r="P190" t="s">
        <v>445</v>
      </c>
      <c r="Q190">
        <v>1</v>
      </c>
      <c r="X190">
        <v>2.77</v>
      </c>
      <c r="Y190">
        <v>0</v>
      </c>
      <c r="Z190">
        <v>0.73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22</v>
      </c>
      <c r="AG190">
        <v>3.0470000000000002</v>
      </c>
      <c r="AH190">
        <v>3</v>
      </c>
      <c r="AI190">
        <v>-1</v>
      </c>
      <c r="AJ190" t="s">
        <v>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ROW(Source!A110)</f>
        <v>110</v>
      </c>
      <c r="B191">
        <v>56616665</v>
      </c>
      <c r="C191">
        <v>56616659</v>
      </c>
      <c r="D191">
        <v>32913309</v>
      </c>
      <c r="E191">
        <v>1</v>
      </c>
      <c r="F191">
        <v>1</v>
      </c>
      <c r="G191">
        <v>27786564</v>
      </c>
      <c r="H191">
        <v>3</v>
      </c>
      <c r="I191" t="s">
        <v>544</v>
      </c>
      <c r="J191" t="s">
        <v>545</v>
      </c>
      <c r="K191" t="s">
        <v>546</v>
      </c>
      <c r="L191">
        <v>1348</v>
      </c>
      <c r="N191">
        <v>1009</v>
      </c>
      <c r="O191" t="s">
        <v>367</v>
      </c>
      <c r="P191" t="s">
        <v>367</v>
      </c>
      <c r="Q191">
        <v>1000</v>
      </c>
      <c r="X191">
        <v>1E-3</v>
      </c>
      <c r="Y191">
        <v>7254.88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3</v>
      </c>
      <c r="AG191">
        <v>1E-3</v>
      </c>
      <c r="AH191">
        <v>3</v>
      </c>
      <c r="AI191">
        <v>-1</v>
      </c>
      <c r="AJ191" t="s">
        <v>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ROW(Source!A110)</f>
        <v>110</v>
      </c>
      <c r="B192">
        <v>56616666</v>
      </c>
      <c r="C192">
        <v>56616659</v>
      </c>
      <c r="D192">
        <v>32913337</v>
      </c>
      <c r="E192">
        <v>1</v>
      </c>
      <c r="F192">
        <v>1</v>
      </c>
      <c r="G192">
        <v>27786564</v>
      </c>
      <c r="H192">
        <v>3</v>
      </c>
      <c r="I192" t="s">
        <v>547</v>
      </c>
      <c r="J192" t="s">
        <v>548</v>
      </c>
      <c r="K192" t="s">
        <v>549</v>
      </c>
      <c r="L192">
        <v>1348</v>
      </c>
      <c r="N192">
        <v>1009</v>
      </c>
      <c r="O192" t="s">
        <v>367</v>
      </c>
      <c r="P192" t="s">
        <v>367</v>
      </c>
      <c r="Q192">
        <v>1000</v>
      </c>
      <c r="X192">
        <v>0.01</v>
      </c>
      <c r="Y192">
        <v>9853.14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3</v>
      </c>
      <c r="AG192">
        <v>0.01</v>
      </c>
      <c r="AH192">
        <v>3</v>
      </c>
      <c r="AI192">
        <v>-1</v>
      </c>
      <c r="AJ192" t="s">
        <v>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ROW(Source!A110)</f>
        <v>110</v>
      </c>
      <c r="B193">
        <v>56616667</v>
      </c>
      <c r="C193">
        <v>56616659</v>
      </c>
      <c r="D193">
        <v>46723495</v>
      </c>
      <c r="E193">
        <v>1</v>
      </c>
      <c r="F193">
        <v>1</v>
      </c>
      <c r="G193">
        <v>27786564</v>
      </c>
      <c r="H193">
        <v>3</v>
      </c>
      <c r="I193" t="s">
        <v>550</v>
      </c>
      <c r="J193" t="s">
        <v>551</v>
      </c>
      <c r="K193" t="s">
        <v>552</v>
      </c>
      <c r="L193">
        <v>1348</v>
      </c>
      <c r="N193">
        <v>1009</v>
      </c>
      <c r="O193" t="s">
        <v>367</v>
      </c>
      <c r="P193" t="s">
        <v>367</v>
      </c>
      <c r="Q193">
        <v>1000</v>
      </c>
      <c r="X193">
        <v>2.5000000000000001E-4</v>
      </c>
      <c r="Y193">
        <v>16222.39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3</v>
      </c>
      <c r="AG193">
        <v>2.5000000000000001E-4</v>
      </c>
      <c r="AH193">
        <v>3</v>
      </c>
      <c r="AI193">
        <v>-1</v>
      </c>
      <c r="AJ193" t="s">
        <v>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ROW(Source!A110)</f>
        <v>110</v>
      </c>
      <c r="B194">
        <v>56616668</v>
      </c>
      <c r="C194">
        <v>56616659</v>
      </c>
      <c r="D194">
        <v>46723498</v>
      </c>
      <c r="E194">
        <v>1</v>
      </c>
      <c r="F194">
        <v>1</v>
      </c>
      <c r="G194">
        <v>27786564</v>
      </c>
      <c r="H194">
        <v>3</v>
      </c>
      <c r="I194" t="s">
        <v>496</v>
      </c>
      <c r="J194" t="s">
        <v>497</v>
      </c>
      <c r="K194" t="s">
        <v>498</v>
      </c>
      <c r="L194">
        <v>1348</v>
      </c>
      <c r="N194">
        <v>1009</v>
      </c>
      <c r="O194" t="s">
        <v>367</v>
      </c>
      <c r="P194" t="s">
        <v>367</v>
      </c>
      <c r="Q194">
        <v>1000</v>
      </c>
      <c r="X194">
        <v>6.0000000000000002E-5</v>
      </c>
      <c r="Y194">
        <v>11242.42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3</v>
      </c>
      <c r="AG194">
        <v>6.0000000000000002E-5</v>
      </c>
      <c r="AH194">
        <v>3</v>
      </c>
      <c r="AI194">
        <v>-1</v>
      </c>
      <c r="AJ194" t="s">
        <v>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ROW(Source!A110)</f>
        <v>110</v>
      </c>
      <c r="B195">
        <v>56616669</v>
      </c>
      <c r="C195">
        <v>56616659</v>
      </c>
      <c r="D195">
        <v>45796980</v>
      </c>
      <c r="E195">
        <v>1</v>
      </c>
      <c r="F195">
        <v>1</v>
      </c>
      <c r="G195">
        <v>27786564</v>
      </c>
      <c r="H195">
        <v>3</v>
      </c>
      <c r="I195" t="s">
        <v>499</v>
      </c>
      <c r="J195" t="s">
        <v>500</v>
      </c>
      <c r="K195" t="s">
        <v>501</v>
      </c>
      <c r="L195">
        <v>1346</v>
      </c>
      <c r="N195">
        <v>1009</v>
      </c>
      <c r="O195" t="s">
        <v>104</v>
      </c>
      <c r="P195" t="s">
        <v>104</v>
      </c>
      <c r="Q195">
        <v>1</v>
      </c>
      <c r="X195">
        <v>0.8</v>
      </c>
      <c r="Y195">
        <v>25.8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3</v>
      </c>
      <c r="AG195">
        <v>0.8</v>
      </c>
      <c r="AH195">
        <v>3</v>
      </c>
      <c r="AI195">
        <v>-1</v>
      </c>
      <c r="AJ195" t="s">
        <v>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ROW(Source!A110)</f>
        <v>110</v>
      </c>
      <c r="B196">
        <v>56616670</v>
      </c>
      <c r="C196">
        <v>56616659</v>
      </c>
      <c r="D196">
        <v>46723704</v>
      </c>
      <c r="E196">
        <v>1</v>
      </c>
      <c r="F196">
        <v>1</v>
      </c>
      <c r="G196">
        <v>27786564</v>
      </c>
      <c r="H196">
        <v>3</v>
      </c>
      <c r="I196" t="s">
        <v>505</v>
      </c>
      <c r="J196" t="s">
        <v>506</v>
      </c>
      <c r="K196" t="s">
        <v>507</v>
      </c>
      <c r="L196">
        <v>1348</v>
      </c>
      <c r="N196">
        <v>1009</v>
      </c>
      <c r="O196" t="s">
        <v>367</v>
      </c>
      <c r="P196" t="s">
        <v>367</v>
      </c>
      <c r="Q196">
        <v>1000</v>
      </c>
      <c r="X196">
        <v>4.0000000000000003E-5</v>
      </c>
      <c r="Y196">
        <v>7982.5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3</v>
      </c>
      <c r="AG196">
        <v>4.0000000000000003E-5</v>
      </c>
      <c r="AH196">
        <v>3</v>
      </c>
      <c r="AI196">
        <v>-1</v>
      </c>
      <c r="AJ196" t="s">
        <v>3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ROW(Source!A110)</f>
        <v>110</v>
      </c>
      <c r="B197">
        <v>56616671</v>
      </c>
      <c r="C197">
        <v>56616659</v>
      </c>
      <c r="D197">
        <v>46735845</v>
      </c>
      <c r="E197">
        <v>1</v>
      </c>
      <c r="F197">
        <v>1</v>
      </c>
      <c r="G197">
        <v>27786564</v>
      </c>
      <c r="H197">
        <v>3</v>
      </c>
      <c r="I197" t="s">
        <v>508</v>
      </c>
      <c r="J197" t="s">
        <v>553</v>
      </c>
      <c r="K197" t="s">
        <v>510</v>
      </c>
      <c r="L197">
        <v>1356</v>
      </c>
      <c r="N197">
        <v>1010</v>
      </c>
      <c r="O197" t="s">
        <v>511</v>
      </c>
      <c r="P197" t="s">
        <v>511</v>
      </c>
      <c r="Q197">
        <v>1000</v>
      </c>
      <c r="X197">
        <v>4.1000000000000003E-3</v>
      </c>
      <c r="Y197">
        <v>226.68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3</v>
      </c>
      <c r="AG197">
        <v>4.1000000000000003E-3</v>
      </c>
      <c r="AH197">
        <v>3</v>
      </c>
      <c r="AI197">
        <v>-1</v>
      </c>
      <c r="AJ197" t="s">
        <v>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ROW(Source!A110)</f>
        <v>110</v>
      </c>
      <c r="B198">
        <v>56616672</v>
      </c>
      <c r="C198">
        <v>56616659</v>
      </c>
      <c r="D198">
        <v>46735506</v>
      </c>
      <c r="E198">
        <v>1</v>
      </c>
      <c r="F198">
        <v>1</v>
      </c>
      <c r="G198">
        <v>27786564</v>
      </c>
      <c r="H198">
        <v>3</v>
      </c>
      <c r="I198" t="s">
        <v>512</v>
      </c>
      <c r="J198" t="s">
        <v>513</v>
      </c>
      <c r="K198" t="s">
        <v>514</v>
      </c>
      <c r="L198">
        <v>1301</v>
      </c>
      <c r="N198">
        <v>1003</v>
      </c>
      <c r="O198" t="s">
        <v>55</v>
      </c>
      <c r="P198" t="s">
        <v>55</v>
      </c>
      <c r="Q198">
        <v>1</v>
      </c>
      <c r="X198">
        <v>0.96</v>
      </c>
      <c r="Y198">
        <v>0.7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3</v>
      </c>
      <c r="AG198">
        <v>0.96</v>
      </c>
      <c r="AH198">
        <v>3</v>
      </c>
      <c r="AI198">
        <v>-1</v>
      </c>
      <c r="AJ198" t="s">
        <v>3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ROW(Source!A110)</f>
        <v>110</v>
      </c>
      <c r="B199">
        <v>56616673</v>
      </c>
      <c r="C199">
        <v>56616659</v>
      </c>
      <c r="D199">
        <v>46735508</v>
      </c>
      <c r="E199">
        <v>1</v>
      </c>
      <c r="F199">
        <v>1</v>
      </c>
      <c r="G199">
        <v>27786564</v>
      </c>
      <c r="H199">
        <v>3</v>
      </c>
      <c r="I199" t="s">
        <v>515</v>
      </c>
      <c r="J199" t="s">
        <v>516</v>
      </c>
      <c r="K199" t="s">
        <v>517</v>
      </c>
      <c r="L199">
        <v>1356</v>
      </c>
      <c r="N199">
        <v>1010</v>
      </c>
      <c r="O199" t="s">
        <v>511</v>
      </c>
      <c r="P199" t="s">
        <v>511</v>
      </c>
      <c r="Q199">
        <v>1000</v>
      </c>
      <c r="X199">
        <v>8.3199999999999993E-3</v>
      </c>
      <c r="Y199">
        <v>6.44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3</v>
      </c>
      <c r="AG199">
        <v>8.3199999999999993E-3</v>
      </c>
      <c r="AH199">
        <v>3</v>
      </c>
      <c r="AI199">
        <v>-1</v>
      </c>
      <c r="AJ199" t="s">
        <v>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ROW(Source!A110)</f>
        <v>110</v>
      </c>
      <c r="B200">
        <v>56616674</v>
      </c>
      <c r="C200">
        <v>56616659</v>
      </c>
      <c r="D200">
        <v>49717618</v>
      </c>
      <c r="E200">
        <v>27786564</v>
      </c>
      <c r="F200">
        <v>1</v>
      </c>
      <c r="G200">
        <v>27786564</v>
      </c>
      <c r="H200">
        <v>3</v>
      </c>
      <c r="I200" t="s">
        <v>554</v>
      </c>
      <c r="J200" t="s">
        <v>3</v>
      </c>
      <c r="K200" t="s">
        <v>555</v>
      </c>
      <c r="L200">
        <v>1303</v>
      </c>
      <c r="N200">
        <v>1003</v>
      </c>
      <c r="O200" t="s">
        <v>556</v>
      </c>
      <c r="P200" t="s">
        <v>556</v>
      </c>
      <c r="Q200">
        <v>1000</v>
      </c>
      <c r="X200">
        <v>0.10199999999999999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3</v>
      </c>
      <c r="AG200">
        <v>0.10199999999999999</v>
      </c>
      <c r="AH200">
        <v>3</v>
      </c>
      <c r="AI200">
        <v>-1</v>
      </c>
      <c r="AJ200" t="s">
        <v>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ROW(Source!A111)</f>
        <v>111</v>
      </c>
      <c r="B201">
        <v>56616677</v>
      </c>
      <c r="C201">
        <v>56616675</v>
      </c>
      <c r="D201">
        <v>47634407</v>
      </c>
      <c r="E201">
        <v>27786564</v>
      </c>
      <c r="F201">
        <v>1</v>
      </c>
      <c r="G201">
        <v>27786564</v>
      </c>
      <c r="H201">
        <v>1</v>
      </c>
      <c r="I201" t="s">
        <v>439</v>
      </c>
      <c r="J201" t="s">
        <v>3</v>
      </c>
      <c r="K201" t="s">
        <v>440</v>
      </c>
      <c r="L201">
        <v>1191</v>
      </c>
      <c r="N201">
        <v>1013</v>
      </c>
      <c r="O201" t="s">
        <v>441</v>
      </c>
      <c r="P201" t="s">
        <v>441</v>
      </c>
      <c r="Q201">
        <v>1</v>
      </c>
      <c r="X201">
        <v>12.2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1</v>
      </c>
      <c r="AF201" t="s">
        <v>22</v>
      </c>
      <c r="AG201">
        <v>13.42</v>
      </c>
      <c r="AH201">
        <v>2</v>
      </c>
      <c r="AI201">
        <v>56616676</v>
      </c>
      <c r="AJ201">
        <v>97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ROW(Source!A111)</f>
        <v>111</v>
      </c>
      <c r="B202">
        <v>56616678</v>
      </c>
      <c r="C202">
        <v>56616675</v>
      </c>
      <c r="D202">
        <v>47767106</v>
      </c>
      <c r="E202">
        <v>1</v>
      </c>
      <c r="F202">
        <v>1</v>
      </c>
      <c r="G202">
        <v>27786564</v>
      </c>
      <c r="H202">
        <v>2</v>
      </c>
      <c r="I202" t="s">
        <v>487</v>
      </c>
      <c r="J202" t="s">
        <v>488</v>
      </c>
      <c r="K202" t="s">
        <v>489</v>
      </c>
      <c r="L202">
        <v>1368</v>
      </c>
      <c r="N202">
        <v>1011</v>
      </c>
      <c r="O202" t="s">
        <v>445</v>
      </c>
      <c r="P202" t="s">
        <v>445</v>
      </c>
      <c r="Q202">
        <v>1</v>
      </c>
      <c r="X202">
        <v>1.07</v>
      </c>
      <c r="Y202">
        <v>0</v>
      </c>
      <c r="Z202">
        <v>83.1</v>
      </c>
      <c r="AA202">
        <v>12.62</v>
      </c>
      <c r="AB202">
        <v>0</v>
      </c>
      <c r="AC202">
        <v>0</v>
      </c>
      <c r="AD202">
        <v>1</v>
      </c>
      <c r="AE202">
        <v>0</v>
      </c>
      <c r="AF202" t="s">
        <v>22</v>
      </c>
      <c r="AG202">
        <v>1.1770000000000003</v>
      </c>
      <c r="AH202">
        <v>3</v>
      </c>
      <c r="AI202">
        <v>-1</v>
      </c>
      <c r="AJ202" t="s">
        <v>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ROW(Source!A111)</f>
        <v>111</v>
      </c>
      <c r="B203">
        <v>56616679</v>
      </c>
      <c r="C203">
        <v>56616675</v>
      </c>
      <c r="D203">
        <v>47766535</v>
      </c>
      <c r="E203">
        <v>1</v>
      </c>
      <c r="F203">
        <v>1</v>
      </c>
      <c r="G203">
        <v>27786564</v>
      </c>
      <c r="H203">
        <v>2</v>
      </c>
      <c r="I203" t="s">
        <v>541</v>
      </c>
      <c r="J203" t="s">
        <v>542</v>
      </c>
      <c r="K203" t="s">
        <v>543</v>
      </c>
      <c r="L203">
        <v>1368</v>
      </c>
      <c r="N203">
        <v>1011</v>
      </c>
      <c r="O203" t="s">
        <v>445</v>
      </c>
      <c r="P203" t="s">
        <v>445</v>
      </c>
      <c r="Q203">
        <v>1</v>
      </c>
      <c r="X203">
        <v>2.77</v>
      </c>
      <c r="Y203">
        <v>0</v>
      </c>
      <c r="Z203">
        <v>2.27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22</v>
      </c>
      <c r="AG203">
        <v>3.0470000000000002</v>
      </c>
      <c r="AH203">
        <v>3</v>
      </c>
      <c r="AI203">
        <v>-1</v>
      </c>
      <c r="AJ203" t="s">
        <v>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ROW(Source!A111)</f>
        <v>111</v>
      </c>
      <c r="B204">
        <v>56616680</v>
      </c>
      <c r="C204">
        <v>56616675</v>
      </c>
      <c r="D204">
        <v>47766545</v>
      </c>
      <c r="E204">
        <v>1</v>
      </c>
      <c r="F204">
        <v>1</v>
      </c>
      <c r="G204">
        <v>27786564</v>
      </c>
      <c r="H204">
        <v>2</v>
      </c>
      <c r="I204" t="s">
        <v>490</v>
      </c>
      <c r="J204" t="s">
        <v>491</v>
      </c>
      <c r="K204" t="s">
        <v>492</v>
      </c>
      <c r="L204">
        <v>1368</v>
      </c>
      <c r="N204">
        <v>1011</v>
      </c>
      <c r="O204" t="s">
        <v>445</v>
      </c>
      <c r="P204" t="s">
        <v>445</v>
      </c>
      <c r="Q204">
        <v>1</v>
      </c>
      <c r="X204">
        <v>2.77</v>
      </c>
      <c r="Y204">
        <v>0</v>
      </c>
      <c r="Z204">
        <v>0.73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22</v>
      </c>
      <c r="AG204">
        <v>3.0470000000000002</v>
      </c>
      <c r="AH204">
        <v>3</v>
      </c>
      <c r="AI204">
        <v>-1</v>
      </c>
      <c r="AJ204" t="s">
        <v>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ROW(Source!A111)</f>
        <v>111</v>
      </c>
      <c r="B205">
        <v>56616681</v>
      </c>
      <c r="C205">
        <v>56616675</v>
      </c>
      <c r="D205">
        <v>32913309</v>
      </c>
      <c r="E205">
        <v>1</v>
      </c>
      <c r="F205">
        <v>1</v>
      </c>
      <c r="G205">
        <v>27786564</v>
      </c>
      <c r="H205">
        <v>3</v>
      </c>
      <c r="I205" t="s">
        <v>544</v>
      </c>
      <c r="J205" t="s">
        <v>545</v>
      </c>
      <c r="K205" t="s">
        <v>546</v>
      </c>
      <c r="L205">
        <v>1348</v>
      </c>
      <c r="N205">
        <v>1009</v>
      </c>
      <c r="O205" t="s">
        <v>367</v>
      </c>
      <c r="P205" t="s">
        <v>367</v>
      </c>
      <c r="Q205">
        <v>1000</v>
      </c>
      <c r="X205">
        <v>1E-3</v>
      </c>
      <c r="Y205">
        <v>7254.88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3</v>
      </c>
      <c r="AG205">
        <v>1E-3</v>
      </c>
      <c r="AH205">
        <v>3</v>
      </c>
      <c r="AI205">
        <v>-1</v>
      </c>
      <c r="AJ205" t="s">
        <v>3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ROW(Source!A111)</f>
        <v>111</v>
      </c>
      <c r="B206">
        <v>56616682</v>
      </c>
      <c r="C206">
        <v>56616675</v>
      </c>
      <c r="D206">
        <v>32913337</v>
      </c>
      <c r="E206">
        <v>1</v>
      </c>
      <c r="F206">
        <v>1</v>
      </c>
      <c r="G206">
        <v>27786564</v>
      </c>
      <c r="H206">
        <v>3</v>
      </c>
      <c r="I206" t="s">
        <v>547</v>
      </c>
      <c r="J206" t="s">
        <v>548</v>
      </c>
      <c r="K206" t="s">
        <v>549</v>
      </c>
      <c r="L206">
        <v>1348</v>
      </c>
      <c r="N206">
        <v>1009</v>
      </c>
      <c r="O206" t="s">
        <v>367</v>
      </c>
      <c r="P206" t="s">
        <v>367</v>
      </c>
      <c r="Q206">
        <v>1000</v>
      </c>
      <c r="X206">
        <v>0.01</v>
      </c>
      <c r="Y206">
        <v>9853.14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3</v>
      </c>
      <c r="AG206">
        <v>0.01</v>
      </c>
      <c r="AH206">
        <v>3</v>
      </c>
      <c r="AI206">
        <v>-1</v>
      </c>
      <c r="AJ206" t="s">
        <v>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ROW(Source!A111)</f>
        <v>111</v>
      </c>
      <c r="B207">
        <v>56616683</v>
      </c>
      <c r="C207">
        <v>56616675</v>
      </c>
      <c r="D207">
        <v>46723495</v>
      </c>
      <c r="E207">
        <v>1</v>
      </c>
      <c r="F207">
        <v>1</v>
      </c>
      <c r="G207">
        <v>27786564</v>
      </c>
      <c r="H207">
        <v>3</v>
      </c>
      <c r="I207" t="s">
        <v>550</v>
      </c>
      <c r="J207" t="s">
        <v>551</v>
      </c>
      <c r="K207" t="s">
        <v>552</v>
      </c>
      <c r="L207">
        <v>1348</v>
      </c>
      <c r="N207">
        <v>1009</v>
      </c>
      <c r="O207" t="s">
        <v>367</v>
      </c>
      <c r="P207" t="s">
        <v>367</v>
      </c>
      <c r="Q207">
        <v>1000</v>
      </c>
      <c r="X207">
        <v>2.5000000000000001E-4</v>
      </c>
      <c r="Y207">
        <v>16222.39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3</v>
      </c>
      <c r="AG207">
        <v>2.5000000000000001E-4</v>
      </c>
      <c r="AH207">
        <v>3</v>
      </c>
      <c r="AI207">
        <v>-1</v>
      </c>
      <c r="AJ207" t="s">
        <v>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ROW(Source!A111)</f>
        <v>111</v>
      </c>
      <c r="B208">
        <v>56616684</v>
      </c>
      <c r="C208">
        <v>56616675</v>
      </c>
      <c r="D208">
        <v>46723498</v>
      </c>
      <c r="E208">
        <v>1</v>
      </c>
      <c r="F208">
        <v>1</v>
      </c>
      <c r="G208">
        <v>27786564</v>
      </c>
      <c r="H208">
        <v>3</v>
      </c>
      <c r="I208" t="s">
        <v>496</v>
      </c>
      <c r="J208" t="s">
        <v>497</v>
      </c>
      <c r="K208" t="s">
        <v>498</v>
      </c>
      <c r="L208">
        <v>1348</v>
      </c>
      <c r="N208">
        <v>1009</v>
      </c>
      <c r="O208" t="s">
        <v>367</v>
      </c>
      <c r="P208" t="s">
        <v>367</v>
      </c>
      <c r="Q208">
        <v>1000</v>
      </c>
      <c r="X208">
        <v>6.0000000000000002E-5</v>
      </c>
      <c r="Y208">
        <v>11242.42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3</v>
      </c>
      <c r="AG208">
        <v>6.0000000000000002E-5</v>
      </c>
      <c r="AH208">
        <v>3</v>
      </c>
      <c r="AI208">
        <v>-1</v>
      </c>
      <c r="AJ208" t="s">
        <v>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ROW(Source!A111)</f>
        <v>111</v>
      </c>
      <c r="B209">
        <v>56616685</v>
      </c>
      <c r="C209">
        <v>56616675</v>
      </c>
      <c r="D209">
        <v>45796980</v>
      </c>
      <c r="E209">
        <v>1</v>
      </c>
      <c r="F209">
        <v>1</v>
      </c>
      <c r="G209">
        <v>27786564</v>
      </c>
      <c r="H209">
        <v>3</v>
      </c>
      <c r="I209" t="s">
        <v>499</v>
      </c>
      <c r="J209" t="s">
        <v>500</v>
      </c>
      <c r="K209" t="s">
        <v>501</v>
      </c>
      <c r="L209">
        <v>1346</v>
      </c>
      <c r="N209">
        <v>1009</v>
      </c>
      <c r="O209" t="s">
        <v>104</v>
      </c>
      <c r="P209" t="s">
        <v>104</v>
      </c>
      <c r="Q209">
        <v>1</v>
      </c>
      <c r="X209">
        <v>0.8</v>
      </c>
      <c r="Y209">
        <v>25.8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3</v>
      </c>
      <c r="AG209">
        <v>0.8</v>
      </c>
      <c r="AH209">
        <v>3</v>
      </c>
      <c r="AI209">
        <v>-1</v>
      </c>
      <c r="AJ209" t="s">
        <v>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ROW(Source!A111)</f>
        <v>111</v>
      </c>
      <c r="B210">
        <v>56616686</v>
      </c>
      <c r="C210">
        <v>56616675</v>
      </c>
      <c r="D210">
        <v>46723704</v>
      </c>
      <c r="E210">
        <v>1</v>
      </c>
      <c r="F210">
        <v>1</v>
      </c>
      <c r="G210">
        <v>27786564</v>
      </c>
      <c r="H210">
        <v>3</v>
      </c>
      <c r="I210" t="s">
        <v>505</v>
      </c>
      <c r="J210" t="s">
        <v>506</v>
      </c>
      <c r="K210" t="s">
        <v>507</v>
      </c>
      <c r="L210">
        <v>1348</v>
      </c>
      <c r="N210">
        <v>1009</v>
      </c>
      <c r="O210" t="s">
        <v>367</v>
      </c>
      <c r="P210" t="s">
        <v>367</v>
      </c>
      <c r="Q210">
        <v>1000</v>
      </c>
      <c r="X210">
        <v>4.0000000000000003E-5</v>
      </c>
      <c r="Y210">
        <v>7982.5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 t="s">
        <v>3</v>
      </c>
      <c r="AG210">
        <v>4.0000000000000003E-5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ROW(Source!A111)</f>
        <v>111</v>
      </c>
      <c r="B211">
        <v>56616687</v>
      </c>
      <c r="C211">
        <v>56616675</v>
      </c>
      <c r="D211">
        <v>46735845</v>
      </c>
      <c r="E211">
        <v>1</v>
      </c>
      <c r="F211">
        <v>1</v>
      </c>
      <c r="G211">
        <v>27786564</v>
      </c>
      <c r="H211">
        <v>3</v>
      </c>
      <c r="I211" t="s">
        <v>508</v>
      </c>
      <c r="J211" t="s">
        <v>553</v>
      </c>
      <c r="K211" t="s">
        <v>510</v>
      </c>
      <c r="L211">
        <v>1356</v>
      </c>
      <c r="N211">
        <v>1010</v>
      </c>
      <c r="O211" t="s">
        <v>511</v>
      </c>
      <c r="P211" t="s">
        <v>511</v>
      </c>
      <c r="Q211">
        <v>1000</v>
      </c>
      <c r="X211">
        <v>4.1000000000000003E-3</v>
      </c>
      <c r="Y211">
        <v>226.68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 t="s">
        <v>3</v>
      </c>
      <c r="AG211">
        <v>4.1000000000000003E-3</v>
      </c>
      <c r="AH211">
        <v>3</v>
      </c>
      <c r="AI211">
        <v>-1</v>
      </c>
      <c r="AJ211" t="s">
        <v>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ROW(Source!A111)</f>
        <v>111</v>
      </c>
      <c r="B212">
        <v>56616688</v>
      </c>
      <c r="C212">
        <v>56616675</v>
      </c>
      <c r="D212">
        <v>46735506</v>
      </c>
      <c r="E212">
        <v>1</v>
      </c>
      <c r="F212">
        <v>1</v>
      </c>
      <c r="G212">
        <v>27786564</v>
      </c>
      <c r="H212">
        <v>3</v>
      </c>
      <c r="I212" t="s">
        <v>512</v>
      </c>
      <c r="J212" t="s">
        <v>513</v>
      </c>
      <c r="K212" t="s">
        <v>514</v>
      </c>
      <c r="L212">
        <v>1301</v>
      </c>
      <c r="N212">
        <v>1003</v>
      </c>
      <c r="O212" t="s">
        <v>55</v>
      </c>
      <c r="P212" t="s">
        <v>55</v>
      </c>
      <c r="Q212">
        <v>1</v>
      </c>
      <c r="X212">
        <v>0.96</v>
      </c>
      <c r="Y212">
        <v>0.7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3</v>
      </c>
      <c r="AG212">
        <v>0.96</v>
      </c>
      <c r="AH212">
        <v>3</v>
      </c>
      <c r="AI212">
        <v>-1</v>
      </c>
      <c r="AJ212" t="s">
        <v>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ROW(Source!A111)</f>
        <v>111</v>
      </c>
      <c r="B213">
        <v>56616689</v>
      </c>
      <c r="C213">
        <v>56616675</v>
      </c>
      <c r="D213">
        <v>46735508</v>
      </c>
      <c r="E213">
        <v>1</v>
      </c>
      <c r="F213">
        <v>1</v>
      </c>
      <c r="G213">
        <v>27786564</v>
      </c>
      <c r="H213">
        <v>3</v>
      </c>
      <c r="I213" t="s">
        <v>515</v>
      </c>
      <c r="J213" t="s">
        <v>516</v>
      </c>
      <c r="K213" t="s">
        <v>517</v>
      </c>
      <c r="L213">
        <v>1356</v>
      </c>
      <c r="N213">
        <v>1010</v>
      </c>
      <c r="O213" t="s">
        <v>511</v>
      </c>
      <c r="P213" t="s">
        <v>511</v>
      </c>
      <c r="Q213">
        <v>1000</v>
      </c>
      <c r="X213">
        <v>8.3199999999999993E-3</v>
      </c>
      <c r="Y213">
        <v>6.44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3</v>
      </c>
      <c r="AG213">
        <v>8.3199999999999993E-3</v>
      </c>
      <c r="AH213">
        <v>3</v>
      </c>
      <c r="AI213">
        <v>-1</v>
      </c>
      <c r="AJ213" t="s">
        <v>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ROW(Source!A111)</f>
        <v>111</v>
      </c>
      <c r="B214">
        <v>56616690</v>
      </c>
      <c r="C214">
        <v>56616675</v>
      </c>
      <c r="D214">
        <v>49717618</v>
      </c>
      <c r="E214">
        <v>27786564</v>
      </c>
      <c r="F214">
        <v>1</v>
      </c>
      <c r="G214">
        <v>27786564</v>
      </c>
      <c r="H214">
        <v>3</v>
      </c>
      <c r="I214" t="s">
        <v>554</v>
      </c>
      <c r="J214" t="s">
        <v>3</v>
      </c>
      <c r="K214" t="s">
        <v>555</v>
      </c>
      <c r="L214">
        <v>1303</v>
      </c>
      <c r="N214">
        <v>1003</v>
      </c>
      <c r="O214" t="s">
        <v>556</v>
      </c>
      <c r="P214" t="s">
        <v>556</v>
      </c>
      <c r="Q214">
        <v>1000</v>
      </c>
      <c r="X214">
        <v>0.10199999999999999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3</v>
      </c>
      <c r="AG214">
        <v>0.10199999999999999</v>
      </c>
      <c r="AH214">
        <v>3</v>
      </c>
      <c r="AI214">
        <v>-1</v>
      </c>
      <c r="AJ214" t="s">
        <v>3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ROW(Source!A112)</f>
        <v>112</v>
      </c>
      <c r="B215">
        <v>56616677</v>
      </c>
      <c r="C215">
        <v>56616675</v>
      </c>
      <c r="D215">
        <v>47634407</v>
      </c>
      <c r="E215">
        <v>27786564</v>
      </c>
      <c r="F215">
        <v>1</v>
      </c>
      <c r="G215">
        <v>27786564</v>
      </c>
      <c r="H215">
        <v>1</v>
      </c>
      <c r="I215" t="s">
        <v>439</v>
      </c>
      <c r="J215" t="s">
        <v>3</v>
      </c>
      <c r="K215" t="s">
        <v>440</v>
      </c>
      <c r="L215">
        <v>1191</v>
      </c>
      <c r="N215">
        <v>1013</v>
      </c>
      <c r="O215" t="s">
        <v>441</v>
      </c>
      <c r="P215" t="s">
        <v>441</v>
      </c>
      <c r="Q215">
        <v>1</v>
      </c>
      <c r="X215">
        <v>12.2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1</v>
      </c>
      <c r="AF215" t="s">
        <v>22</v>
      </c>
      <c r="AG215">
        <v>13.42</v>
      </c>
      <c r="AH215">
        <v>2</v>
      </c>
      <c r="AI215">
        <v>56616676</v>
      </c>
      <c r="AJ215">
        <v>98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ROW(Source!A112)</f>
        <v>112</v>
      </c>
      <c r="B216">
        <v>56616678</v>
      </c>
      <c r="C216">
        <v>56616675</v>
      </c>
      <c r="D216">
        <v>47767106</v>
      </c>
      <c r="E216">
        <v>1</v>
      </c>
      <c r="F216">
        <v>1</v>
      </c>
      <c r="G216">
        <v>27786564</v>
      </c>
      <c r="H216">
        <v>2</v>
      </c>
      <c r="I216" t="s">
        <v>487</v>
      </c>
      <c r="J216" t="s">
        <v>488</v>
      </c>
      <c r="K216" t="s">
        <v>489</v>
      </c>
      <c r="L216">
        <v>1368</v>
      </c>
      <c r="N216">
        <v>1011</v>
      </c>
      <c r="O216" t="s">
        <v>445</v>
      </c>
      <c r="P216" t="s">
        <v>445</v>
      </c>
      <c r="Q216">
        <v>1</v>
      </c>
      <c r="X216">
        <v>1.07</v>
      </c>
      <c r="Y216">
        <v>0</v>
      </c>
      <c r="Z216">
        <v>83.1</v>
      </c>
      <c r="AA216">
        <v>12.62</v>
      </c>
      <c r="AB216">
        <v>0</v>
      </c>
      <c r="AC216">
        <v>0</v>
      </c>
      <c r="AD216">
        <v>1</v>
      </c>
      <c r="AE216">
        <v>0</v>
      </c>
      <c r="AF216" t="s">
        <v>22</v>
      </c>
      <c r="AG216">
        <v>1.1770000000000003</v>
      </c>
      <c r="AH216">
        <v>3</v>
      </c>
      <c r="AI216">
        <v>-1</v>
      </c>
      <c r="AJ216" t="s">
        <v>3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ROW(Source!A112)</f>
        <v>112</v>
      </c>
      <c r="B217">
        <v>56616679</v>
      </c>
      <c r="C217">
        <v>56616675</v>
      </c>
      <c r="D217">
        <v>47766535</v>
      </c>
      <c r="E217">
        <v>1</v>
      </c>
      <c r="F217">
        <v>1</v>
      </c>
      <c r="G217">
        <v>27786564</v>
      </c>
      <c r="H217">
        <v>2</v>
      </c>
      <c r="I217" t="s">
        <v>541</v>
      </c>
      <c r="J217" t="s">
        <v>542</v>
      </c>
      <c r="K217" t="s">
        <v>543</v>
      </c>
      <c r="L217">
        <v>1368</v>
      </c>
      <c r="N217">
        <v>1011</v>
      </c>
      <c r="O217" t="s">
        <v>445</v>
      </c>
      <c r="P217" t="s">
        <v>445</v>
      </c>
      <c r="Q217">
        <v>1</v>
      </c>
      <c r="X217">
        <v>2.77</v>
      </c>
      <c r="Y217">
        <v>0</v>
      </c>
      <c r="Z217">
        <v>2.27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22</v>
      </c>
      <c r="AG217">
        <v>3.0470000000000002</v>
      </c>
      <c r="AH217">
        <v>3</v>
      </c>
      <c r="AI217">
        <v>-1</v>
      </c>
      <c r="AJ217" t="s">
        <v>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ROW(Source!A112)</f>
        <v>112</v>
      </c>
      <c r="B218">
        <v>56616680</v>
      </c>
      <c r="C218">
        <v>56616675</v>
      </c>
      <c r="D218">
        <v>47766545</v>
      </c>
      <c r="E218">
        <v>1</v>
      </c>
      <c r="F218">
        <v>1</v>
      </c>
      <c r="G218">
        <v>27786564</v>
      </c>
      <c r="H218">
        <v>2</v>
      </c>
      <c r="I218" t="s">
        <v>490</v>
      </c>
      <c r="J218" t="s">
        <v>491</v>
      </c>
      <c r="K218" t="s">
        <v>492</v>
      </c>
      <c r="L218">
        <v>1368</v>
      </c>
      <c r="N218">
        <v>1011</v>
      </c>
      <c r="O218" t="s">
        <v>445</v>
      </c>
      <c r="P218" t="s">
        <v>445</v>
      </c>
      <c r="Q218">
        <v>1</v>
      </c>
      <c r="X218">
        <v>2.77</v>
      </c>
      <c r="Y218">
        <v>0</v>
      </c>
      <c r="Z218">
        <v>0.73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22</v>
      </c>
      <c r="AG218">
        <v>3.0470000000000002</v>
      </c>
      <c r="AH218">
        <v>3</v>
      </c>
      <c r="AI218">
        <v>-1</v>
      </c>
      <c r="AJ218" t="s">
        <v>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ROW(Source!A112)</f>
        <v>112</v>
      </c>
      <c r="B219">
        <v>56616681</v>
      </c>
      <c r="C219">
        <v>56616675</v>
      </c>
      <c r="D219">
        <v>32913309</v>
      </c>
      <c r="E219">
        <v>1</v>
      </c>
      <c r="F219">
        <v>1</v>
      </c>
      <c r="G219">
        <v>27786564</v>
      </c>
      <c r="H219">
        <v>3</v>
      </c>
      <c r="I219" t="s">
        <v>544</v>
      </c>
      <c r="J219" t="s">
        <v>545</v>
      </c>
      <c r="K219" t="s">
        <v>546</v>
      </c>
      <c r="L219">
        <v>1348</v>
      </c>
      <c r="N219">
        <v>1009</v>
      </c>
      <c r="O219" t="s">
        <v>367</v>
      </c>
      <c r="P219" t="s">
        <v>367</v>
      </c>
      <c r="Q219">
        <v>1000</v>
      </c>
      <c r="X219">
        <v>1E-3</v>
      </c>
      <c r="Y219">
        <v>7254.88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3</v>
      </c>
      <c r="AG219">
        <v>1E-3</v>
      </c>
      <c r="AH219">
        <v>3</v>
      </c>
      <c r="AI219">
        <v>-1</v>
      </c>
      <c r="AJ219" t="s">
        <v>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ROW(Source!A112)</f>
        <v>112</v>
      </c>
      <c r="B220">
        <v>56616682</v>
      </c>
      <c r="C220">
        <v>56616675</v>
      </c>
      <c r="D220">
        <v>32913337</v>
      </c>
      <c r="E220">
        <v>1</v>
      </c>
      <c r="F220">
        <v>1</v>
      </c>
      <c r="G220">
        <v>27786564</v>
      </c>
      <c r="H220">
        <v>3</v>
      </c>
      <c r="I220" t="s">
        <v>547</v>
      </c>
      <c r="J220" t="s">
        <v>548</v>
      </c>
      <c r="K220" t="s">
        <v>549</v>
      </c>
      <c r="L220">
        <v>1348</v>
      </c>
      <c r="N220">
        <v>1009</v>
      </c>
      <c r="O220" t="s">
        <v>367</v>
      </c>
      <c r="P220" t="s">
        <v>367</v>
      </c>
      <c r="Q220">
        <v>1000</v>
      </c>
      <c r="X220">
        <v>0.01</v>
      </c>
      <c r="Y220">
        <v>9853.14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 t="s">
        <v>3</v>
      </c>
      <c r="AG220">
        <v>0.01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ROW(Source!A112)</f>
        <v>112</v>
      </c>
      <c r="B221">
        <v>56616683</v>
      </c>
      <c r="C221">
        <v>56616675</v>
      </c>
      <c r="D221">
        <v>46723495</v>
      </c>
      <c r="E221">
        <v>1</v>
      </c>
      <c r="F221">
        <v>1</v>
      </c>
      <c r="G221">
        <v>27786564</v>
      </c>
      <c r="H221">
        <v>3</v>
      </c>
      <c r="I221" t="s">
        <v>550</v>
      </c>
      <c r="J221" t="s">
        <v>551</v>
      </c>
      <c r="K221" t="s">
        <v>552</v>
      </c>
      <c r="L221">
        <v>1348</v>
      </c>
      <c r="N221">
        <v>1009</v>
      </c>
      <c r="O221" t="s">
        <v>367</v>
      </c>
      <c r="P221" t="s">
        <v>367</v>
      </c>
      <c r="Q221">
        <v>1000</v>
      </c>
      <c r="X221">
        <v>2.5000000000000001E-4</v>
      </c>
      <c r="Y221">
        <v>16222.39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 t="s">
        <v>3</v>
      </c>
      <c r="AG221">
        <v>2.5000000000000001E-4</v>
      </c>
      <c r="AH221">
        <v>3</v>
      </c>
      <c r="AI221">
        <v>-1</v>
      </c>
      <c r="AJ221" t="s">
        <v>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ROW(Source!A112)</f>
        <v>112</v>
      </c>
      <c r="B222">
        <v>56616684</v>
      </c>
      <c r="C222">
        <v>56616675</v>
      </c>
      <c r="D222">
        <v>46723498</v>
      </c>
      <c r="E222">
        <v>1</v>
      </c>
      <c r="F222">
        <v>1</v>
      </c>
      <c r="G222">
        <v>27786564</v>
      </c>
      <c r="H222">
        <v>3</v>
      </c>
      <c r="I222" t="s">
        <v>496</v>
      </c>
      <c r="J222" t="s">
        <v>497</v>
      </c>
      <c r="K222" t="s">
        <v>498</v>
      </c>
      <c r="L222">
        <v>1348</v>
      </c>
      <c r="N222">
        <v>1009</v>
      </c>
      <c r="O222" t="s">
        <v>367</v>
      </c>
      <c r="P222" t="s">
        <v>367</v>
      </c>
      <c r="Q222">
        <v>1000</v>
      </c>
      <c r="X222">
        <v>6.0000000000000002E-5</v>
      </c>
      <c r="Y222">
        <v>11242.42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3</v>
      </c>
      <c r="AG222">
        <v>6.0000000000000002E-5</v>
      </c>
      <c r="AH222">
        <v>3</v>
      </c>
      <c r="AI222">
        <v>-1</v>
      </c>
      <c r="AJ222" t="s">
        <v>3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ROW(Source!A112)</f>
        <v>112</v>
      </c>
      <c r="B223">
        <v>56616685</v>
      </c>
      <c r="C223">
        <v>56616675</v>
      </c>
      <c r="D223">
        <v>45796980</v>
      </c>
      <c r="E223">
        <v>1</v>
      </c>
      <c r="F223">
        <v>1</v>
      </c>
      <c r="G223">
        <v>27786564</v>
      </c>
      <c r="H223">
        <v>3</v>
      </c>
      <c r="I223" t="s">
        <v>499</v>
      </c>
      <c r="J223" t="s">
        <v>500</v>
      </c>
      <c r="K223" t="s">
        <v>501</v>
      </c>
      <c r="L223">
        <v>1346</v>
      </c>
      <c r="N223">
        <v>1009</v>
      </c>
      <c r="O223" t="s">
        <v>104</v>
      </c>
      <c r="P223" t="s">
        <v>104</v>
      </c>
      <c r="Q223">
        <v>1</v>
      </c>
      <c r="X223">
        <v>0.8</v>
      </c>
      <c r="Y223">
        <v>25.8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3</v>
      </c>
      <c r="AG223">
        <v>0.8</v>
      </c>
      <c r="AH223">
        <v>3</v>
      </c>
      <c r="AI223">
        <v>-1</v>
      </c>
      <c r="AJ223" t="s">
        <v>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ROW(Source!A112)</f>
        <v>112</v>
      </c>
      <c r="B224">
        <v>56616686</v>
      </c>
      <c r="C224">
        <v>56616675</v>
      </c>
      <c r="D224">
        <v>46723704</v>
      </c>
      <c r="E224">
        <v>1</v>
      </c>
      <c r="F224">
        <v>1</v>
      </c>
      <c r="G224">
        <v>27786564</v>
      </c>
      <c r="H224">
        <v>3</v>
      </c>
      <c r="I224" t="s">
        <v>505</v>
      </c>
      <c r="J224" t="s">
        <v>506</v>
      </c>
      <c r="K224" t="s">
        <v>507</v>
      </c>
      <c r="L224">
        <v>1348</v>
      </c>
      <c r="N224">
        <v>1009</v>
      </c>
      <c r="O224" t="s">
        <v>367</v>
      </c>
      <c r="P224" t="s">
        <v>367</v>
      </c>
      <c r="Q224">
        <v>1000</v>
      </c>
      <c r="X224">
        <v>4.0000000000000003E-5</v>
      </c>
      <c r="Y224">
        <v>7982.5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3</v>
      </c>
      <c r="AG224">
        <v>4.0000000000000003E-5</v>
      </c>
      <c r="AH224">
        <v>3</v>
      </c>
      <c r="AI224">
        <v>-1</v>
      </c>
      <c r="AJ224" t="s">
        <v>3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ROW(Source!A112)</f>
        <v>112</v>
      </c>
      <c r="B225">
        <v>56616687</v>
      </c>
      <c r="C225">
        <v>56616675</v>
      </c>
      <c r="D225">
        <v>46735845</v>
      </c>
      <c r="E225">
        <v>1</v>
      </c>
      <c r="F225">
        <v>1</v>
      </c>
      <c r="G225">
        <v>27786564</v>
      </c>
      <c r="H225">
        <v>3</v>
      </c>
      <c r="I225" t="s">
        <v>508</v>
      </c>
      <c r="J225" t="s">
        <v>553</v>
      </c>
      <c r="K225" t="s">
        <v>510</v>
      </c>
      <c r="L225">
        <v>1356</v>
      </c>
      <c r="N225">
        <v>1010</v>
      </c>
      <c r="O225" t="s">
        <v>511</v>
      </c>
      <c r="P225" t="s">
        <v>511</v>
      </c>
      <c r="Q225">
        <v>1000</v>
      </c>
      <c r="X225">
        <v>4.1000000000000003E-3</v>
      </c>
      <c r="Y225">
        <v>226.68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 t="s">
        <v>3</v>
      </c>
      <c r="AG225">
        <v>4.1000000000000003E-3</v>
      </c>
      <c r="AH225">
        <v>3</v>
      </c>
      <c r="AI225">
        <v>-1</v>
      </c>
      <c r="AJ225" t="s">
        <v>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ROW(Source!A112)</f>
        <v>112</v>
      </c>
      <c r="B226">
        <v>56616688</v>
      </c>
      <c r="C226">
        <v>56616675</v>
      </c>
      <c r="D226">
        <v>46735506</v>
      </c>
      <c r="E226">
        <v>1</v>
      </c>
      <c r="F226">
        <v>1</v>
      </c>
      <c r="G226">
        <v>27786564</v>
      </c>
      <c r="H226">
        <v>3</v>
      </c>
      <c r="I226" t="s">
        <v>512</v>
      </c>
      <c r="J226" t="s">
        <v>513</v>
      </c>
      <c r="K226" t="s">
        <v>514</v>
      </c>
      <c r="L226">
        <v>1301</v>
      </c>
      <c r="N226">
        <v>1003</v>
      </c>
      <c r="O226" t="s">
        <v>55</v>
      </c>
      <c r="P226" t="s">
        <v>55</v>
      </c>
      <c r="Q226">
        <v>1</v>
      </c>
      <c r="X226">
        <v>0.96</v>
      </c>
      <c r="Y226">
        <v>0.7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3</v>
      </c>
      <c r="AG226">
        <v>0.96</v>
      </c>
      <c r="AH226">
        <v>3</v>
      </c>
      <c r="AI226">
        <v>-1</v>
      </c>
      <c r="AJ226" t="s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ROW(Source!A112)</f>
        <v>112</v>
      </c>
      <c r="B227">
        <v>56616689</v>
      </c>
      <c r="C227">
        <v>56616675</v>
      </c>
      <c r="D227">
        <v>46735508</v>
      </c>
      <c r="E227">
        <v>1</v>
      </c>
      <c r="F227">
        <v>1</v>
      </c>
      <c r="G227">
        <v>27786564</v>
      </c>
      <c r="H227">
        <v>3</v>
      </c>
      <c r="I227" t="s">
        <v>515</v>
      </c>
      <c r="J227" t="s">
        <v>516</v>
      </c>
      <c r="K227" t="s">
        <v>517</v>
      </c>
      <c r="L227">
        <v>1356</v>
      </c>
      <c r="N227">
        <v>1010</v>
      </c>
      <c r="O227" t="s">
        <v>511</v>
      </c>
      <c r="P227" t="s">
        <v>511</v>
      </c>
      <c r="Q227">
        <v>1000</v>
      </c>
      <c r="X227">
        <v>8.3199999999999993E-3</v>
      </c>
      <c r="Y227">
        <v>6.44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3</v>
      </c>
      <c r="AG227">
        <v>8.3199999999999993E-3</v>
      </c>
      <c r="AH227">
        <v>3</v>
      </c>
      <c r="AI227">
        <v>-1</v>
      </c>
      <c r="AJ227" t="s">
        <v>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ROW(Source!A112)</f>
        <v>112</v>
      </c>
      <c r="B228">
        <v>56616690</v>
      </c>
      <c r="C228">
        <v>56616675</v>
      </c>
      <c r="D228">
        <v>49717618</v>
      </c>
      <c r="E228">
        <v>27786564</v>
      </c>
      <c r="F228">
        <v>1</v>
      </c>
      <c r="G228">
        <v>27786564</v>
      </c>
      <c r="H228">
        <v>3</v>
      </c>
      <c r="I228" t="s">
        <v>554</v>
      </c>
      <c r="J228" t="s">
        <v>3</v>
      </c>
      <c r="K228" t="s">
        <v>555</v>
      </c>
      <c r="L228">
        <v>1303</v>
      </c>
      <c r="N228">
        <v>1003</v>
      </c>
      <c r="O228" t="s">
        <v>556</v>
      </c>
      <c r="P228" t="s">
        <v>556</v>
      </c>
      <c r="Q228">
        <v>1000</v>
      </c>
      <c r="X228">
        <v>0.10199999999999999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3</v>
      </c>
      <c r="AG228">
        <v>0.10199999999999999</v>
      </c>
      <c r="AH228">
        <v>3</v>
      </c>
      <c r="AI228">
        <v>-1</v>
      </c>
      <c r="AJ228" t="s">
        <v>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ROW(Source!A113)</f>
        <v>113</v>
      </c>
      <c r="B229">
        <v>56616693</v>
      </c>
      <c r="C229">
        <v>56616691</v>
      </c>
      <c r="D229">
        <v>47634407</v>
      </c>
      <c r="E229">
        <v>27786564</v>
      </c>
      <c r="F229">
        <v>1</v>
      </c>
      <c r="G229">
        <v>27786564</v>
      </c>
      <c r="H229">
        <v>1</v>
      </c>
      <c r="I229" t="s">
        <v>439</v>
      </c>
      <c r="J229" t="s">
        <v>3</v>
      </c>
      <c r="K229" t="s">
        <v>440</v>
      </c>
      <c r="L229">
        <v>1191</v>
      </c>
      <c r="N229">
        <v>1013</v>
      </c>
      <c r="O229" t="s">
        <v>441</v>
      </c>
      <c r="P229" t="s">
        <v>441</v>
      </c>
      <c r="Q229">
        <v>1</v>
      </c>
      <c r="X229">
        <v>18.8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1</v>
      </c>
      <c r="AF229" t="s">
        <v>22</v>
      </c>
      <c r="AG229">
        <v>20.680000000000003</v>
      </c>
      <c r="AH229">
        <v>2</v>
      </c>
      <c r="AI229">
        <v>56616692</v>
      </c>
      <c r="AJ229">
        <v>99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ROW(Source!A113)</f>
        <v>113</v>
      </c>
      <c r="B230">
        <v>56616694</v>
      </c>
      <c r="C230">
        <v>56616691</v>
      </c>
      <c r="D230">
        <v>47767106</v>
      </c>
      <c r="E230">
        <v>1</v>
      </c>
      <c r="F230">
        <v>1</v>
      </c>
      <c r="G230">
        <v>27786564</v>
      </c>
      <c r="H230">
        <v>2</v>
      </c>
      <c r="I230" t="s">
        <v>487</v>
      </c>
      <c r="J230" t="s">
        <v>488</v>
      </c>
      <c r="K230" t="s">
        <v>489</v>
      </c>
      <c r="L230">
        <v>1368</v>
      </c>
      <c r="N230">
        <v>1011</v>
      </c>
      <c r="O230" t="s">
        <v>445</v>
      </c>
      <c r="P230" t="s">
        <v>445</v>
      </c>
      <c r="Q230">
        <v>1</v>
      </c>
      <c r="X230">
        <v>1.51</v>
      </c>
      <c r="Y230">
        <v>0</v>
      </c>
      <c r="Z230">
        <v>83.1</v>
      </c>
      <c r="AA230">
        <v>12.62</v>
      </c>
      <c r="AB230">
        <v>0</v>
      </c>
      <c r="AC230">
        <v>0</v>
      </c>
      <c r="AD230">
        <v>1</v>
      </c>
      <c r="AE230">
        <v>0</v>
      </c>
      <c r="AF230" t="s">
        <v>22</v>
      </c>
      <c r="AG230">
        <v>1.6610000000000003</v>
      </c>
      <c r="AH230">
        <v>3</v>
      </c>
      <c r="AI230">
        <v>-1</v>
      </c>
      <c r="AJ230" t="s">
        <v>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ROW(Source!A113)</f>
        <v>113</v>
      </c>
      <c r="B231">
        <v>56616695</v>
      </c>
      <c r="C231">
        <v>56616691</v>
      </c>
      <c r="D231">
        <v>47766545</v>
      </c>
      <c r="E231">
        <v>1</v>
      </c>
      <c r="F231">
        <v>1</v>
      </c>
      <c r="G231">
        <v>27786564</v>
      </c>
      <c r="H231">
        <v>2</v>
      </c>
      <c r="I231" t="s">
        <v>490</v>
      </c>
      <c r="J231" t="s">
        <v>491</v>
      </c>
      <c r="K231" t="s">
        <v>492</v>
      </c>
      <c r="L231">
        <v>1368</v>
      </c>
      <c r="N231">
        <v>1011</v>
      </c>
      <c r="O231" t="s">
        <v>445</v>
      </c>
      <c r="P231" t="s">
        <v>445</v>
      </c>
      <c r="Q231">
        <v>1</v>
      </c>
      <c r="X231">
        <v>4.2699999999999996</v>
      </c>
      <c r="Y231">
        <v>0</v>
      </c>
      <c r="Z231">
        <v>0.73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22</v>
      </c>
      <c r="AG231">
        <v>4.6970000000000001</v>
      </c>
      <c r="AH231">
        <v>3</v>
      </c>
      <c r="AI231">
        <v>-1</v>
      </c>
      <c r="AJ231" t="s">
        <v>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ROW(Source!A113)</f>
        <v>113</v>
      </c>
      <c r="B232">
        <v>56616696</v>
      </c>
      <c r="C232">
        <v>56616691</v>
      </c>
      <c r="D232">
        <v>47766581</v>
      </c>
      <c r="E232">
        <v>1</v>
      </c>
      <c r="F232">
        <v>1</v>
      </c>
      <c r="G232">
        <v>27786564</v>
      </c>
      <c r="H232">
        <v>2</v>
      </c>
      <c r="I232" t="s">
        <v>493</v>
      </c>
      <c r="J232" t="s">
        <v>494</v>
      </c>
      <c r="K232" t="s">
        <v>495</v>
      </c>
      <c r="L232">
        <v>1368</v>
      </c>
      <c r="N232">
        <v>1011</v>
      </c>
      <c r="O232" t="s">
        <v>445</v>
      </c>
      <c r="P232" t="s">
        <v>445</v>
      </c>
      <c r="Q232">
        <v>1</v>
      </c>
      <c r="X232">
        <v>4.2699999999999996</v>
      </c>
      <c r="Y232">
        <v>0</v>
      </c>
      <c r="Z232">
        <v>4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22</v>
      </c>
      <c r="AG232">
        <v>4.6970000000000001</v>
      </c>
      <c r="AH232">
        <v>3</v>
      </c>
      <c r="AI232">
        <v>-1</v>
      </c>
      <c r="AJ232" t="s">
        <v>3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ROW(Source!A113)</f>
        <v>113</v>
      </c>
      <c r="B233">
        <v>56616697</v>
      </c>
      <c r="C233">
        <v>56616691</v>
      </c>
      <c r="D233">
        <v>32913309</v>
      </c>
      <c r="E233">
        <v>1</v>
      </c>
      <c r="F233">
        <v>1</v>
      </c>
      <c r="G233">
        <v>27786564</v>
      </c>
      <c r="H233">
        <v>3</v>
      </c>
      <c r="I233" t="s">
        <v>544</v>
      </c>
      <c r="J233" t="s">
        <v>545</v>
      </c>
      <c r="K233" t="s">
        <v>546</v>
      </c>
      <c r="L233">
        <v>1348</v>
      </c>
      <c r="N233">
        <v>1009</v>
      </c>
      <c r="O233" t="s">
        <v>367</v>
      </c>
      <c r="P233" t="s">
        <v>367</v>
      </c>
      <c r="Q233">
        <v>1000</v>
      </c>
      <c r="X233">
        <v>1E-3</v>
      </c>
      <c r="Y233">
        <v>7254.88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3</v>
      </c>
      <c r="AG233">
        <v>1E-3</v>
      </c>
      <c r="AH233">
        <v>3</v>
      </c>
      <c r="AI233">
        <v>-1</v>
      </c>
      <c r="AJ233" t="s">
        <v>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ROW(Source!A113)</f>
        <v>113</v>
      </c>
      <c r="B234">
        <v>56616698</v>
      </c>
      <c r="C234">
        <v>56616691</v>
      </c>
      <c r="D234">
        <v>32913337</v>
      </c>
      <c r="E234">
        <v>1</v>
      </c>
      <c r="F234">
        <v>1</v>
      </c>
      <c r="G234">
        <v>27786564</v>
      </c>
      <c r="H234">
        <v>3</v>
      </c>
      <c r="I234" t="s">
        <v>547</v>
      </c>
      <c r="J234" t="s">
        <v>548</v>
      </c>
      <c r="K234" t="s">
        <v>549</v>
      </c>
      <c r="L234">
        <v>1348</v>
      </c>
      <c r="N234">
        <v>1009</v>
      </c>
      <c r="O234" t="s">
        <v>367</v>
      </c>
      <c r="P234" t="s">
        <v>367</v>
      </c>
      <c r="Q234">
        <v>1000</v>
      </c>
      <c r="X234">
        <v>0.01</v>
      </c>
      <c r="Y234">
        <v>9853.14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3</v>
      </c>
      <c r="AG234">
        <v>0.01</v>
      </c>
      <c r="AH234">
        <v>3</v>
      </c>
      <c r="AI234">
        <v>-1</v>
      </c>
      <c r="AJ234" t="s">
        <v>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ROW(Source!A113)</f>
        <v>113</v>
      </c>
      <c r="B235">
        <v>56616699</v>
      </c>
      <c r="C235">
        <v>56616691</v>
      </c>
      <c r="D235">
        <v>46723495</v>
      </c>
      <c r="E235">
        <v>1</v>
      </c>
      <c r="F235">
        <v>1</v>
      </c>
      <c r="G235">
        <v>27786564</v>
      </c>
      <c r="H235">
        <v>3</v>
      </c>
      <c r="I235" t="s">
        <v>550</v>
      </c>
      <c r="J235" t="s">
        <v>551</v>
      </c>
      <c r="K235" t="s">
        <v>552</v>
      </c>
      <c r="L235">
        <v>1348</v>
      </c>
      <c r="N235">
        <v>1009</v>
      </c>
      <c r="O235" t="s">
        <v>367</v>
      </c>
      <c r="P235" t="s">
        <v>367</v>
      </c>
      <c r="Q235">
        <v>1000</v>
      </c>
      <c r="X235">
        <v>2.5000000000000001E-4</v>
      </c>
      <c r="Y235">
        <v>16222.39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3</v>
      </c>
      <c r="AG235">
        <v>2.5000000000000001E-4</v>
      </c>
      <c r="AH235">
        <v>3</v>
      </c>
      <c r="AI235">
        <v>-1</v>
      </c>
      <c r="AJ235" t="s">
        <v>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ROW(Source!A113)</f>
        <v>113</v>
      </c>
      <c r="B236">
        <v>56616700</v>
      </c>
      <c r="C236">
        <v>56616691</v>
      </c>
      <c r="D236">
        <v>46723498</v>
      </c>
      <c r="E236">
        <v>1</v>
      </c>
      <c r="F236">
        <v>1</v>
      </c>
      <c r="G236">
        <v>27786564</v>
      </c>
      <c r="H236">
        <v>3</v>
      </c>
      <c r="I236" t="s">
        <v>496</v>
      </c>
      <c r="J236" t="s">
        <v>497</v>
      </c>
      <c r="K236" t="s">
        <v>498</v>
      </c>
      <c r="L236">
        <v>1348</v>
      </c>
      <c r="N236">
        <v>1009</v>
      </c>
      <c r="O236" t="s">
        <v>367</v>
      </c>
      <c r="P236" t="s">
        <v>367</v>
      </c>
      <c r="Q236">
        <v>1000</v>
      </c>
      <c r="X236">
        <v>6.0000000000000002E-5</v>
      </c>
      <c r="Y236">
        <v>11242.42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3</v>
      </c>
      <c r="AG236">
        <v>6.0000000000000002E-5</v>
      </c>
      <c r="AH236">
        <v>3</v>
      </c>
      <c r="AI236">
        <v>-1</v>
      </c>
      <c r="AJ236" t="s">
        <v>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ROW(Source!A113)</f>
        <v>113</v>
      </c>
      <c r="B237">
        <v>56616701</v>
      </c>
      <c r="C237">
        <v>56616691</v>
      </c>
      <c r="D237">
        <v>45796980</v>
      </c>
      <c r="E237">
        <v>1</v>
      </c>
      <c r="F237">
        <v>1</v>
      </c>
      <c r="G237">
        <v>27786564</v>
      </c>
      <c r="H237">
        <v>3</v>
      </c>
      <c r="I237" t="s">
        <v>499</v>
      </c>
      <c r="J237" t="s">
        <v>500</v>
      </c>
      <c r="K237" t="s">
        <v>501</v>
      </c>
      <c r="L237">
        <v>1346</v>
      </c>
      <c r="N237">
        <v>1009</v>
      </c>
      <c r="O237" t="s">
        <v>104</v>
      </c>
      <c r="P237" t="s">
        <v>104</v>
      </c>
      <c r="Q237">
        <v>1</v>
      </c>
      <c r="X237">
        <v>0.8</v>
      </c>
      <c r="Y237">
        <v>25.8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3</v>
      </c>
      <c r="AG237">
        <v>0.8</v>
      </c>
      <c r="AH237">
        <v>3</v>
      </c>
      <c r="AI237">
        <v>-1</v>
      </c>
      <c r="AJ237" t="s">
        <v>3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ROW(Source!A113)</f>
        <v>113</v>
      </c>
      <c r="B238">
        <v>56616702</v>
      </c>
      <c r="C238">
        <v>56616691</v>
      </c>
      <c r="D238">
        <v>46723704</v>
      </c>
      <c r="E238">
        <v>1</v>
      </c>
      <c r="F238">
        <v>1</v>
      </c>
      <c r="G238">
        <v>27786564</v>
      </c>
      <c r="H238">
        <v>3</v>
      </c>
      <c r="I238" t="s">
        <v>505</v>
      </c>
      <c r="J238" t="s">
        <v>506</v>
      </c>
      <c r="K238" t="s">
        <v>507</v>
      </c>
      <c r="L238">
        <v>1348</v>
      </c>
      <c r="N238">
        <v>1009</v>
      </c>
      <c r="O238" t="s">
        <v>367</v>
      </c>
      <c r="P238" t="s">
        <v>367</v>
      </c>
      <c r="Q238">
        <v>1000</v>
      </c>
      <c r="X238">
        <v>4.0000000000000003E-5</v>
      </c>
      <c r="Y238">
        <v>7982.5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3</v>
      </c>
      <c r="AG238">
        <v>4.0000000000000003E-5</v>
      </c>
      <c r="AH238">
        <v>3</v>
      </c>
      <c r="AI238">
        <v>-1</v>
      </c>
      <c r="AJ238" t="s">
        <v>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ROW(Source!A113)</f>
        <v>113</v>
      </c>
      <c r="B239">
        <v>56616703</v>
      </c>
      <c r="C239">
        <v>56616691</v>
      </c>
      <c r="D239">
        <v>46735845</v>
      </c>
      <c r="E239">
        <v>1</v>
      </c>
      <c r="F239">
        <v>1</v>
      </c>
      <c r="G239">
        <v>27786564</v>
      </c>
      <c r="H239">
        <v>3</v>
      </c>
      <c r="I239" t="s">
        <v>508</v>
      </c>
      <c r="J239" t="s">
        <v>553</v>
      </c>
      <c r="K239" t="s">
        <v>510</v>
      </c>
      <c r="L239">
        <v>1356</v>
      </c>
      <c r="N239">
        <v>1010</v>
      </c>
      <c r="O239" t="s">
        <v>511</v>
      </c>
      <c r="P239" t="s">
        <v>511</v>
      </c>
      <c r="Q239">
        <v>1000</v>
      </c>
      <c r="X239">
        <v>4.1000000000000003E-3</v>
      </c>
      <c r="Y239">
        <v>226.68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3</v>
      </c>
      <c r="AG239">
        <v>4.1000000000000003E-3</v>
      </c>
      <c r="AH239">
        <v>3</v>
      </c>
      <c r="AI239">
        <v>-1</v>
      </c>
      <c r="AJ239" t="s">
        <v>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ROW(Source!A113)</f>
        <v>113</v>
      </c>
      <c r="B240">
        <v>56616704</v>
      </c>
      <c r="C240">
        <v>56616691</v>
      </c>
      <c r="D240">
        <v>46735506</v>
      </c>
      <c r="E240">
        <v>1</v>
      </c>
      <c r="F240">
        <v>1</v>
      </c>
      <c r="G240">
        <v>27786564</v>
      </c>
      <c r="H240">
        <v>3</v>
      </c>
      <c r="I240" t="s">
        <v>512</v>
      </c>
      <c r="J240" t="s">
        <v>513</v>
      </c>
      <c r="K240" t="s">
        <v>514</v>
      </c>
      <c r="L240">
        <v>1301</v>
      </c>
      <c r="N240">
        <v>1003</v>
      </c>
      <c r="O240" t="s">
        <v>55</v>
      </c>
      <c r="P240" t="s">
        <v>55</v>
      </c>
      <c r="Q240">
        <v>1</v>
      </c>
      <c r="X240">
        <v>0.96</v>
      </c>
      <c r="Y240">
        <v>0.7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 t="s">
        <v>3</v>
      </c>
      <c r="AG240">
        <v>0.96</v>
      </c>
      <c r="AH240">
        <v>3</v>
      </c>
      <c r="AI240">
        <v>-1</v>
      </c>
      <c r="AJ240" t="s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ROW(Source!A113)</f>
        <v>113</v>
      </c>
      <c r="B241">
        <v>56616705</v>
      </c>
      <c r="C241">
        <v>56616691</v>
      </c>
      <c r="D241">
        <v>46735508</v>
      </c>
      <c r="E241">
        <v>1</v>
      </c>
      <c r="F241">
        <v>1</v>
      </c>
      <c r="G241">
        <v>27786564</v>
      </c>
      <c r="H241">
        <v>3</v>
      </c>
      <c r="I241" t="s">
        <v>515</v>
      </c>
      <c r="J241" t="s">
        <v>516</v>
      </c>
      <c r="K241" t="s">
        <v>517</v>
      </c>
      <c r="L241">
        <v>1356</v>
      </c>
      <c r="N241">
        <v>1010</v>
      </c>
      <c r="O241" t="s">
        <v>511</v>
      </c>
      <c r="P241" t="s">
        <v>511</v>
      </c>
      <c r="Q241">
        <v>1000</v>
      </c>
      <c r="X241">
        <v>8.3199999999999993E-3</v>
      </c>
      <c r="Y241">
        <v>6.44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 t="s">
        <v>3</v>
      </c>
      <c r="AG241">
        <v>8.3199999999999993E-3</v>
      </c>
      <c r="AH241">
        <v>3</v>
      </c>
      <c r="AI241">
        <v>-1</v>
      </c>
      <c r="AJ241" t="s">
        <v>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ROW(Source!A113)</f>
        <v>113</v>
      </c>
      <c r="B242">
        <v>56616706</v>
      </c>
      <c r="C242">
        <v>56616691</v>
      </c>
      <c r="D242">
        <v>49717618</v>
      </c>
      <c r="E242">
        <v>27786564</v>
      </c>
      <c r="F242">
        <v>1</v>
      </c>
      <c r="G242">
        <v>27786564</v>
      </c>
      <c r="H242">
        <v>3</v>
      </c>
      <c r="I242" t="s">
        <v>554</v>
      </c>
      <c r="J242" t="s">
        <v>3</v>
      </c>
      <c r="K242" t="s">
        <v>555</v>
      </c>
      <c r="L242">
        <v>1303</v>
      </c>
      <c r="N242">
        <v>1003</v>
      </c>
      <c r="O242" t="s">
        <v>556</v>
      </c>
      <c r="P242" t="s">
        <v>556</v>
      </c>
      <c r="Q242">
        <v>1000</v>
      </c>
      <c r="X242">
        <v>0.10199999999999999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3</v>
      </c>
      <c r="AG242">
        <v>0.10199999999999999</v>
      </c>
      <c r="AH242">
        <v>3</v>
      </c>
      <c r="AI242">
        <v>-1</v>
      </c>
      <c r="AJ242" t="s">
        <v>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ROW(Source!A114)</f>
        <v>114</v>
      </c>
      <c r="B243">
        <v>56616693</v>
      </c>
      <c r="C243">
        <v>56616691</v>
      </c>
      <c r="D243">
        <v>47634407</v>
      </c>
      <c r="E243">
        <v>27786564</v>
      </c>
      <c r="F243">
        <v>1</v>
      </c>
      <c r="G243">
        <v>27786564</v>
      </c>
      <c r="H243">
        <v>1</v>
      </c>
      <c r="I243" t="s">
        <v>439</v>
      </c>
      <c r="J243" t="s">
        <v>3</v>
      </c>
      <c r="K243" t="s">
        <v>440</v>
      </c>
      <c r="L243">
        <v>1191</v>
      </c>
      <c r="N243">
        <v>1013</v>
      </c>
      <c r="O243" t="s">
        <v>441</v>
      </c>
      <c r="P243" t="s">
        <v>441</v>
      </c>
      <c r="Q243">
        <v>1</v>
      </c>
      <c r="X243">
        <v>18.8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1</v>
      </c>
      <c r="AF243" t="s">
        <v>22</v>
      </c>
      <c r="AG243">
        <v>20.680000000000003</v>
      </c>
      <c r="AH243">
        <v>2</v>
      </c>
      <c r="AI243">
        <v>56616692</v>
      </c>
      <c r="AJ243">
        <v>100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ROW(Source!A114)</f>
        <v>114</v>
      </c>
      <c r="B244">
        <v>56616694</v>
      </c>
      <c r="C244">
        <v>56616691</v>
      </c>
      <c r="D244">
        <v>47767106</v>
      </c>
      <c r="E244">
        <v>1</v>
      </c>
      <c r="F244">
        <v>1</v>
      </c>
      <c r="G244">
        <v>27786564</v>
      </c>
      <c r="H244">
        <v>2</v>
      </c>
      <c r="I244" t="s">
        <v>487</v>
      </c>
      <c r="J244" t="s">
        <v>488</v>
      </c>
      <c r="K244" t="s">
        <v>489</v>
      </c>
      <c r="L244">
        <v>1368</v>
      </c>
      <c r="N244">
        <v>1011</v>
      </c>
      <c r="O244" t="s">
        <v>445</v>
      </c>
      <c r="P244" t="s">
        <v>445</v>
      </c>
      <c r="Q244">
        <v>1</v>
      </c>
      <c r="X244">
        <v>1.51</v>
      </c>
      <c r="Y244">
        <v>0</v>
      </c>
      <c r="Z244">
        <v>83.1</v>
      </c>
      <c r="AA244">
        <v>12.62</v>
      </c>
      <c r="AB244">
        <v>0</v>
      </c>
      <c r="AC244">
        <v>0</v>
      </c>
      <c r="AD244">
        <v>1</v>
      </c>
      <c r="AE244">
        <v>0</v>
      </c>
      <c r="AF244" t="s">
        <v>22</v>
      </c>
      <c r="AG244">
        <v>1.6610000000000003</v>
      </c>
      <c r="AH244">
        <v>3</v>
      </c>
      <c r="AI244">
        <v>-1</v>
      </c>
      <c r="AJ244" t="s">
        <v>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ROW(Source!A114)</f>
        <v>114</v>
      </c>
      <c r="B245">
        <v>56616695</v>
      </c>
      <c r="C245">
        <v>56616691</v>
      </c>
      <c r="D245">
        <v>47766545</v>
      </c>
      <c r="E245">
        <v>1</v>
      </c>
      <c r="F245">
        <v>1</v>
      </c>
      <c r="G245">
        <v>27786564</v>
      </c>
      <c r="H245">
        <v>2</v>
      </c>
      <c r="I245" t="s">
        <v>490</v>
      </c>
      <c r="J245" t="s">
        <v>491</v>
      </c>
      <c r="K245" t="s">
        <v>492</v>
      </c>
      <c r="L245">
        <v>1368</v>
      </c>
      <c r="N245">
        <v>1011</v>
      </c>
      <c r="O245" t="s">
        <v>445</v>
      </c>
      <c r="P245" t="s">
        <v>445</v>
      </c>
      <c r="Q245">
        <v>1</v>
      </c>
      <c r="X245">
        <v>4.2699999999999996</v>
      </c>
      <c r="Y245">
        <v>0</v>
      </c>
      <c r="Z245">
        <v>0.73</v>
      </c>
      <c r="AA245">
        <v>0</v>
      </c>
      <c r="AB245">
        <v>0</v>
      </c>
      <c r="AC245">
        <v>0</v>
      </c>
      <c r="AD245">
        <v>1</v>
      </c>
      <c r="AE245">
        <v>0</v>
      </c>
      <c r="AF245" t="s">
        <v>22</v>
      </c>
      <c r="AG245">
        <v>4.6970000000000001</v>
      </c>
      <c r="AH245">
        <v>3</v>
      </c>
      <c r="AI245">
        <v>-1</v>
      </c>
      <c r="AJ245" t="s">
        <v>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ROW(Source!A114)</f>
        <v>114</v>
      </c>
      <c r="B246">
        <v>56616696</v>
      </c>
      <c r="C246">
        <v>56616691</v>
      </c>
      <c r="D246">
        <v>47766581</v>
      </c>
      <c r="E246">
        <v>1</v>
      </c>
      <c r="F246">
        <v>1</v>
      </c>
      <c r="G246">
        <v>27786564</v>
      </c>
      <c r="H246">
        <v>2</v>
      </c>
      <c r="I246" t="s">
        <v>493</v>
      </c>
      <c r="J246" t="s">
        <v>494</v>
      </c>
      <c r="K246" t="s">
        <v>495</v>
      </c>
      <c r="L246">
        <v>1368</v>
      </c>
      <c r="N246">
        <v>1011</v>
      </c>
      <c r="O246" t="s">
        <v>445</v>
      </c>
      <c r="P246" t="s">
        <v>445</v>
      </c>
      <c r="Q246">
        <v>1</v>
      </c>
      <c r="X246">
        <v>4.2699999999999996</v>
      </c>
      <c r="Y246">
        <v>0</v>
      </c>
      <c r="Z246">
        <v>4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22</v>
      </c>
      <c r="AG246">
        <v>4.6970000000000001</v>
      </c>
      <c r="AH246">
        <v>3</v>
      </c>
      <c r="AI246">
        <v>-1</v>
      </c>
      <c r="AJ246" t="s">
        <v>3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ROW(Source!A114)</f>
        <v>114</v>
      </c>
      <c r="B247">
        <v>56616697</v>
      </c>
      <c r="C247">
        <v>56616691</v>
      </c>
      <c r="D247">
        <v>32913309</v>
      </c>
      <c r="E247">
        <v>1</v>
      </c>
      <c r="F247">
        <v>1</v>
      </c>
      <c r="G247">
        <v>27786564</v>
      </c>
      <c r="H247">
        <v>3</v>
      </c>
      <c r="I247" t="s">
        <v>544</v>
      </c>
      <c r="J247" t="s">
        <v>545</v>
      </c>
      <c r="K247" t="s">
        <v>546</v>
      </c>
      <c r="L247">
        <v>1348</v>
      </c>
      <c r="N247">
        <v>1009</v>
      </c>
      <c r="O247" t="s">
        <v>367</v>
      </c>
      <c r="P247" t="s">
        <v>367</v>
      </c>
      <c r="Q247">
        <v>1000</v>
      </c>
      <c r="X247">
        <v>1E-3</v>
      </c>
      <c r="Y247">
        <v>7254.88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3</v>
      </c>
      <c r="AG247">
        <v>1E-3</v>
      </c>
      <c r="AH247">
        <v>3</v>
      </c>
      <c r="AI247">
        <v>-1</v>
      </c>
      <c r="AJ247" t="s">
        <v>3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ROW(Source!A114)</f>
        <v>114</v>
      </c>
      <c r="B248">
        <v>56616698</v>
      </c>
      <c r="C248">
        <v>56616691</v>
      </c>
      <c r="D248">
        <v>32913337</v>
      </c>
      <c r="E248">
        <v>1</v>
      </c>
      <c r="F248">
        <v>1</v>
      </c>
      <c r="G248">
        <v>27786564</v>
      </c>
      <c r="H248">
        <v>3</v>
      </c>
      <c r="I248" t="s">
        <v>547</v>
      </c>
      <c r="J248" t="s">
        <v>548</v>
      </c>
      <c r="K248" t="s">
        <v>549</v>
      </c>
      <c r="L248">
        <v>1348</v>
      </c>
      <c r="N248">
        <v>1009</v>
      </c>
      <c r="O248" t="s">
        <v>367</v>
      </c>
      <c r="P248" t="s">
        <v>367</v>
      </c>
      <c r="Q248">
        <v>1000</v>
      </c>
      <c r="X248">
        <v>0.01</v>
      </c>
      <c r="Y248">
        <v>9853.14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3</v>
      </c>
      <c r="AG248">
        <v>0.01</v>
      </c>
      <c r="AH248">
        <v>3</v>
      </c>
      <c r="AI248">
        <v>-1</v>
      </c>
      <c r="AJ248" t="s">
        <v>3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ROW(Source!A114)</f>
        <v>114</v>
      </c>
      <c r="B249">
        <v>56616699</v>
      </c>
      <c r="C249">
        <v>56616691</v>
      </c>
      <c r="D249">
        <v>46723495</v>
      </c>
      <c r="E249">
        <v>1</v>
      </c>
      <c r="F249">
        <v>1</v>
      </c>
      <c r="G249">
        <v>27786564</v>
      </c>
      <c r="H249">
        <v>3</v>
      </c>
      <c r="I249" t="s">
        <v>550</v>
      </c>
      <c r="J249" t="s">
        <v>551</v>
      </c>
      <c r="K249" t="s">
        <v>552</v>
      </c>
      <c r="L249">
        <v>1348</v>
      </c>
      <c r="N249">
        <v>1009</v>
      </c>
      <c r="O249" t="s">
        <v>367</v>
      </c>
      <c r="P249" t="s">
        <v>367</v>
      </c>
      <c r="Q249">
        <v>1000</v>
      </c>
      <c r="X249">
        <v>2.5000000000000001E-4</v>
      </c>
      <c r="Y249">
        <v>16222.39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3</v>
      </c>
      <c r="AG249">
        <v>2.5000000000000001E-4</v>
      </c>
      <c r="AH249">
        <v>3</v>
      </c>
      <c r="AI249">
        <v>-1</v>
      </c>
      <c r="AJ249" t="s">
        <v>3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ROW(Source!A114)</f>
        <v>114</v>
      </c>
      <c r="B250">
        <v>56616700</v>
      </c>
      <c r="C250">
        <v>56616691</v>
      </c>
      <c r="D250">
        <v>46723498</v>
      </c>
      <c r="E250">
        <v>1</v>
      </c>
      <c r="F250">
        <v>1</v>
      </c>
      <c r="G250">
        <v>27786564</v>
      </c>
      <c r="H250">
        <v>3</v>
      </c>
      <c r="I250" t="s">
        <v>496</v>
      </c>
      <c r="J250" t="s">
        <v>497</v>
      </c>
      <c r="K250" t="s">
        <v>498</v>
      </c>
      <c r="L250">
        <v>1348</v>
      </c>
      <c r="N250">
        <v>1009</v>
      </c>
      <c r="O250" t="s">
        <v>367</v>
      </c>
      <c r="P250" t="s">
        <v>367</v>
      </c>
      <c r="Q250">
        <v>1000</v>
      </c>
      <c r="X250">
        <v>6.0000000000000002E-5</v>
      </c>
      <c r="Y250">
        <v>11242.42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 t="s">
        <v>3</v>
      </c>
      <c r="AG250">
        <v>6.0000000000000002E-5</v>
      </c>
      <c r="AH250">
        <v>3</v>
      </c>
      <c r="AI250">
        <v>-1</v>
      </c>
      <c r="AJ250" t="s">
        <v>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ROW(Source!A114)</f>
        <v>114</v>
      </c>
      <c r="B251">
        <v>56616701</v>
      </c>
      <c r="C251">
        <v>56616691</v>
      </c>
      <c r="D251">
        <v>45796980</v>
      </c>
      <c r="E251">
        <v>1</v>
      </c>
      <c r="F251">
        <v>1</v>
      </c>
      <c r="G251">
        <v>27786564</v>
      </c>
      <c r="H251">
        <v>3</v>
      </c>
      <c r="I251" t="s">
        <v>499</v>
      </c>
      <c r="J251" t="s">
        <v>500</v>
      </c>
      <c r="K251" t="s">
        <v>501</v>
      </c>
      <c r="L251">
        <v>1346</v>
      </c>
      <c r="N251">
        <v>1009</v>
      </c>
      <c r="O251" t="s">
        <v>104</v>
      </c>
      <c r="P251" t="s">
        <v>104</v>
      </c>
      <c r="Q251">
        <v>1</v>
      </c>
      <c r="X251">
        <v>0.8</v>
      </c>
      <c r="Y251">
        <v>25.8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 t="s">
        <v>3</v>
      </c>
      <c r="AG251">
        <v>0.8</v>
      </c>
      <c r="AH251">
        <v>3</v>
      </c>
      <c r="AI251">
        <v>-1</v>
      </c>
      <c r="AJ251" t="s">
        <v>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ROW(Source!A114)</f>
        <v>114</v>
      </c>
      <c r="B252">
        <v>56616702</v>
      </c>
      <c r="C252">
        <v>56616691</v>
      </c>
      <c r="D252">
        <v>46723704</v>
      </c>
      <c r="E252">
        <v>1</v>
      </c>
      <c r="F252">
        <v>1</v>
      </c>
      <c r="G252">
        <v>27786564</v>
      </c>
      <c r="H252">
        <v>3</v>
      </c>
      <c r="I252" t="s">
        <v>505</v>
      </c>
      <c r="J252" t="s">
        <v>506</v>
      </c>
      <c r="K252" t="s">
        <v>507</v>
      </c>
      <c r="L252">
        <v>1348</v>
      </c>
      <c r="N252">
        <v>1009</v>
      </c>
      <c r="O252" t="s">
        <v>367</v>
      </c>
      <c r="P252" t="s">
        <v>367</v>
      </c>
      <c r="Q252">
        <v>1000</v>
      </c>
      <c r="X252">
        <v>4.0000000000000003E-5</v>
      </c>
      <c r="Y252">
        <v>7982.5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3</v>
      </c>
      <c r="AG252">
        <v>4.0000000000000003E-5</v>
      </c>
      <c r="AH252">
        <v>3</v>
      </c>
      <c r="AI252">
        <v>-1</v>
      </c>
      <c r="AJ252" t="s">
        <v>3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ROW(Source!A114)</f>
        <v>114</v>
      </c>
      <c r="B253">
        <v>56616703</v>
      </c>
      <c r="C253">
        <v>56616691</v>
      </c>
      <c r="D253">
        <v>46735845</v>
      </c>
      <c r="E253">
        <v>1</v>
      </c>
      <c r="F253">
        <v>1</v>
      </c>
      <c r="G253">
        <v>27786564</v>
      </c>
      <c r="H253">
        <v>3</v>
      </c>
      <c r="I253" t="s">
        <v>508</v>
      </c>
      <c r="J253" t="s">
        <v>553</v>
      </c>
      <c r="K253" t="s">
        <v>510</v>
      </c>
      <c r="L253">
        <v>1356</v>
      </c>
      <c r="N253">
        <v>1010</v>
      </c>
      <c r="O253" t="s">
        <v>511</v>
      </c>
      <c r="P253" t="s">
        <v>511</v>
      </c>
      <c r="Q253">
        <v>1000</v>
      </c>
      <c r="X253">
        <v>4.1000000000000003E-3</v>
      </c>
      <c r="Y253">
        <v>226.68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3</v>
      </c>
      <c r="AG253">
        <v>4.1000000000000003E-3</v>
      </c>
      <c r="AH253">
        <v>3</v>
      </c>
      <c r="AI253">
        <v>-1</v>
      </c>
      <c r="AJ253" t="s">
        <v>3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ROW(Source!A114)</f>
        <v>114</v>
      </c>
      <c r="B254">
        <v>56616704</v>
      </c>
      <c r="C254">
        <v>56616691</v>
      </c>
      <c r="D254">
        <v>46735506</v>
      </c>
      <c r="E254">
        <v>1</v>
      </c>
      <c r="F254">
        <v>1</v>
      </c>
      <c r="G254">
        <v>27786564</v>
      </c>
      <c r="H254">
        <v>3</v>
      </c>
      <c r="I254" t="s">
        <v>512</v>
      </c>
      <c r="J254" t="s">
        <v>513</v>
      </c>
      <c r="K254" t="s">
        <v>514</v>
      </c>
      <c r="L254">
        <v>1301</v>
      </c>
      <c r="N254">
        <v>1003</v>
      </c>
      <c r="O254" t="s">
        <v>55</v>
      </c>
      <c r="P254" t="s">
        <v>55</v>
      </c>
      <c r="Q254">
        <v>1</v>
      </c>
      <c r="X254">
        <v>0.96</v>
      </c>
      <c r="Y254">
        <v>0.7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3</v>
      </c>
      <c r="AG254">
        <v>0.96</v>
      </c>
      <c r="AH254">
        <v>3</v>
      </c>
      <c r="AI254">
        <v>-1</v>
      </c>
      <c r="AJ254" t="s">
        <v>3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ROW(Source!A114)</f>
        <v>114</v>
      </c>
      <c r="B255">
        <v>56616705</v>
      </c>
      <c r="C255">
        <v>56616691</v>
      </c>
      <c r="D255">
        <v>46735508</v>
      </c>
      <c r="E255">
        <v>1</v>
      </c>
      <c r="F255">
        <v>1</v>
      </c>
      <c r="G255">
        <v>27786564</v>
      </c>
      <c r="H255">
        <v>3</v>
      </c>
      <c r="I255" t="s">
        <v>515</v>
      </c>
      <c r="J255" t="s">
        <v>516</v>
      </c>
      <c r="K255" t="s">
        <v>517</v>
      </c>
      <c r="L255">
        <v>1356</v>
      </c>
      <c r="N255">
        <v>1010</v>
      </c>
      <c r="O255" t="s">
        <v>511</v>
      </c>
      <c r="P255" t="s">
        <v>511</v>
      </c>
      <c r="Q255">
        <v>1000</v>
      </c>
      <c r="X255">
        <v>8.3199999999999993E-3</v>
      </c>
      <c r="Y255">
        <v>6.44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 t="s">
        <v>3</v>
      </c>
      <c r="AG255">
        <v>8.3199999999999993E-3</v>
      </c>
      <c r="AH255">
        <v>3</v>
      </c>
      <c r="AI255">
        <v>-1</v>
      </c>
      <c r="AJ255" t="s">
        <v>3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f>ROW(Source!A114)</f>
        <v>114</v>
      </c>
      <c r="B256">
        <v>56616706</v>
      </c>
      <c r="C256">
        <v>56616691</v>
      </c>
      <c r="D256">
        <v>49717618</v>
      </c>
      <c r="E256">
        <v>27786564</v>
      </c>
      <c r="F256">
        <v>1</v>
      </c>
      <c r="G256">
        <v>27786564</v>
      </c>
      <c r="H256">
        <v>3</v>
      </c>
      <c r="I256" t="s">
        <v>554</v>
      </c>
      <c r="J256" t="s">
        <v>3</v>
      </c>
      <c r="K256" t="s">
        <v>555</v>
      </c>
      <c r="L256">
        <v>1303</v>
      </c>
      <c r="N256">
        <v>1003</v>
      </c>
      <c r="O256" t="s">
        <v>556</v>
      </c>
      <c r="P256" t="s">
        <v>556</v>
      </c>
      <c r="Q256">
        <v>1000</v>
      </c>
      <c r="X256">
        <v>0.10199999999999999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3</v>
      </c>
      <c r="AG256">
        <v>0.10199999999999999</v>
      </c>
      <c r="AH256">
        <v>3</v>
      </c>
      <c r="AI256">
        <v>-1</v>
      </c>
      <c r="AJ256" t="s">
        <v>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">
      <c r="A257">
        <f>ROW(Source!A115)</f>
        <v>115</v>
      </c>
      <c r="B257">
        <v>56616708</v>
      </c>
      <c r="C257">
        <v>56616707</v>
      </c>
      <c r="D257">
        <v>47634407</v>
      </c>
      <c r="E257">
        <v>27786564</v>
      </c>
      <c r="F257">
        <v>1</v>
      </c>
      <c r="G257">
        <v>27786564</v>
      </c>
      <c r="H257">
        <v>1</v>
      </c>
      <c r="I257" t="s">
        <v>439</v>
      </c>
      <c r="J257" t="s">
        <v>3</v>
      </c>
      <c r="K257" t="s">
        <v>440</v>
      </c>
      <c r="L257">
        <v>1191</v>
      </c>
      <c r="N257">
        <v>1013</v>
      </c>
      <c r="O257" t="s">
        <v>441</v>
      </c>
      <c r="P257" t="s">
        <v>441</v>
      </c>
      <c r="Q257">
        <v>1</v>
      </c>
      <c r="X257">
        <v>18.8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1</v>
      </c>
      <c r="AF257" t="s">
        <v>22</v>
      </c>
      <c r="AG257">
        <v>20.680000000000003</v>
      </c>
      <c r="AH257">
        <v>3</v>
      </c>
      <c r="AI257">
        <v>-1</v>
      </c>
      <c r="AJ257" t="s">
        <v>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">
      <c r="A258">
        <f>ROW(Source!A115)</f>
        <v>115</v>
      </c>
      <c r="B258">
        <v>56616709</v>
      </c>
      <c r="C258">
        <v>56616707</v>
      </c>
      <c r="D258">
        <v>47767106</v>
      </c>
      <c r="E258">
        <v>1</v>
      </c>
      <c r="F258">
        <v>1</v>
      </c>
      <c r="G258">
        <v>27786564</v>
      </c>
      <c r="H258">
        <v>2</v>
      </c>
      <c r="I258" t="s">
        <v>487</v>
      </c>
      <c r="J258" t="s">
        <v>488</v>
      </c>
      <c r="K258" t="s">
        <v>489</v>
      </c>
      <c r="L258">
        <v>1368</v>
      </c>
      <c r="N258">
        <v>1011</v>
      </c>
      <c r="O258" t="s">
        <v>445</v>
      </c>
      <c r="P258" t="s">
        <v>445</v>
      </c>
      <c r="Q258">
        <v>1</v>
      </c>
      <c r="X258">
        <v>1.51</v>
      </c>
      <c r="Y258">
        <v>0</v>
      </c>
      <c r="Z258">
        <v>83.1</v>
      </c>
      <c r="AA258">
        <v>12.62</v>
      </c>
      <c r="AB258">
        <v>0</v>
      </c>
      <c r="AC258">
        <v>0</v>
      </c>
      <c r="AD258">
        <v>1</v>
      </c>
      <c r="AE258">
        <v>0</v>
      </c>
      <c r="AF258" t="s">
        <v>22</v>
      </c>
      <c r="AG258">
        <v>1.6610000000000003</v>
      </c>
      <c r="AH258">
        <v>3</v>
      </c>
      <c r="AI258">
        <v>-1</v>
      </c>
      <c r="AJ258" t="s">
        <v>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f>ROW(Source!A115)</f>
        <v>115</v>
      </c>
      <c r="B259">
        <v>56616710</v>
      </c>
      <c r="C259">
        <v>56616707</v>
      </c>
      <c r="D259">
        <v>47766545</v>
      </c>
      <c r="E259">
        <v>1</v>
      </c>
      <c r="F259">
        <v>1</v>
      </c>
      <c r="G259">
        <v>27786564</v>
      </c>
      <c r="H259">
        <v>2</v>
      </c>
      <c r="I259" t="s">
        <v>490</v>
      </c>
      <c r="J259" t="s">
        <v>491</v>
      </c>
      <c r="K259" t="s">
        <v>492</v>
      </c>
      <c r="L259">
        <v>1368</v>
      </c>
      <c r="N259">
        <v>1011</v>
      </c>
      <c r="O259" t="s">
        <v>445</v>
      </c>
      <c r="P259" t="s">
        <v>445</v>
      </c>
      <c r="Q259">
        <v>1</v>
      </c>
      <c r="X259">
        <v>4.2699999999999996</v>
      </c>
      <c r="Y259">
        <v>0</v>
      </c>
      <c r="Z259">
        <v>0.73</v>
      </c>
      <c r="AA259">
        <v>0</v>
      </c>
      <c r="AB259">
        <v>0</v>
      </c>
      <c r="AC259">
        <v>0</v>
      </c>
      <c r="AD259">
        <v>1</v>
      </c>
      <c r="AE259">
        <v>0</v>
      </c>
      <c r="AF259" t="s">
        <v>22</v>
      </c>
      <c r="AG259">
        <v>4.6970000000000001</v>
      </c>
      <c r="AH259">
        <v>3</v>
      </c>
      <c r="AI259">
        <v>-1</v>
      </c>
      <c r="AJ259" t="s">
        <v>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f>ROW(Source!A115)</f>
        <v>115</v>
      </c>
      <c r="B260">
        <v>56616711</v>
      </c>
      <c r="C260">
        <v>56616707</v>
      </c>
      <c r="D260">
        <v>47766581</v>
      </c>
      <c r="E260">
        <v>1</v>
      </c>
      <c r="F260">
        <v>1</v>
      </c>
      <c r="G260">
        <v>27786564</v>
      </c>
      <c r="H260">
        <v>2</v>
      </c>
      <c r="I260" t="s">
        <v>493</v>
      </c>
      <c r="J260" t="s">
        <v>494</v>
      </c>
      <c r="K260" t="s">
        <v>495</v>
      </c>
      <c r="L260">
        <v>1368</v>
      </c>
      <c r="N260">
        <v>1011</v>
      </c>
      <c r="O260" t="s">
        <v>445</v>
      </c>
      <c r="P260" t="s">
        <v>445</v>
      </c>
      <c r="Q260">
        <v>1</v>
      </c>
      <c r="X260">
        <v>4.2699999999999996</v>
      </c>
      <c r="Y260">
        <v>0</v>
      </c>
      <c r="Z260">
        <v>4</v>
      </c>
      <c r="AA260">
        <v>0</v>
      </c>
      <c r="AB260">
        <v>0</v>
      </c>
      <c r="AC260">
        <v>0</v>
      </c>
      <c r="AD260">
        <v>1</v>
      </c>
      <c r="AE260">
        <v>0</v>
      </c>
      <c r="AF260" t="s">
        <v>22</v>
      </c>
      <c r="AG260">
        <v>4.6970000000000001</v>
      </c>
      <c r="AH260">
        <v>3</v>
      </c>
      <c r="AI260">
        <v>-1</v>
      </c>
      <c r="AJ260" t="s">
        <v>3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f>ROW(Source!A115)</f>
        <v>115</v>
      </c>
      <c r="B261">
        <v>56616712</v>
      </c>
      <c r="C261">
        <v>56616707</v>
      </c>
      <c r="D261">
        <v>32913309</v>
      </c>
      <c r="E261">
        <v>1</v>
      </c>
      <c r="F261">
        <v>1</v>
      </c>
      <c r="G261">
        <v>27786564</v>
      </c>
      <c r="H261">
        <v>3</v>
      </c>
      <c r="I261" t="s">
        <v>544</v>
      </c>
      <c r="J261" t="s">
        <v>545</v>
      </c>
      <c r="K261" t="s">
        <v>546</v>
      </c>
      <c r="L261">
        <v>1348</v>
      </c>
      <c r="N261">
        <v>1009</v>
      </c>
      <c r="O261" t="s">
        <v>367</v>
      </c>
      <c r="P261" t="s">
        <v>367</v>
      </c>
      <c r="Q261">
        <v>1000</v>
      </c>
      <c r="X261">
        <v>1E-3</v>
      </c>
      <c r="Y261">
        <v>7254.88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 t="s">
        <v>3</v>
      </c>
      <c r="AG261">
        <v>1E-3</v>
      </c>
      <c r="AH261">
        <v>3</v>
      </c>
      <c r="AI261">
        <v>-1</v>
      </c>
      <c r="AJ261" t="s">
        <v>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">
      <c r="A262">
        <f>ROW(Source!A115)</f>
        <v>115</v>
      </c>
      <c r="B262">
        <v>56616713</v>
      </c>
      <c r="C262">
        <v>56616707</v>
      </c>
      <c r="D262">
        <v>32913337</v>
      </c>
      <c r="E262">
        <v>1</v>
      </c>
      <c r="F262">
        <v>1</v>
      </c>
      <c r="G262">
        <v>27786564</v>
      </c>
      <c r="H262">
        <v>3</v>
      </c>
      <c r="I262" t="s">
        <v>547</v>
      </c>
      <c r="J262" t="s">
        <v>548</v>
      </c>
      <c r="K262" t="s">
        <v>549</v>
      </c>
      <c r="L262">
        <v>1348</v>
      </c>
      <c r="N262">
        <v>1009</v>
      </c>
      <c r="O262" t="s">
        <v>367</v>
      </c>
      <c r="P262" t="s">
        <v>367</v>
      </c>
      <c r="Q262">
        <v>1000</v>
      </c>
      <c r="X262">
        <v>0.01</v>
      </c>
      <c r="Y262">
        <v>9853.14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3</v>
      </c>
      <c r="AG262">
        <v>0.01</v>
      </c>
      <c r="AH262">
        <v>3</v>
      </c>
      <c r="AI262">
        <v>-1</v>
      </c>
      <c r="AJ262" t="s">
        <v>3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>
        <f>ROW(Source!A115)</f>
        <v>115</v>
      </c>
      <c r="B263">
        <v>56616714</v>
      </c>
      <c r="C263">
        <v>56616707</v>
      </c>
      <c r="D263">
        <v>46723495</v>
      </c>
      <c r="E263">
        <v>1</v>
      </c>
      <c r="F263">
        <v>1</v>
      </c>
      <c r="G263">
        <v>27786564</v>
      </c>
      <c r="H263">
        <v>3</v>
      </c>
      <c r="I263" t="s">
        <v>550</v>
      </c>
      <c r="J263" t="s">
        <v>551</v>
      </c>
      <c r="K263" t="s">
        <v>552</v>
      </c>
      <c r="L263">
        <v>1348</v>
      </c>
      <c r="N263">
        <v>1009</v>
      </c>
      <c r="O263" t="s">
        <v>367</v>
      </c>
      <c r="P263" t="s">
        <v>367</v>
      </c>
      <c r="Q263">
        <v>1000</v>
      </c>
      <c r="X263">
        <v>2.5000000000000001E-4</v>
      </c>
      <c r="Y263">
        <v>16222.39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 t="s">
        <v>3</v>
      </c>
      <c r="AG263">
        <v>2.5000000000000001E-4</v>
      </c>
      <c r="AH263">
        <v>3</v>
      </c>
      <c r="AI263">
        <v>-1</v>
      </c>
      <c r="AJ263" t="s">
        <v>3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">
      <c r="A264">
        <f>ROW(Source!A115)</f>
        <v>115</v>
      </c>
      <c r="B264">
        <v>56616715</v>
      </c>
      <c r="C264">
        <v>56616707</v>
      </c>
      <c r="D264">
        <v>46723498</v>
      </c>
      <c r="E264">
        <v>1</v>
      </c>
      <c r="F264">
        <v>1</v>
      </c>
      <c r="G264">
        <v>27786564</v>
      </c>
      <c r="H264">
        <v>3</v>
      </c>
      <c r="I264" t="s">
        <v>496</v>
      </c>
      <c r="J264" t="s">
        <v>497</v>
      </c>
      <c r="K264" t="s">
        <v>498</v>
      </c>
      <c r="L264">
        <v>1348</v>
      </c>
      <c r="N264">
        <v>1009</v>
      </c>
      <c r="O264" t="s">
        <v>367</v>
      </c>
      <c r="P264" t="s">
        <v>367</v>
      </c>
      <c r="Q264">
        <v>1000</v>
      </c>
      <c r="X264">
        <v>6.0000000000000002E-5</v>
      </c>
      <c r="Y264">
        <v>11242.42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3</v>
      </c>
      <c r="AG264">
        <v>6.0000000000000002E-5</v>
      </c>
      <c r="AH264">
        <v>3</v>
      </c>
      <c r="AI264">
        <v>-1</v>
      </c>
      <c r="AJ264" t="s">
        <v>3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">
      <c r="A265">
        <f>ROW(Source!A115)</f>
        <v>115</v>
      </c>
      <c r="B265">
        <v>56616716</v>
      </c>
      <c r="C265">
        <v>56616707</v>
      </c>
      <c r="D265">
        <v>45796980</v>
      </c>
      <c r="E265">
        <v>1</v>
      </c>
      <c r="F265">
        <v>1</v>
      </c>
      <c r="G265">
        <v>27786564</v>
      </c>
      <c r="H265">
        <v>3</v>
      </c>
      <c r="I265" t="s">
        <v>499</v>
      </c>
      <c r="J265" t="s">
        <v>500</v>
      </c>
      <c r="K265" t="s">
        <v>501</v>
      </c>
      <c r="L265">
        <v>1346</v>
      </c>
      <c r="N265">
        <v>1009</v>
      </c>
      <c r="O265" t="s">
        <v>104</v>
      </c>
      <c r="P265" t="s">
        <v>104</v>
      </c>
      <c r="Q265">
        <v>1</v>
      </c>
      <c r="X265">
        <v>0.8</v>
      </c>
      <c r="Y265">
        <v>25.8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 t="s">
        <v>3</v>
      </c>
      <c r="AG265">
        <v>0.8</v>
      </c>
      <c r="AH265">
        <v>3</v>
      </c>
      <c r="AI265">
        <v>-1</v>
      </c>
      <c r="AJ265" t="s">
        <v>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f>ROW(Source!A115)</f>
        <v>115</v>
      </c>
      <c r="B266">
        <v>56616717</v>
      </c>
      <c r="C266">
        <v>56616707</v>
      </c>
      <c r="D266">
        <v>46723704</v>
      </c>
      <c r="E266">
        <v>1</v>
      </c>
      <c r="F266">
        <v>1</v>
      </c>
      <c r="G266">
        <v>27786564</v>
      </c>
      <c r="H266">
        <v>3</v>
      </c>
      <c r="I266" t="s">
        <v>505</v>
      </c>
      <c r="J266" t="s">
        <v>506</v>
      </c>
      <c r="K266" t="s">
        <v>507</v>
      </c>
      <c r="L266">
        <v>1348</v>
      </c>
      <c r="N266">
        <v>1009</v>
      </c>
      <c r="O266" t="s">
        <v>367</v>
      </c>
      <c r="P266" t="s">
        <v>367</v>
      </c>
      <c r="Q266">
        <v>1000</v>
      </c>
      <c r="X266">
        <v>4.0000000000000003E-5</v>
      </c>
      <c r="Y266">
        <v>7982.5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 t="s">
        <v>3</v>
      </c>
      <c r="AG266">
        <v>4.0000000000000003E-5</v>
      </c>
      <c r="AH266">
        <v>3</v>
      </c>
      <c r="AI266">
        <v>-1</v>
      </c>
      <c r="AJ266" t="s">
        <v>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>
        <f>ROW(Source!A115)</f>
        <v>115</v>
      </c>
      <c r="B267">
        <v>56616718</v>
      </c>
      <c r="C267">
        <v>56616707</v>
      </c>
      <c r="D267">
        <v>46735845</v>
      </c>
      <c r="E267">
        <v>1</v>
      </c>
      <c r="F267">
        <v>1</v>
      </c>
      <c r="G267">
        <v>27786564</v>
      </c>
      <c r="H267">
        <v>3</v>
      </c>
      <c r="I267" t="s">
        <v>508</v>
      </c>
      <c r="J267" t="s">
        <v>553</v>
      </c>
      <c r="K267" t="s">
        <v>510</v>
      </c>
      <c r="L267">
        <v>1356</v>
      </c>
      <c r="N267">
        <v>1010</v>
      </c>
      <c r="O267" t="s">
        <v>511</v>
      </c>
      <c r="P267" t="s">
        <v>511</v>
      </c>
      <c r="Q267">
        <v>1000</v>
      </c>
      <c r="X267">
        <v>4.1000000000000003E-3</v>
      </c>
      <c r="Y267">
        <v>226.68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 t="s">
        <v>3</v>
      </c>
      <c r="AG267">
        <v>4.1000000000000003E-3</v>
      </c>
      <c r="AH267">
        <v>3</v>
      </c>
      <c r="AI267">
        <v>-1</v>
      </c>
      <c r="AJ267" t="s">
        <v>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f>ROW(Source!A115)</f>
        <v>115</v>
      </c>
      <c r="B268">
        <v>56616719</v>
      </c>
      <c r="C268">
        <v>56616707</v>
      </c>
      <c r="D268">
        <v>46735506</v>
      </c>
      <c r="E268">
        <v>1</v>
      </c>
      <c r="F268">
        <v>1</v>
      </c>
      <c r="G268">
        <v>27786564</v>
      </c>
      <c r="H268">
        <v>3</v>
      </c>
      <c r="I268" t="s">
        <v>512</v>
      </c>
      <c r="J268" t="s">
        <v>513</v>
      </c>
      <c r="K268" t="s">
        <v>514</v>
      </c>
      <c r="L268">
        <v>1301</v>
      </c>
      <c r="N268">
        <v>1003</v>
      </c>
      <c r="O268" t="s">
        <v>55</v>
      </c>
      <c r="P268" t="s">
        <v>55</v>
      </c>
      <c r="Q268">
        <v>1</v>
      </c>
      <c r="X268">
        <v>0.96</v>
      </c>
      <c r="Y268">
        <v>0.7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 t="s">
        <v>3</v>
      </c>
      <c r="AG268">
        <v>0.96</v>
      </c>
      <c r="AH268">
        <v>3</v>
      </c>
      <c r="AI268">
        <v>-1</v>
      </c>
      <c r="AJ268" t="s">
        <v>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f>ROW(Source!A115)</f>
        <v>115</v>
      </c>
      <c r="B269">
        <v>56616720</v>
      </c>
      <c r="C269">
        <v>56616707</v>
      </c>
      <c r="D269">
        <v>46735508</v>
      </c>
      <c r="E269">
        <v>1</v>
      </c>
      <c r="F269">
        <v>1</v>
      </c>
      <c r="G269">
        <v>27786564</v>
      </c>
      <c r="H269">
        <v>3</v>
      </c>
      <c r="I269" t="s">
        <v>515</v>
      </c>
      <c r="J269" t="s">
        <v>516</v>
      </c>
      <c r="K269" t="s">
        <v>517</v>
      </c>
      <c r="L269">
        <v>1356</v>
      </c>
      <c r="N269">
        <v>1010</v>
      </c>
      <c r="O269" t="s">
        <v>511</v>
      </c>
      <c r="P269" t="s">
        <v>511</v>
      </c>
      <c r="Q269">
        <v>1000</v>
      </c>
      <c r="X269">
        <v>8.3199999999999993E-3</v>
      </c>
      <c r="Y269">
        <v>6.44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 t="s">
        <v>3</v>
      </c>
      <c r="AG269">
        <v>8.3199999999999993E-3</v>
      </c>
      <c r="AH269">
        <v>3</v>
      </c>
      <c r="AI269">
        <v>-1</v>
      </c>
      <c r="AJ269" t="s">
        <v>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f>ROW(Source!A115)</f>
        <v>115</v>
      </c>
      <c r="B270">
        <v>56616721</v>
      </c>
      <c r="C270">
        <v>56616707</v>
      </c>
      <c r="D270">
        <v>49717618</v>
      </c>
      <c r="E270">
        <v>27786564</v>
      </c>
      <c r="F270">
        <v>1</v>
      </c>
      <c r="G270">
        <v>27786564</v>
      </c>
      <c r="H270">
        <v>3</v>
      </c>
      <c r="I270" t="s">
        <v>554</v>
      </c>
      <c r="J270" t="s">
        <v>3</v>
      </c>
      <c r="K270" t="s">
        <v>555</v>
      </c>
      <c r="L270">
        <v>1303</v>
      </c>
      <c r="N270">
        <v>1003</v>
      </c>
      <c r="O270" t="s">
        <v>556</v>
      </c>
      <c r="P270" t="s">
        <v>556</v>
      </c>
      <c r="Q270">
        <v>1000</v>
      </c>
      <c r="X270">
        <v>0.10199999999999999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 t="s">
        <v>3</v>
      </c>
      <c r="AG270">
        <v>0.10199999999999999</v>
      </c>
      <c r="AH270">
        <v>3</v>
      </c>
      <c r="AI270">
        <v>-1</v>
      </c>
      <c r="AJ270" t="s">
        <v>3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f>ROW(Source!A116)</f>
        <v>116</v>
      </c>
      <c r="B271">
        <v>56616708</v>
      </c>
      <c r="C271">
        <v>56616707</v>
      </c>
      <c r="D271">
        <v>47634407</v>
      </c>
      <c r="E271">
        <v>27786564</v>
      </c>
      <c r="F271">
        <v>1</v>
      </c>
      <c r="G271">
        <v>27786564</v>
      </c>
      <c r="H271">
        <v>1</v>
      </c>
      <c r="I271" t="s">
        <v>439</v>
      </c>
      <c r="J271" t="s">
        <v>3</v>
      </c>
      <c r="K271" t="s">
        <v>440</v>
      </c>
      <c r="L271">
        <v>1191</v>
      </c>
      <c r="N271">
        <v>1013</v>
      </c>
      <c r="O271" t="s">
        <v>441</v>
      </c>
      <c r="P271" t="s">
        <v>441</v>
      </c>
      <c r="Q271">
        <v>1</v>
      </c>
      <c r="X271">
        <v>18.8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1</v>
      </c>
      <c r="AF271" t="s">
        <v>22</v>
      </c>
      <c r="AG271">
        <v>20.680000000000003</v>
      </c>
      <c r="AH271">
        <v>3</v>
      </c>
      <c r="AI271">
        <v>-1</v>
      </c>
      <c r="AJ271" t="s">
        <v>3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">
      <c r="A272">
        <f>ROW(Source!A116)</f>
        <v>116</v>
      </c>
      <c r="B272">
        <v>56616709</v>
      </c>
      <c r="C272">
        <v>56616707</v>
      </c>
      <c r="D272">
        <v>47767106</v>
      </c>
      <c r="E272">
        <v>1</v>
      </c>
      <c r="F272">
        <v>1</v>
      </c>
      <c r="G272">
        <v>27786564</v>
      </c>
      <c r="H272">
        <v>2</v>
      </c>
      <c r="I272" t="s">
        <v>487</v>
      </c>
      <c r="J272" t="s">
        <v>488</v>
      </c>
      <c r="K272" t="s">
        <v>489</v>
      </c>
      <c r="L272">
        <v>1368</v>
      </c>
      <c r="N272">
        <v>1011</v>
      </c>
      <c r="O272" t="s">
        <v>445</v>
      </c>
      <c r="P272" t="s">
        <v>445</v>
      </c>
      <c r="Q272">
        <v>1</v>
      </c>
      <c r="X272">
        <v>1.51</v>
      </c>
      <c r="Y272">
        <v>0</v>
      </c>
      <c r="Z272">
        <v>83.1</v>
      </c>
      <c r="AA272">
        <v>12.62</v>
      </c>
      <c r="AB272">
        <v>0</v>
      </c>
      <c r="AC272">
        <v>0</v>
      </c>
      <c r="AD272">
        <v>1</v>
      </c>
      <c r="AE272">
        <v>0</v>
      </c>
      <c r="AF272" t="s">
        <v>22</v>
      </c>
      <c r="AG272">
        <v>1.6610000000000003</v>
      </c>
      <c r="AH272">
        <v>3</v>
      </c>
      <c r="AI272">
        <v>-1</v>
      </c>
      <c r="AJ272" t="s">
        <v>3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">
      <c r="A273">
        <f>ROW(Source!A116)</f>
        <v>116</v>
      </c>
      <c r="B273">
        <v>56616710</v>
      </c>
      <c r="C273">
        <v>56616707</v>
      </c>
      <c r="D273">
        <v>47766545</v>
      </c>
      <c r="E273">
        <v>1</v>
      </c>
      <c r="F273">
        <v>1</v>
      </c>
      <c r="G273">
        <v>27786564</v>
      </c>
      <c r="H273">
        <v>2</v>
      </c>
      <c r="I273" t="s">
        <v>490</v>
      </c>
      <c r="J273" t="s">
        <v>491</v>
      </c>
      <c r="K273" t="s">
        <v>492</v>
      </c>
      <c r="L273">
        <v>1368</v>
      </c>
      <c r="N273">
        <v>1011</v>
      </c>
      <c r="O273" t="s">
        <v>445</v>
      </c>
      <c r="P273" t="s">
        <v>445</v>
      </c>
      <c r="Q273">
        <v>1</v>
      </c>
      <c r="X273">
        <v>4.2699999999999996</v>
      </c>
      <c r="Y273">
        <v>0</v>
      </c>
      <c r="Z273">
        <v>0.73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22</v>
      </c>
      <c r="AG273">
        <v>4.6970000000000001</v>
      </c>
      <c r="AH273">
        <v>3</v>
      </c>
      <c r="AI273">
        <v>-1</v>
      </c>
      <c r="AJ273" t="s">
        <v>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f>ROW(Source!A116)</f>
        <v>116</v>
      </c>
      <c r="B274">
        <v>56616711</v>
      </c>
      <c r="C274">
        <v>56616707</v>
      </c>
      <c r="D274">
        <v>47766581</v>
      </c>
      <c r="E274">
        <v>1</v>
      </c>
      <c r="F274">
        <v>1</v>
      </c>
      <c r="G274">
        <v>27786564</v>
      </c>
      <c r="H274">
        <v>2</v>
      </c>
      <c r="I274" t="s">
        <v>493</v>
      </c>
      <c r="J274" t="s">
        <v>494</v>
      </c>
      <c r="K274" t="s">
        <v>495</v>
      </c>
      <c r="L274">
        <v>1368</v>
      </c>
      <c r="N274">
        <v>1011</v>
      </c>
      <c r="O274" t="s">
        <v>445</v>
      </c>
      <c r="P274" t="s">
        <v>445</v>
      </c>
      <c r="Q274">
        <v>1</v>
      </c>
      <c r="X274">
        <v>4.2699999999999996</v>
      </c>
      <c r="Y274">
        <v>0</v>
      </c>
      <c r="Z274">
        <v>4</v>
      </c>
      <c r="AA274">
        <v>0</v>
      </c>
      <c r="AB274">
        <v>0</v>
      </c>
      <c r="AC274">
        <v>0</v>
      </c>
      <c r="AD274">
        <v>1</v>
      </c>
      <c r="AE274">
        <v>0</v>
      </c>
      <c r="AF274" t="s">
        <v>22</v>
      </c>
      <c r="AG274">
        <v>4.6970000000000001</v>
      </c>
      <c r="AH274">
        <v>3</v>
      </c>
      <c r="AI274">
        <v>-1</v>
      </c>
      <c r="AJ274" t="s">
        <v>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">
      <c r="A275">
        <f>ROW(Source!A116)</f>
        <v>116</v>
      </c>
      <c r="B275">
        <v>56616712</v>
      </c>
      <c r="C275">
        <v>56616707</v>
      </c>
      <c r="D275">
        <v>32913309</v>
      </c>
      <c r="E275">
        <v>1</v>
      </c>
      <c r="F275">
        <v>1</v>
      </c>
      <c r="G275">
        <v>27786564</v>
      </c>
      <c r="H275">
        <v>3</v>
      </c>
      <c r="I275" t="s">
        <v>544</v>
      </c>
      <c r="J275" t="s">
        <v>545</v>
      </c>
      <c r="K275" t="s">
        <v>546</v>
      </c>
      <c r="L275">
        <v>1348</v>
      </c>
      <c r="N275">
        <v>1009</v>
      </c>
      <c r="O275" t="s">
        <v>367</v>
      </c>
      <c r="P275" t="s">
        <v>367</v>
      </c>
      <c r="Q275">
        <v>1000</v>
      </c>
      <c r="X275">
        <v>1E-3</v>
      </c>
      <c r="Y275">
        <v>7254.88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 t="s">
        <v>3</v>
      </c>
      <c r="AG275">
        <v>1E-3</v>
      </c>
      <c r="AH275">
        <v>3</v>
      </c>
      <c r="AI275">
        <v>-1</v>
      </c>
      <c r="AJ275" t="s">
        <v>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f>ROW(Source!A116)</f>
        <v>116</v>
      </c>
      <c r="B276">
        <v>56616713</v>
      </c>
      <c r="C276">
        <v>56616707</v>
      </c>
      <c r="D276">
        <v>32913337</v>
      </c>
      <c r="E276">
        <v>1</v>
      </c>
      <c r="F276">
        <v>1</v>
      </c>
      <c r="G276">
        <v>27786564</v>
      </c>
      <c r="H276">
        <v>3</v>
      </c>
      <c r="I276" t="s">
        <v>547</v>
      </c>
      <c r="J276" t="s">
        <v>548</v>
      </c>
      <c r="K276" t="s">
        <v>549</v>
      </c>
      <c r="L276">
        <v>1348</v>
      </c>
      <c r="N276">
        <v>1009</v>
      </c>
      <c r="O276" t="s">
        <v>367</v>
      </c>
      <c r="P276" t="s">
        <v>367</v>
      </c>
      <c r="Q276">
        <v>1000</v>
      </c>
      <c r="X276">
        <v>0.01</v>
      </c>
      <c r="Y276">
        <v>9853.14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 t="s">
        <v>3</v>
      </c>
      <c r="AG276">
        <v>0.01</v>
      </c>
      <c r="AH276">
        <v>3</v>
      </c>
      <c r="AI276">
        <v>-1</v>
      </c>
      <c r="AJ276" t="s">
        <v>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f>ROW(Source!A116)</f>
        <v>116</v>
      </c>
      <c r="B277">
        <v>56616714</v>
      </c>
      <c r="C277">
        <v>56616707</v>
      </c>
      <c r="D277">
        <v>46723495</v>
      </c>
      <c r="E277">
        <v>1</v>
      </c>
      <c r="F277">
        <v>1</v>
      </c>
      <c r="G277">
        <v>27786564</v>
      </c>
      <c r="H277">
        <v>3</v>
      </c>
      <c r="I277" t="s">
        <v>550</v>
      </c>
      <c r="J277" t="s">
        <v>551</v>
      </c>
      <c r="K277" t="s">
        <v>552</v>
      </c>
      <c r="L277">
        <v>1348</v>
      </c>
      <c r="N277">
        <v>1009</v>
      </c>
      <c r="O277" t="s">
        <v>367</v>
      </c>
      <c r="P277" t="s">
        <v>367</v>
      </c>
      <c r="Q277">
        <v>1000</v>
      </c>
      <c r="X277">
        <v>2.5000000000000001E-4</v>
      </c>
      <c r="Y277">
        <v>16222.39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 t="s">
        <v>3</v>
      </c>
      <c r="AG277">
        <v>2.5000000000000001E-4</v>
      </c>
      <c r="AH277">
        <v>3</v>
      </c>
      <c r="AI277">
        <v>-1</v>
      </c>
      <c r="AJ277" t="s">
        <v>3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f>ROW(Source!A116)</f>
        <v>116</v>
      </c>
      <c r="B278">
        <v>56616715</v>
      </c>
      <c r="C278">
        <v>56616707</v>
      </c>
      <c r="D278">
        <v>46723498</v>
      </c>
      <c r="E278">
        <v>1</v>
      </c>
      <c r="F278">
        <v>1</v>
      </c>
      <c r="G278">
        <v>27786564</v>
      </c>
      <c r="H278">
        <v>3</v>
      </c>
      <c r="I278" t="s">
        <v>496</v>
      </c>
      <c r="J278" t="s">
        <v>497</v>
      </c>
      <c r="K278" t="s">
        <v>498</v>
      </c>
      <c r="L278">
        <v>1348</v>
      </c>
      <c r="N278">
        <v>1009</v>
      </c>
      <c r="O278" t="s">
        <v>367</v>
      </c>
      <c r="P278" t="s">
        <v>367</v>
      </c>
      <c r="Q278">
        <v>1000</v>
      </c>
      <c r="X278">
        <v>6.0000000000000002E-5</v>
      </c>
      <c r="Y278">
        <v>11242.42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3</v>
      </c>
      <c r="AG278">
        <v>6.0000000000000002E-5</v>
      </c>
      <c r="AH278">
        <v>3</v>
      </c>
      <c r="AI278">
        <v>-1</v>
      </c>
      <c r="AJ278" t="s">
        <v>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f>ROW(Source!A116)</f>
        <v>116</v>
      </c>
      <c r="B279">
        <v>56616716</v>
      </c>
      <c r="C279">
        <v>56616707</v>
      </c>
      <c r="D279">
        <v>45796980</v>
      </c>
      <c r="E279">
        <v>1</v>
      </c>
      <c r="F279">
        <v>1</v>
      </c>
      <c r="G279">
        <v>27786564</v>
      </c>
      <c r="H279">
        <v>3</v>
      </c>
      <c r="I279" t="s">
        <v>499</v>
      </c>
      <c r="J279" t="s">
        <v>500</v>
      </c>
      <c r="K279" t="s">
        <v>501</v>
      </c>
      <c r="L279">
        <v>1346</v>
      </c>
      <c r="N279">
        <v>1009</v>
      </c>
      <c r="O279" t="s">
        <v>104</v>
      </c>
      <c r="P279" t="s">
        <v>104</v>
      </c>
      <c r="Q279">
        <v>1</v>
      </c>
      <c r="X279">
        <v>0.8</v>
      </c>
      <c r="Y279">
        <v>25.8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 t="s">
        <v>3</v>
      </c>
      <c r="AG279">
        <v>0.8</v>
      </c>
      <c r="AH279">
        <v>3</v>
      </c>
      <c r="AI279">
        <v>-1</v>
      </c>
      <c r="AJ279" t="s">
        <v>3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f>ROW(Source!A116)</f>
        <v>116</v>
      </c>
      <c r="B280">
        <v>56616717</v>
      </c>
      <c r="C280">
        <v>56616707</v>
      </c>
      <c r="D280">
        <v>46723704</v>
      </c>
      <c r="E280">
        <v>1</v>
      </c>
      <c r="F280">
        <v>1</v>
      </c>
      <c r="G280">
        <v>27786564</v>
      </c>
      <c r="H280">
        <v>3</v>
      </c>
      <c r="I280" t="s">
        <v>505</v>
      </c>
      <c r="J280" t="s">
        <v>506</v>
      </c>
      <c r="K280" t="s">
        <v>507</v>
      </c>
      <c r="L280">
        <v>1348</v>
      </c>
      <c r="N280">
        <v>1009</v>
      </c>
      <c r="O280" t="s">
        <v>367</v>
      </c>
      <c r="P280" t="s">
        <v>367</v>
      </c>
      <c r="Q280">
        <v>1000</v>
      </c>
      <c r="X280">
        <v>4.0000000000000003E-5</v>
      </c>
      <c r="Y280">
        <v>7982.5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3</v>
      </c>
      <c r="AG280">
        <v>4.0000000000000003E-5</v>
      </c>
      <c r="AH280">
        <v>3</v>
      </c>
      <c r="AI280">
        <v>-1</v>
      </c>
      <c r="AJ280" t="s">
        <v>3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f>ROW(Source!A116)</f>
        <v>116</v>
      </c>
      <c r="B281">
        <v>56616718</v>
      </c>
      <c r="C281">
        <v>56616707</v>
      </c>
      <c r="D281">
        <v>46735845</v>
      </c>
      <c r="E281">
        <v>1</v>
      </c>
      <c r="F281">
        <v>1</v>
      </c>
      <c r="G281">
        <v>27786564</v>
      </c>
      <c r="H281">
        <v>3</v>
      </c>
      <c r="I281" t="s">
        <v>508</v>
      </c>
      <c r="J281" t="s">
        <v>553</v>
      </c>
      <c r="K281" t="s">
        <v>510</v>
      </c>
      <c r="L281">
        <v>1356</v>
      </c>
      <c r="N281">
        <v>1010</v>
      </c>
      <c r="O281" t="s">
        <v>511</v>
      </c>
      <c r="P281" t="s">
        <v>511</v>
      </c>
      <c r="Q281">
        <v>1000</v>
      </c>
      <c r="X281">
        <v>4.1000000000000003E-3</v>
      </c>
      <c r="Y281">
        <v>226.68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3</v>
      </c>
      <c r="AG281">
        <v>4.1000000000000003E-3</v>
      </c>
      <c r="AH281">
        <v>3</v>
      </c>
      <c r="AI281">
        <v>-1</v>
      </c>
      <c r="AJ281" t="s">
        <v>3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f>ROW(Source!A116)</f>
        <v>116</v>
      </c>
      <c r="B282">
        <v>56616719</v>
      </c>
      <c r="C282">
        <v>56616707</v>
      </c>
      <c r="D282">
        <v>46735506</v>
      </c>
      <c r="E282">
        <v>1</v>
      </c>
      <c r="F282">
        <v>1</v>
      </c>
      <c r="G282">
        <v>27786564</v>
      </c>
      <c r="H282">
        <v>3</v>
      </c>
      <c r="I282" t="s">
        <v>512</v>
      </c>
      <c r="J282" t="s">
        <v>513</v>
      </c>
      <c r="K282" t="s">
        <v>514</v>
      </c>
      <c r="L282">
        <v>1301</v>
      </c>
      <c r="N282">
        <v>1003</v>
      </c>
      <c r="O282" t="s">
        <v>55</v>
      </c>
      <c r="P282" t="s">
        <v>55</v>
      </c>
      <c r="Q282">
        <v>1</v>
      </c>
      <c r="X282">
        <v>0.96</v>
      </c>
      <c r="Y282">
        <v>0.7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 t="s">
        <v>3</v>
      </c>
      <c r="AG282">
        <v>0.96</v>
      </c>
      <c r="AH282">
        <v>3</v>
      </c>
      <c r="AI282">
        <v>-1</v>
      </c>
      <c r="AJ282" t="s">
        <v>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f>ROW(Source!A116)</f>
        <v>116</v>
      </c>
      <c r="B283">
        <v>56616720</v>
      </c>
      <c r="C283">
        <v>56616707</v>
      </c>
      <c r="D283">
        <v>46735508</v>
      </c>
      <c r="E283">
        <v>1</v>
      </c>
      <c r="F283">
        <v>1</v>
      </c>
      <c r="G283">
        <v>27786564</v>
      </c>
      <c r="H283">
        <v>3</v>
      </c>
      <c r="I283" t="s">
        <v>515</v>
      </c>
      <c r="J283" t="s">
        <v>516</v>
      </c>
      <c r="K283" t="s">
        <v>517</v>
      </c>
      <c r="L283">
        <v>1356</v>
      </c>
      <c r="N283">
        <v>1010</v>
      </c>
      <c r="O283" t="s">
        <v>511</v>
      </c>
      <c r="P283" t="s">
        <v>511</v>
      </c>
      <c r="Q283">
        <v>1000</v>
      </c>
      <c r="X283">
        <v>8.3199999999999993E-3</v>
      </c>
      <c r="Y283">
        <v>6.44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 t="s">
        <v>3</v>
      </c>
      <c r="AG283">
        <v>8.3199999999999993E-3</v>
      </c>
      <c r="AH283">
        <v>3</v>
      </c>
      <c r="AI283">
        <v>-1</v>
      </c>
      <c r="AJ283" t="s">
        <v>3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">
      <c r="A284">
        <f>ROW(Source!A116)</f>
        <v>116</v>
      </c>
      <c r="B284">
        <v>56616721</v>
      </c>
      <c r="C284">
        <v>56616707</v>
      </c>
      <c r="D284">
        <v>49717618</v>
      </c>
      <c r="E284">
        <v>27786564</v>
      </c>
      <c r="F284">
        <v>1</v>
      </c>
      <c r="G284">
        <v>27786564</v>
      </c>
      <c r="H284">
        <v>3</v>
      </c>
      <c r="I284" t="s">
        <v>554</v>
      </c>
      <c r="J284" t="s">
        <v>3</v>
      </c>
      <c r="K284" t="s">
        <v>555</v>
      </c>
      <c r="L284">
        <v>1303</v>
      </c>
      <c r="N284">
        <v>1003</v>
      </c>
      <c r="O284" t="s">
        <v>556</v>
      </c>
      <c r="P284" t="s">
        <v>556</v>
      </c>
      <c r="Q284">
        <v>1000</v>
      </c>
      <c r="X284">
        <v>0.10199999999999999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 t="s">
        <v>3</v>
      </c>
      <c r="AG284">
        <v>0.10199999999999999</v>
      </c>
      <c r="AH284">
        <v>3</v>
      </c>
      <c r="AI284">
        <v>-1</v>
      </c>
      <c r="AJ284" t="s">
        <v>3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f>ROW(Source!A117)</f>
        <v>117</v>
      </c>
      <c r="B285">
        <v>56616724</v>
      </c>
      <c r="C285">
        <v>56616722</v>
      </c>
      <c r="D285">
        <v>47634407</v>
      </c>
      <c r="E285">
        <v>27786564</v>
      </c>
      <c r="F285">
        <v>1</v>
      </c>
      <c r="G285">
        <v>27786564</v>
      </c>
      <c r="H285">
        <v>1</v>
      </c>
      <c r="I285" t="s">
        <v>439</v>
      </c>
      <c r="J285" t="s">
        <v>3</v>
      </c>
      <c r="K285" t="s">
        <v>440</v>
      </c>
      <c r="L285">
        <v>1191</v>
      </c>
      <c r="N285">
        <v>1013</v>
      </c>
      <c r="O285" t="s">
        <v>441</v>
      </c>
      <c r="P285" t="s">
        <v>441</v>
      </c>
      <c r="Q285">
        <v>1</v>
      </c>
      <c r="X285">
        <v>18.8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1</v>
      </c>
      <c r="AF285" t="s">
        <v>22</v>
      </c>
      <c r="AG285">
        <v>20.680000000000003</v>
      </c>
      <c r="AH285">
        <v>2</v>
      </c>
      <c r="AI285">
        <v>56616723</v>
      </c>
      <c r="AJ285">
        <v>101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f>ROW(Source!A117)</f>
        <v>117</v>
      </c>
      <c r="B286">
        <v>56616725</v>
      </c>
      <c r="C286">
        <v>56616722</v>
      </c>
      <c r="D286">
        <v>47767106</v>
      </c>
      <c r="E286">
        <v>1</v>
      </c>
      <c r="F286">
        <v>1</v>
      </c>
      <c r="G286">
        <v>27786564</v>
      </c>
      <c r="H286">
        <v>2</v>
      </c>
      <c r="I286" t="s">
        <v>487</v>
      </c>
      <c r="J286" t="s">
        <v>488</v>
      </c>
      <c r="K286" t="s">
        <v>489</v>
      </c>
      <c r="L286">
        <v>1368</v>
      </c>
      <c r="N286">
        <v>1011</v>
      </c>
      <c r="O286" t="s">
        <v>445</v>
      </c>
      <c r="P286" t="s">
        <v>445</v>
      </c>
      <c r="Q286">
        <v>1</v>
      </c>
      <c r="X286">
        <v>1.51</v>
      </c>
      <c r="Y286">
        <v>0</v>
      </c>
      <c r="Z286">
        <v>83.1</v>
      </c>
      <c r="AA286">
        <v>12.62</v>
      </c>
      <c r="AB286">
        <v>0</v>
      </c>
      <c r="AC286">
        <v>0</v>
      </c>
      <c r="AD286">
        <v>1</v>
      </c>
      <c r="AE286">
        <v>0</v>
      </c>
      <c r="AF286" t="s">
        <v>22</v>
      </c>
      <c r="AG286">
        <v>1.6610000000000003</v>
      </c>
      <c r="AH286">
        <v>3</v>
      </c>
      <c r="AI286">
        <v>-1</v>
      </c>
      <c r="AJ286" t="s">
        <v>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f>ROW(Source!A117)</f>
        <v>117</v>
      </c>
      <c r="B287">
        <v>56616726</v>
      </c>
      <c r="C287">
        <v>56616722</v>
      </c>
      <c r="D287">
        <v>47766545</v>
      </c>
      <c r="E287">
        <v>1</v>
      </c>
      <c r="F287">
        <v>1</v>
      </c>
      <c r="G287">
        <v>27786564</v>
      </c>
      <c r="H287">
        <v>2</v>
      </c>
      <c r="I287" t="s">
        <v>490</v>
      </c>
      <c r="J287" t="s">
        <v>491</v>
      </c>
      <c r="K287" t="s">
        <v>492</v>
      </c>
      <c r="L287">
        <v>1368</v>
      </c>
      <c r="N287">
        <v>1011</v>
      </c>
      <c r="O287" t="s">
        <v>445</v>
      </c>
      <c r="P287" t="s">
        <v>445</v>
      </c>
      <c r="Q287">
        <v>1</v>
      </c>
      <c r="X287">
        <v>4.2699999999999996</v>
      </c>
      <c r="Y287">
        <v>0</v>
      </c>
      <c r="Z287">
        <v>0.73</v>
      </c>
      <c r="AA287">
        <v>0</v>
      </c>
      <c r="AB287">
        <v>0</v>
      </c>
      <c r="AC287">
        <v>0</v>
      </c>
      <c r="AD287">
        <v>1</v>
      </c>
      <c r="AE287">
        <v>0</v>
      </c>
      <c r="AF287" t="s">
        <v>22</v>
      </c>
      <c r="AG287">
        <v>4.6970000000000001</v>
      </c>
      <c r="AH287">
        <v>3</v>
      </c>
      <c r="AI287">
        <v>-1</v>
      </c>
      <c r="AJ287" t="s">
        <v>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f>ROW(Source!A117)</f>
        <v>117</v>
      </c>
      <c r="B288">
        <v>56616727</v>
      </c>
      <c r="C288">
        <v>56616722</v>
      </c>
      <c r="D288">
        <v>47766581</v>
      </c>
      <c r="E288">
        <v>1</v>
      </c>
      <c r="F288">
        <v>1</v>
      </c>
      <c r="G288">
        <v>27786564</v>
      </c>
      <c r="H288">
        <v>2</v>
      </c>
      <c r="I288" t="s">
        <v>493</v>
      </c>
      <c r="J288" t="s">
        <v>494</v>
      </c>
      <c r="K288" t="s">
        <v>495</v>
      </c>
      <c r="L288">
        <v>1368</v>
      </c>
      <c r="N288">
        <v>1011</v>
      </c>
      <c r="O288" t="s">
        <v>445</v>
      </c>
      <c r="P288" t="s">
        <v>445</v>
      </c>
      <c r="Q288">
        <v>1</v>
      </c>
      <c r="X288">
        <v>4.2699999999999996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22</v>
      </c>
      <c r="AG288">
        <v>4.6970000000000001</v>
      </c>
      <c r="AH288">
        <v>3</v>
      </c>
      <c r="AI288">
        <v>-1</v>
      </c>
      <c r="AJ288" t="s">
        <v>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">
      <c r="A289">
        <f>ROW(Source!A117)</f>
        <v>117</v>
      </c>
      <c r="B289">
        <v>56616728</v>
      </c>
      <c r="C289">
        <v>56616722</v>
      </c>
      <c r="D289">
        <v>32913309</v>
      </c>
      <c r="E289">
        <v>1</v>
      </c>
      <c r="F289">
        <v>1</v>
      </c>
      <c r="G289">
        <v>27786564</v>
      </c>
      <c r="H289">
        <v>3</v>
      </c>
      <c r="I289" t="s">
        <v>544</v>
      </c>
      <c r="J289" t="s">
        <v>545</v>
      </c>
      <c r="K289" t="s">
        <v>546</v>
      </c>
      <c r="L289">
        <v>1348</v>
      </c>
      <c r="N289">
        <v>1009</v>
      </c>
      <c r="O289" t="s">
        <v>367</v>
      </c>
      <c r="P289" t="s">
        <v>367</v>
      </c>
      <c r="Q289">
        <v>1000</v>
      </c>
      <c r="X289">
        <v>1E-3</v>
      </c>
      <c r="Y289">
        <v>7254.88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 t="s">
        <v>3</v>
      </c>
      <c r="AG289">
        <v>1E-3</v>
      </c>
      <c r="AH289">
        <v>3</v>
      </c>
      <c r="AI289">
        <v>-1</v>
      </c>
      <c r="AJ289" t="s">
        <v>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f>ROW(Source!A117)</f>
        <v>117</v>
      </c>
      <c r="B290">
        <v>56616729</v>
      </c>
      <c r="C290">
        <v>56616722</v>
      </c>
      <c r="D290">
        <v>32913337</v>
      </c>
      <c r="E290">
        <v>1</v>
      </c>
      <c r="F290">
        <v>1</v>
      </c>
      <c r="G290">
        <v>27786564</v>
      </c>
      <c r="H290">
        <v>3</v>
      </c>
      <c r="I290" t="s">
        <v>547</v>
      </c>
      <c r="J290" t="s">
        <v>548</v>
      </c>
      <c r="K290" t="s">
        <v>549</v>
      </c>
      <c r="L290">
        <v>1348</v>
      </c>
      <c r="N290">
        <v>1009</v>
      </c>
      <c r="O290" t="s">
        <v>367</v>
      </c>
      <c r="P290" t="s">
        <v>367</v>
      </c>
      <c r="Q290">
        <v>1000</v>
      </c>
      <c r="X290">
        <v>0.01</v>
      </c>
      <c r="Y290">
        <v>9853.14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 t="s">
        <v>3</v>
      </c>
      <c r="AG290">
        <v>0.01</v>
      </c>
      <c r="AH290">
        <v>3</v>
      </c>
      <c r="AI290">
        <v>-1</v>
      </c>
      <c r="AJ290" t="s">
        <v>3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f>ROW(Source!A117)</f>
        <v>117</v>
      </c>
      <c r="B291">
        <v>56616730</v>
      </c>
      <c r="C291">
        <v>56616722</v>
      </c>
      <c r="D291">
        <v>46723495</v>
      </c>
      <c r="E291">
        <v>1</v>
      </c>
      <c r="F291">
        <v>1</v>
      </c>
      <c r="G291">
        <v>27786564</v>
      </c>
      <c r="H291">
        <v>3</v>
      </c>
      <c r="I291" t="s">
        <v>550</v>
      </c>
      <c r="J291" t="s">
        <v>551</v>
      </c>
      <c r="K291" t="s">
        <v>552</v>
      </c>
      <c r="L291">
        <v>1348</v>
      </c>
      <c r="N291">
        <v>1009</v>
      </c>
      <c r="O291" t="s">
        <v>367</v>
      </c>
      <c r="P291" t="s">
        <v>367</v>
      </c>
      <c r="Q291">
        <v>1000</v>
      </c>
      <c r="X291">
        <v>2.5000000000000001E-4</v>
      </c>
      <c r="Y291">
        <v>16222.39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 t="s">
        <v>3</v>
      </c>
      <c r="AG291">
        <v>2.5000000000000001E-4</v>
      </c>
      <c r="AH291">
        <v>3</v>
      </c>
      <c r="AI291">
        <v>-1</v>
      </c>
      <c r="AJ291" t="s">
        <v>3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f>ROW(Source!A117)</f>
        <v>117</v>
      </c>
      <c r="B292">
        <v>56616731</v>
      </c>
      <c r="C292">
        <v>56616722</v>
      </c>
      <c r="D292">
        <v>46723498</v>
      </c>
      <c r="E292">
        <v>1</v>
      </c>
      <c r="F292">
        <v>1</v>
      </c>
      <c r="G292">
        <v>27786564</v>
      </c>
      <c r="H292">
        <v>3</v>
      </c>
      <c r="I292" t="s">
        <v>496</v>
      </c>
      <c r="J292" t="s">
        <v>497</v>
      </c>
      <c r="K292" t="s">
        <v>498</v>
      </c>
      <c r="L292">
        <v>1348</v>
      </c>
      <c r="N292">
        <v>1009</v>
      </c>
      <c r="O292" t="s">
        <v>367</v>
      </c>
      <c r="P292" t="s">
        <v>367</v>
      </c>
      <c r="Q292">
        <v>1000</v>
      </c>
      <c r="X292">
        <v>6.0000000000000002E-5</v>
      </c>
      <c r="Y292">
        <v>11242.42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3</v>
      </c>
      <c r="AG292">
        <v>6.0000000000000002E-5</v>
      </c>
      <c r="AH292">
        <v>3</v>
      </c>
      <c r="AI292">
        <v>-1</v>
      </c>
      <c r="AJ292" t="s">
        <v>3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f>ROW(Source!A117)</f>
        <v>117</v>
      </c>
      <c r="B293">
        <v>56616732</v>
      </c>
      <c r="C293">
        <v>56616722</v>
      </c>
      <c r="D293">
        <v>45796980</v>
      </c>
      <c r="E293">
        <v>1</v>
      </c>
      <c r="F293">
        <v>1</v>
      </c>
      <c r="G293">
        <v>27786564</v>
      </c>
      <c r="H293">
        <v>3</v>
      </c>
      <c r="I293" t="s">
        <v>499</v>
      </c>
      <c r="J293" t="s">
        <v>500</v>
      </c>
      <c r="K293" t="s">
        <v>501</v>
      </c>
      <c r="L293">
        <v>1346</v>
      </c>
      <c r="N293">
        <v>1009</v>
      </c>
      <c r="O293" t="s">
        <v>104</v>
      </c>
      <c r="P293" t="s">
        <v>104</v>
      </c>
      <c r="Q293">
        <v>1</v>
      </c>
      <c r="X293">
        <v>0.8</v>
      </c>
      <c r="Y293">
        <v>25.8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3</v>
      </c>
      <c r="AG293">
        <v>0.8</v>
      </c>
      <c r="AH293">
        <v>3</v>
      </c>
      <c r="AI293">
        <v>-1</v>
      </c>
      <c r="AJ293" t="s">
        <v>3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>
        <f>ROW(Source!A117)</f>
        <v>117</v>
      </c>
      <c r="B294">
        <v>56616733</v>
      </c>
      <c r="C294">
        <v>56616722</v>
      </c>
      <c r="D294">
        <v>46723704</v>
      </c>
      <c r="E294">
        <v>1</v>
      </c>
      <c r="F294">
        <v>1</v>
      </c>
      <c r="G294">
        <v>27786564</v>
      </c>
      <c r="H294">
        <v>3</v>
      </c>
      <c r="I294" t="s">
        <v>505</v>
      </c>
      <c r="J294" t="s">
        <v>506</v>
      </c>
      <c r="K294" t="s">
        <v>507</v>
      </c>
      <c r="L294">
        <v>1348</v>
      </c>
      <c r="N294">
        <v>1009</v>
      </c>
      <c r="O294" t="s">
        <v>367</v>
      </c>
      <c r="P294" t="s">
        <v>367</v>
      </c>
      <c r="Q294">
        <v>1000</v>
      </c>
      <c r="X294">
        <v>4.0000000000000003E-5</v>
      </c>
      <c r="Y294">
        <v>7982.5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3</v>
      </c>
      <c r="AG294">
        <v>4.0000000000000003E-5</v>
      </c>
      <c r="AH294">
        <v>3</v>
      </c>
      <c r="AI294">
        <v>-1</v>
      </c>
      <c r="AJ294" t="s">
        <v>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">
      <c r="A295">
        <f>ROW(Source!A117)</f>
        <v>117</v>
      </c>
      <c r="B295">
        <v>56616734</v>
      </c>
      <c r="C295">
        <v>56616722</v>
      </c>
      <c r="D295">
        <v>46735845</v>
      </c>
      <c r="E295">
        <v>1</v>
      </c>
      <c r="F295">
        <v>1</v>
      </c>
      <c r="G295">
        <v>27786564</v>
      </c>
      <c r="H295">
        <v>3</v>
      </c>
      <c r="I295" t="s">
        <v>508</v>
      </c>
      <c r="J295" t="s">
        <v>553</v>
      </c>
      <c r="K295" t="s">
        <v>510</v>
      </c>
      <c r="L295">
        <v>1356</v>
      </c>
      <c r="N295">
        <v>1010</v>
      </c>
      <c r="O295" t="s">
        <v>511</v>
      </c>
      <c r="P295" t="s">
        <v>511</v>
      </c>
      <c r="Q295">
        <v>1000</v>
      </c>
      <c r="X295">
        <v>4.1000000000000003E-3</v>
      </c>
      <c r="Y295">
        <v>226.68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 t="s">
        <v>3</v>
      </c>
      <c r="AG295">
        <v>4.1000000000000003E-3</v>
      </c>
      <c r="AH295">
        <v>3</v>
      </c>
      <c r="AI295">
        <v>-1</v>
      </c>
      <c r="AJ295" t="s">
        <v>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f>ROW(Source!A117)</f>
        <v>117</v>
      </c>
      <c r="B296">
        <v>56616735</v>
      </c>
      <c r="C296">
        <v>56616722</v>
      </c>
      <c r="D296">
        <v>46735506</v>
      </c>
      <c r="E296">
        <v>1</v>
      </c>
      <c r="F296">
        <v>1</v>
      </c>
      <c r="G296">
        <v>27786564</v>
      </c>
      <c r="H296">
        <v>3</v>
      </c>
      <c r="I296" t="s">
        <v>512</v>
      </c>
      <c r="J296" t="s">
        <v>513</v>
      </c>
      <c r="K296" t="s">
        <v>514</v>
      </c>
      <c r="L296">
        <v>1301</v>
      </c>
      <c r="N296">
        <v>1003</v>
      </c>
      <c r="O296" t="s">
        <v>55</v>
      </c>
      <c r="P296" t="s">
        <v>55</v>
      </c>
      <c r="Q296">
        <v>1</v>
      </c>
      <c r="X296">
        <v>0.96</v>
      </c>
      <c r="Y296">
        <v>0.7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 t="s">
        <v>3</v>
      </c>
      <c r="AG296">
        <v>0.96</v>
      </c>
      <c r="AH296">
        <v>3</v>
      </c>
      <c r="AI296">
        <v>-1</v>
      </c>
      <c r="AJ296" t="s">
        <v>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">
      <c r="A297">
        <f>ROW(Source!A117)</f>
        <v>117</v>
      </c>
      <c r="B297">
        <v>56616736</v>
      </c>
      <c r="C297">
        <v>56616722</v>
      </c>
      <c r="D297">
        <v>46735508</v>
      </c>
      <c r="E297">
        <v>1</v>
      </c>
      <c r="F297">
        <v>1</v>
      </c>
      <c r="G297">
        <v>27786564</v>
      </c>
      <c r="H297">
        <v>3</v>
      </c>
      <c r="I297" t="s">
        <v>515</v>
      </c>
      <c r="J297" t="s">
        <v>516</v>
      </c>
      <c r="K297" t="s">
        <v>517</v>
      </c>
      <c r="L297">
        <v>1356</v>
      </c>
      <c r="N297">
        <v>1010</v>
      </c>
      <c r="O297" t="s">
        <v>511</v>
      </c>
      <c r="P297" t="s">
        <v>511</v>
      </c>
      <c r="Q297">
        <v>1000</v>
      </c>
      <c r="X297">
        <v>8.3199999999999993E-3</v>
      </c>
      <c r="Y297">
        <v>6.44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 t="s">
        <v>3</v>
      </c>
      <c r="AG297">
        <v>8.3199999999999993E-3</v>
      </c>
      <c r="AH297">
        <v>3</v>
      </c>
      <c r="AI297">
        <v>-1</v>
      </c>
      <c r="AJ297" t="s">
        <v>3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">
      <c r="A298">
        <f>ROW(Source!A117)</f>
        <v>117</v>
      </c>
      <c r="B298">
        <v>56616737</v>
      </c>
      <c r="C298">
        <v>56616722</v>
      </c>
      <c r="D298">
        <v>49717618</v>
      </c>
      <c r="E298">
        <v>27786564</v>
      </c>
      <c r="F298">
        <v>1</v>
      </c>
      <c r="G298">
        <v>27786564</v>
      </c>
      <c r="H298">
        <v>3</v>
      </c>
      <c r="I298" t="s">
        <v>554</v>
      </c>
      <c r="J298" t="s">
        <v>3</v>
      </c>
      <c r="K298" t="s">
        <v>555</v>
      </c>
      <c r="L298">
        <v>1303</v>
      </c>
      <c r="N298">
        <v>1003</v>
      </c>
      <c r="O298" t="s">
        <v>556</v>
      </c>
      <c r="P298" t="s">
        <v>556</v>
      </c>
      <c r="Q298">
        <v>1000</v>
      </c>
      <c r="X298">
        <v>0.10199999999999999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t="s">
        <v>3</v>
      </c>
      <c r="AG298">
        <v>0.10199999999999999</v>
      </c>
      <c r="AH298">
        <v>3</v>
      </c>
      <c r="AI298">
        <v>-1</v>
      </c>
      <c r="AJ298" t="s">
        <v>3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">
      <c r="A299">
        <f>ROW(Source!A118)</f>
        <v>118</v>
      </c>
      <c r="B299">
        <v>56616724</v>
      </c>
      <c r="C299">
        <v>56616722</v>
      </c>
      <c r="D299">
        <v>47634407</v>
      </c>
      <c r="E299">
        <v>27786564</v>
      </c>
      <c r="F299">
        <v>1</v>
      </c>
      <c r="G299">
        <v>27786564</v>
      </c>
      <c r="H299">
        <v>1</v>
      </c>
      <c r="I299" t="s">
        <v>439</v>
      </c>
      <c r="J299" t="s">
        <v>3</v>
      </c>
      <c r="K299" t="s">
        <v>440</v>
      </c>
      <c r="L299">
        <v>1191</v>
      </c>
      <c r="N299">
        <v>1013</v>
      </c>
      <c r="O299" t="s">
        <v>441</v>
      </c>
      <c r="P299" t="s">
        <v>441</v>
      </c>
      <c r="Q299">
        <v>1</v>
      </c>
      <c r="X299">
        <v>18.8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1</v>
      </c>
      <c r="AF299" t="s">
        <v>22</v>
      </c>
      <c r="AG299">
        <v>20.680000000000003</v>
      </c>
      <c r="AH299">
        <v>2</v>
      </c>
      <c r="AI299">
        <v>56616723</v>
      </c>
      <c r="AJ299">
        <v>102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f>ROW(Source!A118)</f>
        <v>118</v>
      </c>
      <c r="B300">
        <v>56616725</v>
      </c>
      <c r="C300">
        <v>56616722</v>
      </c>
      <c r="D300">
        <v>47767106</v>
      </c>
      <c r="E300">
        <v>1</v>
      </c>
      <c r="F300">
        <v>1</v>
      </c>
      <c r="G300">
        <v>27786564</v>
      </c>
      <c r="H300">
        <v>2</v>
      </c>
      <c r="I300" t="s">
        <v>487</v>
      </c>
      <c r="J300" t="s">
        <v>488</v>
      </c>
      <c r="K300" t="s">
        <v>489</v>
      </c>
      <c r="L300">
        <v>1368</v>
      </c>
      <c r="N300">
        <v>1011</v>
      </c>
      <c r="O300" t="s">
        <v>445</v>
      </c>
      <c r="P300" t="s">
        <v>445</v>
      </c>
      <c r="Q300">
        <v>1</v>
      </c>
      <c r="X300">
        <v>1.51</v>
      </c>
      <c r="Y300">
        <v>0</v>
      </c>
      <c r="Z300">
        <v>83.1</v>
      </c>
      <c r="AA300">
        <v>12.62</v>
      </c>
      <c r="AB300">
        <v>0</v>
      </c>
      <c r="AC300">
        <v>0</v>
      </c>
      <c r="AD300">
        <v>1</v>
      </c>
      <c r="AE300">
        <v>0</v>
      </c>
      <c r="AF300" t="s">
        <v>22</v>
      </c>
      <c r="AG300">
        <v>1.6610000000000003</v>
      </c>
      <c r="AH300">
        <v>3</v>
      </c>
      <c r="AI300">
        <v>-1</v>
      </c>
      <c r="AJ300" t="s">
        <v>3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f>ROW(Source!A118)</f>
        <v>118</v>
      </c>
      <c r="B301">
        <v>56616726</v>
      </c>
      <c r="C301">
        <v>56616722</v>
      </c>
      <c r="D301">
        <v>47766545</v>
      </c>
      <c r="E301">
        <v>1</v>
      </c>
      <c r="F301">
        <v>1</v>
      </c>
      <c r="G301">
        <v>27786564</v>
      </c>
      <c r="H301">
        <v>2</v>
      </c>
      <c r="I301" t="s">
        <v>490</v>
      </c>
      <c r="J301" t="s">
        <v>491</v>
      </c>
      <c r="K301" t="s">
        <v>492</v>
      </c>
      <c r="L301">
        <v>1368</v>
      </c>
      <c r="N301">
        <v>1011</v>
      </c>
      <c r="O301" t="s">
        <v>445</v>
      </c>
      <c r="P301" t="s">
        <v>445</v>
      </c>
      <c r="Q301">
        <v>1</v>
      </c>
      <c r="X301">
        <v>4.2699999999999996</v>
      </c>
      <c r="Y301">
        <v>0</v>
      </c>
      <c r="Z301">
        <v>0.73</v>
      </c>
      <c r="AA301">
        <v>0</v>
      </c>
      <c r="AB301">
        <v>0</v>
      </c>
      <c r="AC301">
        <v>0</v>
      </c>
      <c r="AD301">
        <v>1</v>
      </c>
      <c r="AE301">
        <v>0</v>
      </c>
      <c r="AF301" t="s">
        <v>22</v>
      </c>
      <c r="AG301">
        <v>4.6970000000000001</v>
      </c>
      <c r="AH301">
        <v>3</v>
      </c>
      <c r="AI301">
        <v>-1</v>
      </c>
      <c r="AJ301" t="s">
        <v>3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f>ROW(Source!A118)</f>
        <v>118</v>
      </c>
      <c r="B302">
        <v>56616727</v>
      </c>
      <c r="C302">
        <v>56616722</v>
      </c>
      <c r="D302">
        <v>47766581</v>
      </c>
      <c r="E302">
        <v>1</v>
      </c>
      <c r="F302">
        <v>1</v>
      </c>
      <c r="G302">
        <v>27786564</v>
      </c>
      <c r="H302">
        <v>2</v>
      </c>
      <c r="I302" t="s">
        <v>493</v>
      </c>
      <c r="J302" t="s">
        <v>494</v>
      </c>
      <c r="K302" t="s">
        <v>495</v>
      </c>
      <c r="L302">
        <v>1368</v>
      </c>
      <c r="N302">
        <v>1011</v>
      </c>
      <c r="O302" t="s">
        <v>445</v>
      </c>
      <c r="P302" t="s">
        <v>445</v>
      </c>
      <c r="Q302">
        <v>1</v>
      </c>
      <c r="X302">
        <v>4.2699999999999996</v>
      </c>
      <c r="Y302">
        <v>0</v>
      </c>
      <c r="Z302">
        <v>4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22</v>
      </c>
      <c r="AG302">
        <v>4.6970000000000001</v>
      </c>
      <c r="AH302">
        <v>3</v>
      </c>
      <c r="AI302">
        <v>-1</v>
      </c>
      <c r="AJ302" t="s">
        <v>3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">
      <c r="A303">
        <f>ROW(Source!A118)</f>
        <v>118</v>
      </c>
      <c r="B303">
        <v>56616728</v>
      </c>
      <c r="C303">
        <v>56616722</v>
      </c>
      <c r="D303">
        <v>32913309</v>
      </c>
      <c r="E303">
        <v>1</v>
      </c>
      <c r="F303">
        <v>1</v>
      </c>
      <c r="G303">
        <v>27786564</v>
      </c>
      <c r="H303">
        <v>3</v>
      </c>
      <c r="I303" t="s">
        <v>544</v>
      </c>
      <c r="J303" t="s">
        <v>545</v>
      </c>
      <c r="K303" t="s">
        <v>546</v>
      </c>
      <c r="L303">
        <v>1348</v>
      </c>
      <c r="N303">
        <v>1009</v>
      </c>
      <c r="O303" t="s">
        <v>367</v>
      </c>
      <c r="P303" t="s">
        <v>367</v>
      </c>
      <c r="Q303">
        <v>1000</v>
      </c>
      <c r="X303">
        <v>1E-3</v>
      </c>
      <c r="Y303">
        <v>7254.88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 t="s">
        <v>3</v>
      </c>
      <c r="AG303">
        <v>1E-3</v>
      </c>
      <c r="AH303">
        <v>3</v>
      </c>
      <c r="AI303">
        <v>-1</v>
      </c>
      <c r="AJ303" t="s">
        <v>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">
      <c r="A304">
        <f>ROW(Source!A118)</f>
        <v>118</v>
      </c>
      <c r="B304">
        <v>56616729</v>
      </c>
      <c r="C304">
        <v>56616722</v>
      </c>
      <c r="D304">
        <v>32913337</v>
      </c>
      <c r="E304">
        <v>1</v>
      </c>
      <c r="F304">
        <v>1</v>
      </c>
      <c r="G304">
        <v>27786564</v>
      </c>
      <c r="H304">
        <v>3</v>
      </c>
      <c r="I304" t="s">
        <v>547</v>
      </c>
      <c r="J304" t="s">
        <v>548</v>
      </c>
      <c r="K304" t="s">
        <v>549</v>
      </c>
      <c r="L304">
        <v>1348</v>
      </c>
      <c r="N304">
        <v>1009</v>
      </c>
      <c r="O304" t="s">
        <v>367</v>
      </c>
      <c r="P304" t="s">
        <v>367</v>
      </c>
      <c r="Q304">
        <v>1000</v>
      </c>
      <c r="X304">
        <v>0.01</v>
      </c>
      <c r="Y304">
        <v>9853.14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3</v>
      </c>
      <c r="AG304">
        <v>0.01</v>
      </c>
      <c r="AH304">
        <v>3</v>
      </c>
      <c r="AI304">
        <v>-1</v>
      </c>
      <c r="AJ304" t="s">
        <v>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f>ROW(Source!A118)</f>
        <v>118</v>
      </c>
      <c r="B305">
        <v>56616730</v>
      </c>
      <c r="C305">
        <v>56616722</v>
      </c>
      <c r="D305">
        <v>46723495</v>
      </c>
      <c r="E305">
        <v>1</v>
      </c>
      <c r="F305">
        <v>1</v>
      </c>
      <c r="G305">
        <v>27786564</v>
      </c>
      <c r="H305">
        <v>3</v>
      </c>
      <c r="I305" t="s">
        <v>550</v>
      </c>
      <c r="J305" t="s">
        <v>551</v>
      </c>
      <c r="K305" t="s">
        <v>552</v>
      </c>
      <c r="L305">
        <v>1348</v>
      </c>
      <c r="N305">
        <v>1009</v>
      </c>
      <c r="O305" t="s">
        <v>367</v>
      </c>
      <c r="P305" t="s">
        <v>367</v>
      </c>
      <c r="Q305">
        <v>1000</v>
      </c>
      <c r="X305">
        <v>2.5000000000000001E-4</v>
      </c>
      <c r="Y305">
        <v>16222.39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 t="s">
        <v>3</v>
      </c>
      <c r="AG305">
        <v>2.5000000000000001E-4</v>
      </c>
      <c r="AH305">
        <v>3</v>
      </c>
      <c r="AI305">
        <v>-1</v>
      </c>
      <c r="AJ305" t="s">
        <v>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">
      <c r="A306">
        <f>ROW(Source!A118)</f>
        <v>118</v>
      </c>
      <c r="B306">
        <v>56616731</v>
      </c>
      <c r="C306">
        <v>56616722</v>
      </c>
      <c r="D306">
        <v>46723498</v>
      </c>
      <c r="E306">
        <v>1</v>
      </c>
      <c r="F306">
        <v>1</v>
      </c>
      <c r="G306">
        <v>27786564</v>
      </c>
      <c r="H306">
        <v>3</v>
      </c>
      <c r="I306" t="s">
        <v>496</v>
      </c>
      <c r="J306" t="s">
        <v>497</v>
      </c>
      <c r="K306" t="s">
        <v>498</v>
      </c>
      <c r="L306">
        <v>1348</v>
      </c>
      <c r="N306">
        <v>1009</v>
      </c>
      <c r="O306" t="s">
        <v>367</v>
      </c>
      <c r="P306" t="s">
        <v>367</v>
      </c>
      <c r="Q306">
        <v>1000</v>
      </c>
      <c r="X306">
        <v>6.0000000000000002E-5</v>
      </c>
      <c r="Y306">
        <v>11242.42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3</v>
      </c>
      <c r="AG306">
        <v>6.0000000000000002E-5</v>
      </c>
      <c r="AH306">
        <v>3</v>
      </c>
      <c r="AI306">
        <v>-1</v>
      </c>
      <c r="AJ306" t="s">
        <v>3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">
      <c r="A307">
        <f>ROW(Source!A118)</f>
        <v>118</v>
      </c>
      <c r="B307">
        <v>56616732</v>
      </c>
      <c r="C307">
        <v>56616722</v>
      </c>
      <c r="D307">
        <v>45796980</v>
      </c>
      <c r="E307">
        <v>1</v>
      </c>
      <c r="F307">
        <v>1</v>
      </c>
      <c r="G307">
        <v>27786564</v>
      </c>
      <c r="H307">
        <v>3</v>
      </c>
      <c r="I307" t="s">
        <v>499</v>
      </c>
      <c r="J307" t="s">
        <v>500</v>
      </c>
      <c r="K307" t="s">
        <v>501</v>
      </c>
      <c r="L307">
        <v>1346</v>
      </c>
      <c r="N307">
        <v>1009</v>
      </c>
      <c r="O307" t="s">
        <v>104</v>
      </c>
      <c r="P307" t="s">
        <v>104</v>
      </c>
      <c r="Q307">
        <v>1</v>
      </c>
      <c r="X307">
        <v>0.8</v>
      </c>
      <c r="Y307">
        <v>25.8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 t="s">
        <v>3</v>
      </c>
      <c r="AG307">
        <v>0.8</v>
      </c>
      <c r="AH307">
        <v>3</v>
      </c>
      <c r="AI307">
        <v>-1</v>
      </c>
      <c r="AJ307" t="s">
        <v>3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f>ROW(Source!A118)</f>
        <v>118</v>
      </c>
      <c r="B308">
        <v>56616733</v>
      </c>
      <c r="C308">
        <v>56616722</v>
      </c>
      <c r="D308">
        <v>46723704</v>
      </c>
      <c r="E308">
        <v>1</v>
      </c>
      <c r="F308">
        <v>1</v>
      </c>
      <c r="G308">
        <v>27786564</v>
      </c>
      <c r="H308">
        <v>3</v>
      </c>
      <c r="I308" t="s">
        <v>505</v>
      </c>
      <c r="J308" t="s">
        <v>506</v>
      </c>
      <c r="K308" t="s">
        <v>507</v>
      </c>
      <c r="L308">
        <v>1348</v>
      </c>
      <c r="N308">
        <v>1009</v>
      </c>
      <c r="O308" t="s">
        <v>367</v>
      </c>
      <c r="P308" t="s">
        <v>367</v>
      </c>
      <c r="Q308">
        <v>1000</v>
      </c>
      <c r="X308">
        <v>4.0000000000000003E-5</v>
      </c>
      <c r="Y308">
        <v>7982.5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3</v>
      </c>
      <c r="AG308">
        <v>4.0000000000000003E-5</v>
      </c>
      <c r="AH308">
        <v>3</v>
      </c>
      <c r="AI308">
        <v>-1</v>
      </c>
      <c r="AJ308" t="s">
        <v>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f>ROW(Source!A118)</f>
        <v>118</v>
      </c>
      <c r="B309">
        <v>56616734</v>
      </c>
      <c r="C309">
        <v>56616722</v>
      </c>
      <c r="D309">
        <v>46735845</v>
      </c>
      <c r="E309">
        <v>1</v>
      </c>
      <c r="F309">
        <v>1</v>
      </c>
      <c r="G309">
        <v>27786564</v>
      </c>
      <c r="H309">
        <v>3</v>
      </c>
      <c r="I309" t="s">
        <v>508</v>
      </c>
      <c r="J309" t="s">
        <v>553</v>
      </c>
      <c r="K309" t="s">
        <v>510</v>
      </c>
      <c r="L309">
        <v>1356</v>
      </c>
      <c r="N309">
        <v>1010</v>
      </c>
      <c r="O309" t="s">
        <v>511</v>
      </c>
      <c r="P309" t="s">
        <v>511</v>
      </c>
      <c r="Q309">
        <v>1000</v>
      </c>
      <c r="X309">
        <v>4.1000000000000003E-3</v>
      </c>
      <c r="Y309">
        <v>226.68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3</v>
      </c>
      <c r="AG309">
        <v>4.1000000000000003E-3</v>
      </c>
      <c r="AH309">
        <v>3</v>
      </c>
      <c r="AI309">
        <v>-1</v>
      </c>
      <c r="AJ309" t="s">
        <v>3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">
      <c r="A310">
        <f>ROW(Source!A118)</f>
        <v>118</v>
      </c>
      <c r="B310">
        <v>56616735</v>
      </c>
      <c r="C310">
        <v>56616722</v>
      </c>
      <c r="D310">
        <v>46735506</v>
      </c>
      <c r="E310">
        <v>1</v>
      </c>
      <c r="F310">
        <v>1</v>
      </c>
      <c r="G310">
        <v>27786564</v>
      </c>
      <c r="H310">
        <v>3</v>
      </c>
      <c r="I310" t="s">
        <v>512</v>
      </c>
      <c r="J310" t="s">
        <v>513</v>
      </c>
      <c r="K310" t="s">
        <v>514</v>
      </c>
      <c r="L310">
        <v>1301</v>
      </c>
      <c r="N310">
        <v>1003</v>
      </c>
      <c r="O310" t="s">
        <v>55</v>
      </c>
      <c r="P310" t="s">
        <v>55</v>
      </c>
      <c r="Q310">
        <v>1</v>
      </c>
      <c r="X310">
        <v>0.96</v>
      </c>
      <c r="Y310">
        <v>0.7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 t="s">
        <v>3</v>
      </c>
      <c r="AG310">
        <v>0.96</v>
      </c>
      <c r="AH310">
        <v>3</v>
      </c>
      <c r="AI310">
        <v>-1</v>
      </c>
      <c r="AJ310" t="s">
        <v>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f>ROW(Source!A118)</f>
        <v>118</v>
      </c>
      <c r="B311">
        <v>56616736</v>
      </c>
      <c r="C311">
        <v>56616722</v>
      </c>
      <c r="D311">
        <v>46735508</v>
      </c>
      <c r="E311">
        <v>1</v>
      </c>
      <c r="F311">
        <v>1</v>
      </c>
      <c r="G311">
        <v>27786564</v>
      </c>
      <c r="H311">
        <v>3</v>
      </c>
      <c r="I311" t="s">
        <v>515</v>
      </c>
      <c r="J311" t="s">
        <v>516</v>
      </c>
      <c r="K311" t="s">
        <v>517</v>
      </c>
      <c r="L311">
        <v>1356</v>
      </c>
      <c r="N311">
        <v>1010</v>
      </c>
      <c r="O311" t="s">
        <v>511</v>
      </c>
      <c r="P311" t="s">
        <v>511</v>
      </c>
      <c r="Q311">
        <v>1000</v>
      </c>
      <c r="X311">
        <v>8.3199999999999993E-3</v>
      </c>
      <c r="Y311">
        <v>6.44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 t="s">
        <v>3</v>
      </c>
      <c r="AG311">
        <v>8.3199999999999993E-3</v>
      </c>
      <c r="AH311">
        <v>3</v>
      </c>
      <c r="AI311">
        <v>-1</v>
      </c>
      <c r="AJ311" t="s">
        <v>3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">
      <c r="A312">
        <f>ROW(Source!A118)</f>
        <v>118</v>
      </c>
      <c r="B312">
        <v>56616737</v>
      </c>
      <c r="C312">
        <v>56616722</v>
      </c>
      <c r="D312">
        <v>49717618</v>
      </c>
      <c r="E312">
        <v>27786564</v>
      </c>
      <c r="F312">
        <v>1</v>
      </c>
      <c r="G312">
        <v>27786564</v>
      </c>
      <c r="H312">
        <v>3</v>
      </c>
      <c r="I312" t="s">
        <v>554</v>
      </c>
      <c r="J312" t="s">
        <v>3</v>
      </c>
      <c r="K312" t="s">
        <v>555</v>
      </c>
      <c r="L312">
        <v>1303</v>
      </c>
      <c r="N312">
        <v>1003</v>
      </c>
      <c r="O312" t="s">
        <v>556</v>
      </c>
      <c r="P312" t="s">
        <v>556</v>
      </c>
      <c r="Q312">
        <v>1000</v>
      </c>
      <c r="X312">
        <v>0.10199999999999999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 t="s">
        <v>3</v>
      </c>
      <c r="AG312">
        <v>0.10199999999999999</v>
      </c>
      <c r="AH312">
        <v>3</v>
      </c>
      <c r="AI312">
        <v>-1</v>
      </c>
      <c r="AJ312" t="s">
        <v>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f>ROW(Source!A119)</f>
        <v>119</v>
      </c>
      <c r="B313">
        <v>56616740</v>
      </c>
      <c r="C313">
        <v>56616738</v>
      </c>
      <c r="D313">
        <v>47634407</v>
      </c>
      <c r="E313">
        <v>27786564</v>
      </c>
      <c r="F313">
        <v>1</v>
      </c>
      <c r="G313">
        <v>27786564</v>
      </c>
      <c r="H313">
        <v>1</v>
      </c>
      <c r="I313" t="s">
        <v>439</v>
      </c>
      <c r="J313" t="s">
        <v>3</v>
      </c>
      <c r="K313" t="s">
        <v>440</v>
      </c>
      <c r="L313">
        <v>1191</v>
      </c>
      <c r="N313">
        <v>1013</v>
      </c>
      <c r="O313" t="s">
        <v>441</v>
      </c>
      <c r="P313" t="s">
        <v>441</v>
      </c>
      <c r="Q313">
        <v>1</v>
      </c>
      <c r="X313">
        <v>18.8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 t="s">
        <v>22</v>
      </c>
      <c r="AG313">
        <v>20.680000000000003</v>
      </c>
      <c r="AH313">
        <v>2</v>
      </c>
      <c r="AI313">
        <v>56616739</v>
      </c>
      <c r="AJ313">
        <v>103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">
      <c r="A314">
        <f>ROW(Source!A119)</f>
        <v>119</v>
      </c>
      <c r="B314">
        <v>56616741</v>
      </c>
      <c r="C314">
        <v>56616738</v>
      </c>
      <c r="D314">
        <v>47767106</v>
      </c>
      <c r="E314">
        <v>1</v>
      </c>
      <c r="F314">
        <v>1</v>
      </c>
      <c r="G314">
        <v>27786564</v>
      </c>
      <c r="H314">
        <v>2</v>
      </c>
      <c r="I314" t="s">
        <v>487</v>
      </c>
      <c r="J314" t="s">
        <v>488</v>
      </c>
      <c r="K314" t="s">
        <v>489</v>
      </c>
      <c r="L314">
        <v>1368</v>
      </c>
      <c r="N314">
        <v>1011</v>
      </c>
      <c r="O314" t="s">
        <v>445</v>
      </c>
      <c r="P314" t="s">
        <v>445</v>
      </c>
      <c r="Q314">
        <v>1</v>
      </c>
      <c r="X314">
        <v>1.51</v>
      </c>
      <c r="Y314">
        <v>0</v>
      </c>
      <c r="Z314">
        <v>83.1</v>
      </c>
      <c r="AA314">
        <v>12.62</v>
      </c>
      <c r="AB314">
        <v>0</v>
      </c>
      <c r="AC314">
        <v>0</v>
      </c>
      <c r="AD314">
        <v>1</v>
      </c>
      <c r="AE314">
        <v>0</v>
      </c>
      <c r="AF314" t="s">
        <v>22</v>
      </c>
      <c r="AG314">
        <v>1.6610000000000003</v>
      </c>
      <c r="AH314">
        <v>3</v>
      </c>
      <c r="AI314">
        <v>-1</v>
      </c>
      <c r="AJ314" t="s">
        <v>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f>ROW(Source!A119)</f>
        <v>119</v>
      </c>
      <c r="B315">
        <v>56616742</v>
      </c>
      <c r="C315">
        <v>56616738</v>
      </c>
      <c r="D315">
        <v>47766545</v>
      </c>
      <c r="E315">
        <v>1</v>
      </c>
      <c r="F315">
        <v>1</v>
      </c>
      <c r="G315">
        <v>27786564</v>
      </c>
      <c r="H315">
        <v>2</v>
      </c>
      <c r="I315" t="s">
        <v>490</v>
      </c>
      <c r="J315" t="s">
        <v>491</v>
      </c>
      <c r="K315" t="s">
        <v>492</v>
      </c>
      <c r="L315">
        <v>1368</v>
      </c>
      <c r="N315">
        <v>1011</v>
      </c>
      <c r="O315" t="s">
        <v>445</v>
      </c>
      <c r="P315" t="s">
        <v>445</v>
      </c>
      <c r="Q315">
        <v>1</v>
      </c>
      <c r="X315">
        <v>4.2699999999999996</v>
      </c>
      <c r="Y315">
        <v>0</v>
      </c>
      <c r="Z315">
        <v>0.73</v>
      </c>
      <c r="AA315">
        <v>0</v>
      </c>
      <c r="AB315">
        <v>0</v>
      </c>
      <c r="AC315">
        <v>0</v>
      </c>
      <c r="AD315">
        <v>1</v>
      </c>
      <c r="AE315">
        <v>0</v>
      </c>
      <c r="AF315" t="s">
        <v>22</v>
      </c>
      <c r="AG315">
        <v>4.6970000000000001</v>
      </c>
      <c r="AH315">
        <v>3</v>
      </c>
      <c r="AI315">
        <v>-1</v>
      </c>
      <c r="AJ315" t="s">
        <v>3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f>ROW(Source!A119)</f>
        <v>119</v>
      </c>
      <c r="B316">
        <v>56616743</v>
      </c>
      <c r="C316">
        <v>56616738</v>
      </c>
      <c r="D316">
        <v>47766581</v>
      </c>
      <c r="E316">
        <v>1</v>
      </c>
      <c r="F316">
        <v>1</v>
      </c>
      <c r="G316">
        <v>27786564</v>
      </c>
      <c r="H316">
        <v>2</v>
      </c>
      <c r="I316" t="s">
        <v>493</v>
      </c>
      <c r="J316" t="s">
        <v>494</v>
      </c>
      <c r="K316" t="s">
        <v>495</v>
      </c>
      <c r="L316">
        <v>1368</v>
      </c>
      <c r="N316">
        <v>1011</v>
      </c>
      <c r="O316" t="s">
        <v>445</v>
      </c>
      <c r="P316" t="s">
        <v>445</v>
      </c>
      <c r="Q316">
        <v>1</v>
      </c>
      <c r="X316">
        <v>4.2699999999999996</v>
      </c>
      <c r="Y316">
        <v>0</v>
      </c>
      <c r="Z316">
        <v>4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22</v>
      </c>
      <c r="AG316">
        <v>4.6970000000000001</v>
      </c>
      <c r="AH316">
        <v>3</v>
      </c>
      <c r="AI316">
        <v>-1</v>
      </c>
      <c r="AJ316" t="s">
        <v>3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">
      <c r="A317">
        <f>ROW(Source!A119)</f>
        <v>119</v>
      </c>
      <c r="B317">
        <v>56616744</v>
      </c>
      <c r="C317">
        <v>56616738</v>
      </c>
      <c r="D317">
        <v>32913309</v>
      </c>
      <c r="E317">
        <v>1</v>
      </c>
      <c r="F317">
        <v>1</v>
      </c>
      <c r="G317">
        <v>27786564</v>
      </c>
      <c r="H317">
        <v>3</v>
      </c>
      <c r="I317" t="s">
        <v>544</v>
      </c>
      <c r="J317" t="s">
        <v>545</v>
      </c>
      <c r="K317" t="s">
        <v>546</v>
      </c>
      <c r="L317">
        <v>1348</v>
      </c>
      <c r="N317">
        <v>1009</v>
      </c>
      <c r="O317" t="s">
        <v>367</v>
      </c>
      <c r="P317" t="s">
        <v>367</v>
      </c>
      <c r="Q317">
        <v>1000</v>
      </c>
      <c r="X317">
        <v>1E-3</v>
      </c>
      <c r="Y317">
        <v>7254.88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 t="s">
        <v>3</v>
      </c>
      <c r="AG317">
        <v>1E-3</v>
      </c>
      <c r="AH317">
        <v>3</v>
      </c>
      <c r="AI317">
        <v>-1</v>
      </c>
      <c r="AJ317" t="s">
        <v>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f>ROW(Source!A119)</f>
        <v>119</v>
      </c>
      <c r="B318">
        <v>56616745</v>
      </c>
      <c r="C318">
        <v>56616738</v>
      </c>
      <c r="D318">
        <v>32913337</v>
      </c>
      <c r="E318">
        <v>1</v>
      </c>
      <c r="F318">
        <v>1</v>
      </c>
      <c r="G318">
        <v>27786564</v>
      </c>
      <c r="H318">
        <v>3</v>
      </c>
      <c r="I318" t="s">
        <v>547</v>
      </c>
      <c r="J318" t="s">
        <v>548</v>
      </c>
      <c r="K318" t="s">
        <v>549</v>
      </c>
      <c r="L318">
        <v>1348</v>
      </c>
      <c r="N318">
        <v>1009</v>
      </c>
      <c r="O318" t="s">
        <v>367</v>
      </c>
      <c r="P318" t="s">
        <v>367</v>
      </c>
      <c r="Q318">
        <v>1000</v>
      </c>
      <c r="X318">
        <v>0.01</v>
      </c>
      <c r="Y318">
        <v>9853.14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3</v>
      </c>
      <c r="AG318">
        <v>0.01</v>
      </c>
      <c r="AH318">
        <v>3</v>
      </c>
      <c r="AI318">
        <v>-1</v>
      </c>
      <c r="AJ318" t="s">
        <v>3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f>ROW(Source!A119)</f>
        <v>119</v>
      </c>
      <c r="B319">
        <v>56616746</v>
      </c>
      <c r="C319">
        <v>56616738</v>
      </c>
      <c r="D319">
        <v>46723495</v>
      </c>
      <c r="E319">
        <v>1</v>
      </c>
      <c r="F319">
        <v>1</v>
      </c>
      <c r="G319">
        <v>27786564</v>
      </c>
      <c r="H319">
        <v>3</v>
      </c>
      <c r="I319" t="s">
        <v>550</v>
      </c>
      <c r="J319" t="s">
        <v>551</v>
      </c>
      <c r="K319" t="s">
        <v>552</v>
      </c>
      <c r="L319">
        <v>1348</v>
      </c>
      <c r="N319">
        <v>1009</v>
      </c>
      <c r="O319" t="s">
        <v>367</v>
      </c>
      <c r="P319" t="s">
        <v>367</v>
      </c>
      <c r="Q319">
        <v>1000</v>
      </c>
      <c r="X319">
        <v>2.5000000000000001E-4</v>
      </c>
      <c r="Y319">
        <v>16222.39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 t="s">
        <v>3</v>
      </c>
      <c r="AG319">
        <v>2.5000000000000001E-4</v>
      </c>
      <c r="AH319">
        <v>3</v>
      </c>
      <c r="AI319">
        <v>-1</v>
      </c>
      <c r="AJ319" t="s">
        <v>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f>ROW(Source!A119)</f>
        <v>119</v>
      </c>
      <c r="B320">
        <v>56616747</v>
      </c>
      <c r="C320">
        <v>56616738</v>
      </c>
      <c r="D320">
        <v>46723498</v>
      </c>
      <c r="E320">
        <v>1</v>
      </c>
      <c r="F320">
        <v>1</v>
      </c>
      <c r="G320">
        <v>27786564</v>
      </c>
      <c r="H320">
        <v>3</v>
      </c>
      <c r="I320" t="s">
        <v>496</v>
      </c>
      <c r="J320" t="s">
        <v>497</v>
      </c>
      <c r="K320" t="s">
        <v>498</v>
      </c>
      <c r="L320">
        <v>1348</v>
      </c>
      <c r="N320">
        <v>1009</v>
      </c>
      <c r="O320" t="s">
        <v>367</v>
      </c>
      <c r="P320" t="s">
        <v>367</v>
      </c>
      <c r="Q320">
        <v>1000</v>
      </c>
      <c r="X320">
        <v>6.0000000000000002E-5</v>
      </c>
      <c r="Y320">
        <v>11242.42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 t="s">
        <v>3</v>
      </c>
      <c r="AG320">
        <v>6.0000000000000002E-5</v>
      </c>
      <c r="AH320">
        <v>3</v>
      </c>
      <c r="AI320">
        <v>-1</v>
      </c>
      <c r="AJ320" t="s">
        <v>3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f>ROW(Source!A119)</f>
        <v>119</v>
      </c>
      <c r="B321">
        <v>56616748</v>
      </c>
      <c r="C321">
        <v>56616738</v>
      </c>
      <c r="D321">
        <v>45796980</v>
      </c>
      <c r="E321">
        <v>1</v>
      </c>
      <c r="F321">
        <v>1</v>
      </c>
      <c r="G321">
        <v>27786564</v>
      </c>
      <c r="H321">
        <v>3</v>
      </c>
      <c r="I321" t="s">
        <v>499</v>
      </c>
      <c r="J321" t="s">
        <v>500</v>
      </c>
      <c r="K321" t="s">
        <v>501</v>
      </c>
      <c r="L321">
        <v>1346</v>
      </c>
      <c r="N321">
        <v>1009</v>
      </c>
      <c r="O321" t="s">
        <v>104</v>
      </c>
      <c r="P321" t="s">
        <v>104</v>
      </c>
      <c r="Q321">
        <v>1</v>
      </c>
      <c r="X321">
        <v>0.8</v>
      </c>
      <c r="Y321">
        <v>25.8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 t="s">
        <v>3</v>
      </c>
      <c r="AG321">
        <v>0.8</v>
      </c>
      <c r="AH321">
        <v>3</v>
      </c>
      <c r="AI321">
        <v>-1</v>
      </c>
      <c r="AJ321" t="s">
        <v>3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f>ROW(Source!A119)</f>
        <v>119</v>
      </c>
      <c r="B322">
        <v>56616749</v>
      </c>
      <c r="C322">
        <v>56616738</v>
      </c>
      <c r="D322">
        <v>46723704</v>
      </c>
      <c r="E322">
        <v>1</v>
      </c>
      <c r="F322">
        <v>1</v>
      </c>
      <c r="G322">
        <v>27786564</v>
      </c>
      <c r="H322">
        <v>3</v>
      </c>
      <c r="I322" t="s">
        <v>505</v>
      </c>
      <c r="J322" t="s">
        <v>506</v>
      </c>
      <c r="K322" t="s">
        <v>507</v>
      </c>
      <c r="L322">
        <v>1348</v>
      </c>
      <c r="N322">
        <v>1009</v>
      </c>
      <c r="O322" t="s">
        <v>367</v>
      </c>
      <c r="P322" t="s">
        <v>367</v>
      </c>
      <c r="Q322">
        <v>1000</v>
      </c>
      <c r="X322">
        <v>4.0000000000000003E-5</v>
      </c>
      <c r="Y322">
        <v>7982.5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 t="s">
        <v>3</v>
      </c>
      <c r="AG322">
        <v>4.0000000000000003E-5</v>
      </c>
      <c r="AH322">
        <v>3</v>
      </c>
      <c r="AI322">
        <v>-1</v>
      </c>
      <c r="AJ322" t="s">
        <v>3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">
      <c r="A323">
        <f>ROW(Source!A119)</f>
        <v>119</v>
      </c>
      <c r="B323">
        <v>56616750</v>
      </c>
      <c r="C323">
        <v>56616738</v>
      </c>
      <c r="D323">
        <v>46735845</v>
      </c>
      <c r="E323">
        <v>1</v>
      </c>
      <c r="F323">
        <v>1</v>
      </c>
      <c r="G323">
        <v>27786564</v>
      </c>
      <c r="H323">
        <v>3</v>
      </c>
      <c r="I323" t="s">
        <v>508</v>
      </c>
      <c r="J323" t="s">
        <v>553</v>
      </c>
      <c r="K323" t="s">
        <v>510</v>
      </c>
      <c r="L323">
        <v>1356</v>
      </c>
      <c r="N323">
        <v>1010</v>
      </c>
      <c r="O323" t="s">
        <v>511</v>
      </c>
      <c r="P323" t="s">
        <v>511</v>
      </c>
      <c r="Q323">
        <v>1000</v>
      </c>
      <c r="X323">
        <v>4.1000000000000003E-3</v>
      </c>
      <c r="Y323">
        <v>226.68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 t="s">
        <v>3</v>
      </c>
      <c r="AG323">
        <v>4.1000000000000003E-3</v>
      </c>
      <c r="AH323">
        <v>3</v>
      </c>
      <c r="AI323">
        <v>-1</v>
      </c>
      <c r="AJ323" t="s">
        <v>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f>ROW(Source!A119)</f>
        <v>119</v>
      </c>
      <c r="B324">
        <v>56616751</v>
      </c>
      <c r="C324">
        <v>56616738</v>
      </c>
      <c r="D324">
        <v>46735506</v>
      </c>
      <c r="E324">
        <v>1</v>
      </c>
      <c r="F324">
        <v>1</v>
      </c>
      <c r="G324">
        <v>27786564</v>
      </c>
      <c r="H324">
        <v>3</v>
      </c>
      <c r="I324" t="s">
        <v>512</v>
      </c>
      <c r="J324" t="s">
        <v>513</v>
      </c>
      <c r="K324" t="s">
        <v>514</v>
      </c>
      <c r="L324">
        <v>1301</v>
      </c>
      <c r="N324">
        <v>1003</v>
      </c>
      <c r="O324" t="s">
        <v>55</v>
      </c>
      <c r="P324" t="s">
        <v>55</v>
      </c>
      <c r="Q324">
        <v>1</v>
      </c>
      <c r="X324">
        <v>0.96</v>
      </c>
      <c r="Y324">
        <v>0.7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 t="s">
        <v>3</v>
      </c>
      <c r="AG324">
        <v>0.96</v>
      </c>
      <c r="AH324">
        <v>3</v>
      </c>
      <c r="AI324">
        <v>-1</v>
      </c>
      <c r="AJ324" t="s">
        <v>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f>ROW(Source!A119)</f>
        <v>119</v>
      </c>
      <c r="B325">
        <v>56616752</v>
      </c>
      <c r="C325">
        <v>56616738</v>
      </c>
      <c r="D325">
        <v>46735508</v>
      </c>
      <c r="E325">
        <v>1</v>
      </c>
      <c r="F325">
        <v>1</v>
      </c>
      <c r="G325">
        <v>27786564</v>
      </c>
      <c r="H325">
        <v>3</v>
      </c>
      <c r="I325" t="s">
        <v>515</v>
      </c>
      <c r="J325" t="s">
        <v>516</v>
      </c>
      <c r="K325" t="s">
        <v>517</v>
      </c>
      <c r="L325">
        <v>1356</v>
      </c>
      <c r="N325">
        <v>1010</v>
      </c>
      <c r="O325" t="s">
        <v>511</v>
      </c>
      <c r="P325" t="s">
        <v>511</v>
      </c>
      <c r="Q325">
        <v>1000</v>
      </c>
      <c r="X325">
        <v>8.3199999999999993E-3</v>
      </c>
      <c r="Y325">
        <v>6.44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 t="s">
        <v>3</v>
      </c>
      <c r="AG325">
        <v>8.3199999999999993E-3</v>
      </c>
      <c r="AH325">
        <v>3</v>
      </c>
      <c r="AI325">
        <v>-1</v>
      </c>
      <c r="AJ325" t="s">
        <v>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f>ROW(Source!A119)</f>
        <v>119</v>
      </c>
      <c r="B326">
        <v>56616753</v>
      </c>
      <c r="C326">
        <v>56616738</v>
      </c>
      <c r="D326">
        <v>49717618</v>
      </c>
      <c r="E326">
        <v>27786564</v>
      </c>
      <c r="F326">
        <v>1</v>
      </c>
      <c r="G326">
        <v>27786564</v>
      </c>
      <c r="H326">
        <v>3</v>
      </c>
      <c r="I326" t="s">
        <v>554</v>
      </c>
      <c r="J326" t="s">
        <v>3</v>
      </c>
      <c r="K326" t="s">
        <v>555</v>
      </c>
      <c r="L326">
        <v>1303</v>
      </c>
      <c r="N326">
        <v>1003</v>
      </c>
      <c r="O326" t="s">
        <v>556</v>
      </c>
      <c r="P326" t="s">
        <v>556</v>
      </c>
      <c r="Q326">
        <v>1000</v>
      </c>
      <c r="X326">
        <v>0.10199999999999999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 t="s">
        <v>3</v>
      </c>
      <c r="AG326">
        <v>0.10199999999999999</v>
      </c>
      <c r="AH326">
        <v>3</v>
      </c>
      <c r="AI326">
        <v>-1</v>
      </c>
      <c r="AJ326" t="s">
        <v>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">
      <c r="A327">
        <f>ROW(Source!A120)</f>
        <v>120</v>
      </c>
      <c r="B327">
        <v>56616740</v>
      </c>
      <c r="C327">
        <v>56616738</v>
      </c>
      <c r="D327">
        <v>47634407</v>
      </c>
      <c r="E327">
        <v>27786564</v>
      </c>
      <c r="F327">
        <v>1</v>
      </c>
      <c r="G327">
        <v>27786564</v>
      </c>
      <c r="H327">
        <v>1</v>
      </c>
      <c r="I327" t="s">
        <v>439</v>
      </c>
      <c r="J327" t="s">
        <v>3</v>
      </c>
      <c r="K327" t="s">
        <v>440</v>
      </c>
      <c r="L327">
        <v>1191</v>
      </c>
      <c r="N327">
        <v>1013</v>
      </c>
      <c r="O327" t="s">
        <v>441</v>
      </c>
      <c r="P327" t="s">
        <v>441</v>
      </c>
      <c r="Q327">
        <v>1</v>
      </c>
      <c r="X327">
        <v>18.8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1</v>
      </c>
      <c r="AF327" t="s">
        <v>22</v>
      </c>
      <c r="AG327">
        <v>20.680000000000003</v>
      </c>
      <c r="AH327">
        <v>2</v>
      </c>
      <c r="AI327">
        <v>56616739</v>
      </c>
      <c r="AJ327">
        <v>104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f>ROW(Source!A120)</f>
        <v>120</v>
      </c>
      <c r="B328">
        <v>56616741</v>
      </c>
      <c r="C328">
        <v>56616738</v>
      </c>
      <c r="D328">
        <v>47767106</v>
      </c>
      <c r="E328">
        <v>1</v>
      </c>
      <c r="F328">
        <v>1</v>
      </c>
      <c r="G328">
        <v>27786564</v>
      </c>
      <c r="H328">
        <v>2</v>
      </c>
      <c r="I328" t="s">
        <v>487</v>
      </c>
      <c r="J328" t="s">
        <v>488</v>
      </c>
      <c r="K328" t="s">
        <v>489</v>
      </c>
      <c r="L328">
        <v>1368</v>
      </c>
      <c r="N328">
        <v>1011</v>
      </c>
      <c r="O328" t="s">
        <v>445</v>
      </c>
      <c r="P328" t="s">
        <v>445</v>
      </c>
      <c r="Q328">
        <v>1</v>
      </c>
      <c r="X328">
        <v>1.51</v>
      </c>
      <c r="Y328">
        <v>0</v>
      </c>
      <c r="Z328">
        <v>83.1</v>
      </c>
      <c r="AA328">
        <v>12.62</v>
      </c>
      <c r="AB328">
        <v>0</v>
      </c>
      <c r="AC328">
        <v>0</v>
      </c>
      <c r="AD328">
        <v>1</v>
      </c>
      <c r="AE328">
        <v>0</v>
      </c>
      <c r="AF328" t="s">
        <v>22</v>
      </c>
      <c r="AG328">
        <v>1.6610000000000003</v>
      </c>
      <c r="AH328">
        <v>3</v>
      </c>
      <c r="AI328">
        <v>-1</v>
      </c>
      <c r="AJ328" t="s">
        <v>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">
      <c r="A329">
        <f>ROW(Source!A120)</f>
        <v>120</v>
      </c>
      <c r="B329">
        <v>56616742</v>
      </c>
      <c r="C329">
        <v>56616738</v>
      </c>
      <c r="D329">
        <v>47766545</v>
      </c>
      <c r="E329">
        <v>1</v>
      </c>
      <c r="F329">
        <v>1</v>
      </c>
      <c r="G329">
        <v>27786564</v>
      </c>
      <c r="H329">
        <v>2</v>
      </c>
      <c r="I329" t="s">
        <v>490</v>
      </c>
      <c r="J329" t="s">
        <v>491</v>
      </c>
      <c r="K329" t="s">
        <v>492</v>
      </c>
      <c r="L329">
        <v>1368</v>
      </c>
      <c r="N329">
        <v>1011</v>
      </c>
      <c r="O329" t="s">
        <v>445</v>
      </c>
      <c r="P329" t="s">
        <v>445</v>
      </c>
      <c r="Q329">
        <v>1</v>
      </c>
      <c r="X329">
        <v>4.2699999999999996</v>
      </c>
      <c r="Y329">
        <v>0</v>
      </c>
      <c r="Z329">
        <v>0.73</v>
      </c>
      <c r="AA329">
        <v>0</v>
      </c>
      <c r="AB329">
        <v>0</v>
      </c>
      <c r="AC329">
        <v>0</v>
      </c>
      <c r="AD329">
        <v>1</v>
      </c>
      <c r="AE329">
        <v>0</v>
      </c>
      <c r="AF329" t="s">
        <v>22</v>
      </c>
      <c r="AG329">
        <v>4.6970000000000001</v>
      </c>
      <c r="AH329">
        <v>3</v>
      </c>
      <c r="AI329">
        <v>-1</v>
      </c>
      <c r="AJ329" t="s">
        <v>3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>
        <f>ROW(Source!A120)</f>
        <v>120</v>
      </c>
      <c r="B330">
        <v>56616743</v>
      </c>
      <c r="C330">
        <v>56616738</v>
      </c>
      <c r="D330">
        <v>47766581</v>
      </c>
      <c r="E330">
        <v>1</v>
      </c>
      <c r="F330">
        <v>1</v>
      </c>
      <c r="G330">
        <v>27786564</v>
      </c>
      <c r="H330">
        <v>2</v>
      </c>
      <c r="I330" t="s">
        <v>493</v>
      </c>
      <c r="J330" t="s">
        <v>494</v>
      </c>
      <c r="K330" t="s">
        <v>495</v>
      </c>
      <c r="L330">
        <v>1368</v>
      </c>
      <c r="N330">
        <v>1011</v>
      </c>
      <c r="O330" t="s">
        <v>445</v>
      </c>
      <c r="P330" t="s">
        <v>445</v>
      </c>
      <c r="Q330">
        <v>1</v>
      </c>
      <c r="X330">
        <v>4.2699999999999996</v>
      </c>
      <c r="Y330">
        <v>0</v>
      </c>
      <c r="Z330">
        <v>4</v>
      </c>
      <c r="AA330">
        <v>0</v>
      </c>
      <c r="AB330">
        <v>0</v>
      </c>
      <c r="AC330">
        <v>0</v>
      </c>
      <c r="AD330">
        <v>1</v>
      </c>
      <c r="AE330">
        <v>0</v>
      </c>
      <c r="AF330" t="s">
        <v>22</v>
      </c>
      <c r="AG330">
        <v>4.6970000000000001</v>
      </c>
      <c r="AH330">
        <v>3</v>
      </c>
      <c r="AI330">
        <v>-1</v>
      </c>
      <c r="AJ330" t="s">
        <v>3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">
      <c r="A331">
        <f>ROW(Source!A120)</f>
        <v>120</v>
      </c>
      <c r="B331">
        <v>56616744</v>
      </c>
      <c r="C331">
        <v>56616738</v>
      </c>
      <c r="D331">
        <v>32913309</v>
      </c>
      <c r="E331">
        <v>1</v>
      </c>
      <c r="F331">
        <v>1</v>
      </c>
      <c r="G331">
        <v>27786564</v>
      </c>
      <c r="H331">
        <v>3</v>
      </c>
      <c r="I331" t="s">
        <v>544</v>
      </c>
      <c r="J331" t="s">
        <v>545</v>
      </c>
      <c r="K331" t="s">
        <v>546</v>
      </c>
      <c r="L331">
        <v>1348</v>
      </c>
      <c r="N331">
        <v>1009</v>
      </c>
      <c r="O331" t="s">
        <v>367</v>
      </c>
      <c r="P331" t="s">
        <v>367</v>
      </c>
      <c r="Q331">
        <v>1000</v>
      </c>
      <c r="X331">
        <v>1E-3</v>
      </c>
      <c r="Y331">
        <v>7254.88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 t="s">
        <v>3</v>
      </c>
      <c r="AG331">
        <v>1E-3</v>
      </c>
      <c r="AH331">
        <v>3</v>
      </c>
      <c r="AI331">
        <v>-1</v>
      </c>
      <c r="AJ331" t="s">
        <v>3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f>ROW(Source!A120)</f>
        <v>120</v>
      </c>
      <c r="B332">
        <v>56616745</v>
      </c>
      <c r="C332">
        <v>56616738</v>
      </c>
      <c r="D332">
        <v>32913337</v>
      </c>
      <c r="E332">
        <v>1</v>
      </c>
      <c r="F332">
        <v>1</v>
      </c>
      <c r="G332">
        <v>27786564</v>
      </c>
      <c r="H332">
        <v>3</v>
      </c>
      <c r="I332" t="s">
        <v>547</v>
      </c>
      <c r="J332" t="s">
        <v>548</v>
      </c>
      <c r="K332" t="s">
        <v>549</v>
      </c>
      <c r="L332">
        <v>1348</v>
      </c>
      <c r="N332">
        <v>1009</v>
      </c>
      <c r="O332" t="s">
        <v>367</v>
      </c>
      <c r="P332" t="s">
        <v>367</v>
      </c>
      <c r="Q332">
        <v>1000</v>
      </c>
      <c r="X332">
        <v>0.01</v>
      </c>
      <c r="Y332">
        <v>9853.14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 t="s">
        <v>3</v>
      </c>
      <c r="AG332">
        <v>0.01</v>
      </c>
      <c r="AH332">
        <v>3</v>
      </c>
      <c r="AI332">
        <v>-1</v>
      </c>
      <c r="AJ332" t="s">
        <v>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">
      <c r="A333">
        <f>ROW(Source!A120)</f>
        <v>120</v>
      </c>
      <c r="B333">
        <v>56616746</v>
      </c>
      <c r="C333">
        <v>56616738</v>
      </c>
      <c r="D333">
        <v>46723495</v>
      </c>
      <c r="E333">
        <v>1</v>
      </c>
      <c r="F333">
        <v>1</v>
      </c>
      <c r="G333">
        <v>27786564</v>
      </c>
      <c r="H333">
        <v>3</v>
      </c>
      <c r="I333" t="s">
        <v>550</v>
      </c>
      <c r="J333" t="s">
        <v>551</v>
      </c>
      <c r="K333" t="s">
        <v>552</v>
      </c>
      <c r="L333">
        <v>1348</v>
      </c>
      <c r="N333">
        <v>1009</v>
      </c>
      <c r="O333" t="s">
        <v>367</v>
      </c>
      <c r="P333" t="s">
        <v>367</v>
      </c>
      <c r="Q333">
        <v>1000</v>
      </c>
      <c r="X333">
        <v>2.5000000000000001E-4</v>
      </c>
      <c r="Y333">
        <v>16222.39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3</v>
      </c>
      <c r="AG333">
        <v>2.5000000000000001E-4</v>
      </c>
      <c r="AH333">
        <v>3</v>
      </c>
      <c r="AI333">
        <v>-1</v>
      </c>
      <c r="AJ333" t="s">
        <v>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f>ROW(Source!A120)</f>
        <v>120</v>
      </c>
      <c r="B334">
        <v>56616747</v>
      </c>
      <c r="C334">
        <v>56616738</v>
      </c>
      <c r="D334">
        <v>46723498</v>
      </c>
      <c r="E334">
        <v>1</v>
      </c>
      <c r="F334">
        <v>1</v>
      </c>
      <c r="G334">
        <v>27786564</v>
      </c>
      <c r="H334">
        <v>3</v>
      </c>
      <c r="I334" t="s">
        <v>496</v>
      </c>
      <c r="J334" t="s">
        <v>497</v>
      </c>
      <c r="K334" t="s">
        <v>498</v>
      </c>
      <c r="L334">
        <v>1348</v>
      </c>
      <c r="N334">
        <v>1009</v>
      </c>
      <c r="O334" t="s">
        <v>367</v>
      </c>
      <c r="P334" t="s">
        <v>367</v>
      </c>
      <c r="Q334">
        <v>1000</v>
      </c>
      <c r="X334">
        <v>6.0000000000000002E-5</v>
      </c>
      <c r="Y334">
        <v>11242.42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 t="s">
        <v>3</v>
      </c>
      <c r="AG334">
        <v>6.0000000000000002E-5</v>
      </c>
      <c r="AH334">
        <v>3</v>
      </c>
      <c r="AI334">
        <v>-1</v>
      </c>
      <c r="AJ334" t="s">
        <v>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">
      <c r="A335">
        <f>ROW(Source!A120)</f>
        <v>120</v>
      </c>
      <c r="B335">
        <v>56616748</v>
      </c>
      <c r="C335">
        <v>56616738</v>
      </c>
      <c r="D335">
        <v>45796980</v>
      </c>
      <c r="E335">
        <v>1</v>
      </c>
      <c r="F335">
        <v>1</v>
      </c>
      <c r="G335">
        <v>27786564</v>
      </c>
      <c r="H335">
        <v>3</v>
      </c>
      <c r="I335" t="s">
        <v>499</v>
      </c>
      <c r="J335" t="s">
        <v>500</v>
      </c>
      <c r="K335" t="s">
        <v>501</v>
      </c>
      <c r="L335">
        <v>1346</v>
      </c>
      <c r="N335">
        <v>1009</v>
      </c>
      <c r="O335" t="s">
        <v>104</v>
      </c>
      <c r="P335" t="s">
        <v>104</v>
      </c>
      <c r="Q335">
        <v>1</v>
      </c>
      <c r="X335">
        <v>0.8</v>
      </c>
      <c r="Y335">
        <v>25.8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3</v>
      </c>
      <c r="AG335">
        <v>0.8</v>
      </c>
      <c r="AH335">
        <v>3</v>
      </c>
      <c r="AI335">
        <v>-1</v>
      </c>
      <c r="AJ335" t="s">
        <v>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">
      <c r="A336">
        <f>ROW(Source!A120)</f>
        <v>120</v>
      </c>
      <c r="B336">
        <v>56616749</v>
      </c>
      <c r="C336">
        <v>56616738</v>
      </c>
      <c r="D336">
        <v>46723704</v>
      </c>
      <c r="E336">
        <v>1</v>
      </c>
      <c r="F336">
        <v>1</v>
      </c>
      <c r="G336">
        <v>27786564</v>
      </c>
      <c r="H336">
        <v>3</v>
      </c>
      <c r="I336" t="s">
        <v>505</v>
      </c>
      <c r="J336" t="s">
        <v>506</v>
      </c>
      <c r="K336" t="s">
        <v>507</v>
      </c>
      <c r="L336">
        <v>1348</v>
      </c>
      <c r="N336">
        <v>1009</v>
      </c>
      <c r="O336" t="s">
        <v>367</v>
      </c>
      <c r="P336" t="s">
        <v>367</v>
      </c>
      <c r="Q336">
        <v>1000</v>
      </c>
      <c r="X336">
        <v>4.0000000000000003E-5</v>
      </c>
      <c r="Y336">
        <v>7982.5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3</v>
      </c>
      <c r="AG336">
        <v>4.0000000000000003E-5</v>
      </c>
      <c r="AH336">
        <v>3</v>
      </c>
      <c r="AI336">
        <v>-1</v>
      </c>
      <c r="AJ336" t="s">
        <v>3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">
      <c r="A337">
        <f>ROW(Source!A120)</f>
        <v>120</v>
      </c>
      <c r="B337">
        <v>56616750</v>
      </c>
      <c r="C337">
        <v>56616738</v>
      </c>
      <c r="D337">
        <v>46735845</v>
      </c>
      <c r="E337">
        <v>1</v>
      </c>
      <c r="F337">
        <v>1</v>
      </c>
      <c r="G337">
        <v>27786564</v>
      </c>
      <c r="H337">
        <v>3</v>
      </c>
      <c r="I337" t="s">
        <v>508</v>
      </c>
      <c r="J337" t="s">
        <v>553</v>
      </c>
      <c r="K337" t="s">
        <v>510</v>
      </c>
      <c r="L337">
        <v>1356</v>
      </c>
      <c r="N337">
        <v>1010</v>
      </c>
      <c r="O337" t="s">
        <v>511</v>
      </c>
      <c r="P337" t="s">
        <v>511</v>
      </c>
      <c r="Q337">
        <v>1000</v>
      </c>
      <c r="X337">
        <v>4.1000000000000003E-3</v>
      </c>
      <c r="Y337">
        <v>226.68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 t="s">
        <v>3</v>
      </c>
      <c r="AG337">
        <v>4.1000000000000003E-3</v>
      </c>
      <c r="AH337">
        <v>3</v>
      </c>
      <c r="AI337">
        <v>-1</v>
      </c>
      <c r="AJ337" t="s">
        <v>3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">
      <c r="A338">
        <f>ROW(Source!A120)</f>
        <v>120</v>
      </c>
      <c r="B338">
        <v>56616751</v>
      </c>
      <c r="C338">
        <v>56616738</v>
      </c>
      <c r="D338">
        <v>46735506</v>
      </c>
      <c r="E338">
        <v>1</v>
      </c>
      <c r="F338">
        <v>1</v>
      </c>
      <c r="G338">
        <v>27786564</v>
      </c>
      <c r="H338">
        <v>3</v>
      </c>
      <c r="I338" t="s">
        <v>512</v>
      </c>
      <c r="J338" t="s">
        <v>513</v>
      </c>
      <c r="K338" t="s">
        <v>514</v>
      </c>
      <c r="L338">
        <v>1301</v>
      </c>
      <c r="N338">
        <v>1003</v>
      </c>
      <c r="O338" t="s">
        <v>55</v>
      </c>
      <c r="P338" t="s">
        <v>55</v>
      </c>
      <c r="Q338">
        <v>1</v>
      </c>
      <c r="X338">
        <v>0.96</v>
      </c>
      <c r="Y338">
        <v>0.7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 t="s">
        <v>3</v>
      </c>
      <c r="AG338">
        <v>0.96</v>
      </c>
      <c r="AH338">
        <v>3</v>
      </c>
      <c r="AI338">
        <v>-1</v>
      </c>
      <c r="AJ338" t="s">
        <v>3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">
      <c r="A339">
        <f>ROW(Source!A120)</f>
        <v>120</v>
      </c>
      <c r="B339">
        <v>56616752</v>
      </c>
      <c r="C339">
        <v>56616738</v>
      </c>
      <c r="D339">
        <v>46735508</v>
      </c>
      <c r="E339">
        <v>1</v>
      </c>
      <c r="F339">
        <v>1</v>
      </c>
      <c r="G339">
        <v>27786564</v>
      </c>
      <c r="H339">
        <v>3</v>
      </c>
      <c r="I339" t="s">
        <v>515</v>
      </c>
      <c r="J339" t="s">
        <v>516</v>
      </c>
      <c r="K339" t="s">
        <v>517</v>
      </c>
      <c r="L339">
        <v>1356</v>
      </c>
      <c r="N339">
        <v>1010</v>
      </c>
      <c r="O339" t="s">
        <v>511</v>
      </c>
      <c r="P339" t="s">
        <v>511</v>
      </c>
      <c r="Q339">
        <v>1000</v>
      </c>
      <c r="X339">
        <v>8.3199999999999993E-3</v>
      </c>
      <c r="Y339">
        <v>6.44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 t="s">
        <v>3</v>
      </c>
      <c r="AG339">
        <v>8.3199999999999993E-3</v>
      </c>
      <c r="AH339">
        <v>3</v>
      </c>
      <c r="AI339">
        <v>-1</v>
      </c>
      <c r="AJ339" t="s">
        <v>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>
        <f>ROW(Source!A120)</f>
        <v>120</v>
      </c>
      <c r="B340">
        <v>56616753</v>
      </c>
      <c r="C340">
        <v>56616738</v>
      </c>
      <c r="D340">
        <v>49717618</v>
      </c>
      <c r="E340">
        <v>27786564</v>
      </c>
      <c r="F340">
        <v>1</v>
      </c>
      <c r="G340">
        <v>27786564</v>
      </c>
      <c r="H340">
        <v>3</v>
      </c>
      <c r="I340" t="s">
        <v>554</v>
      </c>
      <c r="J340" t="s">
        <v>3</v>
      </c>
      <c r="K340" t="s">
        <v>555</v>
      </c>
      <c r="L340">
        <v>1303</v>
      </c>
      <c r="N340">
        <v>1003</v>
      </c>
      <c r="O340" t="s">
        <v>556</v>
      </c>
      <c r="P340" t="s">
        <v>556</v>
      </c>
      <c r="Q340">
        <v>1000</v>
      </c>
      <c r="X340">
        <v>0.10199999999999999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t="s">
        <v>3</v>
      </c>
      <c r="AG340">
        <v>0.10199999999999999</v>
      </c>
      <c r="AH340">
        <v>3</v>
      </c>
      <c r="AI340">
        <v>-1</v>
      </c>
      <c r="AJ340" t="s">
        <v>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">
      <c r="A341">
        <f>ROW(Source!A121)</f>
        <v>121</v>
      </c>
      <c r="B341">
        <v>56616756</v>
      </c>
      <c r="C341">
        <v>56616754</v>
      </c>
      <c r="D341">
        <v>47634407</v>
      </c>
      <c r="E341">
        <v>27786564</v>
      </c>
      <c r="F341">
        <v>1</v>
      </c>
      <c r="G341">
        <v>27786564</v>
      </c>
      <c r="H341">
        <v>1</v>
      </c>
      <c r="I341" t="s">
        <v>439</v>
      </c>
      <c r="J341" t="s">
        <v>3</v>
      </c>
      <c r="K341" t="s">
        <v>440</v>
      </c>
      <c r="L341">
        <v>1191</v>
      </c>
      <c r="N341">
        <v>1013</v>
      </c>
      <c r="O341" t="s">
        <v>441</v>
      </c>
      <c r="P341" t="s">
        <v>441</v>
      </c>
      <c r="Q341">
        <v>1</v>
      </c>
      <c r="X341">
        <v>18.8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1</v>
      </c>
      <c r="AF341" t="s">
        <v>22</v>
      </c>
      <c r="AG341">
        <v>20.680000000000003</v>
      </c>
      <c r="AH341">
        <v>2</v>
      </c>
      <c r="AI341">
        <v>56616755</v>
      </c>
      <c r="AJ341">
        <v>105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">
      <c r="A342">
        <f>ROW(Source!A121)</f>
        <v>121</v>
      </c>
      <c r="B342">
        <v>56616757</v>
      </c>
      <c r="C342">
        <v>56616754</v>
      </c>
      <c r="D342">
        <v>47767106</v>
      </c>
      <c r="E342">
        <v>1</v>
      </c>
      <c r="F342">
        <v>1</v>
      </c>
      <c r="G342">
        <v>27786564</v>
      </c>
      <c r="H342">
        <v>2</v>
      </c>
      <c r="I342" t="s">
        <v>487</v>
      </c>
      <c r="J342" t="s">
        <v>488</v>
      </c>
      <c r="K342" t="s">
        <v>489</v>
      </c>
      <c r="L342">
        <v>1368</v>
      </c>
      <c r="N342">
        <v>1011</v>
      </c>
      <c r="O342" t="s">
        <v>445</v>
      </c>
      <c r="P342" t="s">
        <v>445</v>
      </c>
      <c r="Q342">
        <v>1</v>
      </c>
      <c r="X342">
        <v>1.51</v>
      </c>
      <c r="Y342">
        <v>0</v>
      </c>
      <c r="Z342">
        <v>83.1</v>
      </c>
      <c r="AA342">
        <v>12.62</v>
      </c>
      <c r="AB342">
        <v>0</v>
      </c>
      <c r="AC342">
        <v>0</v>
      </c>
      <c r="AD342">
        <v>1</v>
      </c>
      <c r="AE342">
        <v>0</v>
      </c>
      <c r="AF342" t="s">
        <v>22</v>
      </c>
      <c r="AG342">
        <v>1.6610000000000003</v>
      </c>
      <c r="AH342">
        <v>3</v>
      </c>
      <c r="AI342">
        <v>-1</v>
      </c>
      <c r="AJ342" t="s">
        <v>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">
      <c r="A343">
        <f>ROW(Source!A121)</f>
        <v>121</v>
      </c>
      <c r="B343">
        <v>56616758</v>
      </c>
      <c r="C343">
        <v>56616754</v>
      </c>
      <c r="D343">
        <v>47766545</v>
      </c>
      <c r="E343">
        <v>1</v>
      </c>
      <c r="F343">
        <v>1</v>
      </c>
      <c r="G343">
        <v>27786564</v>
      </c>
      <c r="H343">
        <v>2</v>
      </c>
      <c r="I343" t="s">
        <v>490</v>
      </c>
      <c r="J343" t="s">
        <v>491</v>
      </c>
      <c r="K343" t="s">
        <v>492</v>
      </c>
      <c r="L343">
        <v>1368</v>
      </c>
      <c r="N343">
        <v>1011</v>
      </c>
      <c r="O343" t="s">
        <v>445</v>
      </c>
      <c r="P343" t="s">
        <v>445</v>
      </c>
      <c r="Q343">
        <v>1</v>
      </c>
      <c r="X343">
        <v>4.2699999999999996</v>
      </c>
      <c r="Y343">
        <v>0</v>
      </c>
      <c r="Z343">
        <v>0.73</v>
      </c>
      <c r="AA343">
        <v>0</v>
      </c>
      <c r="AB343">
        <v>0</v>
      </c>
      <c r="AC343">
        <v>0</v>
      </c>
      <c r="AD343">
        <v>1</v>
      </c>
      <c r="AE343">
        <v>0</v>
      </c>
      <c r="AF343" t="s">
        <v>22</v>
      </c>
      <c r="AG343">
        <v>4.6970000000000001</v>
      </c>
      <c r="AH343">
        <v>3</v>
      </c>
      <c r="AI343">
        <v>-1</v>
      </c>
      <c r="AJ343" t="s">
        <v>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">
      <c r="A344">
        <f>ROW(Source!A121)</f>
        <v>121</v>
      </c>
      <c r="B344">
        <v>56616759</v>
      </c>
      <c r="C344">
        <v>56616754</v>
      </c>
      <c r="D344">
        <v>47766581</v>
      </c>
      <c r="E344">
        <v>1</v>
      </c>
      <c r="F344">
        <v>1</v>
      </c>
      <c r="G344">
        <v>27786564</v>
      </c>
      <c r="H344">
        <v>2</v>
      </c>
      <c r="I344" t="s">
        <v>493</v>
      </c>
      <c r="J344" t="s">
        <v>494</v>
      </c>
      <c r="K344" t="s">
        <v>495</v>
      </c>
      <c r="L344">
        <v>1368</v>
      </c>
      <c r="N344">
        <v>1011</v>
      </c>
      <c r="O344" t="s">
        <v>445</v>
      </c>
      <c r="P344" t="s">
        <v>445</v>
      </c>
      <c r="Q344">
        <v>1</v>
      </c>
      <c r="X344">
        <v>4.2699999999999996</v>
      </c>
      <c r="Y344">
        <v>0</v>
      </c>
      <c r="Z344">
        <v>4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22</v>
      </c>
      <c r="AG344">
        <v>4.6970000000000001</v>
      </c>
      <c r="AH344">
        <v>3</v>
      </c>
      <c r="AI344">
        <v>-1</v>
      </c>
      <c r="AJ344" t="s">
        <v>3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">
      <c r="A345">
        <f>ROW(Source!A121)</f>
        <v>121</v>
      </c>
      <c r="B345">
        <v>56616760</v>
      </c>
      <c r="C345">
        <v>56616754</v>
      </c>
      <c r="D345">
        <v>32913309</v>
      </c>
      <c r="E345">
        <v>1</v>
      </c>
      <c r="F345">
        <v>1</v>
      </c>
      <c r="G345">
        <v>27786564</v>
      </c>
      <c r="H345">
        <v>3</v>
      </c>
      <c r="I345" t="s">
        <v>544</v>
      </c>
      <c r="J345" t="s">
        <v>545</v>
      </c>
      <c r="K345" t="s">
        <v>546</v>
      </c>
      <c r="L345">
        <v>1348</v>
      </c>
      <c r="N345">
        <v>1009</v>
      </c>
      <c r="O345" t="s">
        <v>367</v>
      </c>
      <c r="P345" t="s">
        <v>367</v>
      </c>
      <c r="Q345">
        <v>1000</v>
      </c>
      <c r="X345">
        <v>1E-3</v>
      </c>
      <c r="Y345">
        <v>7254.88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 t="s">
        <v>3</v>
      </c>
      <c r="AG345">
        <v>1E-3</v>
      </c>
      <c r="AH345">
        <v>3</v>
      </c>
      <c r="AI345">
        <v>-1</v>
      </c>
      <c r="AJ345" t="s">
        <v>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">
      <c r="A346">
        <f>ROW(Source!A121)</f>
        <v>121</v>
      </c>
      <c r="B346">
        <v>56616761</v>
      </c>
      <c r="C346">
        <v>56616754</v>
      </c>
      <c r="D346">
        <v>32913337</v>
      </c>
      <c r="E346">
        <v>1</v>
      </c>
      <c r="F346">
        <v>1</v>
      </c>
      <c r="G346">
        <v>27786564</v>
      </c>
      <c r="H346">
        <v>3</v>
      </c>
      <c r="I346" t="s">
        <v>547</v>
      </c>
      <c r="J346" t="s">
        <v>548</v>
      </c>
      <c r="K346" t="s">
        <v>549</v>
      </c>
      <c r="L346">
        <v>1348</v>
      </c>
      <c r="N346">
        <v>1009</v>
      </c>
      <c r="O346" t="s">
        <v>367</v>
      </c>
      <c r="P346" t="s">
        <v>367</v>
      </c>
      <c r="Q346">
        <v>1000</v>
      </c>
      <c r="X346">
        <v>0.01</v>
      </c>
      <c r="Y346">
        <v>9853.14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 t="s">
        <v>3</v>
      </c>
      <c r="AG346">
        <v>0.01</v>
      </c>
      <c r="AH346">
        <v>3</v>
      </c>
      <c r="AI346">
        <v>-1</v>
      </c>
      <c r="AJ346" t="s">
        <v>3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">
      <c r="A347">
        <f>ROW(Source!A121)</f>
        <v>121</v>
      </c>
      <c r="B347">
        <v>56616762</v>
      </c>
      <c r="C347">
        <v>56616754</v>
      </c>
      <c r="D347">
        <v>46723495</v>
      </c>
      <c r="E347">
        <v>1</v>
      </c>
      <c r="F347">
        <v>1</v>
      </c>
      <c r="G347">
        <v>27786564</v>
      </c>
      <c r="H347">
        <v>3</v>
      </c>
      <c r="I347" t="s">
        <v>550</v>
      </c>
      <c r="J347" t="s">
        <v>551</v>
      </c>
      <c r="K347" t="s">
        <v>552</v>
      </c>
      <c r="L347">
        <v>1348</v>
      </c>
      <c r="N347">
        <v>1009</v>
      </c>
      <c r="O347" t="s">
        <v>367</v>
      </c>
      <c r="P347" t="s">
        <v>367</v>
      </c>
      <c r="Q347">
        <v>1000</v>
      </c>
      <c r="X347">
        <v>2.5000000000000001E-4</v>
      </c>
      <c r="Y347">
        <v>16222.39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 t="s">
        <v>3</v>
      </c>
      <c r="AG347">
        <v>2.5000000000000001E-4</v>
      </c>
      <c r="AH347">
        <v>3</v>
      </c>
      <c r="AI347">
        <v>-1</v>
      </c>
      <c r="AJ347" t="s">
        <v>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">
      <c r="A348">
        <f>ROW(Source!A121)</f>
        <v>121</v>
      </c>
      <c r="B348">
        <v>56616763</v>
      </c>
      <c r="C348">
        <v>56616754</v>
      </c>
      <c r="D348">
        <v>46723498</v>
      </c>
      <c r="E348">
        <v>1</v>
      </c>
      <c r="F348">
        <v>1</v>
      </c>
      <c r="G348">
        <v>27786564</v>
      </c>
      <c r="H348">
        <v>3</v>
      </c>
      <c r="I348" t="s">
        <v>496</v>
      </c>
      <c r="J348" t="s">
        <v>497</v>
      </c>
      <c r="K348" t="s">
        <v>498</v>
      </c>
      <c r="L348">
        <v>1348</v>
      </c>
      <c r="N348">
        <v>1009</v>
      </c>
      <c r="O348" t="s">
        <v>367</v>
      </c>
      <c r="P348" t="s">
        <v>367</v>
      </c>
      <c r="Q348">
        <v>1000</v>
      </c>
      <c r="X348">
        <v>6.0000000000000002E-5</v>
      </c>
      <c r="Y348">
        <v>11242.42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 t="s">
        <v>3</v>
      </c>
      <c r="AG348">
        <v>6.0000000000000002E-5</v>
      </c>
      <c r="AH348">
        <v>3</v>
      </c>
      <c r="AI348">
        <v>-1</v>
      </c>
      <c r="AJ348" t="s">
        <v>3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">
      <c r="A349">
        <f>ROW(Source!A121)</f>
        <v>121</v>
      </c>
      <c r="B349">
        <v>56616764</v>
      </c>
      <c r="C349">
        <v>56616754</v>
      </c>
      <c r="D349">
        <v>45796980</v>
      </c>
      <c r="E349">
        <v>1</v>
      </c>
      <c r="F349">
        <v>1</v>
      </c>
      <c r="G349">
        <v>27786564</v>
      </c>
      <c r="H349">
        <v>3</v>
      </c>
      <c r="I349" t="s">
        <v>499</v>
      </c>
      <c r="J349" t="s">
        <v>500</v>
      </c>
      <c r="K349" t="s">
        <v>501</v>
      </c>
      <c r="L349">
        <v>1346</v>
      </c>
      <c r="N349">
        <v>1009</v>
      </c>
      <c r="O349" t="s">
        <v>104</v>
      </c>
      <c r="P349" t="s">
        <v>104</v>
      </c>
      <c r="Q349">
        <v>1</v>
      </c>
      <c r="X349">
        <v>0.8</v>
      </c>
      <c r="Y349">
        <v>25.8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3</v>
      </c>
      <c r="AG349">
        <v>0.8</v>
      </c>
      <c r="AH349">
        <v>3</v>
      </c>
      <c r="AI349">
        <v>-1</v>
      </c>
      <c r="AJ349" t="s">
        <v>3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">
      <c r="A350">
        <f>ROW(Source!A121)</f>
        <v>121</v>
      </c>
      <c r="B350">
        <v>56616765</v>
      </c>
      <c r="C350">
        <v>56616754</v>
      </c>
      <c r="D350">
        <v>46723704</v>
      </c>
      <c r="E350">
        <v>1</v>
      </c>
      <c r="F350">
        <v>1</v>
      </c>
      <c r="G350">
        <v>27786564</v>
      </c>
      <c r="H350">
        <v>3</v>
      </c>
      <c r="I350" t="s">
        <v>505</v>
      </c>
      <c r="J350" t="s">
        <v>506</v>
      </c>
      <c r="K350" t="s">
        <v>507</v>
      </c>
      <c r="L350">
        <v>1348</v>
      </c>
      <c r="N350">
        <v>1009</v>
      </c>
      <c r="O350" t="s">
        <v>367</v>
      </c>
      <c r="P350" t="s">
        <v>367</v>
      </c>
      <c r="Q350">
        <v>1000</v>
      </c>
      <c r="X350">
        <v>4.0000000000000003E-5</v>
      </c>
      <c r="Y350">
        <v>7982.5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3</v>
      </c>
      <c r="AG350">
        <v>4.0000000000000003E-5</v>
      </c>
      <c r="AH350">
        <v>3</v>
      </c>
      <c r="AI350">
        <v>-1</v>
      </c>
      <c r="AJ350" t="s">
        <v>3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">
      <c r="A351">
        <f>ROW(Source!A121)</f>
        <v>121</v>
      </c>
      <c r="B351">
        <v>56616766</v>
      </c>
      <c r="C351">
        <v>56616754</v>
      </c>
      <c r="D351">
        <v>46735845</v>
      </c>
      <c r="E351">
        <v>1</v>
      </c>
      <c r="F351">
        <v>1</v>
      </c>
      <c r="G351">
        <v>27786564</v>
      </c>
      <c r="H351">
        <v>3</v>
      </c>
      <c r="I351" t="s">
        <v>508</v>
      </c>
      <c r="J351" t="s">
        <v>553</v>
      </c>
      <c r="K351" t="s">
        <v>510</v>
      </c>
      <c r="L351">
        <v>1356</v>
      </c>
      <c r="N351">
        <v>1010</v>
      </c>
      <c r="O351" t="s">
        <v>511</v>
      </c>
      <c r="P351" t="s">
        <v>511</v>
      </c>
      <c r="Q351">
        <v>1000</v>
      </c>
      <c r="X351">
        <v>4.1000000000000003E-3</v>
      </c>
      <c r="Y351">
        <v>226.68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 t="s">
        <v>3</v>
      </c>
      <c r="AG351">
        <v>4.1000000000000003E-3</v>
      </c>
      <c r="AH351">
        <v>3</v>
      </c>
      <c r="AI351">
        <v>-1</v>
      </c>
      <c r="AJ351" t="s">
        <v>3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">
      <c r="A352">
        <f>ROW(Source!A121)</f>
        <v>121</v>
      </c>
      <c r="B352">
        <v>56616767</v>
      </c>
      <c r="C352">
        <v>56616754</v>
      </c>
      <c r="D352">
        <v>46735506</v>
      </c>
      <c r="E352">
        <v>1</v>
      </c>
      <c r="F352">
        <v>1</v>
      </c>
      <c r="G352">
        <v>27786564</v>
      </c>
      <c r="H352">
        <v>3</v>
      </c>
      <c r="I352" t="s">
        <v>512</v>
      </c>
      <c r="J352" t="s">
        <v>513</v>
      </c>
      <c r="K352" t="s">
        <v>514</v>
      </c>
      <c r="L352">
        <v>1301</v>
      </c>
      <c r="N352">
        <v>1003</v>
      </c>
      <c r="O352" t="s">
        <v>55</v>
      </c>
      <c r="P352" t="s">
        <v>55</v>
      </c>
      <c r="Q352">
        <v>1</v>
      </c>
      <c r="X352">
        <v>0.96</v>
      </c>
      <c r="Y352">
        <v>0.7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 t="s">
        <v>3</v>
      </c>
      <c r="AG352">
        <v>0.96</v>
      </c>
      <c r="AH352">
        <v>3</v>
      </c>
      <c r="AI352">
        <v>-1</v>
      </c>
      <c r="AJ352" t="s">
        <v>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">
      <c r="A353">
        <f>ROW(Source!A121)</f>
        <v>121</v>
      </c>
      <c r="B353">
        <v>56616768</v>
      </c>
      <c r="C353">
        <v>56616754</v>
      </c>
      <c r="D353">
        <v>46735508</v>
      </c>
      <c r="E353">
        <v>1</v>
      </c>
      <c r="F353">
        <v>1</v>
      </c>
      <c r="G353">
        <v>27786564</v>
      </c>
      <c r="H353">
        <v>3</v>
      </c>
      <c r="I353" t="s">
        <v>515</v>
      </c>
      <c r="J353" t="s">
        <v>516</v>
      </c>
      <c r="K353" t="s">
        <v>517</v>
      </c>
      <c r="L353">
        <v>1356</v>
      </c>
      <c r="N353">
        <v>1010</v>
      </c>
      <c r="O353" t="s">
        <v>511</v>
      </c>
      <c r="P353" t="s">
        <v>511</v>
      </c>
      <c r="Q353">
        <v>1000</v>
      </c>
      <c r="X353">
        <v>8.3199999999999993E-3</v>
      </c>
      <c r="Y353">
        <v>6.44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 t="s">
        <v>3</v>
      </c>
      <c r="AG353">
        <v>8.3199999999999993E-3</v>
      </c>
      <c r="AH353">
        <v>3</v>
      </c>
      <c r="AI353">
        <v>-1</v>
      </c>
      <c r="AJ353" t="s">
        <v>3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">
      <c r="A354">
        <f>ROW(Source!A121)</f>
        <v>121</v>
      </c>
      <c r="B354">
        <v>56616769</v>
      </c>
      <c r="C354">
        <v>56616754</v>
      </c>
      <c r="D354">
        <v>49717618</v>
      </c>
      <c r="E354">
        <v>27786564</v>
      </c>
      <c r="F354">
        <v>1</v>
      </c>
      <c r="G354">
        <v>27786564</v>
      </c>
      <c r="H354">
        <v>3</v>
      </c>
      <c r="I354" t="s">
        <v>554</v>
      </c>
      <c r="J354" t="s">
        <v>3</v>
      </c>
      <c r="K354" t="s">
        <v>555</v>
      </c>
      <c r="L354">
        <v>1303</v>
      </c>
      <c r="N354">
        <v>1003</v>
      </c>
      <c r="O354" t="s">
        <v>556</v>
      </c>
      <c r="P354" t="s">
        <v>556</v>
      </c>
      <c r="Q354">
        <v>1000</v>
      </c>
      <c r="X354">
        <v>0.10199999999999999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 t="s">
        <v>3</v>
      </c>
      <c r="AG354">
        <v>0.10199999999999999</v>
      </c>
      <c r="AH354">
        <v>3</v>
      </c>
      <c r="AI354">
        <v>-1</v>
      </c>
      <c r="AJ354" t="s">
        <v>3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">
      <c r="A355">
        <f>ROW(Source!A122)</f>
        <v>122</v>
      </c>
      <c r="B355">
        <v>56616756</v>
      </c>
      <c r="C355">
        <v>56616754</v>
      </c>
      <c r="D355">
        <v>47634407</v>
      </c>
      <c r="E355">
        <v>27786564</v>
      </c>
      <c r="F355">
        <v>1</v>
      </c>
      <c r="G355">
        <v>27786564</v>
      </c>
      <c r="H355">
        <v>1</v>
      </c>
      <c r="I355" t="s">
        <v>439</v>
      </c>
      <c r="J355" t="s">
        <v>3</v>
      </c>
      <c r="K355" t="s">
        <v>440</v>
      </c>
      <c r="L355">
        <v>1191</v>
      </c>
      <c r="N355">
        <v>1013</v>
      </c>
      <c r="O355" t="s">
        <v>441</v>
      </c>
      <c r="P355" t="s">
        <v>441</v>
      </c>
      <c r="Q355">
        <v>1</v>
      </c>
      <c r="X355">
        <v>18.8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1</v>
      </c>
      <c r="AF355" t="s">
        <v>22</v>
      </c>
      <c r="AG355">
        <v>20.680000000000003</v>
      </c>
      <c r="AH355">
        <v>2</v>
      </c>
      <c r="AI355">
        <v>56616755</v>
      </c>
      <c r="AJ355">
        <v>106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">
      <c r="A356">
        <f>ROW(Source!A122)</f>
        <v>122</v>
      </c>
      <c r="B356">
        <v>56616757</v>
      </c>
      <c r="C356">
        <v>56616754</v>
      </c>
      <c r="D356">
        <v>47767106</v>
      </c>
      <c r="E356">
        <v>1</v>
      </c>
      <c r="F356">
        <v>1</v>
      </c>
      <c r="G356">
        <v>27786564</v>
      </c>
      <c r="H356">
        <v>2</v>
      </c>
      <c r="I356" t="s">
        <v>487</v>
      </c>
      <c r="J356" t="s">
        <v>488</v>
      </c>
      <c r="K356" t="s">
        <v>489</v>
      </c>
      <c r="L356">
        <v>1368</v>
      </c>
      <c r="N356">
        <v>1011</v>
      </c>
      <c r="O356" t="s">
        <v>445</v>
      </c>
      <c r="P356" t="s">
        <v>445</v>
      </c>
      <c r="Q356">
        <v>1</v>
      </c>
      <c r="X356">
        <v>1.51</v>
      </c>
      <c r="Y356">
        <v>0</v>
      </c>
      <c r="Z356">
        <v>83.1</v>
      </c>
      <c r="AA356">
        <v>12.62</v>
      </c>
      <c r="AB356">
        <v>0</v>
      </c>
      <c r="AC356">
        <v>0</v>
      </c>
      <c r="AD356">
        <v>1</v>
      </c>
      <c r="AE356">
        <v>0</v>
      </c>
      <c r="AF356" t="s">
        <v>22</v>
      </c>
      <c r="AG356">
        <v>1.6610000000000003</v>
      </c>
      <c r="AH356">
        <v>3</v>
      </c>
      <c r="AI356">
        <v>-1</v>
      </c>
      <c r="AJ356" t="s">
        <v>3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">
      <c r="A357">
        <f>ROW(Source!A122)</f>
        <v>122</v>
      </c>
      <c r="B357">
        <v>56616758</v>
      </c>
      <c r="C357">
        <v>56616754</v>
      </c>
      <c r="D357">
        <v>47766545</v>
      </c>
      <c r="E357">
        <v>1</v>
      </c>
      <c r="F357">
        <v>1</v>
      </c>
      <c r="G357">
        <v>27786564</v>
      </c>
      <c r="H357">
        <v>2</v>
      </c>
      <c r="I357" t="s">
        <v>490</v>
      </c>
      <c r="J357" t="s">
        <v>491</v>
      </c>
      <c r="K357" t="s">
        <v>492</v>
      </c>
      <c r="L357">
        <v>1368</v>
      </c>
      <c r="N357">
        <v>1011</v>
      </c>
      <c r="O357" t="s">
        <v>445</v>
      </c>
      <c r="P357" t="s">
        <v>445</v>
      </c>
      <c r="Q357">
        <v>1</v>
      </c>
      <c r="X357">
        <v>4.2699999999999996</v>
      </c>
      <c r="Y357">
        <v>0</v>
      </c>
      <c r="Z357">
        <v>0.73</v>
      </c>
      <c r="AA357">
        <v>0</v>
      </c>
      <c r="AB357">
        <v>0</v>
      </c>
      <c r="AC357">
        <v>0</v>
      </c>
      <c r="AD357">
        <v>1</v>
      </c>
      <c r="AE357">
        <v>0</v>
      </c>
      <c r="AF357" t="s">
        <v>22</v>
      </c>
      <c r="AG357">
        <v>4.6970000000000001</v>
      </c>
      <c r="AH357">
        <v>3</v>
      </c>
      <c r="AI357">
        <v>-1</v>
      </c>
      <c r="AJ357" t="s">
        <v>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">
      <c r="A358">
        <f>ROW(Source!A122)</f>
        <v>122</v>
      </c>
      <c r="B358">
        <v>56616759</v>
      </c>
      <c r="C358">
        <v>56616754</v>
      </c>
      <c r="D358">
        <v>47766581</v>
      </c>
      <c r="E358">
        <v>1</v>
      </c>
      <c r="F358">
        <v>1</v>
      </c>
      <c r="G358">
        <v>27786564</v>
      </c>
      <c r="H358">
        <v>2</v>
      </c>
      <c r="I358" t="s">
        <v>493</v>
      </c>
      <c r="J358" t="s">
        <v>494</v>
      </c>
      <c r="K358" t="s">
        <v>495</v>
      </c>
      <c r="L358">
        <v>1368</v>
      </c>
      <c r="N358">
        <v>1011</v>
      </c>
      <c r="O358" t="s">
        <v>445</v>
      </c>
      <c r="P358" t="s">
        <v>445</v>
      </c>
      <c r="Q358">
        <v>1</v>
      </c>
      <c r="X358">
        <v>4.2699999999999996</v>
      </c>
      <c r="Y358">
        <v>0</v>
      </c>
      <c r="Z358">
        <v>4</v>
      </c>
      <c r="AA358">
        <v>0</v>
      </c>
      <c r="AB358">
        <v>0</v>
      </c>
      <c r="AC358">
        <v>0</v>
      </c>
      <c r="AD358">
        <v>1</v>
      </c>
      <c r="AE358">
        <v>0</v>
      </c>
      <c r="AF358" t="s">
        <v>22</v>
      </c>
      <c r="AG358">
        <v>4.6970000000000001</v>
      </c>
      <c r="AH358">
        <v>3</v>
      </c>
      <c r="AI358">
        <v>-1</v>
      </c>
      <c r="AJ358" t="s">
        <v>3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">
      <c r="A359">
        <f>ROW(Source!A122)</f>
        <v>122</v>
      </c>
      <c r="B359">
        <v>56616760</v>
      </c>
      <c r="C359">
        <v>56616754</v>
      </c>
      <c r="D359">
        <v>32913309</v>
      </c>
      <c r="E359">
        <v>1</v>
      </c>
      <c r="F359">
        <v>1</v>
      </c>
      <c r="G359">
        <v>27786564</v>
      </c>
      <c r="H359">
        <v>3</v>
      </c>
      <c r="I359" t="s">
        <v>544</v>
      </c>
      <c r="J359" t="s">
        <v>545</v>
      </c>
      <c r="K359" t="s">
        <v>546</v>
      </c>
      <c r="L359">
        <v>1348</v>
      </c>
      <c r="N359">
        <v>1009</v>
      </c>
      <c r="O359" t="s">
        <v>367</v>
      </c>
      <c r="P359" t="s">
        <v>367</v>
      </c>
      <c r="Q359">
        <v>1000</v>
      </c>
      <c r="X359">
        <v>1E-3</v>
      </c>
      <c r="Y359">
        <v>7254.88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 t="s">
        <v>3</v>
      </c>
      <c r="AG359">
        <v>1E-3</v>
      </c>
      <c r="AH359">
        <v>3</v>
      </c>
      <c r="AI359">
        <v>-1</v>
      </c>
      <c r="AJ359" t="s">
        <v>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">
      <c r="A360">
        <f>ROW(Source!A122)</f>
        <v>122</v>
      </c>
      <c r="B360">
        <v>56616761</v>
      </c>
      <c r="C360">
        <v>56616754</v>
      </c>
      <c r="D360">
        <v>32913337</v>
      </c>
      <c r="E360">
        <v>1</v>
      </c>
      <c r="F360">
        <v>1</v>
      </c>
      <c r="G360">
        <v>27786564</v>
      </c>
      <c r="H360">
        <v>3</v>
      </c>
      <c r="I360" t="s">
        <v>547</v>
      </c>
      <c r="J360" t="s">
        <v>548</v>
      </c>
      <c r="K360" t="s">
        <v>549</v>
      </c>
      <c r="L360">
        <v>1348</v>
      </c>
      <c r="N360">
        <v>1009</v>
      </c>
      <c r="O360" t="s">
        <v>367</v>
      </c>
      <c r="P360" t="s">
        <v>367</v>
      </c>
      <c r="Q360">
        <v>1000</v>
      </c>
      <c r="X360">
        <v>0.01</v>
      </c>
      <c r="Y360">
        <v>9853.14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 t="s">
        <v>3</v>
      </c>
      <c r="AG360">
        <v>0.01</v>
      </c>
      <c r="AH360">
        <v>3</v>
      </c>
      <c r="AI360">
        <v>-1</v>
      </c>
      <c r="AJ360" t="s">
        <v>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">
      <c r="A361">
        <f>ROW(Source!A122)</f>
        <v>122</v>
      </c>
      <c r="B361">
        <v>56616762</v>
      </c>
      <c r="C361">
        <v>56616754</v>
      </c>
      <c r="D361">
        <v>46723495</v>
      </c>
      <c r="E361">
        <v>1</v>
      </c>
      <c r="F361">
        <v>1</v>
      </c>
      <c r="G361">
        <v>27786564</v>
      </c>
      <c r="H361">
        <v>3</v>
      </c>
      <c r="I361" t="s">
        <v>550</v>
      </c>
      <c r="J361" t="s">
        <v>551</v>
      </c>
      <c r="K361" t="s">
        <v>552</v>
      </c>
      <c r="L361">
        <v>1348</v>
      </c>
      <c r="N361">
        <v>1009</v>
      </c>
      <c r="O361" t="s">
        <v>367</v>
      </c>
      <c r="P361" t="s">
        <v>367</v>
      </c>
      <c r="Q361">
        <v>1000</v>
      </c>
      <c r="X361">
        <v>2.5000000000000001E-4</v>
      </c>
      <c r="Y361">
        <v>16222.39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 t="s">
        <v>3</v>
      </c>
      <c r="AG361">
        <v>2.5000000000000001E-4</v>
      </c>
      <c r="AH361">
        <v>3</v>
      </c>
      <c r="AI361">
        <v>-1</v>
      </c>
      <c r="AJ361" t="s">
        <v>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">
      <c r="A362">
        <f>ROW(Source!A122)</f>
        <v>122</v>
      </c>
      <c r="B362">
        <v>56616763</v>
      </c>
      <c r="C362">
        <v>56616754</v>
      </c>
      <c r="D362">
        <v>46723498</v>
      </c>
      <c r="E362">
        <v>1</v>
      </c>
      <c r="F362">
        <v>1</v>
      </c>
      <c r="G362">
        <v>27786564</v>
      </c>
      <c r="H362">
        <v>3</v>
      </c>
      <c r="I362" t="s">
        <v>496</v>
      </c>
      <c r="J362" t="s">
        <v>497</v>
      </c>
      <c r="K362" t="s">
        <v>498</v>
      </c>
      <c r="L362">
        <v>1348</v>
      </c>
      <c r="N362">
        <v>1009</v>
      </c>
      <c r="O362" t="s">
        <v>367</v>
      </c>
      <c r="P362" t="s">
        <v>367</v>
      </c>
      <c r="Q362">
        <v>1000</v>
      </c>
      <c r="X362">
        <v>6.0000000000000002E-5</v>
      </c>
      <c r="Y362">
        <v>11242.42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 t="s">
        <v>3</v>
      </c>
      <c r="AG362">
        <v>6.0000000000000002E-5</v>
      </c>
      <c r="AH362">
        <v>3</v>
      </c>
      <c r="AI362">
        <v>-1</v>
      </c>
      <c r="AJ362" t="s">
        <v>3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">
      <c r="A363">
        <f>ROW(Source!A122)</f>
        <v>122</v>
      </c>
      <c r="B363">
        <v>56616764</v>
      </c>
      <c r="C363">
        <v>56616754</v>
      </c>
      <c r="D363">
        <v>45796980</v>
      </c>
      <c r="E363">
        <v>1</v>
      </c>
      <c r="F363">
        <v>1</v>
      </c>
      <c r="G363">
        <v>27786564</v>
      </c>
      <c r="H363">
        <v>3</v>
      </c>
      <c r="I363" t="s">
        <v>499</v>
      </c>
      <c r="J363" t="s">
        <v>500</v>
      </c>
      <c r="K363" t="s">
        <v>501</v>
      </c>
      <c r="L363">
        <v>1346</v>
      </c>
      <c r="N363">
        <v>1009</v>
      </c>
      <c r="O363" t="s">
        <v>104</v>
      </c>
      <c r="P363" t="s">
        <v>104</v>
      </c>
      <c r="Q363">
        <v>1</v>
      </c>
      <c r="X363">
        <v>0.8</v>
      </c>
      <c r="Y363">
        <v>25.8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 t="s">
        <v>3</v>
      </c>
      <c r="AG363">
        <v>0.8</v>
      </c>
      <c r="AH363">
        <v>3</v>
      </c>
      <c r="AI363">
        <v>-1</v>
      </c>
      <c r="AJ363" t="s">
        <v>3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">
      <c r="A364">
        <f>ROW(Source!A122)</f>
        <v>122</v>
      </c>
      <c r="B364">
        <v>56616765</v>
      </c>
      <c r="C364">
        <v>56616754</v>
      </c>
      <c r="D364">
        <v>46723704</v>
      </c>
      <c r="E364">
        <v>1</v>
      </c>
      <c r="F364">
        <v>1</v>
      </c>
      <c r="G364">
        <v>27786564</v>
      </c>
      <c r="H364">
        <v>3</v>
      </c>
      <c r="I364" t="s">
        <v>505</v>
      </c>
      <c r="J364" t="s">
        <v>506</v>
      </c>
      <c r="K364" t="s">
        <v>507</v>
      </c>
      <c r="L364">
        <v>1348</v>
      </c>
      <c r="N364">
        <v>1009</v>
      </c>
      <c r="O364" t="s">
        <v>367</v>
      </c>
      <c r="P364" t="s">
        <v>367</v>
      </c>
      <c r="Q364">
        <v>1000</v>
      </c>
      <c r="X364">
        <v>4.0000000000000003E-5</v>
      </c>
      <c r="Y364">
        <v>7982.5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 t="s">
        <v>3</v>
      </c>
      <c r="AG364">
        <v>4.0000000000000003E-5</v>
      </c>
      <c r="AH364">
        <v>3</v>
      </c>
      <c r="AI364">
        <v>-1</v>
      </c>
      <c r="AJ364" t="s">
        <v>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">
      <c r="A365">
        <f>ROW(Source!A122)</f>
        <v>122</v>
      </c>
      <c r="B365">
        <v>56616766</v>
      </c>
      <c r="C365">
        <v>56616754</v>
      </c>
      <c r="D365">
        <v>46735845</v>
      </c>
      <c r="E365">
        <v>1</v>
      </c>
      <c r="F365">
        <v>1</v>
      </c>
      <c r="G365">
        <v>27786564</v>
      </c>
      <c r="H365">
        <v>3</v>
      </c>
      <c r="I365" t="s">
        <v>508</v>
      </c>
      <c r="J365" t="s">
        <v>553</v>
      </c>
      <c r="K365" t="s">
        <v>510</v>
      </c>
      <c r="L365">
        <v>1356</v>
      </c>
      <c r="N365">
        <v>1010</v>
      </c>
      <c r="O365" t="s">
        <v>511</v>
      </c>
      <c r="P365" t="s">
        <v>511</v>
      </c>
      <c r="Q365">
        <v>1000</v>
      </c>
      <c r="X365">
        <v>4.1000000000000003E-3</v>
      </c>
      <c r="Y365">
        <v>226.68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 t="s">
        <v>3</v>
      </c>
      <c r="AG365">
        <v>4.1000000000000003E-3</v>
      </c>
      <c r="AH365">
        <v>3</v>
      </c>
      <c r="AI365">
        <v>-1</v>
      </c>
      <c r="AJ365" t="s">
        <v>3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">
      <c r="A366">
        <f>ROW(Source!A122)</f>
        <v>122</v>
      </c>
      <c r="B366">
        <v>56616767</v>
      </c>
      <c r="C366">
        <v>56616754</v>
      </c>
      <c r="D366">
        <v>46735506</v>
      </c>
      <c r="E366">
        <v>1</v>
      </c>
      <c r="F366">
        <v>1</v>
      </c>
      <c r="G366">
        <v>27786564</v>
      </c>
      <c r="H366">
        <v>3</v>
      </c>
      <c r="I366" t="s">
        <v>512</v>
      </c>
      <c r="J366" t="s">
        <v>513</v>
      </c>
      <c r="K366" t="s">
        <v>514</v>
      </c>
      <c r="L366">
        <v>1301</v>
      </c>
      <c r="N366">
        <v>1003</v>
      </c>
      <c r="O366" t="s">
        <v>55</v>
      </c>
      <c r="P366" t="s">
        <v>55</v>
      </c>
      <c r="Q366">
        <v>1</v>
      </c>
      <c r="X366">
        <v>0.96</v>
      </c>
      <c r="Y366">
        <v>0.7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3</v>
      </c>
      <c r="AG366">
        <v>0.96</v>
      </c>
      <c r="AH366">
        <v>3</v>
      </c>
      <c r="AI366">
        <v>-1</v>
      </c>
      <c r="AJ366" t="s">
        <v>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">
      <c r="A367">
        <f>ROW(Source!A122)</f>
        <v>122</v>
      </c>
      <c r="B367">
        <v>56616768</v>
      </c>
      <c r="C367">
        <v>56616754</v>
      </c>
      <c r="D367">
        <v>46735508</v>
      </c>
      <c r="E367">
        <v>1</v>
      </c>
      <c r="F367">
        <v>1</v>
      </c>
      <c r="G367">
        <v>27786564</v>
      </c>
      <c r="H367">
        <v>3</v>
      </c>
      <c r="I367" t="s">
        <v>515</v>
      </c>
      <c r="J367" t="s">
        <v>516</v>
      </c>
      <c r="K367" t="s">
        <v>517</v>
      </c>
      <c r="L367">
        <v>1356</v>
      </c>
      <c r="N367">
        <v>1010</v>
      </c>
      <c r="O367" t="s">
        <v>511</v>
      </c>
      <c r="P367" t="s">
        <v>511</v>
      </c>
      <c r="Q367">
        <v>1000</v>
      </c>
      <c r="X367">
        <v>8.3199999999999993E-3</v>
      </c>
      <c r="Y367">
        <v>6.44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 t="s">
        <v>3</v>
      </c>
      <c r="AG367">
        <v>8.3199999999999993E-3</v>
      </c>
      <c r="AH367">
        <v>3</v>
      </c>
      <c r="AI367">
        <v>-1</v>
      </c>
      <c r="AJ367" t="s">
        <v>3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">
      <c r="A368">
        <f>ROW(Source!A122)</f>
        <v>122</v>
      </c>
      <c r="B368">
        <v>56616769</v>
      </c>
      <c r="C368">
        <v>56616754</v>
      </c>
      <c r="D368">
        <v>49717618</v>
      </c>
      <c r="E368">
        <v>27786564</v>
      </c>
      <c r="F368">
        <v>1</v>
      </c>
      <c r="G368">
        <v>27786564</v>
      </c>
      <c r="H368">
        <v>3</v>
      </c>
      <c r="I368" t="s">
        <v>554</v>
      </c>
      <c r="J368" t="s">
        <v>3</v>
      </c>
      <c r="K368" t="s">
        <v>555</v>
      </c>
      <c r="L368">
        <v>1303</v>
      </c>
      <c r="N368">
        <v>1003</v>
      </c>
      <c r="O368" t="s">
        <v>556</v>
      </c>
      <c r="P368" t="s">
        <v>556</v>
      </c>
      <c r="Q368">
        <v>1000</v>
      </c>
      <c r="X368">
        <v>0.10199999999999999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3</v>
      </c>
      <c r="AG368">
        <v>0.10199999999999999</v>
      </c>
      <c r="AH368">
        <v>3</v>
      </c>
      <c r="AI368">
        <v>-1</v>
      </c>
      <c r="AJ368" t="s">
        <v>3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">
      <c r="A369">
        <f>ROW(Source!A123)</f>
        <v>123</v>
      </c>
      <c r="B369">
        <v>56616772</v>
      </c>
      <c r="C369">
        <v>56616770</v>
      </c>
      <c r="D369">
        <v>47634407</v>
      </c>
      <c r="E369">
        <v>27786564</v>
      </c>
      <c r="F369">
        <v>1</v>
      </c>
      <c r="G369">
        <v>27786564</v>
      </c>
      <c r="H369">
        <v>1</v>
      </c>
      <c r="I369" t="s">
        <v>439</v>
      </c>
      <c r="J369" t="s">
        <v>3</v>
      </c>
      <c r="K369" t="s">
        <v>440</v>
      </c>
      <c r="L369">
        <v>1191</v>
      </c>
      <c r="N369">
        <v>1013</v>
      </c>
      <c r="O369" t="s">
        <v>441</v>
      </c>
      <c r="P369" t="s">
        <v>441</v>
      </c>
      <c r="Q369">
        <v>1</v>
      </c>
      <c r="X369">
        <v>18.8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1</v>
      </c>
      <c r="AF369" t="s">
        <v>22</v>
      </c>
      <c r="AG369">
        <v>20.680000000000003</v>
      </c>
      <c r="AH369">
        <v>2</v>
      </c>
      <c r="AI369">
        <v>56616771</v>
      </c>
      <c r="AJ369">
        <v>107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">
      <c r="A370">
        <f>ROW(Source!A123)</f>
        <v>123</v>
      </c>
      <c r="B370">
        <v>56616773</v>
      </c>
      <c r="C370">
        <v>56616770</v>
      </c>
      <c r="D370">
        <v>47767106</v>
      </c>
      <c r="E370">
        <v>1</v>
      </c>
      <c r="F370">
        <v>1</v>
      </c>
      <c r="G370">
        <v>27786564</v>
      </c>
      <c r="H370">
        <v>2</v>
      </c>
      <c r="I370" t="s">
        <v>487</v>
      </c>
      <c r="J370" t="s">
        <v>488</v>
      </c>
      <c r="K370" t="s">
        <v>489</v>
      </c>
      <c r="L370">
        <v>1368</v>
      </c>
      <c r="N370">
        <v>1011</v>
      </c>
      <c r="O370" t="s">
        <v>445</v>
      </c>
      <c r="P370" t="s">
        <v>445</v>
      </c>
      <c r="Q370">
        <v>1</v>
      </c>
      <c r="X370">
        <v>1.51</v>
      </c>
      <c r="Y370">
        <v>0</v>
      </c>
      <c r="Z370">
        <v>83.1</v>
      </c>
      <c r="AA370">
        <v>12.62</v>
      </c>
      <c r="AB370">
        <v>0</v>
      </c>
      <c r="AC370">
        <v>0</v>
      </c>
      <c r="AD370">
        <v>1</v>
      </c>
      <c r="AE370">
        <v>0</v>
      </c>
      <c r="AF370" t="s">
        <v>22</v>
      </c>
      <c r="AG370">
        <v>1.6610000000000003</v>
      </c>
      <c r="AH370">
        <v>3</v>
      </c>
      <c r="AI370">
        <v>-1</v>
      </c>
      <c r="AJ370" t="s">
        <v>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">
      <c r="A371">
        <f>ROW(Source!A123)</f>
        <v>123</v>
      </c>
      <c r="B371">
        <v>56616774</v>
      </c>
      <c r="C371">
        <v>56616770</v>
      </c>
      <c r="D371">
        <v>47766545</v>
      </c>
      <c r="E371">
        <v>1</v>
      </c>
      <c r="F371">
        <v>1</v>
      </c>
      <c r="G371">
        <v>27786564</v>
      </c>
      <c r="H371">
        <v>2</v>
      </c>
      <c r="I371" t="s">
        <v>490</v>
      </c>
      <c r="J371" t="s">
        <v>491</v>
      </c>
      <c r="K371" t="s">
        <v>492</v>
      </c>
      <c r="L371">
        <v>1368</v>
      </c>
      <c r="N371">
        <v>1011</v>
      </c>
      <c r="O371" t="s">
        <v>445</v>
      </c>
      <c r="P371" t="s">
        <v>445</v>
      </c>
      <c r="Q371">
        <v>1</v>
      </c>
      <c r="X371">
        <v>4.2699999999999996</v>
      </c>
      <c r="Y371">
        <v>0</v>
      </c>
      <c r="Z371">
        <v>0.73</v>
      </c>
      <c r="AA371">
        <v>0</v>
      </c>
      <c r="AB371">
        <v>0</v>
      </c>
      <c r="AC371">
        <v>0</v>
      </c>
      <c r="AD371">
        <v>1</v>
      </c>
      <c r="AE371">
        <v>0</v>
      </c>
      <c r="AF371" t="s">
        <v>22</v>
      </c>
      <c r="AG371">
        <v>4.6970000000000001</v>
      </c>
      <c r="AH371">
        <v>3</v>
      </c>
      <c r="AI371">
        <v>-1</v>
      </c>
      <c r="AJ371" t="s">
        <v>3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">
      <c r="A372">
        <f>ROW(Source!A123)</f>
        <v>123</v>
      </c>
      <c r="B372">
        <v>56616775</v>
      </c>
      <c r="C372">
        <v>56616770</v>
      </c>
      <c r="D372">
        <v>47766581</v>
      </c>
      <c r="E372">
        <v>1</v>
      </c>
      <c r="F372">
        <v>1</v>
      </c>
      <c r="G372">
        <v>27786564</v>
      </c>
      <c r="H372">
        <v>2</v>
      </c>
      <c r="I372" t="s">
        <v>493</v>
      </c>
      <c r="J372" t="s">
        <v>494</v>
      </c>
      <c r="K372" t="s">
        <v>495</v>
      </c>
      <c r="L372">
        <v>1368</v>
      </c>
      <c r="N372">
        <v>1011</v>
      </c>
      <c r="O372" t="s">
        <v>445</v>
      </c>
      <c r="P372" t="s">
        <v>445</v>
      </c>
      <c r="Q372">
        <v>1</v>
      </c>
      <c r="X372">
        <v>4.2699999999999996</v>
      </c>
      <c r="Y372">
        <v>0</v>
      </c>
      <c r="Z372">
        <v>4</v>
      </c>
      <c r="AA372">
        <v>0</v>
      </c>
      <c r="AB372">
        <v>0</v>
      </c>
      <c r="AC372">
        <v>0</v>
      </c>
      <c r="AD372">
        <v>1</v>
      </c>
      <c r="AE372">
        <v>0</v>
      </c>
      <c r="AF372" t="s">
        <v>22</v>
      </c>
      <c r="AG372">
        <v>4.6970000000000001</v>
      </c>
      <c r="AH372">
        <v>3</v>
      </c>
      <c r="AI372">
        <v>-1</v>
      </c>
      <c r="AJ372" t="s">
        <v>3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">
      <c r="A373">
        <f>ROW(Source!A123)</f>
        <v>123</v>
      </c>
      <c r="B373">
        <v>56616776</v>
      </c>
      <c r="C373">
        <v>56616770</v>
      </c>
      <c r="D373">
        <v>32913309</v>
      </c>
      <c r="E373">
        <v>1</v>
      </c>
      <c r="F373">
        <v>1</v>
      </c>
      <c r="G373">
        <v>27786564</v>
      </c>
      <c r="H373">
        <v>3</v>
      </c>
      <c r="I373" t="s">
        <v>544</v>
      </c>
      <c r="J373" t="s">
        <v>545</v>
      </c>
      <c r="K373" t="s">
        <v>546</v>
      </c>
      <c r="L373">
        <v>1348</v>
      </c>
      <c r="N373">
        <v>1009</v>
      </c>
      <c r="O373" t="s">
        <v>367</v>
      </c>
      <c r="P373" t="s">
        <v>367</v>
      </c>
      <c r="Q373">
        <v>1000</v>
      </c>
      <c r="X373">
        <v>1E-3</v>
      </c>
      <c r="Y373">
        <v>7254.88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 t="s">
        <v>3</v>
      </c>
      <c r="AG373">
        <v>1E-3</v>
      </c>
      <c r="AH373">
        <v>3</v>
      </c>
      <c r="AI373">
        <v>-1</v>
      </c>
      <c r="AJ373" t="s">
        <v>3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">
      <c r="A374">
        <f>ROW(Source!A123)</f>
        <v>123</v>
      </c>
      <c r="B374">
        <v>56616777</v>
      </c>
      <c r="C374">
        <v>56616770</v>
      </c>
      <c r="D374">
        <v>32913337</v>
      </c>
      <c r="E374">
        <v>1</v>
      </c>
      <c r="F374">
        <v>1</v>
      </c>
      <c r="G374">
        <v>27786564</v>
      </c>
      <c r="H374">
        <v>3</v>
      </c>
      <c r="I374" t="s">
        <v>547</v>
      </c>
      <c r="J374" t="s">
        <v>548</v>
      </c>
      <c r="K374" t="s">
        <v>549</v>
      </c>
      <c r="L374">
        <v>1348</v>
      </c>
      <c r="N374">
        <v>1009</v>
      </c>
      <c r="O374" t="s">
        <v>367</v>
      </c>
      <c r="P374" t="s">
        <v>367</v>
      </c>
      <c r="Q374">
        <v>1000</v>
      </c>
      <c r="X374">
        <v>0.01</v>
      </c>
      <c r="Y374">
        <v>9853.14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3</v>
      </c>
      <c r="AG374">
        <v>0.01</v>
      </c>
      <c r="AH374">
        <v>3</v>
      </c>
      <c r="AI374">
        <v>-1</v>
      </c>
      <c r="AJ374" t="s">
        <v>3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">
      <c r="A375">
        <f>ROW(Source!A123)</f>
        <v>123</v>
      </c>
      <c r="B375">
        <v>56616778</v>
      </c>
      <c r="C375">
        <v>56616770</v>
      </c>
      <c r="D375">
        <v>46723495</v>
      </c>
      <c r="E375">
        <v>1</v>
      </c>
      <c r="F375">
        <v>1</v>
      </c>
      <c r="G375">
        <v>27786564</v>
      </c>
      <c r="H375">
        <v>3</v>
      </c>
      <c r="I375" t="s">
        <v>550</v>
      </c>
      <c r="J375" t="s">
        <v>551</v>
      </c>
      <c r="K375" t="s">
        <v>552</v>
      </c>
      <c r="L375">
        <v>1348</v>
      </c>
      <c r="N375">
        <v>1009</v>
      </c>
      <c r="O375" t="s">
        <v>367</v>
      </c>
      <c r="P375" t="s">
        <v>367</v>
      </c>
      <c r="Q375">
        <v>1000</v>
      </c>
      <c r="X375">
        <v>2.5000000000000001E-4</v>
      </c>
      <c r="Y375">
        <v>16222.39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 t="s">
        <v>3</v>
      </c>
      <c r="AG375">
        <v>2.5000000000000001E-4</v>
      </c>
      <c r="AH375">
        <v>3</v>
      </c>
      <c r="AI375">
        <v>-1</v>
      </c>
      <c r="AJ375" t="s">
        <v>3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">
      <c r="A376">
        <f>ROW(Source!A123)</f>
        <v>123</v>
      </c>
      <c r="B376">
        <v>56616779</v>
      </c>
      <c r="C376">
        <v>56616770</v>
      </c>
      <c r="D376">
        <v>46723498</v>
      </c>
      <c r="E376">
        <v>1</v>
      </c>
      <c r="F376">
        <v>1</v>
      </c>
      <c r="G376">
        <v>27786564</v>
      </c>
      <c r="H376">
        <v>3</v>
      </c>
      <c r="I376" t="s">
        <v>496</v>
      </c>
      <c r="J376" t="s">
        <v>497</v>
      </c>
      <c r="K376" t="s">
        <v>498</v>
      </c>
      <c r="L376">
        <v>1348</v>
      </c>
      <c r="N376">
        <v>1009</v>
      </c>
      <c r="O376" t="s">
        <v>367</v>
      </c>
      <c r="P376" t="s">
        <v>367</v>
      </c>
      <c r="Q376">
        <v>1000</v>
      </c>
      <c r="X376">
        <v>6.0000000000000002E-5</v>
      </c>
      <c r="Y376">
        <v>11242.42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 t="s">
        <v>3</v>
      </c>
      <c r="AG376">
        <v>6.0000000000000002E-5</v>
      </c>
      <c r="AH376">
        <v>3</v>
      </c>
      <c r="AI376">
        <v>-1</v>
      </c>
      <c r="AJ376" t="s">
        <v>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">
      <c r="A377">
        <f>ROW(Source!A123)</f>
        <v>123</v>
      </c>
      <c r="B377">
        <v>56616780</v>
      </c>
      <c r="C377">
        <v>56616770</v>
      </c>
      <c r="D377">
        <v>45796980</v>
      </c>
      <c r="E377">
        <v>1</v>
      </c>
      <c r="F377">
        <v>1</v>
      </c>
      <c r="G377">
        <v>27786564</v>
      </c>
      <c r="H377">
        <v>3</v>
      </c>
      <c r="I377" t="s">
        <v>499</v>
      </c>
      <c r="J377" t="s">
        <v>500</v>
      </c>
      <c r="K377" t="s">
        <v>501</v>
      </c>
      <c r="L377">
        <v>1346</v>
      </c>
      <c r="N377">
        <v>1009</v>
      </c>
      <c r="O377" t="s">
        <v>104</v>
      </c>
      <c r="P377" t="s">
        <v>104</v>
      </c>
      <c r="Q377">
        <v>1</v>
      </c>
      <c r="X377">
        <v>0.8</v>
      </c>
      <c r="Y377">
        <v>25.8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 t="s">
        <v>3</v>
      </c>
      <c r="AG377">
        <v>0.8</v>
      </c>
      <c r="AH377">
        <v>3</v>
      </c>
      <c r="AI377">
        <v>-1</v>
      </c>
      <c r="AJ377" t="s">
        <v>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">
      <c r="A378">
        <f>ROW(Source!A123)</f>
        <v>123</v>
      </c>
      <c r="B378">
        <v>56616781</v>
      </c>
      <c r="C378">
        <v>56616770</v>
      </c>
      <c r="D378">
        <v>46723704</v>
      </c>
      <c r="E378">
        <v>1</v>
      </c>
      <c r="F378">
        <v>1</v>
      </c>
      <c r="G378">
        <v>27786564</v>
      </c>
      <c r="H378">
        <v>3</v>
      </c>
      <c r="I378" t="s">
        <v>505</v>
      </c>
      <c r="J378" t="s">
        <v>506</v>
      </c>
      <c r="K378" t="s">
        <v>507</v>
      </c>
      <c r="L378">
        <v>1348</v>
      </c>
      <c r="N378">
        <v>1009</v>
      </c>
      <c r="O378" t="s">
        <v>367</v>
      </c>
      <c r="P378" t="s">
        <v>367</v>
      </c>
      <c r="Q378">
        <v>1000</v>
      </c>
      <c r="X378">
        <v>4.0000000000000003E-5</v>
      </c>
      <c r="Y378">
        <v>7982.5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 t="s">
        <v>3</v>
      </c>
      <c r="AG378">
        <v>4.0000000000000003E-5</v>
      </c>
      <c r="AH378">
        <v>3</v>
      </c>
      <c r="AI378">
        <v>-1</v>
      </c>
      <c r="AJ378" t="s">
        <v>3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">
      <c r="A379">
        <f>ROW(Source!A123)</f>
        <v>123</v>
      </c>
      <c r="B379">
        <v>56616782</v>
      </c>
      <c r="C379">
        <v>56616770</v>
      </c>
      <c r="D379">
        <v>46735845</v>
      </c>
      <c r="E379">
        <v>1</v>
      </c>
      <c r="F379">
        <v>1</v>
      </c>
      <c r="G379">
        <v>27786564</v>
      </c>
      <c r="H379">
        <v>3</v>
      </c>
      <c r="I379" t="s">
        <v>508</v>
      </c>
      <c r="J379" t="s">
        <v>553</v>
      </c>
      <c r="K379" t="s">
        <v>510</v>
      </c>
      <c r="L379">
        <v>1356</v>
      </c>
      <c r="N379">
        <v>1010</v>
      </c>
      <c r="O379" t="s">
        <v>511</v>
      </c>
      <c r="P379" t="s">
        <v>511</v>
      </c>
      <c r="Q379">
        <v>1000</v>
      </c>
      <c r="X379">
        <v>4.1000000000000003E-3</v>
      </c>
      <c r="Y379">
        <v>226.68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 t="s">
        <v>3</v>
      </c>
      <c r="AG379">
        <v>4.1000000000000003E-3</v>
      </c>
      <c r="AH379">
        <v>3</v>
      </c>
      <c r="AI379">
        <v>-1</v>
      </c>
      <c r="AJ379" t="s">
        <v>3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">
      <c r="A380">
        <f>ROW(Source!A123)</f>
        <v>123</v>
      </c>
      <c r="B380">
        <v>56616783</v>
      </c>
      <c r="C380">
        <v>56616770</v>
      </c>
      <c r="D380">
        <v>46735506</v>
      </c>
      <c r="E380">
        <v>1</v>
      </c>
      <c r="F380">
        <v>1</v>
      </c>
      <c r="G380">
        <v>27786564</v>
      </c>
      <c r="H380">
        <v>3</v>
      </c>
      <c r="I380" t="s">
        <v>512</v>
      </c>
      <c r="J380" t="s">
        <v>513</v>
      </c>
      <c r="K380" t="s">
        <v>514</v>
      </c>
      <c r="L380">
        <v>1301</v>
      </c>
      <c r="N380">
        <v>1003</v>
      </c>
      <c r="O380" t="s">
        <v>55</v>
      </c>
      <c r="P380" t="s">
        <v>55</v>
      </c>
      <c r="Q380">
        <v>1</v>
      </c>
      <c r="X380">
        <v>0.96</v>
      </c>
      <c r="Y380">
        <v>0.7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 t="s">
        <v>3</v>
      </c>
      <c r="AG380">
        <v>0.96</v>
      </c>
      <c r="AH380">
        <v>3</v>
      </c>
      <c r="AI380">
        <v>-1</v>
      </c>
      <c r="AJ380" t="s">
        <v>3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">
      <c r="A381">
        <f>ROW(Source!A123)</f>
        <v>123</v>
      </c>
      <c r="B381">
        <v>56616784</v>
      </c>
      <c r="C381">
        <v>56616770</v>
      </c>
      <c r="D381">
        <v>46735508</v>
      </c>
      <c r="E381">
        <v>1</v>
      </c>
      <c r="F381">
        <v>1</v>
      </c>
      <c r="G381">
        <v>27786564</v>
      </c>
      <c r="H381">
        <v>3</v>
      </c>
      <c r="I381" t="s">
        <v>515</v>
      </c>
      <c r="J381" t="s">
        <v>516</v>
      </c>
      <c r="K381" t="s">
        <v>517</v>
      </c>
      <c r="L381">
        <v>1356</v>
      </c>
      <c r="N381">
        <v>1010</v>
      </c>
      <c r="O381" t="s">
        <v>511</v>
      </c>
      <c r="P381" t="s">
        <v>511</v>
      </c>
      <c r="Q381">
        <v>1000</v>
      </c>
      <c r="X381">
        <v>8.3199999999999993E-3</v>
      </c>
      <c r="Y381">
        <v>6.44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 t="s">
        <v>3</v>
      </c>
      <c r="AG381">
        <v>8.3199999999999993E-3</v>
      </c>
      <c r="AH381">
        <v>3</v>
      </c>
      <c r="AI381">
        <v>-1</v>
      </c>
      <c r="AJ381" t="s">
        <v>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">
      <c r="A382">
        <f>ROW(Source!A123)</f>
        <v>123</v>
      </c>
      <c r="B382">
        <v>56616785</v>
      </c>
      <c r="C382">
        <v>56616770</v>
      </c>
      <c r="D382">
        <v>49717618</v>
      </c>
      <c r="E382">
        <v>27786564</v>
      </c>
      <c r="F382">
        <v>1</v>
      </c>
      <c r="G382">
        <v>27786564</v>
      </c>
      <c r="H382">
        <v>3</v>
      </c>
      <c r="I382" t="s">
        <v>554</v>
      </c>
      <c r="J382" t="s">
        <v>3</v>
      </c>
      <c r="K382" t="s">
        <v>555</v>
      </c>
      <c r="L382">
        <v>1303</v>
      </c>
      <c r="N382">
        <v>1003</v>
      </c>
      <c r="O382" t="s">
        <v>556</v>
      </c>
      <c r="P382" t="s">
        <v>556</v>
      </c>
      <c r="Q382">
        <v>1000</v>
      </c>
      <c r="X382">
        <v>0.10199999999999999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 t="s">
        <v>3</v>
      </c>
      <c r="AG382">
        <v>0.10199999999999999</v>
      </c>
      <c r="AH382">
        <v>3</v>
      </c>
      <c r="AI382">
        <v>-1</v>
      </c>
      <c r="AJ382" t="s">
        <v>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">
      <c r="A383">
        <f>ROW(Source!A124)</f>
        <v>124</v>
      </c>
      <c r="B383">
        <v>56616772</v>
      </c>
      <c r="C383">
        <v>56616770</v>
      </c>
      <c r="D383">
        <v>47634407</v>
      </c>
      <c r="E383">
        <v>27786564</v>
      </c>
      <c r="F383">
        <v>1</v>
      </c>
      <c r="G383">
        <v>27786564</v>
      </c>
      <c r="H383">
        <v>1</v>
      </c>
      <c r="I383" t="s">
        <v>439</v>
      </c>
      <c r="J383" t="s">
        <v>3</v>
      </c>
      <c r="K383" t="s">
        <v>440</v>
      </c>
      <c r="L383">
        <v>1191</v>
      </c>
      <c r="N383">
        <v>1013</v>
      </c>
      <c r="O383" t="s">
        <v>441</v>
      </c>
      <c r="P383" t="s">
        <v>441</v>
      </c>
      <c r="Q383">
        <v>1</v>
      </c>
      <c r="X383">
        <v>18.8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1</v>
      </c>
      <c r="AF383" t="s">
        <v>22</v>
      </c>
      <c r="AG383">
        <v>20.680000000000003</v>
      </c>
      <c r="AH383">
        <v>2</v>
      </c>
      <c r="AI383">
        <v>56616771</v>
      </c>
      <c r="AJ383">
        <v>108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">
      <c r="A384">
        <f>ROW(Source!A124)</f>
        <v>124</v>
      </c>
      <c r="B384">
        <v>56616773</v>
      </c>
      <c r="C384">
        <v>56616770</v>
      </c>
      <c r="D384">
        <v>47767106</v>
      </c>
      <c r="E384">
        <v>1</v>
      </c>
      <c r="F384">
        <v>1</v>
      </c>
      <c r="G384">
        <v>27786564</v>
      </c>
      <c r="H384">
        <v>2</v>
      </c>
      <c r="I384" t="s">
        <v>487</v>
      </c>
      <c r="J384" t="s">
        <v>488</v>
      </c>
      <c r="K384" t="s">
        <v>489</v>
      </c>
      <c r="L384">
        <v>1368</v>
      </c>
      <c r="N384">
        <v>1011</v>
      </c>
      <c r="O384" t="s">
        <v>445</v>
      </c>
      <c r="P384" t="s">
        <v>445</v>
      </c>
      <c r="Q384">
        <v>1</v>
      </c>
      <c r="X384">
        <v>1.51</v>
      </c>
      <c r="Y384">
        <v>0</v>
      </c>
      <c r="Z384">
        <v>83.1</v>
      </c>
      <c r="AA384">
        <v>12.62</v>
      </c>
      <c r="AB384">
        <v>0</v>
      </c>
      <c r="AC384">
        <v>0</v>
      </c>
      <c r="AD384">
        <v>1</v>
      </c>
      <c r="AE384">
        <v>0</v>
      </c>
      <c r="AF384" t="s">
        <v>22</v>
      </c>
      <c r="AG384">
        <v>1.6610000000000003</v>
      </c>
      <c r="AH384">
        <v>3</v>
      </c>
      <c r="AI384">
        <v>-1</v>
      </c>
      <c r="AJ384" t="s">
        <v>3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">
      <c r="A385">
        <f>ROW(Source!A124)</f>
        <v>124</v>
      </c>
      <c r="B385">
        <v>56616774</v>
      </c>
      <c r="C385">
        <v>56616770</v>
      </c>
      <c r="D385">
        <v>47766545</v>
      </c>
      <c r="E385">
        <v>1</v>
      </c>
      <c r="F385">
        <v>1</v>
      </c>
      <c r="G385">
        <v>27786564</v>
      </c>
      <c r="H385">
        <v>2</v>
      </c>
      <c r="I385" t="s">
        <v>490</v>
      </c>
      <c r="J385" t="s">
        <v>491</v>
      </c>
      <c r="K385" t="s">
        <v>492</v>
      </c>
      <c r="L385">
        <v>1368</v>
      </c>
      <c r="N385">
        <v>1011</v>
      </c>
      <c r="O385" t="s">
        <v>445</v>
      </c>
      <c r="P385" t="s">
        <v>445</v>
      </c>
      <c r="Q385">
        <v>1</v>
      </c>
      <c r="X385">
        <v>4.2699999999999996</v>
      </c>
      <c r="Y385">
        <v>0</v>
      </c>
      <c r="Z385">
        <v>0.73</v>
      </c>
      <c r="AA385">
        <v>0</v>
      </c>
      <c r="AB385">
        <v>0</v>
      </c>
      <c r="AC385">
        <v>0</v>
      </c>
      <c r="AD385">
        <v>1</v>
      </c>
      <c r="AE385">
        <v>0</v>
      </c>
      <c r="AF385" t="s">
        <v>22</v>
      </c>
      <c r="AG385">
        <v>4.6970000000000001</v>
      </c>
      <c r="AH385">
        <v>3</v>
      </c>
      <c r="AI385">
        <v>-1</v>
      </c>
      <c r="AJ385" t="s">
        <v>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">
      <c r="A386">
        <f>ROW(Source!A124)</f>
        <v>124</v>
      </c>
      <c r="B386">
        <v>56616775</v>
      </c>
      <c r="C386">
        <v>56616770</v>
      </c>
      <c r="D386">
        <v>47766581</v>
      </c>
      <c r="E386">
        <v>1</v>
      </c>
      <c r="F386">
        <v>1</v>
      </c>
      <c r="G386">
        <v>27786564</v>
      </c>
      <c r="H386">
        <v>2</v>
      </c>
      <c r="I386" t="s">
        <v>493</v>
      </c>
      <c r="J386" t="s">
        <v>494</v>
      </c>
      <c r="K386" t="s">
        <v>495</v>
      </c>
      <c r="L386">
        <v>1368</v>
      </c>
      <c r="N386">
        <v>1011</v>
      </c>
      <c r="O386" t="s">
        <v>445</v>
      </c>
      <c r="P386" t="s">
        <v>445</v>
      </c>
      <c r="Q386">
        <v>1</v>
      </c>
      <c r="X386">
        <v>4.2699999999999996</v>
      </c>
      <c r="Y386">
        <v>0</v>
      </c>
      <c r="Z386">
        <v>4</v>
      </c>
      <c r="AA386">
        <v>0</v>
      </c>
      <c r="AB386">
        <v>0</v>
      </c>
      <c r="AC386">
        <v>0</v>
      </c>
      <c r="AD386">
        <v>1</v>
      </c>
      <c r="AE386">
        <v>0</v>
      </c>
      <c r="AF386" t="s">
        <v>22</v>
      </c>
      <c r="AG386">
        <v>4.6970000000000001</v>
      </c>
      <c r="AH386">
        <v>3</v>
      </c>
      <c r="AI386">
        <v>-1</v>
      </c>
      <c r="AJ386" t="s">
        <v>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>
        <f>ROW(Source!A124)</f>
        <v>124</v>
      </c>
      <c r="B387">
        <v>56616776</v>
      </c>
      <c r="C387">
        <v>56616770</v>
      </c>
      <c r="D387">
        <v>32913309</v>
      </c>
      <c r="E387">
        <v>1</v>
      </c>
      <c r="F387">
        <v>1</v>
      </c>
      <c r="G387">
        <v>27786564</v>
      </c>
      <c r="H387">
        <v>3</v>
      </c>
      <c r="I387" t="s">
        <v>544</v>
      </c>
      <c r="J387" t="s">
        <v>545</v>
      </c>
      <c r="K387" t="s">
        <v>546</v>
      </c>
      <c r="L387">
        <v>1348</v>
      </c>
      <c r="N387">
        <v>1009</v>
      </c>
      <c r="O387" t="s">
        <v>367</v>
      </c>
      <c r="P387" t="s">
        <v>367</v>
      </c>
      <c r="Q387">
        <v>1000</v>
      </c>
      <c r="X387">
        <v>1E-3</v>
      </c>
      <c r="Y387">
        <v>7254.88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 t="s">
        <v>3</v>
      </c>
      <c r="AG387">
        <v>1E-3</v>
      </c>
      <c r="AH387">
        <v>3</v>
      </c>
      <c r="AI387">
        <v>-1</v>
      </c>
      <c r="AJ387" t="s">
        <v>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">
      <c r="A388">
        <f>ROW(Source!A124)</f>
        <v>124</v>
      </c>
      <c r="B388">
        <v>56616777</v>
      </c>
      <c r="C388">
        <v>56616770</v>
      </c>
      <c r="D388">
        <v>32913337</v>
      </c>
      <c r="E388">
        <v>1</v>
      </c>
      <c r="F388">
        <v>1</v>
      </c>
      <c r="G388">
        <v>27786564</v>
      </c>
      <c r="H388">
        <v>3</v>
      </c>
      <c r="I388" t="s">
        <v>547</v>
      </c>
      <c r="J388" t="s">
        <v>548</v>
      </c>
      <c r="K388" t="s">
        <v>549</v>
      </c>
      <c r="L388">
        <v>1348</v>
      </c>
      <c r="N388">
        <v>1009</v>
      </c>
      <c r="O388" t="s">
        <v>367</v>
      </c>
      <c r="P388" t="s">
        <v>367</v>
      </c>
      <c r="Q388">
        <v>1000</v>
      </c>
      <c r="X388">
        <v>0.01</v>
      </c>
      <c r="Y388">
        <v>9853.14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 t="s">
        <v>3</v>
      </c>
      <c r="AG388">
        <v>0.01</v>
      </c>
      <c r="AH388">
        <v>3</v>
      </c>
      <c r="AI388">
        <v>-1</v>
      </c>
      <c r="AJ388" t="s">
        <v>3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">
      <c r="A389">
        <f>ROW(Source!A124)</f>
        <v>124</v>
      </c>
      <c r="B389">
        <v>56616778</v>
      </c>
      <c r="C389">
        <v>56616770</v>
      </c>
      <c r="D389">
        <v>46723495</v>
      </c>
      <c r="E389">
        <v>1</v>
      </c>
      <c r="F389">
        <v>1</v>
      </c>
      <c r="G389">
        <v>27786564</v>
      </c>
      <c r="H389">
        <v>3</v>
      </c>
      <c r="I389" t="s">
        <v>550</v>
      </c>
      <c r="J389" t="s">
        <v>551</v>
      </c>
      <c r="K389" t="s">
        <v>552</v>
      </c>
      <c r="L389">
        <v>1348</v>
      </c>
      <c r="N389">
        <v>1009</v>
      </c>
      <c r="O389" t="s">
        <v>367</v>
      </c>
      <c r="P389" t="s">
        <v>367</v>
      </c>
      <c r="Q389">
        <v>1000</v>
      </c>
      <c r="X389">
        <v>2.5000000000000001E-4</v>
      </c>
      <c r="Y389">
        <v>16222.39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 t="s">
        <v>3</v>
      </c>
      <c r="AG389">
        <v>2.5000000000000001E-4</v>
      </c>
      <c r="AH389">
        <v>3</v>
      </c>
      <c r="AI389">
        <v>-1</v>
      </c>
      <c r="AJ389" t="s">
        <v>3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">
      <c r="A390">
        <f>ROW(Source!A124)</f>
        <v>124</v>
      </c>
      <c r="B390">
        <v>56616779</v>
      </c>
      <c r="C390">
        <v>56616770</v>
      </c>
      <c r="D390">
        <v>46723498</v>
      </c>
      <c r="E390">
        <v>1</v>
      </c>
      <c r="F390">
        <v>1</v>
      </c>
      <c r="G390">
        <v>27786564</v>
      </c>
      <c r="H390">
        <v>3</v>
      </c>
      <c r="I390" t="s">
        <v>496</v>
      </c>
      <c r="J390" t="s">
        <v>497</v>
      </c>
      <c r="K390" t="s">
        <v>498</v>
      </c>
      <c r="L390">
        <v>1348</v>
      </c>
      <c r="N390">
        <v>1009</v>
      </c>
      <c r="O390" t="s">
        <v>367</v>
      </c>
      <c r="P390" t="s">
        <v>367</v>
      </c>
      <c r="Q390">
        <v>1000</v>
      </c>
      <c r="X390">
        <v>6.0000000000000002E-5</v>
      </c>
      <c r="Y390">
        <v>11242.42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 t="s">
        <v>3</v>
      </c>
      <c r="AG390">
        <v>6.0000000000000002E-5</v>
      </c>
      <c r="AH390">
        <v>3</v>
      </c>
      <c r="AI390">
        <v>-1</v>
      </c>
      <c r="AJ390" t="s">
        <v>3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">
      <c r="A391">
        <f>ROW(Source!A124)</f>
        <v>124</v>
      </c>
      <c r="B391">
        <v>56616780</v>
      </c>
      <c r="C391">
        <v>56616770</v>
      </c>
      <c r="D391">
        <v>45796980</v>
      </c>
      <c r="E391">
        <v>1</v>
      </c>
      <c r="F391">
        <v>1</v>
      </c>
      <c r="G391">
        <v>27786564</v>
      </c>
      <c r="H391">
        <v>3</v>
      </c>
      <c r="I391" t="s">
        <v>499</v>
      </c>
      <c r="J391" t="s">
        <v>500</v>
      </c>
      <c r="K391" t="s">
        <v>501</v>
      </c>
      <c r="L391">
        <v>1346</v>
      </c>
      <c r="N391">
        <v>1009</v>
      </c>
      <c r="O391" t="s">
        <v>104</v>
      </c>
      <c r="P391" t="s">
        <v>104</v>
      </c>
      <c r="Q391">
        <v>1</v>
      </c>
      <c r="X391">
        <v>0.8</v>
      </c>
      <c r="Y391">
        <v>25.8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3</v>
      </c>
      <c r="AG391">
        <v>0.8</v>
      </c>
      <c r="AH391">
        <v>3</v>
      </c>
      <c r="AI391">
        <v>-1</v>
      </c>
      <c r="AJ391" t="s">
        <v>3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">
      <c r="A392">
        <f>ROW(Source!A124)</f>
        <v>124</v>
      </c>
      <c r="B392">
        <v>56616781</v>
      </c>
      <c r="C392">
        <v>56616770</v>
      </c>
      <c r="D392">
        <v>46723704</v>
      </c>
      <c r="E392">
        <v>1</v>
      </c>
      <c r="F392">
        <v>1</v>
      </c>
      <c r="G392">
        <v>27786564</v>
      </c>
      <c r="H392">
        <v>3</v>
      </c>
      <c r="I392" t="s">
        <v>505</v>
      </c>
      <c r="J392" t="s">
        <v>506</v>
      </c>
      <c r="K392" t="s">
        <v>507</v>
      </c>
      <c r="L392">
        <v>1348</v>
      </c>
      <c r="N392">
        <v>1009</v>
      </c>
      <c r="O392" t="s">
        <v>367</v>
      </c>
      <c r="P392" t="s">
        <v>367</v>
      </c>
      <c r="Q392">
        <v>1000</v>
      </c>
      <c r="X392">
        <v>4.0000000000000003E-5</v>
      </c>
      <c r="Y392">
        <v>7982.5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 t="s">
        <v>3</v>
      </c>
      <c r="AG392">
        <v>4.0000000000000003E-5</v>
      </c>
      <c r="AH392">
        <v>3</v>
      </c>
      <c r="AI392">
        <v>-1</v>
      </c>
      <c r="AJ392" t="s">
        <v>3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">
      <c r="A393">
        <f>ROW(Source!A124)</f>
        <v>124</v>
      </c>
      <c r="B393">
        <v>56616782</v>
      </c>
      <c r="C393">
        <v>56616770</v>
      </c>
      <c r="D393">
        <v>46735845</v>
      </c>
      <c r="E393">
        <v>1</v>
      </c>
      <c r="F393">
        <v>1</v>
      </c>
      <c r="G393">
        <v>27786564</v>
      </c>
      <c r="H393">
        <v>3</v>
      </c>
      <c r="I393" t="s">
        <v>508</v>
      </c>
      <c r="J393" t="s">
        <v>553</v>
      </c>
      <c r="K393" t="s">
        <v>510</v>
      </c>
      <c r="L393">
        <v>1356</v>
      </c>
      <c r="N393">
        <v>1010</v>
      </c>
      <c r="O393" t="s">
        <v>511</v>
      </c>
      <c r="P393" t="s">
        <v>511</v>
      </c>
      <c r="Q393">
        <v>1000</v>
      </c>
      <c r="X393">
        <v>4.1000000000000003E-3</v>
      </c>
      <c r="Y393">
        <v>226.68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 t="s">
        <v>3</v>
      </c>
      <c r="AG393">
        <v>4.1000000000000003E-3</v>
      </c>
      <c r="AH393">
        <v>3</v>
      </c>
      <c r="AI393">
        <v>-1</v>
      </c>
      <c r="AJ393" t="s">
        <v>3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">
      <c r="A394">
        <f>ROW(Source!A124)</f>
        <v>124</v>
      </c>
      <c r="B394">
        <v>56616783</v>
      </c>
      <c r="C394">
        <v>56616770</v>
      </c>
      <c r="D394">
        <v>46735506</v>
      </c>
      <c r="E394">
        <v>1</v>
      </c>
      <c r="F394">
        <v>1</v>
      </c>
      <c r="G394">
        <v>27786564</v>
      </c>
      <c r="H394">
        <v>3</v>
      </c>
      <c r="I394" t="s">
        <v>512</v>
      </c>
      <c r="J394" t="s">
        <v>513</v>
      </c>
      <c r="K394" t="s">
        <v>514</v>
      </c>
      <c r="L394">
        <v>1301</v>
      </c>
      <c r="N394">
        <v>1003</v>
      </c>
      <c r="O394" t="s">
        <v>55</v>
      </c>
      <c r="P394" t="s">
        <v>55</v>
      </c>
      <c r="Q394">
        <v>1</v>
      </c>
      <c r="X394">
        <v>0.96</v>
      </c>
      <c r="Y394">
        <v>0.7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 t="s">
        <v>3</v>
      </c>
      <c r="AG394">
        <v>0.96</v>
      </c>
      <c r="AH394">
        <v>3</v>
      </c>
      <c r="AI394">
        <v>-1</v>
      </c>
      <c r="AJ394" t="s">
        <v>3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">
      <c r="A395">
        <f>ROW(Source!A124)</f>
        <v>124</v>
      </c>
      <c r="B395">
        <v>56616784</v>
      </c>
      <c r="C395">
        <v>56616770</v>
      </c>
      <c r="D395">
        <v>46735508</v>
      </c>
      <c r="E395">
        <v>1</v>
      </c>
      <c r="F395">
        <v>1</v>
      </c>
      <c r="G395">
        <v>27786564</v>
      </c>
      <c r="H395">
        <v>3</v>
      </c>
      <c r="I395" t="s">
        <v>515</v>
      </c>
      <c r="J395" t="s">
        <v>516</v>
      </c>
      <c r="K395" t="s">
        <v>517</v>
      </c>
      <c r="L395">
        <v>1356</v>
      </c>
      <c r="N395">
        <v>1010</v>
      </c>
      <c r="O395" t="s">
        <v>511</v>
      </c>
      <c r="P395" t="s">
        <v>511</v>
      </c>
      <c r="Q395">
        <v>1000</v>
      </c>
      <c r="X395">
        <v>8.3199999999999993E-3</v>
      </c>
      <c r="Y395">
        <v>6.44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3</v>
      </c>
      <c r="AG395">
        <v>8.3199999999999993E-3</v>
      </c>
      <c r="AH395">
        <v>3</v>
      </c>
      <c r="AI395">
        <v>-1</v>
      </c>
      <c r="AJ395" t="s">
        <v>3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">
      <c r="A396">
        <f>ROW(Source!A124)</f>
        <v>124</v>
      </c>
      <c r="B396">
        <v>56616785</v>
      </c>
      <c r="C396">
        <v>56616770</v>
      </c>
      <c r="D396">
        <v>49717618</v>
      </c>
      <c r="E396">
        <v>27786564</v>
      </c>
      <c r="F396">
        <v>1</v>
      </c>
      <c r="G396">
        <v>27786564</v>
      </c>
      <c r="H396">
        <v>3</v>
      </c>
      <c r="I396" t="s">
        <v>554</v>
      </c>
      <c r="J396" t="s">
        <v>3</v>
      </c>
      <c r="K396" t="s">
        <v>555</v>
      </c>
      <c r="L396">
        <v>1303</v>
      </c>
      <c r="N396">
        <v>1003</v>
      </c>
      <c r="O396" t="s">
        <v>556</v>
      </c>
      <c r="P396" t="s">
        <v>556</v>
      </c>
      <c r="Q396">
        <v>1000</v>
      </c>
      <c r="X396">
        <v>0.10199999999999999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 t="s">
        <v>3</v>
      </c>
      <c r="AG396">
        <v>0.10199999999999999</v>
      </c>
      <c r="AH396">
        <v>3</v>
      </c>
      <c r="AI396">
        <v>-1</v>
      </c>
      <c r="AJ396" t="s">
        <v>3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">
      <c r="A397">
        <f>ROW(Source!A125)</f>
        <v>125</v>
      </c>
      <c r="B397">
        <v>56616788</v>
      </c>
      <c r="C397">
        <v>56616786</v>
      </c>
      <c r="D397">
        <v>47634407</v>
      </c>
      <c r="E397">
        <v>27786564</v>
      </c>
      <c r="F397">
        <v>1</v>
      </c>
      <c r="G397">
        <v>27786564</v>
      </c>
      <c r="H397">
        <v>1</v>
      </c>
      <c r="I397" t="s">
        <v>439</v>
      </c>
      <c r="J397" t="s">
        <v>3</v>
      </c>
      <c r="K397" t="s">
        <v>440</v>
      </c>
      <c r="L397">
        <v>1191</v>
      </c>
      <c r="N397">
        <v>1013</v>
      </c>
      <c r="O397" t="s">
        <v>441</v>
      </c>
      <c r="P397" t="s">
        <v>441</v>
      </c>
      <c r="Q397">
        <v>1</v>
      </c>
      <c r="X397">
        <v>15.8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1</v>
      </c>
      <c r="AF397" t="s">
        <v>22</v>
      </c>
      <c r="AG397">
        <v>17.380000000000003</v>
      </c>
      <c r="AH397">
        <v>2</v>
      </c>
      <c r="AI397">
        <v>56616787</v>
      </c>
      <c r="AJ397">
        <v>109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">
      <c r="A398">
        <f>ROW(Source!A125)</f>
        <v>125</v>
      </c>
      <c r="B398">
        <v>56616789</v>
      </c>
      <c r="C398">
        <v>56616786</v>
      </c>
      <c r="D398">
        <v>47767106</v>
      </c>
      <c r="E398">
        <v>1</v>
      </c>
      <c r="F398">
        <v>1</v>
      </c>
      <c r="G398">
        <v>27786564</v>
      </c>
      <c r="H398">
        <v>2</v>
      </c>
      <c r="I398" t="s">
        <v>487</v>
      </c>
      <c r="J398" t="s">
        <v>488</v>
      </c>
      <c r="K398" t="s">
        <v>489</v>
      </c>
      <c r="L398">
        <v>1368</v>
      </c>
      <c r="N398">
        <v>1011</v>
      </c>
      <c r="O398" t="s">
        <v>445</v>
      </c>
      <c r="P398" t="s">
        <v>445</v>
      </c>
      <c r="Q398">
        <v>1</v>
      </c>
      <c r="X398">
        <v>0.51</v>
      </c>
      <c r="Y398">
        <v>0</v>
      </c>
      <c r="Z398">
        <v>83.1</v>
      </c>
      <c r="AA398">
        <v>12.62</v>
      </c>
      <c r="AB398">
        <v>0</v>
      </c>
      <c r="AC398">
        <v>0</v>
      </c>
      <c r="AD398">
        <v>1</v>
      </c>
      <c r="AE398">
        <v>0</v>
      </c>
      <c r="AF398" t="s">
        <v>22</v>
      </c>
      <c r="AG398">
        <v>0.56100000000000005</v>
      </c>
      <c r="AH398">
        <v>3</v>
      </c>
      <c r="AI398">
        <v>-1</v>
      </c>
      <c r="AJ398" t="s">
        <v>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">
      <c r="A399">
        <f>ROW(Source!A125)</f>
        <v>125</v>
      </c>
      <c r="B399">
        <v>56616790</v>
      </c>
      <c r="C399">
        <v>56616786</v>
      </c>
      <c r="D399">
        <v>47766535</v>
      </c>
      <c r="E399">
        <v>1</v>
      </c>
      <c r="F399">
        <v>1</v>
      </c>
      <c r="G399">
        <v>27786564</v>
      </c>
      <c r="H399">
        <v>2</v>
      </c>
      <c r="I399" t="s">
        <v>541</v>
      </c>
      <c r="J399" t="s">
        <v>542</v>
      </c>
      <c r="K399" t="s">
        <v>543</v>
      </c>
      <c r="L399">
        <v>1368</v>
      </c>
      <c r="N399">
        <v>1011</v>
      </c>
      <c r="O399" t="s">
        <v>445</v>
      </c>
      <c r="P399" t="s">
        <v>445</v>
      </c>
      <c r="Q399">
        <v>1</v>
      </c>
      <c r="X399">
        <v>3.41</v>
      </c>
      <c r="Y399">
        <v>0</v>
      </c>
      <c r="Z399">
        <v>2.27</v>
      </c>
      <c r="AA399">
        <v>0</v>
      </c>
      <c r="AB399">
        <v>0</v>
      </c>
      <c r="AC399">
        <v>0</v>
      </c>
      <c r="AD399">
        <v>1</v>
      </c>
      <c r="AE399">
        <v>0</v>
      </c>
      <c r="AF399" t="s">
        <v>22</v>
      </c>
      <c r="AG399">
        <v>3.7510000000000003</v>
      </c>
      <c r="AH399">
        <v>3</v>
      </c>
      <c r="AI399">
        <v>-1</v>
      </c>
      <c r="AJ399" t="s">
        <v>3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">
      <c r="A400">
        <f>ROW(Source!A125)</f>
        <v>125</v>
      </c>
      <c r="B400">
        <v>56616791</v>
      </c>
      <c r="C400">
        <v>56616786</v>
      </c>
      <c r="D400">
        <v>47766545</v>
      </c>
      <c r="E400">
        <v>1</v>
      </c>
      <c r="F400">
        <v>1</v>
      </c>
      <c r="G400">
        <v>27786564</v>
      </c>
      <c r="H400">
        <v>2</v>
      </c>
      <c r="I400" t="s">
        <v>490</v>
      </c>
      <c r="J400" t="s">
        <v>491</v>
      </c>
      <c r="K400" t="s">
        <v>492</v>
      </c>
      <c r="L400">
        <v>1368</v>
      </c>
      <c r="N400">
        <v>1011</v>
      </c>
      <c r="O400" t="s">
        <v>445</v>
      </c>
      <c r="P400" t="s">
        <v>445</v>
      </c>
      <c r="Q400">
        <v>1</v>
      </c>
      <c r="X400">
        <v>3.67</v>
      </c>
      <c r="Y400">
        <v>0</v>
      </c>
      <c r="Z400">
        <v>0.73</v>
      </c>
      <c r="AA400">
        <v>0</v>
      </c>
      <c r="AB400">
        <v>0</v>
      </c>
      <c r="AC400">
        <v>0</v>
      </c>
      <c r="AD400">
        <v>1</v>
      </c>
      <c r="AE400">
        <v>0</v>
      </c>
      <c r="AF400" t="s">
        <v>22</v>
      </c>
      <c r="AG400">
        <v>4.0369999999999999</v>
      </c>
      <c r="AH400">
        <v>3</v>
      </c>
      <c r="AI400">
        <v>-1</v>
      </c>
      <c r="AJ400" t="s">
        <v>3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">
      <c r="A401">
        <f>ROW(Source!A125)</f>
        <v>125</v>
      </c>
      <c r="B401">
        <v>56616792</v>
      </c>
      <c r="C401">
        <v>56616786</v>
      </c>
      <c r="D401">
        <v>46723498</v>
      </c>
      <c r="E401">
        <v>1</v>
      </c>
      <c r="F401">
        <v>1</v>
      </c>
      <c r="G401">
        <v>27786564</v>
      </c>
      <c r="H401">
        <v>3</v>
      </c>
      <c r="I401" t="s">
        <v>496</v>
      </c>
      <c r="J401" t="s">
        <v>497</v>
      </c>
      <c r="K401" t="s">
        <v>498</v>
      </c>
      <c r="L401">
        <v>1348</v>
      </c>
      <c r="N401">
        <v>1009</v>
      </c>
      <c r="O401" t="s">
        <v>367</v>
      </c>
      <c r="P401" t="s">
        <v>367</v>
      </c>
      <c r="Q401">
        <v>1000</v>
      </c>
      <c r="X401">
        <v>6.0000000000000002E-5</v>
      </c>
      <c r="Y401">
        <v>11242.42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 t="s">
        <v>3</v>
      </c>
      <c r="AG401">
        <v>6.0000000000000002E-5</v>
      </c>
      <c r="AH401">
        <v>3</v>
      </c>
      <c r="AI401">
        <v>-1</v>
      </c>
      <c r="AJ401" t="s">
        <v>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">
      <c r="A402">
        <f>ROW(Source!A125)</f>
        <v>125</v>
      </c>
      <c r="B402">
        <v>56616793</v>
      </c>
      <c r="C402">
        <v>56616786</v>
      </c>
      <c r="D402">
        <v>45796980</v>
      </c>
      <c r="E402">
        <v>1</v>
      </c>
      <c r="F402">
        <v>1</v>
      </c>
      <c r="G402">
        <v>27786564</v>
      </c>
      <c r="H402">
        <v>3</v>
      </c>
      <c r="I402" t="s">
        <v>499</v>
      </c>
      <c r="J402" t="s">
        <v>500</v>
      </c>
      <c r="K402" t="s">
        <v>501</v>
      </c>
      <c r="L402">
        <v>1346</v>
      </c>
      <c r="N402">
        <v>1009</v>
      </c>
      <c r="O402" t="s">
        <v>104</v>
      </c>
      <c r="P402" t="s">
        <v>104</v>
      </c>
      <c r="Q402">
        <v>1</v>
      </c>
      <c r="X402">
        <v>0.8</v>
      </c>
      <c r="Y402">
        <v>25.8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 t="s">
        <v>3</v>
      </c>
      <c r="AG402">
        <v>0.8</v>
      </c>
      <c r="AH402">
        <v>3</v>
      </c>
      <c r="AI402">
        <v>-1</v>
      </c>
      <c r="AJ402" t="s">
        <v>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">
      <c r="A403">
        <f>ROW(Source!A125)</f>
        <v>125</v>
      </c>
      <c r="B403">
        <v>56616794</v>
      </c>
      <c r="C403">
        <v>56616786</v>
      </c>
      <c r="D403">
        <v>46723689</v>
      </c>
      <c r="E403">
        <v>1</v>
      </c>
      <c r="F403">
        <v>1</v>
      </c>
      <c r="G403">
        <v>27786564</v>
      </c>
      <c r="H403">
        <v>3</v>
      </c>
      <c r="I403" t="s">
        <v>502</v>
      </c>
      <c r="J403" t="s">
        <v>503</v>
      </c>
      <c r="K403" t="s">
        <v>504</v>
      </c>
      <c r="L403">
        <v>1348</v>
      </c>
      <c r="N403">
        <v>1009</v>
      </c>
      <c r="O403" t="s">
        <v>367</v>
      </c>
      <c r="P403" t="s">
        <v>367</v>
      </c>
      <c r="Q403">
        <v>1000</v>
      </c>
      <c r="X403">
        <v>5.0000000000000001E-4</v>
      </c>
      <c r="Y403">
        <v>60966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 t="s">
        <v>3</v>
      </c>
      <c r="AG403">
        <v>5.0000000000000001E-4</v>
      </c>
      <c r="AH403">
        <v>3</v>
      </c>
      <c r="AI403">
        <v>-1</v>
      </c>
      <c r="AJ403" t="s">
        <v>3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">
      <c r="A404">
        <f>ROW(Source!A125)</f>
        <v>125</v>
      </c>
      <c r="B404">
        <v>56616795</v>
      </c>
      <c r="C404">
        <v>56616786</v>
      </c>
      <c r="D404">
        <v>46723704</v>
      </c>
      <c r="E404">
        <v>1</v>
      </c>
      <c r="F404">
        <v>1</v>
      </c>
      <c r="G404">
        <v>27786564</v>
      </c>
      <c r="H404">
        <v>3</v>
      </c>
      <c r="I404" t="s">
        <v>505</v>
      </c>
      <c r="J404" t="s">
        <v>506</v>
      </c>
      <c r="K404" t="s">
        <v>507</v>
      </c>
      <c r="L404">
        <v>1348</v>
      </c>
      <c r="N404">
        <v>1009</v>
      </c>
      <c r="O404" t="s">
        <v>367</v>
      </c>
      <c r="P404" t="s">
        <v>367</v>
      </c>
      <c r="Q404">
        <v>1000</v>
      </c>
      <c r="X404">
        <v>4.0000000000000003E-5</v>
      </c>
      <c r="Y404">
        <v>7982.5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 t="s">
        <v>3</v>
      </c>
      <c r="AG404">
        <v>4.0000000000000003E-5</v>
      </c>
      <c r="AH404">
        <v>3</v>
      </c>
      <c r="AI404">
        <v>-1</v>
      </c>
      <c r="AJ404" t="s">
        <v>3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">
      <c r="A405">
        <f>ROW(Source!A125)</f>
        <v>125</v>
      </c>
      <c r="B405">
        <v>56616796</v>
      </c>
      <c r="C405">
        <v>56616786</v>
      </c>
      <c r="D405">
        <v>46735845</v>
      </c>
      <c r="E405">
        <v>1</v>
      </c>
      <c r="F405">
        <v>1</v>
      </c>
      <c r="G405">
        <v>27786564</v>
      </c>
      <c r="H405">
        <v>3</v>
      </c>
      <c r="I405" t="s">
        <v>508</v>
      </c>
      <c r="J405" t="s">
        <v>553</v>
      </c>
      <c r="K405" t="s">
        <v>510</v>
      </c>
      <c r="L405">
        <v>1356</v>
      </c>
      <c r="N405">
        <v>1010</v>
      </c>
      <c r="O405" t="s">
        <v>511</v>
      </c>
      <c r="P405" t="s">
        <v>511</v>
      </c>
      <c r="Q405">
        <v>1000</v>
      </c>
      <c r="X405">
        <v>4.0999999999999999E-4</v>
      </c>
      <c r="Y405">
        <v>226.68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 t="s">
        <v>3</v>
      </c>
      <c r="AG405">
        <v>4.0999999999999999E-4</v>
      </c>
      <c r="AH405">
        <v>3</v>
      </c>
      <c r="AI405">
        <v>-1</v>
      </c>
      <c r="AJ405" t="s">
        <v>3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">
      <c r="A406">
        <f>ROW(Source!A125)</f>
        <v>125</v>
      </c>
      <c r="B406">
        <v>56616797</v>
      </c>
      <c r="C406">
        <v>56616786</v>
      </c>
      <c r="D406">
        <v>46735506</v>
      </c>
      <c r="E406">
        <v>1</v>
      </c>
      <c r="F406">
        <v>1</v>
      </c>
      <c r="G406">
        <v>27786564</v>
      </c>
      <c r="H406">
        <v>3</v>
      </c>
      <c r="I406" t="s">
        <v>512</v>
      </c>
      <c r="J406" t="s">
        <v>513</v>
      </c>
      <c r="K406" t="s">
        <v>514</v>
      </c>
      <c r="L406">
        <v>1301</v>
      </c>
      <c r="N406">
        <v>1003</v>
      </c>
      <c r="O406" t="s">
        <v>55</v>
      </c>
      <c r="P406" t="s">
        <v>55</v>
      </c>
      <c r="Q406">
        <v>1</v>
      </c>
      <c r="X406">
        <v>0.96</v>
      </c>
      <c r="Y406">
        <v>0.7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 t="s">
        <v>3</v>
      </c>
      <c r="AG406">
        <v>0.96</v>
      </c>
      <c r="AH406">
        <v>3</v>
      </c>
      <c r="AI406">
        <v>-1</v>
      </c>
      <c r="AJ406" t="s">
        <v>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">
      <c r="A407">
        <f>ROW(Source!A125)</f>
        <v>125</v>
      </c>
      <c r="B407">
        <v>56616798</v>
      </c>
      <c r="C407">
        <v>56616786</v>
      </c>
      <c r="D407">
        <v>46735508</v>
      </c>
      <c r="E407">
        <v>1</v>
      </c>
      <c r="F407">
        <v>1</v>
      </c>
      <c r="G407">
        <v>27786564</v>
      </c>
      <c r="H407">
        <v>3</v>
      </c>
      <c r="I407" t="s">
        <v>515</v>
      </c>
      <c r="J407" t="s">
        <v>516</v>
      </c>
      <c r="K407" t="s">
        <v>517</v>
      </c>
      <c r="L407">
        <v>1356</v>
      </c>
      <c r="N407">
        <v>1010</v>
      </c>
      <c r="O407" t="s">
        <v>511</v>
      </c>
      <c r="P407" t="s">
        <v>511</v>
      </c>
      <c r="Q407">
        <v>1000</v>
      </c>
      <c r="X407">
        <v>8.3199999999999993E-3</v>
      </c>
      <c r="Y407">
        <v>6.44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 t="s">
        <v>3</v>
      </c>
      <c r="AG407">
        <v>8.3199999999999993E-3</v>
      </c>
      <c r="AH407">
        <v>3</v>
      </c>
      <c r="AI407">
        <v>-1</v>
      </c>
      <c r="AJ407" t="s">
        <v>3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">
      <c r="A408">
        <f>ROW(Source!A125)</f>
        <v>125</v>
      </c>
      <c r="B408">
        <v>56616799</v>
      </c>
      <c r="C408">
        <v>56616786</v>
      </c>
      <c r="D408">
        <v>49717618</v>
      </c>
      <c r="E408">
        <v>27786564</v>
      </c>
      <c r="F408">
        <v>1</v>
      </c>
      <c r="G408">
        <v>27786564</v>
      </c>
      <c r="H408">
        <v>3</v>
      </c>
      <c r="I408" t="s">
        <v>554</v>
      </c>
      <c r="J408" t="s">
        <v>3</v>
      </c>
      <c r="K408" t="s">
        <v>555</v>
      </c>
      <c r="L408">
        <v>1303</v>
      </c>
      <c r="N408">
        <v>1003</v>
      </c>
      <c r="O408" t="s">
        <v>556</v>
      </c>
      <c r="P408" t="s">
        <v>556</v>
      </c>
      <c r="Q408">
        <v>1000</v>
      </c>
      <c r="X408">
        <v>0.10199999999999999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3</v>
      </c>
      <c r="AG408">
        <v>0.10199999999999999</v>
      </c>
      <c r="AH408">
        <v>3</v>
      </c>
      <c r="AI408">
        <v>-1</v>
      </c>
      <c r="AJ408" t="s">
        <v>3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">
      <c r="A409">
        <f>ROW(Source!A125)</f>
        <v>125</v>
      </c>
      <c r="B409">
        <v>56616800</v>
      </c>
      <c r="C409">
        <v>56616786</v>
      </c>
      <c r="D409">
        <v>46556476</v>
      </c>
      <c r="E409">
        <v>27786564</v>
      </c>
      <c r="F409">
        <v>1</v>
      </c>
      <c r="G409">
        <v>27786564</v>
      </c>
      <c r="H409">
        <v>3</v>
      </c>
      <c r="I409" t="s">
        <v>557</v>
      </c>
      <c r="J409" t="s">
        <v>3</v>
      </c>
      <c r="K409" t="s">
        <v>558</v>
      </c>
      <c r="L409">
        <v>1354</v>
      </c>
      <c r="N409">
        <v>1010</v>
      </c>
      <c r="O409" t="s">
        <v>88</v>
      </c>
      <c r="P409" t="s">
        <v>88</v>
      </c>
      <c r="Q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3</v>
      </c>
      <c r="AG409">
        <v>0</v>
      </c>
      <c r="AH409">
        <v>3</v>
      </c>
      <c r="AI409">
        <v>-1</v>
      </c>
      <c r="AJ409" t="s">
        <v>3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">
      <c r="A410">
        <f>ROW(Source!A126)</f>
        <v>126</v>
      </c>
      <c r="B410">
        <v>56616788</v>
      </c>
      <c r="C410">
        <v>56616786</v>
      </c>
      <c r="D410">
        <v>47634407</v>
      </c>
      <c r="E410">
        <v>27786564</v>
      </c>
      <c r="F410">
        <v>1</v>
      </c>
      <c r="G410">
        <v>27786564</v>
      </c>
      <c r="H410">
        <v>1</v>
      </c>
      <c r="I410" t="s">
        <v>439</v>
      </c>
      <c r="J410" t="s">
        <v>3</v>
      </c>
      <c r="K410" t="s">
        <v>440</v>
      </c>
      <c r="L410">
        <v>1191</v>
      </c>
      <c r="N410">
        <v>1013</v>
      </c>
      <c r="O410" t="s">
        <v>441</v>
      </c>
      <c r="P410" t="s">
        <v>441</v>
      </c>
      <c r="Q410">
        <v>1</v>
      </c>
      <c r="X410">
        <v>15.8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1</v>
      </c>
      <c r="AF410" t="s">
        <v>22</v>
      </c>
      <c r="AG410">
        <v>17.380000000000003</v>
      </c>
      <c r="AH410">
        <v>2</v>
      </c>
      <c r="AI410">
        <v>56616787</v>
      </c>
      <c r="AJ410">
        <v>110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">
      <c r="A411">
        <f>ROW(Source!A126)</f>
        <v>126</v>
      </c>
      <c r="B411">
        <v>56616789</v>
      </c>
      <c r="C411">
        <v>56616786</v>
      </c>
      <c r="D411">
        <v>47767106</v>
      </c>
      <c r="E411">
        <v>1</v>
      </c>
      <c r="F411">
        <v>1</v>
      </c>
      <c r="G411">
        <v>27786564</v>
      </c>
      <c r="H411">
        <v>2</v>
      </c>
      <c r="I411" t="s">
        <v>487</v>
      </c>
      <c r="J411" t="s">
        <v>488</v>
      </c>
      <c r="K411" t="s">
        <v>489</v>
      </c>
      <c r="L411">
        <v>1368</v>
      </c>
      <c r="N411">
        <v>1011</v>
      </c>
      <c r="O411" t="s">
        <v>445</v>
      </c>
      <c r="P411" t="s">
        <v>445</v>
      </c>
      <c r="Q411">
        <v>1</v>
      </c>
      <c r="X411">
        <v>0.51</v>
      </c>
      <c r="Y411">
        <v>0</v>
      </c>
      <c r="Z411">
        <v>83.1</v>
      </c>
      <c r="AA411">
        <v>12.62</v>
      </c>
      <c r="AB411">
        <v>0</v>
      </c>
      <c r="AC411">
        <v>0</v>
      </c>
      <c r="AD411">
        <v>1</v>
      </c>
      <c r="AE411">
        <v>0</v>
      </c>
      <c r="AF411" t="s">
        <v>22</v>
      </c>
      <c r="AG411">
        <v>0.56100000000000005</v>
      </c>
      <c r="AH411">
        <v>3</v>
      </c>
      <c r="AI411">
        <v>-1</v>
      </c>
      <c r="AJ411" t="s">
        <v>3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">
      <c r="A412">
        <f>ROW(Source!A126)</f>
        <v>126</v>
      </c>
      <c r="B412">
        <v>56616790</v>
      </c>
      <c r="C412">
        <v>56616786</v>
      </c>
      <c r="D412">
        <v>47766535</v>
      </c>
      <c r="E412">
        <v>1</v>
      </c>
      <c r="F412">
        <v>1</v>
      </c>
      <c r="G412">
        <v>27786564</v>
      </c>
      <c r="H412">
        <v>2</v>
      </c>
      <c r="I412" t="s">
        <v>541</v>
      </c>
      <c r="J412" t="s">
        <v>542</v>
      </c>
      <c r="K412" t="s">
        <v>543</v>
      </c>
      <c r="L412">
        <v>1368</v>
      </c>
      <c r="N412">
        <v>1011</v>
      </c>
      <c r="O412" t="s">
        <v>445</v>
      </c>
      <c r="P412" t="s">
        <v>445</v>
      </c>
      <c r="Q412">
        <v>1</v>
      </c>
      <c r="X412">
        <v>3.41</v>
      </c>
      <c r="Y412">
        <v>0</v>
      </c>
      <c r="Z412">
        <v>2.27</v>
      </c>
      <c r="AA412">
        <v>0</v>
      </c>
      <c r="AB412">
        <v>0</v>
      </c>
      <c r="AC412">
        <v>0</v>
      </c>
      <c r="AD412">
        <v>1</v>
      </c>
      <c r="AE412">
        <v>0</v>
      </c>
      <c r="AF412" t="s">
        <v>22</v>
      </c>
      <c r="AG412">
        <v>3.7510000000000003</v>
      </c>
      <c r="AH412">
        <v>3</v>
      </c>
      <c r="AI412">
        <v>-1</v>
      </c>
      <c r="AJ412" t="s">
        <v>3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">
      <c r="A413">
        <f>ROW(Source!A126)</f>
        <v>126</v>
      </c>
      <c r="B413">
        <v>56616791</v>
      </c>
      <c r="C413">
        <v>56616786</v>
      </c>
      <c r="D413">
        <v>47766545</v>
      </c>
      <c r="E413">
        <v>1</v>
      </c>
      <c r="F413">
        <v>1</v>
      </c>
      <c r="G413">
        <v>27786564</v>
      </c>
      <c r="H413">
        <v>2</v>
      </c>
      <c r="I413" t="s">
        <v>490</v>
      </c>
      <c r="J413" t="s">
        <v>491</v>
      </c>
      <c r="K413" t="s">
        <v>492</v>
      </c>
      <c r="L413">
        <v>1368</v>
      </c>
      <c r="N413">
        <v>1011</v>
      </c>
      <c r="O413" t="s">
        <v>445</v>
      </c>
      <c r="P413" t="s">
        <v>445</v>
      </c>
      <c r="Q413">
        <v>1</v>
      </c>
      <c r="X413">
        <v>3.67</v>
      </c>
      <c r="Y413">
        <v>0</v>
      </c>
      <c r="Z413">
        <v>0.73</v>
      </c>
      <c r="AA413">
        <v>0</v>
      </c>
      <c r="AB413">
        <v>0</v>
      </c>
      <c r="AC413">
        <v>0</v>
      </c>
      <c r="AD413">
        <v>1</v>
      </c>
      <c r="AE413">
        <v>0</v>
      </c>
      <c r="AF413" t="s">
        <v>22</v>
      </c>
      <c r="AG413">
        <v>4.0369999999999999</v>
      </c>
      <c r="AH413">
        <v>3</v>
      </c>
      <c r="AI413">
        <v>-1</v>
      </c>
      <c r="AJ413" t="s">
        <v>3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">
      <c r="A414">
        <f>ROW(Source!A126)</f>
        <v>126</v>
      </c>
      <c r="B414">
        <v>56616792</v>
      </c>
      <c r="C414">
        <v>56616786</v>
      </c>
      <c r="D414">
        <v>46723498</v>
      </c>
      <c r="E414">
        <v>1</v>
      </c>
      <c r="F414">
        <v>1</v>
      </c>
      <c r="G414">
        <v>27786564</v>
      </c>
      <c r="H414">
        <v>3</v>
      </c>
      <c r="I414" t="s">
        <v>496</v>
      </c>
      <c r="J414" t="s">
        <v>497</v>
      </c>
      <c r="K414" t="s">
        <v>498</v>
      </c>
      <c r="L414">
        <v>1348</v>
      </c>
      <c r="N414">
        <v>1009</v>
      </c>
      <c r="O414" t="s">
        <v>367</v>
      </c>
      <c r="P414" t="s">
        <v>367</v>
      </c>
      <c r="Q414">
        <v>1000</v>
      </c>
      <c r="X414">
        <v>6.0000000000000002E-5</v>
      </c>
      <c r="Y414">
        <v>11242.42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 t="s">
        <v>3</v>
      </c>
      <c r="AG414">
        <v>6.0000000000000002E-5</v>
      </c>
      <c r="AH414">
        <v>3</v>
      </c>
      <c r="AI414">
        <v>-1</v>
      </c>
      <c r="AJ414" t="s">
        <v>3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">
      <c r="A415">
        <f>ROW(Source!A126)</f>
        <v>126</v>
      </c>
      <c r="B415">
        <v>56616793</v>
      </c>
      <c r="C415">
        <v>56616786</v>
      </c>
      <c r="D415">
        <v>45796980</v>
      </c>
      <c r="E415">
        <v>1</v>
      </c>
      <c r="F415">
        <v>1</v>
      </c>
      <c r="G415">
        <v>27786564</v>
      </c>
      <c r="H415">
        <v>3</v>
      </c>
      <c r="I415" t="s">
        <v>499</v>
      </c>
      <c r="J415" t="s">
        <v>500</v>
      </c>
      <c r="K415" t="s">
        <v>501</v>
      </c>
      <c r="L415">
        <v>1346</v>
      </c>
      <c r="N415">
        <v>1009</v>
      </c>
      <c r="O415" t="s">
        <v>104</v>
      </c>
      <c r="P415" t="s">
        <v>104</v>
      </c>
      <c r="Q415">
        <v>1</v>
      </c>
      <c r="X415">
        <v>0.8</v>
      </c>
      <c r="Y415">
        <v>25.8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 t="s">
        <v>3</v>
      </c>
      <c r="AG415">
        <v>0.8</v>
      </c>
      <c r="AH415">
        <v>3</v>
      </c>
      <c r="AI415">
        <v>-1</v>
      </c>
      <c r="AJ415" t="s">
        <v>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">
      <c r="A416">
        <f>ROW(Source!A126)</f>
        <v>126</v>
      </c>
      <c r="B416">
        <v>56616794</v>
      </c>
      <c r="C416">
        <v>56616786</v>
      </c>
      <c r="D416">
        <v>46723689</v>
      </c>
      <c r="E416">
        <v>1</v>
      </c>
      <c r="F416">
        <v>1</v>
      </c>
      <c r="G416">
        <v>27786564</v>
      </c>
      <c r="H416">
        <v>3</v>
      </c>
      <c r="I416" t="s">
        <v>502</v>
      </c>
      <c r="J416" t="s">
        <v>503</v>
      </c>
      <c r="K416" t="s">
        <v>504</v>
      </c>
      <c r="L416">
        <v>1348</v>
      </c>
      <c r="N416">
        <v>1009</v>
      </c>
      <c r="O416" t="s">
        <v>367</v>
      </c>
      <c r="P416" t="s">
        <v>367</v>
      </c>
      <c r="Q416">
        <v>1000</v>
      </c>
      <c r="X416">
        <v>5.0000000000000001E-4</v>
      </c>
      <c r="Y416">
        <v>60966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 t="s">
        <v>3</v>
      </c>
      <c r="AG416">
        <v>5.0000000000000001E-4</v>
      </c>
      <c r="AH416">
        <v>3</v>
      </c>
      <c r="AI416">
        <v>-1</v>
      </c>
      <c r="AJ416" t="s">
        <v>3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">
      <c r="A417">
        <f>ROW(Source!A126)</f>
        <v>126</v>
      </c>
      <c r="B417">
        <v>56616795</v>
      </c>
      <c r="C417">
        <v>56616786</v>
      </c>
      <c r="D417">
        <v>46723704</v>
      </c>
      <c r="E417">
        <v>1</v>
      </c>
      <c r="F417">
        <v>1</v>
      </c>
      <c r="G417">
        <v>27786564</v>
      </c>
      <c r="H417">
        <v>3</v>
      </c>
      <c r="I417" t="s">
        <v>505</v>
      </c>
      <c r="J417" t="s">
        <v>506</v>
      </c>
      <c r="K417" t="s">
        <v>507</v>
      </c>
      <c r="L417">
        <v>1348</v>
      </c>
      <c r="N417">
        <v>1009</v>
      </c>
      <c r="O417" t="s">
        <v>367</v>
      </c>
      <c r="P417" t="s">
        <v>367</v>
      </c>
      <c r="Q417">
        <v>1000</v>
      </c>
      <c r="X417">
        <v>4.0000000000000003E-5</v>
      </c>
      <c r="Y417">
        <v>7982.5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 t="s">
        <v>3</v>
      </c>
      <c r="AG417">
        <v>4.0000000000000003E-5</v>
      </c>
      <c r="AH417">
        <v>3</v>
      </c>
      <c r="AI417">
        <v>-1</v>
      </c>
      <c r="AJ417" t="s">
        <v>3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">
      <c r="A418">
        <f>ROW(Source!A126)</f>
        <v>126</v>
      </c>
      <c r="B418">
        <v>56616796</v>
      </c>
      <c r="C418">
        <v>56616786</v>
      </c>
      <c r="D418">
        <v>46735845</v>
      </c>
      <c r="E418">
        <v>1</v>
      </c>
      <c r="F418">
        <v>1</v>
      </c>
      <c r="G418">
        <v>27786564</v>
      </c>
      <c r="H418">
        <v>3</v>
      </c>
      <c r="I418" t="s">
        <v>508</v>
      </c>
      <c r="J418" t="s">
        <v>553</v>
      </c>
      <c r="K418" t="s">
        <v>510</v>
      </c>
      <c r="L418">
        <v>1356</v>
      </c>
      <c r="N418">
        <v>1010</v>
      </c>
      <c r="O418" t="s">
        <v>511</v>
      </c>
      <c r="P418" t="s">
        <v>511</v>
      </c>
      <c r="Q418">
        <v>1000</v>
      </c>
      <c r="X418">
        <v>4.0999999999999999E-4</v>
      </c>
      <c r="Y418">
        <v>226.68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 t="s">
        <v>3</v>
      </c>
      <c r="AG418">
        <v>4.0999999999999999E-4</v>
      </c>
      <c r="AH418">
        <v>3</v>
      </c>
      <c r="AI418">
        <v>-1</v>
      </c>
      <c r="AJ418" t="s">
        <v>3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">
      <c r="A419">
        <f>ROW(Source!A126)</f>
        <v>126</v>
      </c>
      <c r="B419">
        <v>56616797</v>
      </c>
      <c r="C419">
        <v>56616786</v>
      </c>
      <c r="D419">
        <v>46735506</v>
      </c>
      <c r="E419">
        <v>1</v>
      </c>
      <c r="F419">
        <v>1</v>
      </c>
      <c r="G419">
        <v>27786564</v>
      </c>
      <c r="H419">
        <v>3</v>
      </c>
      <c r="I419" t="s">
        <v>512</v>
      </c>
      <c r="J419" t="s">
        <v>513</v>
      </c>
      <c r="K419" t="s">
        <v>514</v>
      </c>
      <c r="L419">
        <v>1301</v>
      </c>
      <c r="N419">
        <v>1003</v>
      </c>
      <c r="O419" t="s">
        <v>55</v>
      </c>
      <c r="P419" t="s">
        <v>55</v>
      </c>
      <c r="Q419">
        <v>1</v>
      </c>
      <c r="X419">
        <v>0.96</v>
      </c>
      <c r="Y419">
        <v>0.7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 t="s">
        <v>3</v>
      </c>
      <c r="AG419">
        <v>0.96</v>
      </c>
      <c r="AH419">
        <v>3</v>
      </c>
      <c r="AI419">
        <v>-1</v>
      </c>
      <c r="AJ419" t="s">
        <v>3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">
      <c r="A420">
        <f>ROW(Source!A126)</f>
        <v>126</v>
      </c>
      <c r="B420">
        <v>56616798</v>
      </c>
      <c r="C420">
        <v>56616786</v>
      </c>
      <c r="D420">
        <v>46735508</v>
      </c>
      <c r="E420">
        <v>1</v>
      </c>
      <c r="F420">
        <v>1</v>
      </c>
      <c r="G420">
        <v>27786564</v>
      </c>
      <c r="H420">
        <v>3</v>
      </c>
      <c r="I420" t="s">
        <v>515</v>
      </c>
      <c r="J420" t="s">
        <v>516</v>
      </c>
      <c r="K420" t="s">
        <v>517</v>
      </c>
      <c r="L420">
        <v>1356</v>
      </c>
      <c r="N420">
        <v>1010</v>
      </c>
      <c r="O420" t="s">
        <v>511</v>
      </c>
      <c r="P420" t="s">
        <v>511</v>
      </c>
      <c r="Q420">
        <v>1000</v>
      </c>
      <c r="X420">
        <v>8.3199999999999993E-3</v>
      </c>
      <c r="Y420">
        <v>6.44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 t="s">
        <v>3</v>
      </c>
      <c r="AG420">
        <v>8.3199999999999993E-3</v>
      </c>
      <c r="AH420">
        <v>3</v>
      </c>
      <c r="AI420">
        <v>-1</v>
      </c>
      <c r="AJ420" t="s">
        <v>3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">
      <c r="A421">
        <f>ROW(Source!A126)</f>
        <v>126</v>
      </c>
      <c r="B421">
        <v>56616799</v>
      </c>
      <c r="C421">
        <v>56616786</v>
      </c>
      <c r="D421">
        <v>49717618</v>
      </c>
      <c r="E421">
        <v>27786564</v>
      </c>
      <c r="F421">
        <v>1</v>
      </c>
      <c r="G421">
        <v>27786564</v>
      </c>
      <c r="H421">
        <v>3</v>
      </c>
      <c r="I421" t="s">
        <v>554</v>
      </c>
      <c r="J421" t="s">
        <v>3</v>
      </c>
      <c r="K421" t="s">
        <v>555</v>
      </c>
      <c r="L421">
        <v>1303</v>
      </c>
      <c r="N421">
        <v>1003</v>
      </c>
      <c r="O421" t="s">
        <v>556</v>
      </c>
      <c r="P421" t="s">
        <v>556</v>
      </c>
      <c r="Q421">
        <v>1000</v>
      </c>
      <c r="X421">
        <v>0.10199999999999999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 t="s">
        <v>3</v>
      </c>
      <c r="AG421">
        <v>0.10199999999999999</v>
      </c>
      <c r="AH421">
        <v>3</v>
      </c>
      <c r="AI421">
        <v>-1</v>
      </c>
      <c r="AJ421" t="s">
        <v>3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">
      <c r="A422">
        <f>ROW(Source!A126)</f>
        <v>126</v>
      </c>
      <c r="B422">
        <v>56616800</v>
      </c>
      <c r="C422">
        <v>56616786</v>
      </c>
      <c r="D422">
        <v>46556476</v>
      </c>
      <c r="E422">
        <v>27786564</v>
      </c>
      <c r="F422">
        <v>1</v>
      </c>
      <c r="G422">
        <v>27786564</v>
      </c>
      <c r="H422">
        <v>3</v>
      </c>
      <c r="I422" t="s">
        <v>557</v>
      </c>
      <c r="J422" t="s">
        <v>3</v>
      </c>
      <c r="K422" t="s">
        <v>558</v>
      </c>
      <c r="L422">
        <v>1354</v>
      </c>
      <c r="N422">
        <v>1010</v>
      </c>
      <c r="O422" t="s">
        <v>88</v>
      </c>
      <c r="P422" t="s">
        <v>88</v>
      </c>
      <c r="Q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 t="s">
        <v>3</v>
      </c>
      <c r="AG422">
        <v>0</v>
      </c>
      <c r="AH422">
        <v>3</v>
      </c>
      <c r="AI422">
        <v>-1</v>
      </c>
      <c r="AJ422" t="s">
        <v>3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">
      <c r="A423">
        <f>ROW(Source!A127)</f>
        <v>127</v>
      </c>
      <c r="B423">
        <v>56616802</v>
      </c>
      <c r="C423">
        <v>56616801</v>
      </c>
      <c r="D423">
        <v>47634407</v>
      </c>
      <c r="E423">
        <v>27786564</v>
      </c>
      <c r="F423">
        <v>1</v>
      </c>
      <c r="G423">
        <v>27786564</v>
      </c>
      <c r="H423">
        <v>1</v>
      </c>
      <c r="I423" t="s">
        <v>439</v>
      </c>
      <c r="J423" t="s">
        <v>3</v>
      </c>
      <c r="K423" t="s">
        <v>440</v>
      </c>
      <c r="L423">
        <v>1191</v>
      </c>
      <c r="N423">
        <v>1013</v>
      </c>
      <c r="O423" t="s">
        <v>441</v>
      </c>
      <c r="P423" t="s">
        <v>441</v>
      </c>
      <c r="Q423">
        <v>1</v>
      </c>
      <c r="X423">
        <v>20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1</v>
      </c>
      <c r="AF423" t="s">
        <v>22</v>
      </c>
      <c r="AG423">
        <v>22</v>
      </c>
      <c r="AH423">
        <v>3</v>
      </c>
      <c r="AI423">
        <v>-1</v>
      </c>
      <c r="AJ423" t="s">
        <v>3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">
      <c r="A424">
        <f>ROW(Source!A127)</f>
        <v>127</v>
      </c>
      <c r="B424">
        <v>56616803</v>
      </c>
      <c r="C424">
        <v>56616801</v>
      </c>
      <c r="D424">
        <v>47767106</v>
      </c>
      <c r="E424">
        <v>1</v>
      </c>
      <c r="F424">
        <v>1</v>
      </c>
      <c r="G424">
        <v>27786564</v>
      </c>
      <c r="H424">
        <v>2</v>
      </c>
      <c r="I424" t="s">
        <v>487</v>
      </c>
      <c r="J424" t="s">
        <v>488</v>
      </c>
      <c r="K424" t="s">
        <v>489</v>
      </c>
      <c r="L424">
        <v>1368</v>
      </c>
      <c r="N424">
        <v>1011</v>
      </c>
      <c r="O424" t="s">
        <v>445</v>
      </c>
      <c r="P424" t="s">
        <v>445</v>
      </c>
      <c r="Q424">
        <v>1</v>
      </c>
      <c r="X424">
        <v>1.06</v>
      </c>
      <c r="Y424">
        <v>0</v>
      </c>
      <c r="Z424">
        <v>83.1</v>
      </c>
      <c r="AA424">
        <v>12.62</v>
      </c>
      <c r="AB424">
        <v>0</v>
      </c>
      <c r="AC424">
        <v>0</v>
      </c>
      <c r="AD424">
        <v>1</v>
      </c>
      <c r="AE424">
        <v>0</v>
      </c>
      <c r="AF424" t="s">
        <v>22</v>
      </c>
      <c r="AG424">
        <v>1.1660000000000001</v>
      </c>
      <c r="AH424">
        <v>3</v>
      </c>
      <c r="AI424">
        <v>-1</v>
      </c>
      <c r="AJ424" t="s">
        <v>3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">
      <c r="A425">
        <f>ROW(Source!A127)</f>
        <v>127</v>
      </c>
      <c r="B425">
        <v>56616804</v>
      </c>
      <c r="C425">
        <v>56616801</v>
      </c>
      <c r="D425">
        <v>47766535</v>
      </c>
      <c r="E425">
        <v>1</v>
      </c>
      <c r="F425">
        <v>1</v>
      </c>
      <c r="G425">
        <v>27786564</v>
      </c>
      <c r="H425">
        <v>2</v>
      </c>
      <c r="I425" t="s">
        <v>541</v>
      </c>
      <c r="J425" t="s">
        <v>542</v>
      </c>
      <c r="K425" t="s">
        <v>543</v>
      </c>
      <c r="L425">
        <v>1368</v>
      </c>
      <c r="N425">
        <v>1011</v>
      </c>
      <c r="O425" t="s">
        <v>445</v>
      </c>
      <c r="P425" t="s">
        <v>445</v>
      </c>
      <c r="Q425">
        <v>1</v>
      </c>
      <c r="X425">
        <v>4.2699999999999996</v>
      </c>
      <c r="Y425">
        <v>0</v>
      </c>
      <c r="Z425">
        <v>2.27</v>
      </c>
      <c r="AA425">
        <v>0</v>
      </c>
      <c r="AB425">
        <v>0</v>
      </c>
      <c r="AC425">
        <v>0</v>
      </c>
      <c r="AD425">
        <v>1</v>
      </c>
      <c r="AE425">
        <v>0</v>
      </c>
      <c r="AF425" t="s">
        <v>22</v>
      </c>
      <c r="AG425">
        <v>4.6970000000000001</v>
      </c>
      <c r="AH425">
        <v>3</v>
      </c>
      <c r="AI425">
        <v>-1</v>
      </c>
      <c r="AJ425" t="s">
        <v>3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">
      <c r="A426">
        <f>ROW(Source!A127)</f>
        <v>127</v>
      </c>
      <c r="B426">
        <v>56616805</v>
      </c>
      <c r="C426">
        <v>56616801</v>
      </c>
      <c r="D426">
        <v>47766545</v>
      </c>
      <c r="E426">
        <v>1</v>
      </c>
      <c r="F426">
        <v>1</v>
      </c>
      <c r="G426">
        <v>27786564</v>
      </c>
      <c r="H426">
        <v>2</v>
      </c>
      <c r="I426" t="s">
        <v>490</v>
      </c>
      <c r="J426" t="s">
        <v>491</v>
      </c>
      <c r="K426" t="s">
        <v>492</v>
      </c>
      <c r="L426">
        <v>1368</v>
      </c>
      <c r="N426">
        <v>1011</v>
      </c>
      <c r="O426" t="s">
        <v>445</v>
      </c>
      <c r="P426" t="s">
        <v>445</v>
      </c>
      <c r="Q426">
        <v>1</v>
      </c>
      <c r="X426">
        <v>4.5999999999999996</v>
      </c>
      <c r="Y426">
        <v>0</v>
      </c>
      <c r="Z426">
        <v>0.73</v>
      </c>
      <c r="AA426">
        <v>0</v>
      </c>
      <c r="AB426">
        <v>0</v>
      </c>
      <c r="AC426">
        <v>0</v>
      </c>
      <c r="AD426">
        <v>1</v>
      </c>
      <c r="AE426">
        <v>0</v>
      </c>
      <c r="AF426" t="s">
        <v>22</v>
      </c>
      <c r="AG426">
        <v>5.0599999999999996</v>
      </c>
      <c r="AH426">
        <v>3</v>
      </c>
      <c r="AI426">
        <v>-1</v>
      </c>
      <c r="AJ426" t="s">
        <v>3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">
      <c r="A427">
        <f>ROW(Source!A127)</f>
        <v>127</v>
      </c>
      <c r="B427">
        <v>56616806</v>
      </c>
      <c r="C427">
        <v>56616801</v>
      </c>
      <c r="D427">
        <v>46723498</v>
      </c>
      <c r="E427">
        <v>1</v>
      </c>
      <c r="F427">
        <v>1</v>
      </c>
      <c r="G427">
        <v>27786564</v>
      </c>
      <c r="H427">
        <v>3</v>
      </c>
      <c r="I427" t="s">
        <v>496</v>
      </c>
      <c r="J427" t="s">
        <v>497</v>
      </c>
      <c r="K427" t="s">
        <v>498</v>
      </c>
      <c r="L427">
        <v>1348</v>
      </c>
      <c r="N427">
        <v>1009</v>
      </c>
      <c r="O427" t="s">
        <v>367</v>
      </c>
      <c r="P427" t="s">
        <v>367</v>
      </c>
      <c r="Q427">
        <v>1000</v>
      </c>
      <c r="X427">
        <v>6.0000000000000002E-5</v>
      </c>
      <c r="Y427">
        <v>11242.42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 t="s">
        <v>3</v>
      </c>
      <c r="AG427">
        <v>6.0000000000000002E-5</v>
      </c>
      <c r="AH427">
        <v>3</v>
      </c>
      <c r="AI427">
        <v>-1</v>
      </c>
      <c r="AJ427" t="s">
        <v>3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">
      <c r="A428">
        <f>ROW(Source!A127)</f>
        <v>127</v>
      </c>
      <c r="B428">
        <v>56616807</v>
      </c>
      <c r="C428">
        <v>56616801</v>
      </c>
      <c r="D428">
        <v>45796980</v>
      </c>
      <c r="E428">
        <v>1</v>
      </c>
      <c r="F428">
        <v>1</v>
      </c>
      <c r="G428">
        <v>27786564</v>
      </c>
      <c r="H428">
        <v>3</v>
      </c>
      <c r="I428" t="s">
        <v>499</v>
      </c>
      <c r="J428" t="s">
        <v>500</v>
      </c>
      <c r="K428" t="s">
        <v>501</v>
      </c>
      <c r="L428">
        <v>1346</v>
      </c>
      <c r="N428">
        <v>1009</v>
      </c>
      <c r="O428" t="s">
        <v>104</v>
      </c>
      <c r="P428" t="s">
        <v>104</v>
      </c>
      <c r="Q428">
        <v>1</v>
      </c>
      <c r="X428">
        <v>0.8</v>
      </c>
      <c r="Y428">
        <v>25.8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 t="s">
        <v>3</v>
      </c>
      <c r="AG428">
        <v>0.8</v>
      </c>
      <c r="AH428">
        <v>3</v>
      </c>
      <c r="AI428">
        <v>-1</v>
      </c>
      <c r="AJ428" t="s">
        <v>3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">
      <c r="A429">
        <f>ROW(Source!A127)</f>
        <v>127</v>
      </c>
      <c r="B429">
        <v>56616808</v>
      </c>
      <c r="C429">
        <v>56616801</v>
      </c>
      <c r="D429">
        <v>46723689</v>
      </c>
      <c r="E429">
        <v>1</v>
      </c>
      <c r="F429">
        <v>1</v>
      </c>
      <c r="G429">
        <v>27786564</v>
      </c>
      <c r="H429">
        <v>3</v>
      </c>
      <c r="I429" t="s">
        <v>502</v>
      </c>
      <c r="J429" t="s">
        <v>503</v>
      </c>
      <c r="K429" t="s">
        <v>504</v>
      </c>
      <c r="L429">
        <v>1348</v>
      </c>
      <c r="N429">
        <v>1009</v>
      </c>
      <c r="O429" t="s">
        <v>367</v>
      </c>
      <c r="P429" t="s">
        <v>367</v>
      </c>
      <c r="Q429">
        <v>1000</v>
      </c>
      <c r="X429">
        <v>5.0000000000000001E-4</v>
      </c>
      <c r="Y429">
        <v>60966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 t="s">
        <v>3</v>
      </c>
      <c r="AG429">
        <v>5.0000000000000001E-4</v>
      </c>
      <c r="AH429">
        <v>3</v>
      </c>
      <c r="AI429">
        <v>-1</v>
      </c>
      <c r="AJ429" t="s">
        <v>3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">
      <c r="A430">
        <f>ROW(Source!A127)</f>
        <v>127</v>
      </c>
      <c r="B430">
        <v>56616809</v>
      </c>
      <c r="C430">
        <v>56616801</v>
      </c>
      <c r="D430">
        <v>46723704</v>
      </c>
      <c r="E430">
        <v>1</v>
      </c>
      <c r="F430">
        <v>1</v>
      </c>
      <c r="G430">
        <v>27786564</v>
      </c>
      <c r="H430">
        <v>3</v>
      </c>
      <c r="I430" t="s">
        <v>505</v>
      </c>
      <c r="J430" t="s">
        <v>506</v>
      </c>
      <c r="K430" t="s">
        <v>507</v>
      </c>
      <c r="L430">
        <v>1348</v>
      </c>
      <c r="N430">
        <v>1009</v>
      </c>
      <c r="O430" t="s">
        <v>367</v>
      </c>
      <c r="P430" t="s">
        <v>367</v>
      </c>
      <c r="Q430">
        <v>1000</v>
      </c>
      <c r="X430">
        <v>4.0000000000000003E-5</v>
      </c>
      <c r="Y430">
        <v>7982.5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 t="s">
        <v>3</v>
      </c>
      <c r="AG430">
        <v>4.0000000000000003E-5</v>
      </c>
      <c r="AH430">
        <v>3</v>
      </c>
      <c r="AI430">
        <v>-1</v>
      </c>
      <c r="AJ430" t="s">
        <v>3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">
      <c r="A431">
        <f>ROW(Source!A127)</f>
        <v>127</v>
      </c>
      <c r="B431">
        <v>56616810</v>
      </c>
      <c r="C431">
        <v>56616801</v>
      </c>
      <c r="D431">
        <v>46735845</v>
      </c>
      <c r="E431">
        <v>1</v>
      </c>
      <c r="F431">
        <v>1</v>
      </c>
      <c r="G431">
        <v>27786564</v>
      </c>
      <c r="H431">
        <v>3</v>
      </c>
      <c r="I431" t="s">
        <v>508</v>
      </c>
      <c r="J431" t="s">
        <v>553</v>
      </c>
      <c r="K431" t="s">
        <v>510</v>
      </c>
      <c r="L431">
        <v>1356</v>
      </c>
      <c r="N431">
        <v>1010</v>
      </c>
      <c r="O431" t="s">
        <v>511</v>
      </c>
      <c r="P431" t="s">
        <v>511</v>
      </c>
      <c r="Q431">
        <v>1000</v>
      </c>
      <c r="X431">
        <v>4.0999999999999999E-4</v>
      </c>
      <c r="Y431">
        <v>226.68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 t="s">
        <v>3</v>
      </c>
      <c r="AG431">
        <v>4.0999999999999999E-4</v>
      </c>
      <c r="AH431">
        <v>3</v>
      </c>
      <c r="AI431">
        <v>-1</v>
      </c>
      <c r="AJ431" t="s">
        <v>3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">
      <c r="A432">
        <f>ROW(Source!A127)</f>
        <v>127</v>
      </c>
      <c r="B432">
        <v>56616811</v>
      </c>
      <c r="C432">
        <v>56616801</v>
      </c>
      <c r="D432">
        <v>46735506</v>
      </c>
      <c r="E432">
        <v>1</v>
      </c>
      <c r="F432">
        <v>1</v>
      </c>
      <c r="G432">
        <v>27786564</v>
      </c>
      <c r="H432">
        <v>3</v>
      </c>
      <c r="I432" t="s">
        <v>512</v>
      </c>
      <c r="J432" t="s">
        <v>513</v>
      </c>
      <c r="K432" t="s">
        <v>514</v>
      </c>
      <c r="L432">
        <v>1301</v>
      </c>
      <c r="N432">
        <v>1003</v>
      </c>
      <c r="O432" t="s">
        <v>55</v>
      </c>
      <c r="P432" t="s">
        <v>55</v>
      </c>
      <c r="Q432">
        <v>1</v>
      </c>
      <c r="X432">
        <v>0.96</v>
      </c>
      <c r="Y432">
        <v>0.7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 t="s">
        <v>3</v>
      </c>
      <c r="AG432">
        <v>0.96</v>
      </c>
      <c r="AH432">
        <v>3</v>
      </c>
      <c r="AI432">
        <v>-1</v>
      </c>
      <c r="AJ432" t="s">
        <v>3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">
      <c r="A433">
        <f>ROW(Source!A127)</f>
        <v>127</v>
      </c>
      <c r="B433">
        <v>56616812</v>
      </c>
      <c r="C433">
        <v>56616801</v>
      </c>
      <c r="D433">
        <v>46735508</v>
      </c>
      <c r="E433">
        <v>1</v>
      </c>
      <c r="F433">
        <v>1</v>
      </c>
      <c r="G433">
        <v>27786564</v>
      </c>
      <c r="H433">
        <v>3</v>
      </c>
      <c r="I433" t="s">
        <v>515</v>
      </c>
      <c r="J433" t="s">
        <v>516</v>
      </c>
      <c r="K433" t="s">
        <v>517</v>
      </c>
      <c r="L433">
        <v>1356</v>
      </c>
      <c r="N433">
        <v>1010</v>
      </c>
      <c r="O433" t="s">
        <v>511</v>
      </c>
      <c r="P433" t="s">
        <v>511</v>
      </c>
      <c r="Q433">
        <v>1000</v>
      </c>
      <c r="X433">
        <v>8.3199999999999993E-3</v>
      </c>
      <c r="Y433">
        <v>6.44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 t="s">
        <v>3</v>
      </c>
      <c r="AG433">
        <v>8.3199999999999993E-3</v>
      </c>
      <c r="AH433">
        <v>3</v>
      </c>
      <c r="AI433">
        <v>-1</v>
      </c>
      <c r="AJ433" t="s">
        <v>3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">
      <c r="A434">
        <f>ROW(Source!A127)</f>
        <v>127</v>
      </c>
      <c r="B434">
        <v>56616813</v>
      </c>
      <c r="C434">
        <v>56616801</v>
      </c>
      <c r="D434">
        <v>49717618</v>
      </c>
      <c r="E434">
        <v>27786564</v>
      </c>
      <c r="F434">
        <v>1</v>
      </c>
      <c r="G434">
        <v>27786564</v>
      </c>
      <c r="H434">
        <v>3</v>
      </c>
      <c r="I434" t="s">
        <v>554</v>
      </c>
      <c r="J434" t="s">
        <v>3</v>
      </c>
      <c r="K434" t="s">
        <v>555</v>
      </c>
      <c r="L434">
        <v>1303</v>
      </c>
      <c r="N434">
        <v>1003</v>
      </c>
      <c r="O434" t="s">
        <v>556</v>
      </c>
      <c r="P434" t="s">
        <v>556</v>
      </c>
      <c r="Q434">
        <v>1000</v>
      </c>
      <c r="X434">
        <v>0.10199999999999999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 t="s">
        <v>3</v>
      </c>
      <c r="AG434">
        <v>0.10199999999999999</v>
      </c>
      <c r="AH434">
        <v>3</v>
      </c>
      <c r="AI434">
        <v>-1</v>
      </c>
      <c r="AJ434" t="s">
        <v>3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">
      <c r="A435">
        <f>ROW(Source!A127)</f>
        <v>127</v>
      </c>
      <c r="B435">
        <v>56616814</v>
      </c>
      <c r="C435">
        <v>56616801</v>
      </c>
      <c r="D435">
        <v>46556476</v>
      </c>
      <c r="E435">
        <v>27786564</v>
      </c>
      <c r="F435">
        <v>1</v>
      </c>
      <c r="G435">
        <v>27786564</v>
      </c>
      <c r="H435">
        <v>3</v>
      </c>
      <c r="I435" t="s">
        <v>557</v>
      </c>
      <c r="J435" t="s">
        <v>3</v>
      </c>
      <c r="K435" t="s">
        <v>558</v>
      </c>
      <c r="L435">
        <v>1354</v>
      </c>
      <c r="N435">
        <v>1010</v>
      </c>
      <c r="O435" t="s">
        <v>88</v>
      </c>
      <c r="P435" t="s">
        <v>88</v>
      </c>
      <c r="Q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 t="s">
        <v>3</v>
      </c>
      <c r="AG435">
        <v>0</v>
      </c>
      <c r="AH435">
        <v>3</v>
      </c>
      <c r="AI435">
        <v>-1</v>
      </c>
      <c r="AJ435" t="s">
        <v>3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">
      <c r="A436">
        <f>ROW(Source!A128)</f>
        <v>128</v>
      </c>
      <c r="B436">
        <v>56616802</v>
      </c>
      <c r="C436">
        <v>56616801</v>
      </c>
      <c r="D436">
        <v>47634407</v>
      </c>
      <c r="E436">
        <v>27786564</v>
      </c>
      <c r="F436">
        <v>1</v>
      </c>
      <c r="G436">
        <v>27786564</v>
      </c>
      <c r="H436">
        <v>1</v>
      </c>
      <c r="I436" t="s">
        <v>439</v>
      </c>
      <c r="J436" t="s">
        <v>3</v>
      </c>
      <c r="K436" t="s">
        <v>440</v>
      </c>
      <c r="L436">
        <v>1191</v>
      </c>
      <c r="N436">
        <v>1013</v>
      </c>
      <c r="O436" t="s">
        <v>441</v>
      </c>
      <c r="P436" t="s">
        <v>441</v>
      </c>
      <c r="Q436">
        <v>1</v>
      </c>
      <c r="X436">
        <v>20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1</v>
      </c>
      <c r="AF436" t="s">
        <v>22</v>
      </c>
      <c r="AG436">
        <v>22</v>
      </c>
      <c r="AH436">
        <v>3</v>
      </c>
      <c r="AI436">
        <v>-1</v>
      </c>
      <c r="AJ436" t="s">
        <v>3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">
      <c r="A437">
        <f>ROW(Source!A128)</f>
        <v>128</v>
      </c>
      <c r="B437">
        <v>56616803</v>
      </c>
      <c r="C437">
        <v>56616801</v>
      </c>
      <c r="D437">
        <v>47767106</v>
      </c>
      <c r="E437">
        <v>1</v>
      </c>
      <c r="F437">
        <v>1</v>
      </c>
      <c r="G437">
        <v>27786564</v>
      </c>
      <c r="H437">
        <v>2</v>
      </c>
      <c r="I437" t="s">
        <v>487</v>
      </c>
      <c r="J437" t="s">
        <v>488</v>
      </c>
      <c r="K437" t="s">
        <v>489</v>
      </c>
      <c r="L437">
        <v>1368</v>
      </c>
      <c r="N437">
        <v>1011</v>
      </c>
      <c r="O437" t="s">
        <v>445</v>
      </c>
      <c r="P437" t="s">
        <v>445</v>
      </c>
      <c r="Q437">
        <v>1</v>
      </c>
      <c r="X437">
        <v>1.06</v>
      </c>
      <c r="Y437">
        <v>0</v>
      </c>
      <c r="Z437">
        <v>83.1</v>
      </c>
      <c r="AA437">
        <v>12.62</v>
      </c>
      <c r="AB437">
        <v>0</v>
      </c>
      <c r="AC437">
        <v>0</v>
      </c>
      <c r="AD437">
        <v>1</v>
      </c>
      <c r="AE437">
        <v>0</v>
      </c>
      <c r="AF437" t="s">
        <v>22</v>
      </c>
      <c r="AG437">
        <v>1.1660000000000001</v>
      </c>
      <c r="AH437">
        <v>3</v>
      </c>
      <c r="AI437">
        <v>-1</v>
      </c>
      <c r="AJ437" t="s">
        <v>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">
      <c r="A438">
        <f>ROW(Source!A128)</f>
        <v>128</v>
      </c>
      <c r="B438">
        <v>56616804</v>
      </c>
      <c r="C438">
        <v>56616801</v>
      </c>
      <c r="D438">
        <v>47766535</v>
      </c>
      <c r="E438">
        <v>1</v>
      </c>
      <c r="F438">
        <v>1</v>
      </c>
      <c r="G438">
        <v>27786564</v>
      </c>
      <c r="H438">
        <v>2</v>
      </c>
      <c r="I438" t="s">
        <v>541</v>
      </c>
      <c r="J438" t="s">
        <v>542</v>
      </c>
      <c r="K438" t="s">
        <v>543</v>
      </c>
      <c r="L438">
        <v>1368</v>
      </c>
      <c r="N438">
        <v>1011</v>
      </c>
      <c r="O438" t="s">
        <v>445</v>
      </c>
      <c r="P438" t="s">
        <v>445</v>
      </c>
      <c r="Q438">
        <v>1</v>
      </c>
      <c r="X438">
        <v>4.2699999999999996</v>
      </c>
      <c r="Y438">
        <v>0</v>
      </c>
      <c r="Z438">
        <v>2.27</v>
      </c>
      <c r="AA438">
        <v>0</v>
      </c>
      <c r="AB438">
        <v>0</v>
      </c>
      <c r="AC438">
        <v>0</v>
      </c>
      <c r="AD438">
        <v>1</v>
      </c>
      <c r="AE438">
        <v>0</v>
      </c>
      <c r="AF438" t="s">
        <v>22</v>
      </c>
      <c r="AG438">
        <v>4.6970000000000001</v>
      </c>
      <c r="AH438">
        <v>3</v>
      </c>
      <c r="AI438">
        <v>-1</v>
      </c>
      <c r="AJ438" t="s">
        <v>3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">
      <c r="A439">
        <f>ROW(Source!A128)</f>
        <v>128</v>
      </c>
      <c r="B439">
        <v>56616805</v>
      </c>
      <c r="C439">
        <v>56616801</v>
      </c>
      <c r="D439">
        <v>47766545</v>
      </c>
      <c r="E439">
        <v>1</v>
      </c>
      <c r="F439">
        <v>1</v>
      </c>
      <c r="G439">
        <v>27786564</v>
      </c>
      <c r="H439">
        <v>2</v>
      </c>
      <c r="I439" t="s">
        <v>490</v>
      </c>
      <c r="J439" t="s">
        <v>491</v>
      </c>
      <c r="K439" t="s">
        <v>492</v>
      </c>
      <c r="L439">
        <v>1368</v>
      </c>
      <c r="N439">
        <v>1011</v>
      </c>
      <c r="O439" t="s">
        <v>445</v>
      </c>
      <c r="P439" t="s">
        <v>445</v>
      </c>
      <c r="Q439">
        <v>1</v>
      </c>
      <c r="X439">
        <v>4.5999999999999996</v>
      </c>
      <c r="Y439">
        <v>0</v>
      </c>
      <c r="Z439">
        <v>0.73</v>
      </c>
      <c r="AA439">
        <v>0</v>
      </c>
      <c r="AB439">
        <v>0</v>
      </c>
      <c r="AC439">
        <v>0</v>
      </c>
      <c r="AD439">
        <v>1</v>
      </c>
      <c r="AE439">
        <v>0</v>
      </c>
      <c r="AF439" t="s">
        <v>22</v>
      </c>
      <c r="AG439">
        <v>5.0599999999999996</v>
      </c>
      <c r="AH439">
        <v>3</v>
      </c>
      <c r="AI439">
        <v>-1</v>
      </c>
      <c r="AJ439" t="s">
        <v>3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">
      <c r="A440">
        <f>ROW(Source!A128)</f>
        <v>128</v>
      </c>
      <c r="B440">
        <v>56616806</v>
      </c>
      <c r="C440">
        <v>56616801</v>
      </c>
      <c r="D440">
        <v>46723498</v>
      </c>
      <c r="E440">
        <v>1</v>
      </c>
      <c r="F440">
        <v>1</v>
      </c>
      <c r="G440">
        <v>27786564</v>
      </c>
      <c r="H440">
        <v>3</v>
      </c>
      <c r="I440" t="s">
        <v>496</v>
      </c>
      <c r="J440" t="s">
        <v>497</v>
      </c>
      <c r="K440" t="s">
        <v>498</v>
      </c>
      <c r="L440">
        <v>1348</v>
      </c>
      <c r="N440">
        <v>1009</v>
      </c>
      <c r="O440" t="s">
        <v>367</v>
      </c>
      <c r="P440" t="s">
        <v>367</v>
      </c>
      <c r="Q440">
        <v>1000</v>
      </c>
      <c r="X440">
        <v>6.0000000000000002E-5</v>
      </c>
      <c r="Y440">
        <v>11242.42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 t="s">
        <v>3</v>
      </c>
      <c r="AG440">
        <v>6.0000000000000002E-5</v>
      </c>
      <c r="AH440">
        <v>3</v>
      </c>
      <c r="AI440">
        <v>-1</v>
      </c>
      <c r="AJ440" t="s">
        <v>3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">
      <c r="A441">
        <f>ROW(Source!A128)</f>
        <v>128</v>
      </c>
      <c r="B441">
        <v>56616807</v>
      </c>
      <c r="C441">
        <v>56616801</v>
      </c>
      <c r="D441">
        <v>45796980</v>
      </c>
      <c r="E441">
        <v>1</v>
      </c>
      <c r="F441">
        <v>1</v>
      </c>
      <c r="G441">
        <v>27786564</v>
      </c>
      <c r="H441">
        <v>3</v>
      </c>
      <c r="I441" t="s">
        <v>499</v>
      </c>
      <c r="J441" t="s">
        <v>500</v>
      </c>
      <c r="K441" t="s">
        <v>501</v>
      </c>
      <c r="L441">
        <v>1346</v>
      </c>
      <c r="N441">
        <v>1009</v>
      </c>
      <c r="O441" t="s">
        <v>104</v>
      </c>
      <c r="P441" t="s">
        <v>104</v>
      </c>
      <c r="Q441">
        <v>1</v>
      </c>
      <c r="X441">
        <v>0.8</v>
      </c>
      <c r="Y441">
        <v>25.8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 t="s">
        <v>3</v>
      </c>
      <c r="AG441">
        <v>0.8</v>
      </c>
      <c r="AH441">
        <v>3</v>
      </c>
      <c r="AI441">
        <v>-1</v>
      </c>
      <c r="AJ441" t="s">
        <v>3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">
      <c r="A442">
        <f>ROW(Source!A128)</f>
        <v>128</v>
      </c>
      <c r="B442">
        <v>56616808</v>
      </c>
      <c r="C442">
        <v>56616801</v>
      </c>
      <c r="D442">
        <v>46723689</v>
      </c>
      <c r="E442">
        <v>1</v>
      </c>
      <c r="F442">
        <v>1</v>
      </c>
      <c r="G442">
        <v>27786564</v>
      </c>
      <c r="H442">
        <v>3</v>
      </c>
      <c r="I442" t="s">
        <v>502</v>
      </c>
      <c r="J442" t="s">
        <v>503</v>
      </c>
      <c r="K442" t="s">
        <v>504</v>
      </c>
      <c r="L442">
        <v>1348</v>
      </c>
      <c r="N442">
        <v>1009</v>
      </c>
      <c r="O442" t="s">
        <v>367</v>
      </c>
      <c r="P442" t="s">
        <v>367</v>
      </c>
      <c r="Q442">
        <v>1000</v>
      </c>
      <c r="X442">
        <v>5.0000000000000001E-4</v>
      </c>
      <c r="Y442">
        <v>60966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 t="s">
        <v>3</v>
      </c>
      <c r="AG442">
        <v>5.0000000000000001E-4</v>
      </c>
      <c r="AH442">
        <v>3</v>
      </c>
      <c r="AI442">
        <v>-1</v>
      </c>
      <c r="AJ442" t="s">
        <v>3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">
      <c r="A443">
        <f>ROW(Source!A128)</f>
        <v>128</v>
      </c>
      <c r="B443">
        <v>56616809</v>
      </c>
      <c r="C443">
        <v>56616801</v>
      </c>
      <c r="D443">
        <v>46723704</v>
      </c>
      <c r="E443">
        <v>1</v>
      </c>
      <c r="F443">
        <v>1</v>
      </c>
      <c r="G443">
        <v>27786564</v>
      </c>
      <c r="H443">
        <v>3</v>
      </c>
      <c r="I443" t="s">
        <v>505</v>
      </c>
      <c r="J443" t="s">
        <v>506</v>
      </c>
      <c r="K443" t="s">
        <v>507</v>
      </c>
      <c r="L443">
        <v>1348</v>
      </c>
      <c r="N443">
        <v>1009</v>
      </c>
      <c r="O443" t="s">
        <v>367</v>
      </c>
      <c r="P443" t="s">
        <v>367</v>
      </c>
      <c r="Q443">
        <v>1000</v>
      </c>
      <c r="X443">
        <v>4.0000000000000003E-5</v>
      </c>
      <c r="Y443">
        <v>7982.5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 t="s">
        <v>3</v>
      </c>
      <c r="AG443">
        <v>4.0000000000000003E-5</v>
      </c>
      <c r="AH443">
        <v>3</v>
      </c>
      <c r="AI443">
        <v>-1</v>
      </c>
      <c r="AJ443" t="s">
        <v>3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">
      <c r="A444">
        <f>ROW(Source!A128)</f>
        <v>128</v>
      </c>
      <c r="B444">
        <v>56616810</v>
      </c>
      <c r="C444">
        <v>56616801</v>
      </c>
      <c r="D444">
        <v>46735845</v>
      </c>
      <c r="E444">
        <v>1</v>
      </c>
      <c r="F444">
        <v>1</v>
      </c>
      <c r="G444">
        <v>27786564</v>
      </c>
      <c r="H444">
        <v>3</v>
      </c>
      <c r="I444" t="s">
        <v>508</v>
      </c>
      <c r="J444" t="s">
        <v>553</v>
      </c>
      <c r="K444" t="s">
        <v>510</v>
      </c>
      <c r="L444">
        <v>1356</v>
      </c>
      <c r="N444">
        <v>1010</v>
      </c>
      <c r="O444" t="s">
        <v>511</v>
      </c>
      <c r="P444" t="s">
        <v>511</v>
      </c>
      <c r="Q444">
        <v>1000</v>
      </c>
      <c r="X444">
        <v>4.0999999999999999E-4</v>
      </c>
      <c r="Y444">
        <v>226.68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 t="s">
        <v>3</v>
      </c>
      <c r="AG444">
        <v>4.0999999999999999E-4</v>
      </c>
      <c r="AH444">
        <v>3</v>
      </c>
      <c r="AI444">
        <v>-1</v>
      </c>
      <c r="AJ444" t="s">
        <v>3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">
      <c r="A445">
        <f>ROW(Source!A128)</f>
        <v>128</v>
      </c>
      <c r="B445">
        <v>56616811</v>
      </c>
      <c r="C445">
        <v>56616801</v>
      </c>
      <c r="D445">
        <v>46735506</v>
      </c>
      <c r="E445">
        <v>1</v>
      </c>
      <c r="F445">
        <v>1</v>
      </c>
      <c r="G445">
        <v>27786564</v>
      </c>
      <c r="H445">
        <v>3</v>
      </c>
      <c r="I445" t="s">
        <v>512</v>
      </c>
      <c r="J445" t="s">
        <v>513</v>
      </c>
      <c r="K445" t="s">
        <v>514</v>
      </c>
      <c r="L445">
        <v>1301</v>
      </c>
      <c r="N445">
        <v>1003</v>
      </c>
      <c r="O445" t="s">
        <v>55</v>
      </c>
      <c r="P445" t="s">
        <v>55</v>
      </c>
      <c r="Q445">
        <v>1</v>
      </c>
      <c r="X445">
        <v>0.96</v>
      </c>
      <c r="Y445">
        <v>0.7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 t="s">
        <v>3</v>
      </c>
      <c r="AG445">
        <v>0.96</v>
      </c>
      <c r="AH445">
        <v>3</v>
      </c>
      <c r="AI445">
        <v>-1</v>
      </c>
      <c r="AJ445" t="s">
        <v>3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">
      <c r="A446">
        <f>ROW(Source!A128)</f>
        <v>128</v>
      </c>
      <c r="B446">
        <v>56616812</v>
      </c>
      <c r="C446">
        <v>56616801</v>
      </c>
      <c r="D446">
        <v>46735508</v>
      </c>
      <c r="E446">
        <v>1</v>
      </c>
      <c r="F446">
        <v>1</v>
      </c>
      <c r="G446">
        <v>27786564</v>
      </c>
      <c r="H446">
        <v>3</v>
      </c>
      <c r="I446" t="s">
        <v>515</v>
      </c>
      <c r="J446" t="s">
        <v>516</v>
      </c>
      <c r="K446" t="s">
        <v>517</v>
      </c>
      <c r="L446">
        <v>1356</v>
      </c>
      <c r="N446">
        <v>1010</v>
      </c>
      <c r="O446" t="s">
        <v>511</v>
      </c>
      <c r="P446" t="s">
        <v>511</v>
      </c>
      <c r="Q446">
        <v>1000</v>
      </c>
      <c r="X446">
        <v>8.3199999999999993E-3</v>
      </c>
      <c r="Y446">
        <v>6.44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 t="s">
        <v>3</v>
      </c>
      <c r="AG446">
        <v>8.3199999999999993E-3</v>
      </c>
      <c r="AH446">
        <v>3</v>
      </c>
      <c r="AI446">
        <v>-1</v>
      </c>
      <c r="AJ446" t="s">
        <v>3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">
      <c r="A447">
        <f>ROW(Source!A128)</f>
        <v>128</v>
      </c>
      <c r="B447">
        <v>56616813</v>
      </c>
      <c r="C447">
        <v>56616801</v>
      </c>
      <c r="D447">
        <v>49717618</v>
      </c>
      <c r="E447">
        <v>27786564</v>
      </c>
      <c r="F447">
        <v>1</v>
      </c>
      <c r="G447">
        <v>27786564</v>
      </c>
      <c r="H447">
        <v>3</v>
      </c>
      <c r="I447" t="s">
        <v>554</v>
      </c>
      <c r="J447" t="s">
        <v>3</v>
      </c>
      <c r="K447" t="s">
        <v>555</v>
      </c>
      <c r="L447">
        <v>1303</v>
      </c>
      <c r="N447">
        <v>1003</v>
      </c>
      <c r="O447" t="s">
        <v>556</v>
      </c>
      <c r="P447" t="s">
        <v>556</v>
      </c>
      <c r="Q447">
        <v>1000</v>
      </c>
      <c r="X447">
        <v>0.10199999999999999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 t="s">
        <v>3</v>
      </c>
      <c r="AG447">
        <v>0.10199999999999999</v>
      </c>
      <c r="AH447">
        <v>3</v>
      </c>
      <c r="AI447">
        <v>-1</v>
      </c>
      <c r="AJ447" t="s">
        <v>3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">
      <c r="A448">
        <f>ROW(Source!A128)</f>
        <v>128</v>
      </c>
      <c r="B448">
        <v>56616814</v>
      </c>
      <c r="C448">
        <v>56616801</v>
      </c>
      <c r="D448">
        <v>46556476</v>
      </c>
      <c r="E448">
        <v>27786564</v>
      </c>
      <c r="F448">
        <v>1</v>
      </c>
      <c r="G448">
        <v>27786564</v>
      </c>
      <c r="H448">
        <v>3</v>
      </c>
      <c r="I448" t="s">
        <v>557</v>
      </c>
      <c r="J448" t="s">
        <v>3</v>
      </c>
      <c r="K448" t="s">
        <v>558</v>
      </c>
      <c r="L448">
        <v>1354</v>
      </c>
      <c r="N448">
        <v>1010</v>
      </c>
      <c r="O448" t="s">
        <v>88</v>
      </c>
      <c r="P448" t="s">
        <v>88</v>
      </c>
      <c r="Q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 t="s">
        <v>3</v>
      </c>
      <c r="AG448">
        <v>0</v>
      </c>
      <c r="AH448">
        <v>3</v>
      </c>
      <c r="AI448">
        <v>-1</v>
      </c>
      <c r="AJ448" t="s">
        <v>3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">
      <c r="A449">
        <f>ROW(Source!A129)</f>
        <v>129</v>
      </c>
      <c r="B449">
        <v>56616817</v>
      </c>
      <c r="C449">
        <v>56616815</v>
      </c>
      <c r="D449">
        <v>47634407</v>
      </c>
      <c r="E449">
        <v>27786564</v>
      </c>
      <c r="F449">
        <v>1</v>
      </c>
      <c r="G449">
        <v>27786564</v>
      </c>
      <c r="H449">
        <v>1</v>
      </c>
      <c r="I449" t="s">
        <v>439</v>
      </c>
      <c r="J449" t="s">
        <v>3</v>
      </c>
      <c r="K449" t="s">
        <v>440</v>
      </c>
      <c r="L449">
        <v>1191</v>
      </c>
      <c r="N449">
        <v>1013</v>
      </c>
      <c r="O449" t="s">
        <v>441</v>
      </c>
      <c r="P449" t="s">
        <v>441</v>
      </c>
      <c r="Q449">
        <v>1</v>
      </c>
      <c r="X449">
        <v>20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1</v>
      </c>
      <c r="AF449" t="s">
        <v>22</v>
      </c>
      <c r="AG449">
        <v>22</v>
      </c>
      <c r="AH449">
        <v>2</v>
      </c>
      <c r="AI449">
        <v>56616816</v>
      </c>
      <c r="AJ449">
        <v>111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">
      <c r="A450">
        <f>ROW(Source!A129)</f>
        <v>129</v>
      </c>
      <c r="B450">
        <v>56616818</v>
      </c>
      <c r="C450">
        <v>56616815</v>
      </c>
      <c r="D450">
        <v>47767106</v>
      </c>
      <c r="E450">
        <v>1</v>
      </c>
      <c r="F450">
        <v>1</v>
      </c>
      <c r="G450">
        <v>27786564</v>
      </c>
      <c r="H450">
        <v>2</v>
      </c>
      <c r="I450" t="s">
        <v>487</v>
      </c>
      <c r="J450" t="s">
        <v>488</v>
      </c>
      <c r="K450" t="s">
        <v>489</v>
      </c>
      <c r="L450">
        <v>1368</v>
      </c>
      <c r="N450">
        <v>1011</v>
      </c>
      <c r="O450" t="s">
        <v>445</v>
      </c>
      <c r="P450" t="s">
        <v>445</v>
      </c>
      <c r="Q450">
        <v>1</v>
      </c>
      <c r="X450">
        <v>1.06</v>
      </c>
      <c r="Y450">
        <v>0</v>
      </c>
      <c r="Z450">
        <v>83.1</v>
      </c>
      <c r="AA450">
        <v>12.62</v>
      </c>
      <c r="AB450">
        <v>0</v>
      </c>
      <c r="AC450">
        <v>0</v>
      </c>
      <c r="AD450">
        <v>1</v>
      </c>
      <c r="AE450">
        <v>0</v>
      </c>
      <c r="AF450" t="s">
        <v>22</v>
      </c>
      <c r="AG450">
        <v>1.1660000000000001</v>
      </c>
      <c r="AH450">
        <v>3</v>
      </c>
      <c r="AI450">
        <v>-1</v>
      </c>
      <c r="AJ450" t="s">
        <v>3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">
      <c r="A451">
        <f>ROW(Source!A129)</f>
        <v>129</v>
      </c>
      <c r="B451">
        <v>56616819</v>
      </c>
      <c r="C451">
        <v>56616815</v>
      </c>
      <c r="D451">
        <v>47766535</v>
      </c>
      <c r="E451">
        <v>1</v>
      </c>
      <c r="F451">
        <v>1</v>
      </c>
      <c r="G451">
        <v>27786564</v>
      </c>
      <c r="H451">
        <v>2</v>
      </c>
      <c r="I451" t="s">
        <v>541</v>
      </c>
      <c r="J451" t="s">
        <v>542</v>
      </c>
      <c r="K451" t="s">
        <v>543</v>
      </c>
      <c r="L451">
        <v>1368</v>
      </c>
      <c r="N451">
        <v>1011</v>
      </c>
      <c r="O451" t="s">
        <v>445</v>
      </c>
      <c r="P451" t="s">
        <v>445</v>
      </c>
      <c r="Q451">
        <v>1</v>
      </c>
      <c r="X451">
        <v>4.2699999999999996</v>
      </c>
      <c r="Y451">
        <v>0</v>
      </c>
      <c r="Z451">
        <v>2.27</v>
      </c>
      <c r="AA451">
        <v>0</v>
      </c>
      <c r="AB451">
        <v>0</v>
      </c>
      <c r="AC451">
        <v>0</v>
      </c>
      <c r="AD451">
        <v>1</v>
      </c>
      <c r="AE451">
        <v>0</v>
      </c>
      <c r="AF451" t="s">
        <v>22</v>
      </c>
      <c r="AG451">
        <v>4.6970000000000001</v>
      </c>
      <c r="AH451">
        <v>3</v>
      </c>
      <c r="AI451">
        <v>-1</v>
      </c>
      <c r="AJ451" t="s">
        <v>3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">
      <c r="A452">
        <f>ROW(Source!A129)</f>
        <v>129</v>
      </c>
      <c r="B452">
        <v>56616820</v>
      </c>
      <c r="C452">
        <v>56616815</v>
      </c>
      <c r="D452">
        <v>47766545</v>
      </c>
      <c r="E452">
        <v>1</v>
      </c>
      <c r="F452">
        <v>1</v>
      </c>
      <c r="G452">
        <v>27786564</v>
      </c>
      <c r="H452">
        <v>2</v>
      </c>
      <c r="I452" t="s">
        <v>490</v>
      </c>
      <c r="J452" t="s">
        <v>491</v>
      </c>
      <c r="K452" t="s">
        <v>492</v>
      </c>
      <c r="L452">
        <v>1368</v>
      </c>
      <c r="N452">
        <v>1011</v>
      </c>
      <c r="O452" t="s">
        <v>445</v>
      </c>
      <c r="P452" t="s">
        <v>445</v>
      </c>
      <c r="Q452">
        <v>1</v>
      </c>
      <c r="X452">
        <v>4.5999999999999996</v>
      </c>
      <c r="Y452">
        <v>0</v>
      </c>
      <c r="Z452">
        <v>0.73</v>
      </c>
      <c r="AA452">
        <v>0</v>
      </c>
      <c r="AB452">
        <v>0</v>
      </c>
      <c r="AC452">
        <v>0</v>
      </c>
      <c r="AD452">
        <v>1</v>
      </c>
      <c r="AE452">
        <v>0</v>
      </c>
      <c r="AF452" t="s">
        <v>22</v>
      </c>
      <c r="AG452">
        <v>5.0599999999999996</v>
      </c>
      <c r="AH452">
        <v>3</v>
      </c>
      <c r="AI452">
        <v>-1</v>
      </c>
      <c r="AJ452" t="s">
        <v>3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">
      <c r="A453">
        <f>ROW(Source!A129)</f>
        <v>129</v>
      </c>
      <c r="B453">
        <v>56616821</v>
      </c>
      <c r="C453">
        <v>56616815</v>
      </c>
      <c r="D453">
        <v>46723498</v>
      </c>
      <c r="E453">
        <v>1</v>
      </c>
      <c r="F453">
        <v>1</v>
      </c>
      <c r="G453">
        <v>27786564</v>
      </c>
      <c r="H453">
        <v>3</v>
      </c>
      <c r="I453" t="s">
        <v>496</v>
      </c>
      <c r="J453" t="s">
        <v>497</v>
      </c>
      <c r="K453" t="s">
        <v>498</v>
      </c>
      <c r="L453">
        <v>1348</v>
      </c>
      <c r="N453">
        <v>1009</v>
      </c>
      <c r="O453" t="s">
        <v>367</v>
      </c>
      <c r="P453" t="s">
        <v>367</v>
      </c>
      <c r="Q453">
        <v>1000</v>
      </c>
      <c r="X453">
        <v>6.0000000000000002E-5</v>
      </c>
      <c r="Y453">
        <v>11242.42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 t="s">
        <v>3</v>
      </c>
      <c r="AG453">
        <v>6.0000000000000002E-5</v>
      </c>
      <c r="AH453">
        <v>3</v>
      </c>
      <c r="AI453">
        <v>-1</v>
      </c>
      <c r="AJ453" t="s">
        <v>3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">
      <c r="A454">
        <f>ROW(Source!A129)</f>
        <v>129</v>
      </c>
      <c r="B454">
        <v>56616822</v>
      </c>
      <c r="C454">
        <v>56616815</v>
      </c>
      <c r="D454">
        <v>45796980</v>
      </c>
      <c r="E454">
        <v>1</v>
      </c>
      <c r="F454">
        <v>1</v>
      </c>
      <c r="G454">
        <v>27786564</v>
      </c>
      <c r="H454">
        <v>3</v>
      </c>
      <c r="I454" t="s">
        <v>499</v>
      </c>
      <c r="J454" t="s">
        <v>500</v>
      </c>
      <c r="K454" t="s">
        <v>501</v>
      </c>
      <c r="L454">
        <v>1346</v>
      </c>
      <c r="N454">
        <v>1009</v>
      </c>
      <c r="O454" t="s">
        <v>104</v>
      </c>
      <c r="P454" t="s">
        <v>104</v>
      </c>
      <c r="Q454">
        <v>1</v>
      </c>
      <c r="X454">
        <v>0.8</v>
      </c>
      <c r="Y454">
        <v>25.8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 t="s">
        <v>3</v>
      </c>
      <c r="AG454">
        <v>0.8</v>
      </c>
      <c r="AH454">
        <v>3</v>
      </c>
      <c r="AI454">
        <v>-1</v>
      </c>
      <c r="AJ454" t="s">
        <v>3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">
      <c r="A455">
        <f>ROW(Source!A129)</f>
        <v>129</v>
      </c>
      <c r="B455">
        <v>56616823</v>
      </c>
      <c r="C455">
        <v>56616815</v>
      </c>
      <c r="D455">
        <v>46723689</v>
      </c>
      <c r="E455">
        <v>1</v>
      </c>
      <c r="F455">
        <v>1</v>
      </c>
      <c r="G455">
        <v>27786564</v>
      </c>
      <c r="H455">
        <v>3</v>
      </c>
      <c r="I455" t="s">
        <v>502</v>
      </c>
      <c r="J455" t="s">
        <v>503</v>
      </c>
      <c r="K455" t="s">
        <v>504</v>
      </c>
      <c r="L455">
        <v>1348</v>
      </c>
      <c r="N455">
        <v>1009</v>
      </c>
      <c r="O455" t="s">
        <v>367</v>
      </c>
      <c r="P455" t="s">
        <v>367</v>
      </c>
      <c r="Q455">
        <v>1000</v>
      </c>
      <c r="X455">
        <v>5.0000000000000001E-4</v>
      </c>
      <c r="Y455">
        <v>60966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 t="s">
        <v>3</v>
      </c>
      <c r="AG455">
        <v>5.0000000000000001E-4</v>
      </c>
      <c r="AH455">
        <v>3</v>
      </c>
      <c r="AI455">
        <v>-1</v>
      </c>
      <c r="AJ455" t="s">
        <v>3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">
      <c r="A456">
        <f>ROW(Source!A129)</f>
        <v>129</v>
      </c>
      <c r="B456">
        <v>56616824</v>
      </c>
      <c r="C456">
        <v>56616815</v>
      </c>
      <c r="D456">
        <v>46723704</v>
      </c>
      <c r="E456">
        <v>1</v>
      </c>
      <c r="F456">
        <v>1</v>
      </c>
      <c r="G456">
        <v>27786564</v>
      </c>
      <c r="H456">
        <v>3</v>
      </c>
      <c r="I456" t="s">
        <v>505</v>
      </c>
      <c r="J456" t="s">
        <v>506</v>
      </c>
      <c r="K456" t="s">
        <v>507</v>
      </c>
      <c r="L456">
        <v>1348</v>
      </c>
      <c r="N456">
        <v>1009</v>
      </c>
      <c r="O456" t="s">
        <v>367</v>
      </c>
      <c r="P456" t="s">
        <v>367</v>
      </c>
      <c r="Q456">
        <v>1000</v>
      </c>
      <c r="X456">
        <v>4.0000000000000003E-5</v>
      </c>
      <c r="Y456">
        <v>7982.5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 t="s">
        <v>3</v>
      </c>
      <c r="AG456">
        <v>4.0000000000000003E-5</v>
      </c>
      <c r="AH456">
        <v>3</v>
      </c>
      <c r="AI456">
        <v>-1</v>
      </c>
      <c r="AJ456" t="s">
        <v>3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">
      <c r="A457">
        <f>ROW(Source!A129)</f>
        <v>129</v>
      </c>
      <c r="B457">
        <v>56616825</v>
      </c>
      <c r="C457">
        <v>56616815</v>
      </c>
      <c r="D457">
        <v>46735845</v>
      </c>
      <c r="E457">
        <v>1</v>
      </c>
      <c r="F457">
        <v>1</v>
      </c>
      <c r="G457">
        <v>27786564</v>
      </c>
      <c r="H457">
        <v>3</v>
      </c>
      <c r="I457" t="s">
        <v>508</v>
      </c>
      <c r="J457" t="s">
        <v>553</v>
      </c>
      <c r="K457" t="s">
        <v>510</v>
      </c>
      <c r="L457">
        <v>1356</v>
      </c>
      <c r="N457">
        <v>1010</v>
      </c>
      <c r="O457" t="s">
        <v>511</v>
      </c>
      <c r="P457" t="s">
        <v>511</v>
      </c>
      <c r="Q457">
        <v>1000</v>
      </c>
      <c r="X457">
        <v>4.0999999999999999E-4</v>
      </c>
      <c r="Y457">
        <v>226.68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 t="s">
        <v>3</v>
      </c>
      <c r="AG457">
        <v>4.0999999999999999E-4</v>
      </c>
      <c r="AH457">
        <v>3</v>
      </c>
      <c r="AI457">
        <v>-1</v>
      </c>
      <c r="AJ457" t="s">
        <v>3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">
      <c r="A458">
        <f>ROW(Source!A129)</f>
        <v>129</v>
      </c>
      <c r="B458">
        <v>56616826</v>
      </c>
      <c r="C458">
        <v>56616815</v>
      </c>
      <c r="D458">
        <v>46735506</v>
      </c>
      <c r="E458">
        <v>1</v>
      </c>
      <c r="F458">
        <v>1</v>
      </c>
      <c r="G458">
        <v>27786564</v>
      </c>
      <c r="H458">
        <v>3</v>
      </c>
      <c r="I458" t="s">
        <v>512</v>
      </c>
      <c r="J458" t="s">
        <v>513</v>
      </c>
      <c r="K458" t="s">
        <v>514</v>
      </c>
      <c r="L458">
        <v>1301</v>
      </c>
      <c r="N458">
        <v>1003</v>
      </c>
      <c r="O458" t="s">
        <v>55</v>
      </c>
      <c r="P458" t="s">
        <v>55</v>
      </c>
      <c r="Q458">
        <v>1</v>
      </c>
      <c r="X458">
        <v>0.96</v>
      </c>
      <c r="Y458">
        <v>0.7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 t="s">
        <v>3</v>
      </c>
      <c r="AG458">
        <v>0.96</v>
      </c>
      <c r="AH458">
        <v>3</v>
      </c>
      <c r="AI458">
        <v>-1</v>
      </c>
      <c r="AJ458" t="s">
        <v>3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">
      <c r="A459">
        <f>ROW(Source!A129)</f>
        <v>129</v>
      </c>
      <c r="B459">
        <v>56616827</v>
      </c>
      <c r="C459">
        <v>56616815</v>
      </c>
      <c r="D459">
        <v>46735508</v>
      </c>
      <c r="E459">
        <v>1</v>
      </c>
      <c r="F459">
        <v>1</v>
      </c>
      <c r="G459">
        <v>27786564</v>
      </c>
      <c r="H459">
        <v>3</v>
      </c>
      <c r="I459" t="s">
        <v>515</v>
      </c>
      <c r="J459" t="s">
        <v>516</v>
      </c>
      <c r="K459" t="s">
        <v>517</v>
      </c>
      <c r="L459">
        <v>1356</v>
      </c>
      <c r="N459">
        <v>1010</v>
      </c>
      <c r="O459" t="s">
        <v>511</v>
      </c>
      <c r="P459" t="s">
        <v>511</v>
      </c>
      <c r="Q459">
        <v>1000</v>
      </c>
      <c r="X459">
        <v>8.3199999999999993E-3</v>
      </c>
      <c r="Y459">
        <v>6.44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 t="s">
        <v>3</v>
      </c>
      <c r="AG459">
        <v>8.3199999999999993E-3</v>
      </c>
      <c r="AH459">
        <v>3</v>
      </c>
      <c r="AI459">
        <v>-1</v>
      </c>
      <c r="AJ459" t="s">
        <v>3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">
      <c r="A460">
        <f>ROW(Source!A129)</f>
        <v>129</v>
      </c>
      <c r="B460">
        <v>56616828</v>
      </c>
      <c r="C460">
        <v>56616815</v>
      </c>
      <c r="D460">
        <v>49717618</v>
      </c>
      <c r="E460">
        <v>27786564</v>
      </c>
      <c r="F460">
        <v>1</v>
      </c>
      <c r="G460">
        <v>27786564</v>
      </c>
      <c r="H460">
        <v>3</v>
      </c>
      <c r="I460" t="s">
        <v>554</v>
      </c>
      <c r="J460" t="s">
        <v>3</v>
      </c>
      <c r="K460" t="s">
        <v>555</v>
      </c>
      <c r="L460">
        <v>1303</v>
      </c>
      <c r="N460">
        <v>1003</v>
      </c>
      <c r="O460" t="s">
        <v>556</v>
      </c>
      <c r="P460" t="s">
        <v>556</v>
      </c>
      <c r="Q460">
        <v>1000</v>
      </c>
      <c r="X460">
        <v>0.10199999999999999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 t="s">
        <v>3</v>
      </c>
      <c r="AG460">
        <v>0.10199999999999999</v>
      </c>
      <c r="AH460">
        <v>3</v>
      </c>
      <c r="AI460">
        <v>-1</v>
      </c>
      <c r="AJ460" t="s">
        <v>3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">
      <c r="A461">
        <f>ROW(Source!A129)</f>
        <v>129</v>
      </c>
      <c r="B461">
        <v>56616829</v>
      </c>
      <c r="C461">
        <v>56616815</v>
      </c>
      <c r="D461">
        <v>46556476</v>
      </c>
      <c r="E461">
        <v>27786564</v>
      </c>
      <c r="F461">
        <v>1</v>
      </c>
      <c r="G461">
        <v>27786564</v>
      </c>
      <c r="H461">
        <v>3</v>
      </c>
      <c r="I461" t="s">
        <v>557</v>
      </c>
      <c r="J461" t="s">
        <v>3</v>
      </c>
      <c r="K461" t="s">
        <v>558</v>
      </c>
      <c r="L461">
        <v>1354</v>
      </c>
      <c r="N461">
        <v>1010</v>
      </c>
      <c r="O461" t="s">
        <v>88</v>
      </c>
      <c r="P461" t="s">
        <v>88</v>
      </c>
      <c r="Q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 t="s">
        <v>3</v>
      </c>
      <c r="AG461">
        <v>0</v>
      </c>
      <c r="AH461">
        <v>3</v>
      </c>
      <c r="AI461">
        <v>-1</v>
      </c>
      <c r="AJ461" t="s">
        <v>3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">
      <c r="A462">
        <f>ROW(Source!A130)</f>
        <v>130</v>
      </c>
      <c r="B462">
        <v>56616817</v>
      </c>
      <c r="C462">
        <v>56616815</v>
      </c>
      <c r="D462">
        <v>47634407</v>
      </c>
      <c r="E462">
        <v>27786564</v>
      </c>
      <c r="F462">
        <v>1</v>
      </c>
      <c r="G462">
        <v>27786564</v>
      </c>
      <c r="H462">
        <v>1</v>
      </c>
      <c r="I462" t="s">
        <v>439</v>
      </c>
      <c r="J462" t="s">
        <v>3</v>
      </c>
      <c r="K462" t="s">
        <v>440</v>
      </c>
      <c r="L462">
        <v>1191</v>
      </c>
      <c r="N462">
        <v>1013</v>
      </c>
      <c r="O462" t="s">
        <v>441</v>
      </c>
      <c r="P462" t="s">
        <v>441</v>
      </c>
      <c r="Q462">
        <v>1</v>
      </c>
      <c r="X462">
        <v>20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1</v>
      </c>
      <c r="AF462" t="s">
        <v>22</v>
      </c>
      <c r="AG462">
        <v>22</v>
      </c>
      <c r="AH462">
        <v>2</v>
      </c>
      <c r="AI462">
        <v>56616816</v>
      </c>
      <c r="AJ462">
        <v>112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">
      <c r="A463">
        <f>ROW(Source!A130)</f>
        <v>130</v>
      </c>
      <c r="B463">
        <v>56616818</v>
      </c>
      <c r="C463">
        <v>56616815</v>
      </c>
      <c r="D463">
        <v>47767106</v>
      </c>
      <c r="E463">
        <v>1</v>
      </c>
      <c r="F463">
        <v>1</v>
      </c>
      <c r="G463">
        <v>27786564</v>
      </c>
      <c r="H463">
        <v>2</v>
      </c>
      <c r="I463" t="s">
        <v>487</v>
      </c>
      <c r="J463" t="s">
        <v>488</v>
      </c>
      <c r="K463" t="s">
        <v>489</v>
      </c>
      <c r="L463">
        <v>1368</v>
      </c>
      <c r="N463">
        <v>1011</v>
      </c>
      <c r="O463" t="s">
        <v>445</v>
      </c>
      <c r="P463" t="s">
        <v>445</v>
      </c>
      <c r="Q463">
        <v>1</v>
      </c>
      <c r="X463">
        <v>1.06</v>
      </c>
      <c r="Y463">
        <v>0</v>
      </c>
      <c r="Z463">
        <v>83.1</v>
      </c>
      <c r="AA463">
        <v>12.62</v>
      </c>
      <c r="AB463">
        <v>0</v>
      </c>
      <c r="AC463">
        <v>0</v>
      </c>
      <c r="AD463">
        <v>1</v>
      </c>
      <c r="AE463">
        <v>0</v>
      </c>
      <c r="AF463" t="s">
        <v>22</v>
      </c>
      <c r="AG463">
        <v>1.1660000000000001</v>
      </c>
      <c r="AH463">
        <v>3</v>
      </c>
      <c r="AI463">
        <v>-1</v>
      </c>
      <c r="AJ463" t="s">
        <v>3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">
      <c r="A464">
        <f>ROW(Source!A130)</f>
        <v>130</v>
      </c>
      <c r="B464">
        <v>56616819</v>
      </c>
      <c r="C464">
        <v>56616815</v>
      </c>
      <c r="D464">
        <v>47766535</v>
      </c>
      <c r="E464">
        <v>1</v>
      </c>
      <c r="F464">
        <v>1</v>
      </c>
      <c r="G464">
        <v>27786564</v>
      </c>
      <c r="H464">
        <v>2</v>
      </c>
      <c r="I464" t="s">
        <v>541</v>
      </c>
      <c r="J464" t="s">
        <v>542</v>
      </c>
      <c r="K464" t="s">
        <v>543</v>
      </c>
      <c r="L464">
        <v>1368</v>
      </c>
      <c r="N464">
        <v>1011</v>
      </c>
      <c r="O464" t="s">
        <v>445</v>
      </c>
      <c r="P464" t="s">
        <v>445</v>
      </c>
      <c r="Q464">
        <v>1</v>
      </c>
      <c r="X464">
        <v>4.2699999999999996</v>
      </c>
      <c r="Y464">
        <v>0</v>
      </c>
      <c r="Z464">
        <v>2.27</v>
      </c>
      <c r="AA464">
        <v>0</v>
      </c>
      <c r="AB464">
        <v>0</v>
      </c>
      <c r="AC464">
        <v>0</v>
      </c>
      <c r="AD464">
        <v>1</v>
      </c>
      <c r="AE464">
        <v>0</v>
      </c>
      <c r="AF464" t="s">
        <v>22</v>
      </c>
      <c r="AG464">
        <v>4.6970000000000001</v>
      </c>
      <c r="AH464">
        <v>3</v>
      </c>
      <c r="AI464">
        <v>-1</v>
      </c>
      <c r="AJ464" t="s">
        <v>3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">
      <c r="A465">
        <f>ROW(Source!A130)</f>
        <v>130</v>
      </c>
      <c r="B465">
        <v>56616820</v>
      </c>
      <c r="C465">
        <v>56616815</v>
      </c>
      <c r="D465">
        <v>47766545</v>
      </c>
      <c r="E465">
        <v>1</v>
      </c>
      <c r="F465">
        <v>1</v>
      </c>
      <c r="G465">
        <v>27786564</v>
      </c>
      <c r="H465">
        <v>2</v>
      </c>
      <c r="I465" t="s">
        <v>490</v>
      </c>
      <c r="J465" t="s">
        <v>491</v>
      </c>
      <c r="K465" t="s">
        <v>492</v>
      </c>
      <c r="L465">
        <v>1368</v>
      </c>
      <c r="N465">
        <v>1011</v>
      </c>
      <c r="O465" t="s">
        <v>445</v>
      </c>
      <c r="P465" t="s">
        <v>445</v>
      </c>
      <c r="Q465">
        <v>1</v>
      </c>
      <c r="X465">
        <v>4.5999999999999996</v>
      </c>
      <c r="Y465">
        <v>0</v>
      </c>
      <c r="Z465">
        <v>0.73</v>
      </c>
      <c r="AA465">
        <v>0</v>
      </c>
      <c r="AB465">
        <v>0</v>
      </c>
      <c r="AC465">
        <v>0</v>
      </c>
      <c r="AD465">
        <v>1</v>
      </c>
      <c r="AE465">
        <v>0</v>
      </c>
      <c r="AF465" t="s">
        <v>22</v>
      </c>
      <c r="AG465">
        <v>5.0599999999999996</v>
      </c>
      <c r="AH465">
        <v>3</v>
      </c>
      <c r="AI465">
        <v>-1</v>
      </c>
      <c r="AJ465" t="s">
        <v>3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">
      <c r="A466">
        <f>ROW(Source!A130)</f>
        <v>130</v>
      </c>
      <c r="B466">
        <v>56616821</v>
      </c>
      <c r="C466">
        <v>56616815</v>
      </c>
      <c r="D466">
        <v>46723498</v>
      </c>
      <c r="E466">
        <v>1</v>
      </c>
      <c r="F466">
        <v>1</v>
      </c>
      <c r="G466">
        <v>27786564</v>
      </c>
      <c r="H466">
        <v>3</v>
      </c>
      <c r="I466" t="s">
        <v>496</v>
      </c>
      <c r="J466" t="s">
        <v>497</v>
      </c>
      <c r="K466" t="s">
        <v>498</v>
      </c>
      <c r="L466">
        <v>1348</v>
      </c>
      <c r="N466">
        <v>1009</v>
      </c>
      <c r="O466" t="s">
        <v>367</v>
      </c>
      <c r="P466" t="s">
        <v>367</v>
      </c>
      <c r="Q466">
        <v>1000</v>
      </c>
      <c r="X466">
        <v>6.0000000000000002E-5</v>
      </c>
      <c r="Y466">
        <v>11242.42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 t="s">
        <v>3</v>
      </c>
      <c r="AG466">
        <v>6.0000000000000002E-5</v>
      </c>
      <c r="AH466">
        <v>3</v>
      </c>
      <c r="AI466">
        <v>-1</v>
      </c>
      <c r="AJ466" t="s">
        <v>3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">
      <c r="A467">
        <f>ROW(Source!A130)</f>
        <v>130</v>
      </c>
      <c r="B467">
        <v>56616822</v>
      </c>
      <c r="C467">
        <v>56616815</v>
      </c>
      <c r="D467">
        <v>45796980</v>
      </c>
      <c r="E467">
        <v>1</v>
      </c>
      <c r="F467">
        <v>1</v>
      </c>
      <c r="G467">
        <v>27786564</v>
      </c>
      <c r="H467">
        <v>3</v>
      </c>
      <c r="I467" t="s">
        <v>499</v>
      </c>
      <c r="J467" t="s">
        <v>500</v>
      </c>
      <c r="K467" t="s">
        <v>501</v>
      </c>
      <c r="L467">
        <v>1346</v>
      </c>
      <c r="N467">
        <v>1009</v>
      </c>
      <c r="O467" t="s">
        <v>104</v>
      </c>
      <c r="P467" t="s">
        <v>104</v>
      </c>
      <c r="Q467">
        <v>1</v>
      </c>
      <c r="X467">
        <v>0.8</v>
      </c>
      <c r="Y467">
        <v>25.8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 t="s">
        <v>3</v>
      </c>
      <c r="AG467">
        <v>0.8</v>
      </c>
      <c r="AH467">
        <v>3</v>
      </c>
      <c r="AI467">
        <v>-1</v>
      </c>
      <c r="AJ467" t="s">
        <v>3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">
      <c r="A468">
        <f>ROW(Source!A130)</f>
        <v>130</v>
      </c>
      <c r="B468">
        <v>56616823</v>
      </c>
      <c r="C468">
        <v>56616815</v>
      </c>
      <c r="D468">
        <v>46723689</v>
      </c>
      <c r="E468">
        <v>1</v>
      </c>
      <c r="F468">
        <v>1</v>
      </c>
      <c r="G468">
        <v>27786564</v>
      </c>
      <c r="H468">
        <v>3</v>
      </c>
      <c r="I468" t="s">
        <v>502</v>
      </c>
      <c r="J468" t="s">
        <v>503</v>
      </c>
      <c r="K468" t="s">
        <v>504</v>
      </c>
      <c r="L468">
        <v>1348</v>
      </c>
      <c r="N468">
        <v>1009</v>
      </c>
      <c r="O468" t="s">
        <v>367</v>
      </c>
      <c r="P468" t="s">
        <v>367</v>
      </c>
      <c r="Q468">
        <v>1000</v>
      </c>
      <c r="X468">
        <v>5.0000000000000001E-4</v>
      </c>
      <c r="Y468">
        <v>60966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 t="s">
        <v>3</v>
      </c>
      <c r="AG468">
        <v>5.0000000000000001E-4</v>
      </c>
      <c r="AH468">
        <v>3</v>
      </c>
      <c r="AI468">
        <v>-1</v>
      </c>
      <c r="AJ468" t="s">
        <v>3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">
      <c r="A469">
        <f>ROW(Source!A130)</f>
        <v>130</v>
      </c>
      <c r="B469">
        <v>56616824</v>
      </c>
      <c r="C469">
        <v>56616815</v>
      </c>
      <c r="D469">
        <v>46723704</v>
      </c>
      <c r="E469">
        <v>1</v>
      </c>
      <c r="F469">
        <v>1</v>
      </c>
      <c r="G469">
        <v>27786564</v>
      </c>
      <c r="H469">
        <v>3</v>
      </c>
      <c r="I469" t="s">
        <v>505</v>
      </c>
      <c r="J469" t="s">
        <v>506</v>
      </c>
      <c r="K469" t="s">
        <v>507</v>
      </c>
      <c r="L469">
        <v>1348</v>
      </c>
      <c r="N469">
        <v>1009</v>
      </c>
      <c r="O469" t="s">
        <v>367</v>
      </c>
      <c r="P469" t="s">
        <v>367</v>
      </c>
      <c r="Q469">
        <v>1000</v>
      </c>
      <c r="X469">
        <v>4.0000000000000003E-5</v>
      </c>
      <c r="Y469">
        <v>7982.5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 t="s">
        <v>3</v>
      </c>
      <c r="AG469">
        <v>4.0000000000000003E-5</v>
      </c>
      <c r="AH469">
        <v>3</v>
      </c>
      <c r="AI469">
        <v>-1</v>
      </c>
      <c r="AJ469" t="s">
        <v>3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">
      <c r="A470">
        <f>ROW(Source!A130)</f>
        <v>130</v>
      </c>
      <c r="B470">
        <v>56616825</v>
      </c>
      <c r="C470">
        <v>56616815</v>
      </c>
      <c r="D470">
        <v>46735845</v>
      </c>
      <c r="E470">
        <v>1</v>
      </c>
      <c r="F470">
        <v>1</v>
      </c>
      <c r="G470">
        <v>27786564</v>
      </c>
      <c r="H470">
        <v>3</v>
      </c>
      <c r="I470" t="s">
        <v>508</v>
      </c>
      <c r="J470" t="s">
        <v>553</v>
      </c>
      <c r="K470" t="s">
        <v>510</v>
      </c>
      <c r="L470">
        <v>1356</v>
      </c>
      <c r="N470">
        <v>1010</v>
      </c>
      <c r="O470" t="s">
        <v>511</v>
      </c>
      <c r="P470" t="s">
        <v>511</v>
      </c>
      <c r="Q470">
        <v>1000</v>
      </c>
      <c r="X470">
        <v>4.0999999999999999E-4</v>
      </c>
      <c r="Y470">
        <v>226.68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3</v>
      </c>
      <c r="AG470">
        <v>4.0999999999999999E-4</v>
      </c>
      <c r="AH470">
        <v>3</v>
      </c>
      <c r="AI470">
        <v>-1</v>
      </c>
      <c r="AJ470" t="s">
        <v>3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">
      <c r="A471">
        <f>ROW(Source!A130)</f>
        <v>130</v>
      </c>
      <c r="B471">
        <v>56616826</v>
      </c>
      <c r="C471">
        <v>56616815</v>
      </c>
      <c r="D471">
        <v>46735506</v>
      </c>
      <c r="E471">
        <v>1</v>
      </c>
      <c r="F471">
        <v>1</v>
      </c>
      <c r="G471">
        <v>27786564</v>
      </c>
      <c r="H471">
        <v>3</v>
      </c>
      <c r="I471" t="s">
        <v>512</v>
      </c>
      <c r="J471" t="s">
        <v>513</v>
      </c>
      <c r="K471" t="s">
        <v>514</v>
      </c>
      <c r="L471">
        <v>1301</v>
      </c>
      <c r="N471">
        <v>1003</v>
      </c>
      <c r="O471" t="s">
        <v>55</v>
      </c>
      <c r="P471" t="s">
        <v>55</v>
      </c>
      <c r="Q471">
        <v>1</v>
      </c>
      <c r="X471">
        <v>0.96</v>
      </c>
      <c r="Y471">
        <v>0.7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3</v>
      </c>
      <c r="AG471">
        <v>0.96</v>
      </c>
      <c r="AH471">
        <v>3</v>
      </c>
      <c r="AI471">
        <v>-1</v>
      </c>
      <c r="AJ471" t="s">
        <v>3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">
      <c r="A472">
        <f>ROW(Source!A130)</f>
        <v>130</v>
      </c>
      <c r="B472">
        <v>56616827</v>
      </c>
      <c r="C472">
        <v>56616815</v>
      </c>
      <c r="D472">
        <v>46735508</v>
      </c>
      <c r="E472">
        <v>1</v>
      </c>
      <c r="F472">
        <v>1</v>
      </c>
      <c r="G472">
        <v>27786564</v>
      </c>
      <c r="H472">
        <v>3</v>
      </c>
      <c r="I472" t="s">
        <v>515</v>
      </c>
      <c r="J472" t="s">
        <v>516</v>
      </c>
      <c r="K472" t="s">
        <v>517</v>
      </c>
      <c r="L472">
        <v>1356</v>
      </c>
      <c r="N472">
        <v>1010</v>
      </c>
      <c r="O472" t="s">
        <v>511</v>
      </c>
      <c r="P472" t="s">
        <v>511</v>
      </c>
      <c r="Q472">
        <v>1000</v>
      </c>
      <c r="X472">
        <v>8.3199999999999993E-3</v>
      </c>
      <c r="Y472">
        <v>6.44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 t="s">
        <v>3</v>
      </c>
      <c r="AG472">
        <v>8.3199999999999993E-3</v>
      </c>
      <c r="AH472">
        <v>3</v>
      </c>
      <c r="AI472">
        <v>-1</v>
      </c>
      <c r="AJ472" t="s">
        <v>3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">
      <c r="A473">
        <f>ROW(Source!A130)</f>
        <v>130</v>
      </c>
      <c r="B473">
        <v>56616828</v>
      </c>
      <c r="C473">
        <v>56616815</v>
      </c>
      <c r="D473">
        <v>49717618</v>
      </c>
      <c r="E473">
        <v>27786564</v>
      </c>
      <c r="F473">
        <v>1</v>
      </c>
      <c r="G473">
        <v>27786564</v>
      </c>
      <c r="H473">
        <v>3</v>
      </c>
      <c r="I473" t="s">
        <v>554</v>
      </c>
      <c r="J473" t="s">
        <v>3</v>
      </c>
      <c r="K473" t="s">
        <v>555</v>
      </c>
      <c r="L473">
        <v>1303</v>
      </c>
      <c r="N473">
        <v>1003</v>
      </c>
      <c r="O473" t="s">
        <v>556</v>
      </c>
      <c r="P473" t="s">
        <v>556</v>
      </c>
      <c r="Q473">
        <v>1000</v>
      </c>
      <c r="X473">
        <v>0.10199999999999999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 t="s">
        <v>3</v>
      </c>
      <c r="AG473">
        <v>0.10199999999999999</v>
      </c>
      <c r="AH473">
        <v>3</v>
      </c>
      <c r="AI473">
        <v>-1</v>
      </c>
      <c r="AJ473" t="s">
        <v>3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">
      <c r="A474">
        <f>ROW(Source!A130)</f>
        <v>130</v>
      </c>
      <c r="B474">
        <v>56616829</v>
      </c>
      <c r="C474">
        <v>56616815</v>
      </c>
      <c r="D474">
        <v>46556476</v>
      </c>
      <c r="E474">
        <v>27786564</v>
      </c>
      <c r="F474">
        <v>1</v>
      </c>
      <c r="G474">
        <v>27786564</v>
      </c>
      <c r="H474">
        <v>3</v>
      </c>
      <c r="I474" t="s">
        <v>557</v>
      </c>
      <c r="J474" t="s">
        <v>3</v>
      </c>
      <c r="K474" t="s">
        <v>558</v>
      </c>
      <c r="L474">
        <v>1354</v>
      </c>
      <c r="N474">
        <v>1010</v>
      </c>
      <c r="O474" t="s">
        <v>88</v>
      </c>
      <c r="P474" t="s">
        <v>88</v>
      </c>
      <c r="Q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 t="s">
        <v>3</v>
      </c>
      <c r="AG474">
        <v>0</v>
      </c>
      <c r="AH474">
        <v>3</v>
      </c>
      <c r="AI474">
        <v>-1</v>
      </c>
      <c r="AJ474" t="s">
        <v>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">
      <c r="A475">
        <f>ROW(Source!A131)</f>
        <v>131</v>
      </c>
      <c r="B475">
        <v>56616832</v>
      </c>
      <c r="C475">
        <v>56616830</v>
      </c>
      <c r="D475">
        <v>47634407</v>
      </c>
      <c r="E475">
        <v>27786564</v>
      </c>
      <c r="F475">
        <v>1</v>
      </c>
      <c r="G475">
        <v>27786564</v>
      </c>
      <c r="H475">
        <v>1</v>
      </c>
      <c r="I475" t="s">
        <v>439</v>
      </c>
      <c r="J475" t="s">
        <v>3</v>
      </c>
      <c r="K475" t="s">
        <v>440</v>
      </c>
      <c r="L475">
        <v>1191</v>
      </c>
      <c r="N475">
        <v>1013</v>
      </c>
      <c r="O475" t="s">
        <v>441</v>
      </c>
      <c r="P475" t="s">
        <v>441</v>
      </c>
      <c r="Q475">
        <v>1</v>
      </c>
      <c r="X475">
        <v>20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1</v>
      </c>
      <c r="AF475" t="s">
        <v>22</v>
      </c>
      <c r="AG475">
        <v>22</v>
      </c>
      <c r="AH475">
        <v>2</v>
      </c>
      <c r="AI475">
        <v>56616831</v>
      </c>
      <c r="AJ475">
        <v>113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">
      <c r="A476">
        <f>ROW(Source!A131)</f>
        <v>131</v>
      </c>
      <c r="B476">
        <v>56616833</v>
      </c>
      <c r="C476">
        <v>56616830</v>
      </c>
      <c r="D476">
        <v>47767106</v>
      </c>
      <c r="E476">
        <v>1</v>
      </c>
      <c r="F476">
        <v>1</v>
      </c>
      <c r="G476">
        <v>27786564</v>
      </c>
      <c r="H476">
        <v>2</v>
      </c>
      <c r="I476" t="s">
        <v>487</v>
      </c>
      <c r="J476" t="s">
        <v>488</v>
      </c>
      <c r="K476" t="s">
        <v>489</v>
      </c>
      <c r="L476">
        <v>1368</v>
      </c>
      <c r="N476">
        <v>1011</v>
      </c>
      <c r="O476" t="s">
        <v>445</v>
      </c>
      <c r="P476" t="s">
        <v>445</v>
      </c>
      <c r="Q476">
        <v>1</v>
      </c>
      <c r="X476">
        <v>1.06</v>
      </c>
      <c r="Y476">
        <v>0</v>
      </c>
      <c r="Z476">
        <v>83.1</v>
      </c>
      <c r="AA476">
        <v>12.62</v>
      </c>
      <c r="AB476">
        <v>0</v>
      </c>
      <c r="AC476">
        <v>0</v>
      </c>
      <c r="AD476">
        <v>1</v>
      </c>
      <c r="AE476">
        <v>0</v>
      </c>
      <c r="AF476" t="s">
        <v>22</v>
      </c>
      <c r="AG476">
        <v>1.1660000000000001</v>
      </c>
      <c r="AH476">
        <v>3</v>
      </c>
      <c r="AI476">
        <v>-1</v>
      </c>
      <c r="AJ476" t="s">
        <v>3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">
      <c r="A477">
        <f>ROW(Source!A131)</f>
        <v>131</v>
      </c>
      <c r="B477">
        <v>56616834</v>
      </c>
      <c r="C477">
        <v>56616830</v>
      </c>
      <c r="D477">
        <v>47766535</v>
      </c>
      <c r="E477">
        <v>1</v>
      </c>
      <c r="F477">
        <v>1</v>
      </c>
      <c r="G477">
        <v>27786564</v>
      </c>
      <c r="H477">
        <v>2</v>
      </c>
      <c r="I477" t="s">
        <v>541</v>
      </c>
      <c r="J477" t="s">
        <v>542</v>
      </c>
      <c r="K477" t="s">
        <v>543</v>
      </c>
      <c r="L477">
        <v>1368</v>
      </c>
      <c r="N477">
        <v>1011</v>
      </c>
      <c r="O477" t="s">
        <v>445</v>
      </c>
      <c r="P477" t="s">
        <v>445</v>
      </c>
      <c r="Q477">
        <v>1</v>
      </c>
      <c r="X477">
        <v>4.2699999999999996</v>
      </c>
      <c r="Y477">
        <v>0</v>
      </c>
      <c r="Z477">
        <v>2.27</v>
      </c>
      <c r="AA477">
        <v>0</v>
      </c>
      <c r="AB477">
        <v>0</v>
      </c>
      <c r="AC477">
        <v>0</v>
      </c>
      <c r="AD477">
        <v>1</v>
      </c>
      <c r="AE477">
        <v>0</v>
      </c>
      <c r="AF477" t="s">
        <v>22</v>
      </c>
      <c r="AG477">
        <v>4.6970000000000001</v>
      </c>
      <c r="AH477">
        <v>3</v>
      </c>
      <c r="AI477">
        <v>-1</v>
      </c>
      <c r="AJ477" t="s">
        <v>3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">
      <c r="A478">
        <f>ROW(Source!A131)</f>
        <v>131</v>
      </c>
      <c r="B478">
        <v>56616835</v>
      </c>
      <c r="C478">
        <v>56616830</v>
      </c>
      <c r="D478">
        <v>47766545</v>
      </c>
      <c r="E478">
        <v>1</v>
      </c>
      <c r="F478">
        <v>1</v>
      </c>
      <c r="G478">
        <v>27786564</v>
      </c>
      <c r="H478">
        <v>2</v>
      </c>
      <c r="I478" t="s">
        <v>490</v>
      </c>
      <c r="J478" t="s">
        <v>491</v>
      </c>
      <c r="K478" t="s">
        <v>492</v>
      </c>
      <c r="L478">
        <v>1368</v>
      </c>
      <c r="N478">
        <v>1011</v>
      </c>
      <c r="O478" t="s">
        <v>445</v>
      </c>
      <c r="P478" t="s">
        <v>445</v>
      </c>
      <c r="Q478">
        <v>1</v>
      </c>
      <c r="X478">
        <v>4.5999999999999996</v>
      </c>
      <c r="Y478">
        <v>0</v>
      </c>
      <c r="Z478">
        <v>0.73</v>
      </c>
      <c r="AA478">
        <v>0</v>
      </c>
      <c r="AB478">
        <v>0</v>
      </c>
      <c r="AC478">
        <v>0</v>
      </c>
      <c r="AD478">
        <v>1</v>
      </c>
      <c r="AE478">
        <v>0</v>
      </c>
      <c r="AF478" t="s">
        <v>22</v>
      </c>
      <c r="AG478">
        <v>5.0599999999999996</v>
      </c>
      <c r="AH478">
        <v>3</v>
      </c>
      <c r="AI478">
        <v>-1</v>
      </c>
      <c r="AJ478" t="s">
        <v>3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">
      <c r="A479">
        <f>ROW(Source!A131)</f>
        <v>131</v>
      </c>
      <c r="B479">
        <v>56616836</v>
      </c>
      <c r="C479">
        <v>56616830</v>
      </c>
      <c r="D479">
        <v>46723498</v>
      </c>
      <c r="E479">
        <v>1</v>
      </c>
      <c r="F479">
        <v>1</v>
      </c>
      <c r="G479">
        <v>27786564</v>
      </c>
      <c r="H479">
        <v>3</v>
      </c>
      <c r="I479" t="s">
        <v>496</v>
      </c>
      <c r="J479" t="s">
        <v>497</v>
      </c>
      <c r="K479" t="s">
        <v>498</v>
      </c>
      <c r="L479">
        <v>1348</v>
      </c>
      <c r="N479">
        <v>1009</v>
      </c>
      <c r="O479" t="s">
        <v>367</v>
      </c>
      <c r="P479" t="s">
        <v>367</v>
      </c>
      <c r="Q479">
        <v>1000</v>
      </c>
      <c r="X479">
        <v>6.0000000000000002E-5</v>
      </c>
      <c r="Y479">
        <v>11242.42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 t="s">
        <v>3</v>
      </c>
      <c r="AG479">
        <v>6.0000000000000002E-5</v>
      </c>
      <c r="AH479">
        <v>3</v>
      </c>
      <c r="AI479">
        <v>-1</v>
      </c>
      <c r="AJ479" t="s">
        <v>3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">
      <c r="A480">
        <f>ROW(Source!A131)</f>
        <v>131</v>
      </c>
      <c r="B480">
        <v>56616837</v>
      </c>
      <c r="C480">
        <v>56616830</v>
      </c>
      <c r="D480">
        <v>45796980</v>
      </c>
      <c r="E480">
        <v>1</v>
      </c>
      <c r="F480">
        <v>1</v>
      </c>
      <c r="G480">
        <v>27786564</v>
      </c>
      <c r="H480">
        <v>3</v>
      </c>
      <c r="I480" t="s">
        <v>499</v>
      </c>
      <c r="J480" t="s">
        <v>500</v>
      </c>
      <c r="K480" t="s">
        <v>501</v>
      </c>
      <c r="L480">
        <v>1346</v>
      </c>
      <c r="N480">
        <v>1009</v>
      </c>
      <c r="O480" t="s">
        <v>104</v>
      </c>
      <c r="P480" t="s">
        <v>104</v>
      </c>
      <c r="Q480">
        <v>1</v>
      </c>
      <c r="X480">
        <v>0.8</v>
      </c>
      <c r="Y480">
        <v>25.8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 t="s">
        <v>3</v>
      </c>
      <c r="AG480">
        <v>0.8</v>
      </c>
      <c r="AH480">
        <v>3</v>
      </c>
      <c r="AI480">
        <v>-1</v>
      </c>
      <c r="AJ480" t="s">
        <v>3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">
      <c r="A481">
        <f>ROW(Source!A131)</f>
        <v>131</v>
      </c>
      <c r="B481">
        <v>56616838</v>
      </c>
      <c r="C481">
        <v>56616830</v>
      </c>
      <c r="D481">
        <v>46723689</v>
      </c>
      <c r="E481">
        <v>1</v>
      </c>
      <c r="F481">
        <v>1</v>
      </c>
      <c r="G481">
        <v>27786564</v>
      </c>
      <c r="H481">
        <v>3</v>
      </c>
      <c r="I481" t="s">
        <v>502</v>
      </c>
      <c r="J481" t="s">
        <v>503</v>
      </c>
      <c r="K481" t="s">
        <v>504</v>
      </c>
      <c r="L481">
        <v>1348</v>
      </c>
      <c r="N481">
        <v>1009</v>
      </c>
      <c r="O481" t="s">
        <v>367</v>
      </c>
      <c r="P481" t="s">
        <v>367</v>
      </c>
      <c r="Q481">
        <v>1000</v>
      </c>
      <c r="X481">
        <v>5.0000000000000001E-4</v>
      </c>
      <c r="Y481">
        <v>60966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 t="s">
        <v>3</v>
      </c>
      <c r="AG481">
        <v>5.0000000000000001E-4</v>
      </c>
      <c r="AH481">
        <v>3</v>
      </c>
      <c r="AI481">
        <v>-1</v>
      </c>
      <c r="AJ481" t="s">
        <v>3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">
      <c r="A482">
        <f>ROW(Source!A131)</f>
        <v>131</v>
      </c>
      <c r="B482">
        <v>56616839</v>
      </c>
      <c r="C482">
        <v>56616830</v>
      </c>
      <c r="D482">
        <v>46723704</v>
      </c>
      <c r="E482">
        <v>1</v>
      </c>
      <c r="F482">
        <v>1</v>
      </c>
      <c r="G482">
        <v>27786564</v>
      </c>
      <c r="H482">
        <v>3</v>
      </c>
      <c r="I482" t="s">
        <v>505</v>
      </c>
      <c r="J482" t="s">
        <v>506</v>
      </c>
      <c r="K482" t="s">
        <v>507</v>
      </c>
      <c r="L482">
        <v>1348</v>
      </c>
      <c r="N482">
        <v>1009</v>
      </c>
      <c r="O482" t="s">
        <v>367</v>
      </c>
      <c r="P482" t="s">
        <v>367</v>
      </c>
      <c r="Q482">
        <v>1000</v>
      </c>
      <c r="X482">
        <v>4.0000000000000003E-5</v>
      </c>
      <c r="Y482">
        <v>7982.5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 t="s">
        <v>3</v>
      </c>
      <c r="AG482">
        <v>4.0000000000000003E-5</v>
      </c>
      <c r="AH482">
        <v>3</v>
      </c>
      <c r="AI482">
        <v>-1</v>
      </c>
      <c r="AJ482" t="s">
        <v>3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">
      <c r="A483">
        <f>ROW(Source!A131)</f>
        <v>131</v>
      </c>
      <c r="B483">
        <v>56616840</v>
      </c>
      <c r="C483">
        <v>56616830</v>
      </c>
      <c r="D483">
        <v>46735845</v>
      </c>
      <c r="E483">
        <v>1</v>
      </c>
      <c r="F483">
        <v>1</v>
      </c>
      <c r="G483">
        <v>27786564</v>
      </c>
      <c r="H483">
        <v>3</v>
      </c>
      <c r="I483" t="s">
        <v>508</v>
      </c>
      <c r="J483" t="s">
        <v>553</v>
      </c>
      <c r="K483" t="s">
        <v>510</v>
      </c>
      <c r="L483">
        <v>1356</v>
      </c>
      <c r="N483">
        <v>1010</v>
      </c>
      <c r="O483" t="s">
        <v>511</v>
      </c>
      <c r="P483" t="s">
        <v>511</v>
      </c>
      <c r="Q483">
        <v>1000</v>
      </c>
      <c r="X483">
        <v>4.0999999999999999E-4</v>
      </c>
      <c r="Y483">
        <v>226.68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 t="s">
        <v>3</v>
      </c>
      <c r="AG483">
        <v>4.0999999999999999E-4</v>
      </c>
      <c r="AH483">
        <v>3</v>
      </c>
      <c r="AI483">
        <v>-1</v>
      </c>
      <c r="AJ483" t="s">
        <v>3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">
      <c r="A484">
        <f>ROW(Source!A131)</f>
        <v>131</v>
      </c>
      <c r="B484">
        <v>56616841</v>
      </c>
      <c r="C484">
        <v>56616830</v>
      </c>
      <c r="D484">
        <v>46735506</v>
      </c>
      <c r="E484">
        <v>1</v>
      </c>
      <c r="F484">
        <v>1</v>
      </c>
      <c r="G484">
        <v>27786564</v>
      </c>
      <c r="H484">
        <v>3</v>
      </c>
      <c r="I484" t="s">
        <v>512</v>
      </c>
      <c r="J484" t="s">
        <v>513</v>
      </c>
      <c r="K484" t="s">
        <v>514</v>
      </c>
      <c r="L484">
        <v>1301</v>
      </c>
      <c r="N484">
        <v>1003</v>
      </c>
      <c r="O484" t="s">
        <v>55</v>
      </c>
      <c r="P484" t="s">
        <v>55</v>
      </c>
      <c r="Q484">
        <v>1</v>
      </c>
      <c r="X484">
        <v>0.96</v>
      </c>
      <c r="Y484">
        <v>0.7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3</v>
      </c>
      <c r="AG484">
        <v>0.96</v>
      </c>
      <c r="AH484">
        <v>3</v>
      </c>
      <c r="AI484">
        <v>-1</v>
      </c>
      <c r="AJ484" t="s">
        <v>3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">
      <c r="A485">
        <f>ROW(Source!A131)</f>
        <v>131</v>
      </c>
      <c r="B485">
        <v>56616842</v>
      </c>
      <c r="C485">
        <v>56616830</v>
      </c>
      <c r="D485">
        <v>46735508</v>
      </c>
      <c r="E485">
        <v>1</v>
      </c>
      <c r="F485">
        <v>1</v>
      </c>
      <c r="G485">
        <v>27786564</v>
      </c>
      <c r="H485">
        <v>3</v>
      </c>
      <c r="I485" t="s">
        <v>515</v>
      </c>
      <c r="J485" t="s">
        <v>516</v>
      </c>
      <c r="K485" t="s">
        <v>517</v>
      </c>
      <c r="L485">
        <v>1356</v>
      </c>
      <c r="N485">
        <v>1010</v>
      </c>
      <c r="O485" t="s">
        <v>511</v>
      </c>
      <c r="P485" t="s">
        <v>511</v>
      </c>
      <c r="Q485">
        <v>1000</v>
      </c>
      <c r="X485">
        <v>8.3199999999999993E-3</v>
      </c>
      <c r="Y485">
        <v>6.44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 t="s">
        <v>3</v>
      </c>
      <c r="AG485">
        <v>8.3199999999999993E-3</v>
      </c>
      <c r="AH485">
        <v>3</v>
      </c>
      <c r="AI485">
        <v>-1</v>
      </c>
      <c r="AJ485" t="s">
        <v>3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">
      <c r="A486">
        <f>ROW(Source!A131)</f>
        <v>131</v>
      </c>
      <c r="B486">
        <v>56616843</v>
      </c>
      <c r="C486">
        <v>56616830</v>
      </c>
      <c r="D486">
        <v>49717618</v>
      </c>
      <c r="E486">
        <v>27786564</v>
      </c>
      <c r="F486">
        <v>1</v>
      </c>
      <c r="G486">
        <v>27786564</v>
      </c>
      <c r="H486">
        <v>3</v>
      </c>
      <c r="I486" t="s">
        <v>554</v>
      </c>
      <c r="J486" t="s">
        <v>3</v>
      </c>
      <c r="K486" t="s">
        <v>555</v>
      </c>
      <c r="L486">
        <v>1303</v>
      </c>
      <c r="N486">
        <v>1003</v>
      </c>
      <c r="O486" t="s">
        <v>556</v>
      </c>
      <c r="P486" t="s">
        <v>556</v>
      </c>
      <c r="Q486">
        <v>1000</v>
      </c>
      <c r="X486">
        <v>0.10199999999999999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 t="s">
        <v>3</v>
      </c>
      <c r="AG486">
        <v>0.10199999999999999</v>
      </c>
      <c r="AH486">
        <v>3</v>
      </c>
      <c r="AI486">
        <v>-1</v>
      </c>
      <c r="AJ486" t="s">
        <v>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">
      <c r="A487">
        <f>ROW(Source!A131)</f>
        <v>131</v>
      </c>
      <c r="B487">
        <v>56616844</v>
      </c>
      <c r="C487">
        <v>56616830</v>
      </c>
      <c r="D487">
        <v>46556476</v>
      </c>
      <c r="E487">
        <v>27786564</v>
      </c>
      <c r="F487">
        <v>1</v>
      </c>
      <c r="G487">
        <v>27786564</v>
      </c>
      <c r="H487">
        <v>3</v>
      </c>
      <c r="I487" t="s">
        <v>557</v>
      </c>
      <c r="J487" t="s">
        <v>3</v>
      </c>
      <c r="K487" t="s">
        <v>558</v>
      </c>
      <c r="L487">
        <v>1354</v>
      </c>
      <c r="N487">
        <v>1010</v>
      </c>
      <c r="O487" t="s">
        <v>88</v>
      </c>
      <c r="P487" t="s">
        <v>88</v>
      </c>
      <c r="Q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 t="s">
        <v>3</v>
      </c>
      <c r="AG487">
        <v>0</v>
      </c>
      <c r="AH487">
        <v>3</v>
      </c>
      <c r="AI487">
        <v>-1</v>
      </c>
      <c r="AJ487" t="s">
        <v>3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">
      <c r="A488">
        <f>ROW(Source!A132)</f>
        <v>132</v>
      </c>
      <c r="B488">
        <v>56616832</v>
      </c>
      <c r="C488">
        <v>56616830</v>
      </c>
      <c r="D488">
        <v>47634407</v>
      </c>
      <c r="E488">
        <v>27786564</v>
      </c>
      <c r="F488">
        <v>1</v>
      </c>
      <c r="G488">
        <v>27786564</v>
      </c>
      <c r="H488">
        <v>1</v>
      </c>
      <c r="I488" t="s">
        <v>439</v>
      </c>
      <c r="J488" t="s">
        <v>3</v>
      </c>
      <c r="K488" t="s">
        <v>440</v>
      </c>
      <c r="L488">
        <v>1191</v>
      </c>
      <c r="N488">
        <v>1013</v>
      </c>
      <c r="O488" t="s">
        <v>441</v>
      </c>
      <c r="P488" t="s">
        <v>441</v>
      </c>
      <c r="Q488">
        <v>1</v>
      </c>
      <c r="X488">
        <v>20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22</v>
      </c>
      <c r="AG488">
        <v>22</v>
      </c>
      <c r="AH488">
        <v>2</v>
      </c>
      <c r="AI488">
        <v>56616831</v>
      </c>
      <c r="AJ488">
        <v>114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">
      <c r="A489">
        <f>ROW(Source!A132)</f>
        <v>132</v>
      </c>
      <c r="B489">
        <v>56616833</v>
      </c>
      <c r="C489">
        <v>56616830</v>
      </c>
      <c r="D489">
        <v>47767106</v>
      </c>
      <c r="E489">
        <v>1</v>
      </c>
      <c r="F489">
        <v>1</v>
      </c>
      <c r="G489">
        <v>27786564</v>
      </c>
      <c r="H489">
        <v>2</v>
      </c>
      <c r="I489" t="s">
        <v>487</v>
      </c>
      <c r="J489" t="s">
        <v>488</v>
      </c>
      <c r="K489" t="s">
        <v>489</v>
      </c>
      <c r="L489">
        <v>1368</v>
      </c>
      <c r="N489">
        <v>1011</v>
      </c>
      <c r="O489" t="s">
        <v>445</v>
      </c>
      <c r="P489" t="s">
        <v>445</v>
      </c>
      <c r="Q489">
        <v>1</v>
      </c>
      <c r="X489">
        <v>1.06</v>
      </c>
      <c r="Y489">
        <v>0</v>
      </c>
      <c r="Z489">
        <v>83.1</v>
      </c>
      <c r="AA489">
        <v>12.62</v>
      </c>
      <c r="AB489">
        <v>0</v>
      </c>
      <c r="AC489">
        <v>0</v>
      </c>
      <c r="AD489">
        <v>1</v>
      </c>
      <c r="AE489">
        <v>0</v>
      </c>
      <c r="AF489" t="s">
        <v>22</v>
      </c>
      <c r="AG489">
        <v>1.1660000000000001</v>
      </c>
      <c r="AH489">
        <v>3</v>
      </c>
      <c r="AI489">
        <v>-1</v>
      </c>
      <c r="AJ489" t="s">
        <v>3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">
      <c r="A490">
        <f>ROW(Source!A132)</f>
        <v>132</v>
      </c>
      <c r="B490">
        <v>56616834</v>
      </c>
      <c r="C490">
        <v>56616830</v>
      </c>
      <c r="D490">
        <v>47766535</v>
      </c>
      <c r="E490">
        <v>1</v>
      </c>
      <c r="F490">
        <v>1</v>
      </c>
      <c r="G490">
        <v>27786564</v>
      </c>
      <c r="H490">
        <v>2</v>
      </c>
      <c r="I490" t="s">
        <v>541</v>
      </c>
      <c r="J490" t="s">
        <v>542</v>
      </c>
      <c r="K490" t="s">
        <v>543</v>
      </c>
      <c r="L490">
        <v>1368</v>
      </c>
      <c r="N490">
        <v>1011</v>
      </c>
      <c r="O490" t="s">
        <v>445</v>
      </c>
      <c r="P490" t="s">
        <v>445</v>
      </c>
      <c r="Q490">
        <v>1</v>
      </c>
      <c r="X490">
        <v>4.2699999999999996</v>
      </c>
      <c r="Y490">
        <v>0</v>
      </c>
      <c r="Z490">
        <v>2.27</v>
      </c>
      <c r="AA490">
        <v>0</v>
      </c>
      <c r="AB490">
        <v>0</v>
      </c>
      <c r="AC490">
        <v>0</v>
      </c>
      <c r="AD490">
        <v>1</v>
      </c>
      <c r="AE490">
        <v>0</v>
      </c>
      <c r="AF490" t="s">
        <v>22</v>
      </c>
      <c r="AG490">
        <v>4.6970000000000001</v>
      </c>
      <c r="AH490">
        <v>3</v>
      </c>
      <c r="AI490">
        <v>-1</v>
      </c>
      <c r="AJ490" t="s">
        <v>3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">
      <c r="A491">
        <f>ROW(Source!A132)</f>
        <v>132</v>
      </c>
      <c r="B491">
        <v>56616835</v>
      </c>
      <c r="C491">
        <v>56616830</v>
      </c>
      <c r="D491">
        <v>47766545</v>
      </c>
      <c r="E491">
        <v>1</v>
      </c>
      <c r="F491">
        <v>1</v>
      </c>
      <c r="G491">
        <v>27786564</v>
      </c>
      <c r="H491">
        <v>2</v>
      </c>
      <c r="I491" t="s">
        <v>490</v>
      </c>
      <c r="J491" t="s">
        <v>491</v>
      </c>
      <c r="K491" t="s">
        <v>492</v>
      </c>
      <c r="L491">
        <v>1368</v>
      </c>
      <c r="N491">
        <v>1011</v>
      </c>
      <c r="O491" t="s">
        <v>445</v>
      </c>
      <c r="P491" t="s">
        <v>445</v>
      </c>
      <c r="Q491">
        <v>1</v>
      </c>
      <c r="X491">
        <v>4.5999999999999996</v>
      </c>
      <c r="Y491">
        <v>0</v>
      </c>
      <c r="Z491">
        <v>0.73</v>
      </c>
      <c r="AA491">
        <v>0</v>
      </c>
      <c r="AB491">
        <v>0</v>
      </c>
      <c r="AC491">
        <v>0</v>
      </c>
      <c r="AD491">
        <v>1</v>
      </c>
      <c r="AE491">
        <v>0</v>
      </c>
      <c r="AF491" t="s">
        <v>22</v>
      </c>
      <c r="AG491">
        <v>5.0599999999999996</v>
      </c>
      <c r="AH491">
        <v>3</v>
      </c>
      <c r="AI491">
        <v>-1</v>
      </c>
      <c r="AJ491" t="s">
        <v>3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">
      <c r="A492">
        <f>ROW(Source!A132)</f>
        <v>132</v>
      </c>
      <c r="B492">
        <v>56616836</v>
      </c>
      <c r="C492">
        <v>56616830</v>
      </c>
      <c r="D492">
        <v>46723498</v>
      </c>
      <c r="E492">
        <v>1</v>
      </c>
      <c r="F492">
        <v>1</v>
      </c>
      <c r="G492">
        <v>27786564</v>
      </c>
      <c r="H492">
        <v>3</v>
      </c>
      <c r="I492" t="s">
        <v>496</v>
      </c>
      <c r="J492" t="s">
        <v>497</v>
      </c>
      <c r="K492" t="s">
        <v>498</v>
      </c>
      <c r="L492">
        <v>1348</v>
      </c>
      <c r="N492">
        <v>1009</v>
      </c>
      <c r="O492" t="s">
        <v>367</v>
      </c>
      <c r="P492" t="s">
        <v>367</v>
      </c>
      <c r="Q492">
        <v>1000</v>
      </c>
      <c r="X492">
        <v>6.0000000000000002E-5</v>
      </c>
      <c r="Y492">
        <v>11242.42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 t="s">
        <v>3</v>
      </c>
      <c r="AG492">
        <v>6.0000000000000002E-5</v>
      </c>
      <c r="AH492">
        <v>3</v>
      </c>
      <c r="AI492">
        <v>-1</v>
      </c>
      <c r="AJ492" t="s">
        <v>3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">
      <c r="A493">
        <f>ROW(Source!A132)</f>
        <v>132</v>
      </c>
      <c r="B493">
        <v>56616837</v>
      </c>
      <c r="C493">
        <v>56616830</v>
      </c>
      <c r="D493">
        <v>45796980</v>
      </c>
      <c r="E493">
        <v>1</v>
      </c>
      <c r="F493">
        <v>1</v>
      </c>
      <c r="G493">
        <v>27786564</v>
      </c>
      <c r="H493">
        <v>3</v>
      </c>
      <c r="I493" t="s">
        <v>499</v>
      </c>
      <c r="J493" t="s">
        <v>500</v>
      </c>
      <c r="K493" t="s">
        <v>501</v>
      </c>
      <c r="L493">
        <v>1346</v>
      </c>
      <c r="N493">
        <v>1009</v>
      </c>
      <c r="O493" t="s">
        <v>104</v>
      </c>
      <c r="P493" t="s">
        <v>104</v>
      </c>
      <c r="Q493">
        <v>1</v>
      </c>
      <c r="X493">
        <v>0.8</v>
      </c>
      <c r="Y493">
        <v>25.8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 t="s">
        <v>3</v>
      </c>
      <c r="AG493">
        <v>0.8</v>
      </c>
      <c r="AH493">
        <v>3</v>
      </c>
      <c r="AI493">
        <v>-1</v>
      </c>
      <c r="AJ493" t="s">
        <v>3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">
      <c r="A494">
        <f>ROW(Source!A132)</f>
        <v>132</v>
      </c>
      <c r="B494">
        <v>56616838</v>
      </c>
      <c r="C494">
        <v>56616830</v>
      </c>
      <c r="D494">
        <v>46723689</v>
      </c>
      <c r="E494">
        <v>1</v>
      </c>
      <c r="F494">
        <v>1</v>
      </c>
      <c r="G494">
        <v>27786564</v>
      </c>
      <c r="H494">
        <v>3</v>
      </c>
      <c r="I494" t="s">
        <v>502</v>
      </c>
      <c r="J494" t="s">
        <v>503</v>
      </c>
      <c r="K494" t="s">
        <v>504</v>
      </c>
      <c r="L494">
        <v>1348</v>
      </c>
      <c r="N494">
        <v>1009</v>
      </c>
      <c r="O494" t="s">
        <v>367</v>
      </c>
      <c r="P494" t="s">
        <v>367</v>
      </c>
      <c r="Q494">
        <v>1000</v>
      </c>
      <c r="X494">
        <v>5.0000000000000001E-4</v>
      </c>
      <c r="Y494">
        <v>60966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 t="s">
        <v>3</v>
      </c>
      <c r="AG494">
        <v>5.0000000000000001E-4</v>
      </c>
      <c r="AH494">
        <v>3</v>
      </c>
      <c r="AI494">
        <v>-1</v>
      </c>
      <c r="AJ494" t="s">
        <v>3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">
      <c r="A495">
        <f>ROW(Source!A132)</f>
        <v>132</v>
      </c>
      <c r="B495">
        <v>56616839</v>
      </c>
      <c r="C495">
        <v>56616830</v>
      </c>
      <c r="D495">
        <v>46723704</v>
      </c>
      <c r="E495">
        <v>1</v>
      </c>
      <c r="F495">
        <v>1</v>
      </c>
      <c r="G495">
        <v>27786564</v>
      </c>
      <c r="H495">
        <v>3</v>
      </c>
      <c r="I495" t="s">
        <v>505</v>
      </c>
      <c r="J495" t="s">
        <v>506</v>
      </c>
      <c r="K495" t="s">
        <v>507</v>
      </c>
      <c r="L495">
        <v>1348</v>
      </c>
      <c r="N495">
        <v>1009</v>
      </c>
      <c r="O495" t="s">
        <v>367</v>
      </c>
      <c r="P495" t="s">
        <v>367</v>
      </c>
      <c r="Q495">
        <v>1000</v>
      </c>
      <c r="X495">
        <v>4.0000000000000003E-5</v>
      </c>
      <c r="Y495">
        <v>7982.5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 t="s">
        <v>3</v>
      </c>
      <c r="AG495">
        <v>4.0000000000000003E-5</v>
      </c>
      <c r="AH495">
        <v>3</v>
      </c>
      <c r="AI495">
        <v>-1</v>
      </c>
      <c r="AJ495" t="s">
        <v>3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">
      <c r="A496">
        <f>ROW(Source!A132)</f>
        <v>132</v>
      </c>
      <c r="B496">
        <v>56616840</v>
      </c>
      <c r="C496">
        <v>56616830</v>
      </c>
      <c r="D496">
        <v>46735845</v>
      </c>
      <c r="E496">
        <v>1</v>
      </c>
      <c r="F496">
        <v>1</v>
      </c>
      <c r="G496">
        <v>27786564</v>
      </c>
      <c r="H496">
        <v>3</v>
      </c>
      <c r="I496" t="s">
        <v>508</v>
      </c>
      <c r="J496" t="s">
        <v>553</v>
      </c>
      <c r="K496" t="s">
        <v>510</v>
      </c>
      <c r="L496">
        <v>1356</v>
      </c>
      <c r="N496">
        <v>1010</v>
      </c>
      <c r="O496" t="s">
        <v>511</v>
      </c>
      <c r="P496" t="s">
        <v>511</v>
      </c>
      <c r="Q496">
        <v>1000</v>
      </c>
      <c r="X496">
        <v>4.0999999999999999E-4</v>
      </c>
      <c r="Y496">
        <v>226.68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 t="s">
        <v>3</v>
      </c>
      <c r="AG496">
        <v>4.0999999999999999E-4</v>
      </c>
      <c r="AH496">
        <v>3</v>
      </c>
      <c r="AI496">
        <v>-1</v>
      </c>
      <c r="AJ496" t="s">
        <v>3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">
      <c r="A497">
        <f>ROW(Source!A132)</f>
        <v>132</v>
      </c>
      <c r="B497">
        <v>56616841</v>
      </c>
      <c r="C497">
        <v>56616830</v>
      </c>
      <c r="D497">
        <v>46735506</v>
      </c>
      <c r="E497">
        <v>1</v>
      </c>
      <c r="F497">
        <v>1</v>
      </c>
      <c r="G497">
        <v>27786564</v>
      </c>
      <c r="H497">
        <v>3</v>
      </c>
      <c r="I497" t="s">
        <v>512</v>
      </c>
      <c r="J497" t="s">
        <v>513</v>
      </c>
      <c r="K497" t="s">
        <v>514</v>
      </c>
      <c r="L497">
        <v>1301</v>
      </c>
      <c r="N497">
        <v>1003</v>
      </c>
      <c r="O497" t="s">
        <v>55</v>
      </c>
      <c r="P497" t="s">
        <v>55</v>
      </c>
      <c r="Q497">
        <v>1</v>
      </c>
      <c r="X497">
        <v>0.96</v>
      </c>
      <c r="Y497">
        <v>0.7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 t="s">
        <v>3</v>
      </c>
      <c r="AG497">
        <v>0.96</v>
      </c>
      <c r="AH497">
        <v>3</v>
      </c>
      <c r="AI497">
        <v>-1</v>
      </c>
      <c r="AJ497" t="s">
        <v>3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">
      <c r="A498">
        <f>ROW(Source!A132)</f>
        <v>132</v>
      </c>
      <c r="B498">
        <v>56616842</v>
      </c>
      <c r="C498">
        <v>56616830</v>
      </c>
      <c r="D498">
        <v>46735508</v>
      </c>
      <c r="E498">
        <v>1</v>
      </c>
      <c r="F498">
        <v>1</v>
      </c>
      <c r="G498">
        <v>27786564</v>
      </c>
      <c r="H498">
        <v>3</v>
      </c>
      <c r="I498" t="s">
        <v>515</v>
      </c>
      <c r="J498" t="s">
        <v>516</v>
      </c>
      <c r="K498" t="s">
        <v>517</v>
      </c>
      <c r="L498">
        <v>1356</v>
      </c>
      <c r="N498">
        <v>1010</v>
      </c>
      <c r="O498" t="s">
        <v>511</v>
      </c>
      <c r="P498" t="s">
        <v>511</v>
      </c>
      <c r="Q498">
        <v>1000</v>
      </c>
      <c r="X498">
        <v>8.3199999999999993E-3</v>
      </c>
      <c r="Y498">
        <v>6.44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 t="s">
        <v>3</v>
      </c>
      <c r="AG498">
        <v>8.3199999999999993E-3</v>
      </c>
      <c r="AH498">
        <v>3</v>
      </c>
      <c r="AI498">
        <v>-1</v>
      </c>
      <c r="AJ498" t="s">
        <v>3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">
      <c r="A499">
        <f>ROW(Source!A132)</f>
        <v>132</v>
      </c>
      <c r="B499">
        <v>56616843</v>
      </c>
      <c r="C499">
        <v>56616830</v>
      </c>
      <c r="D499">
        <v>49717618</v>
      </c>
      <c r="E499">
        <v>27786564</v>
      </c>
      <c r="F499">
        <v>1</v>
      </c>
      <c r="G499">
        <v>27786564</v>
      </c>
      <c r="H499">
        <v>3</v>
      </c>
      <c r="I499" t="s">
        <v>554</v>
      </c>
      <c r="J499" t="s">
        <v>3</v>
      </c>
      <c r="K499" t="s">
        <v>555</v>
      </c>
      <c r="L499">
        <v>1303</v>
      </c>
      <c r="N499">
        <v>1003</v>
      </c>
      <c r="O499" t="s">
        <v>556</v>
      </c>
      <c r="P499" t="s">
        <v>556</v>
      </c>
      <c r="Q499">
        <v>1000</v>
      </c>
      <c r="X499">
        <v>0.10199999999999999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 t="s">
        <v>3</v>
      </c>
      <c r="AG499">
        <v>0.10199999999999999</v>
      </c>
      <c r="AH499">
        <v>3</v>
      </c>
      <c r="AI499">
        <v>-1</v>
      </c>
      <c r="AJ499" t="s">
        <v>3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">
      <c r="A500">
        <f>ROW(Source!A132)</f>
        <v>132</v>
      </c>
      <c r="B500">
        <v>56616844</v>
      </c>
      <c r="C500">
        <v>56616830</v>
      </c>
      <c r="D500">
        <v>46556476</v>
      </c>
      <c r="E500">
        <v>27786564</v>
      </c>
      <c r="F500">
        <v>1</v>
      </c>
      <c r="G500">
        <v>27786564</v>
      </c>
      <c r="H500">
        <v>3</v>
      </c>
      <c r="I500" t="s">
        <v>557</v>
      </c>
      <c r="J500" t="s">
        <v>3</v>
      </c>
      <c r="K500" t="s">
        <v>558</v>
      </c>
      <c r="L500">
        <v>1354</v>
      </c>
      <c r="N500">
        <v>1010</v>
      </c>
      <c r="O500" t="s">
        <v>88</v>
      </c>
      <c r="P500" t="s">
        <v>88</v>
      </c>
      <c r="Q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 t="s">
        <v>3</v>
      </c>
      <c r="AG500">
        <v>0</v>
      </c>
      <c r="AH500">
        <v>3</v>
      </c>
      <c r="AI500">
        <v>-1</v>
      </c>
      <c r="AJ500" t="s">
        <v>3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">
      <c r="A501">
        <f>ROW(Source!A133)</f>
        <v>133</v>
      </c>
      <c r="B501">
        <v>56616847</v>
      </c>
      <c r="C501">
        <v>56616845</v>
      </c>
      <c r="D501">
        <v>47634407</v>
      </c>
      <c r="E501">
        <v>27786564</v>
      </c>
      <c r="F501">
        <v>1</v>
      </c>
      <c r="G501">
        <v>27786564</v>
      </c>
      <c r="H501">
        <v>1</v>
      </c>
      <c r="I501" t="s">
        <v>439</v>
      </c>
      <c r="J501" t="s">
        <v>3</v>
      </c>
      <c r="K501" t="s">
        <v>440</v>
      </c>
      <c r="L501">
        <v>1191</v>
      </c>
      <c r="N501">
        <v>1013</v>
      </c>
      <c r="O501" t="s">
        <v>441</v>
      </c>
      <c r="P501" t="s">
        <v>441</v>
      </c>
      <c r="Q501">
        <v>1</v>
      </c>
      <c r="X501">
        <v>24.8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1</v>
      </c>
      <c r="AF501" t="s">
        <v>22</v>
      </c>
      <c r="AG501">
        <v>27.280000000000005</v>
      </c>
      <c r="AH501">
        <v>2</v>
      </c>
      <c r="AI501">
        <v>56616846</v>
      </c>
      <c r="AJ501">
        <v>115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">
      <c r="A502">
        <f>ROW(Source!A133)</f>
        <v>133</v>
      </c>
      <c r="B502">
        <v>56616848</v>
      </c>
      <c r="C502">
        <v>56616845</v>
      </c>
      <c r="D502">
        <v>47767106</v>
      </c>
      <c r="E502">
        <v>1</v>
      </c>
      <c r="F502">
        <v>1</v>
      </c>
      <c r="G502">
        <v>27786564</v>
      </c>
      <c r="H502">
        <v>2</v>
      </c>
      <c r="I502" t="s">
        <v>487</v>
      </c>
      <c r="J502" t="s">
        <v>488</v>
      </c>
      <c r="K502" t="s">
        <v>489</v>
      </c>
      <c r="L502">
        <v>1368</v>
      </c>
      <c r="N502">
        <v>1011</v>
      </c>
      <c r="O502" t="s">
        <v>445</v>
      </c>
      <c r="P502" t="s">
        <v>445</v>
      </c>
      <c r="Q502">
        <v>1</v>
      </c>
      <c r="X502">
        <v>1.49</v>
      </c>
      <c r="Y502">
        <v>0</v>
      </c>
      <c r="Z502">
        <v>83.1</v>
      </c>
      <c r="AA502">
        <v>12.62</v>
      </c>
      <c r="AB502">
        <v>0</v>
      </c>
      <c r="AC502">
        <v>0</v>
      </c>
      <c r="AD502">
        <v>1</v>
      </c>
      <c r="AE502">
        <v>0</v>
      </c>
      <c r="AF502" t="s">
        <v>22</v>
      </c>
      <c r="AG502">
        <v>1.639</v>
      </c>
      <c r="AH502">
        <v>3</v>
      </c>
      <c r="AI502">
        <v>-1</v>
      </c>
      <c r="AJ502" t="s">
        <v>3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">
      <c r="A503">
        <f>ROW(Source!A133)</f>
        <v>133</v>
      </c>
      <c r="B503">
        <v>56616849</v>
      </c>
      <c r="C503">
        <v>56616845</v>
      </c>
      <c r="D503">
        <v>47766545</v>
      </c>
      <c r="E503">
        <v>1</v>
      </c>
      <c r="F503">
        <v>1</v>
      </c>
      <c r="G503">
        <v>27786564</v>
      </c>
      <c r="H503">
        <v>2</v>
      </c>
      <c r="I503" t="s">
        <v>490</v>
      </c>
      <c r="J503" t="s">
        <v>491</v>
      </c>
      <c r="K503" t="s">
        <v>492</v>
      </c>
      <c r="L503">
        <v>1368</v>
      </c>
      <c r="N503">
        <v>1011</v>
      </c>
      <c r="O503" t="s">
        <v>445</v>
      </c>
      <c r="P503" t="s">
        <v>445</v>
      </c>
      <c r="Q503">
        <v>1</v>
      </c>
      <c r="X503">
        <v>5.53</v>
      </c>
      <c r="Y503">
        <v>0</v>
      </c>
      <c r="Z503">
        <v>0.73</v>
      </c>
      <c r="AA503">
        <v>0</v>
      </c>
      <c r="AB503">
        <v>0</v>
      </c>
      <c r="AC503">
        <v>0</v>
      </c>
      <c r="AD503">
        <v>1</v>
      </c>
      <c r="AE503">
        <v>0</v>
      </c>
      <c r="AF503" t="s">
        <v>22</v>
      </c>
      <c r="AG503">
        <v>6.0830000000000011</v>
      </c>
      <c r="AH503">
        <v>3</v>
      </c>
      <c r="AI503">
        <v>-1</v>
      </c>
      <c r="AJ503" t="s">
        <v>3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">
      <c r="A504">
        <f>ROW(Source!A133)</f>
        <v>133</v>
      </c>
      <c r="B504">
        <v>56616850</v>
      </c>
      <c r="C504">
        <v>56616845</v>
      </c>
      <c r="D504">
        <v>47766581</v>
      </c>
      <c r="E504">
        <v>1</v>
      </c>
      <c r="F504">
        <v>1</v>
      </c>
      <c r="G504">
        <v>27786564</v>
      </c>
      <c r="H504">
        <v>2</v>
      </c>
      <c r="I504" t="s">
        <v>493</v>
      </c>
      <c r="J504" t="s">
        <v>494</v>
      </c>
      <c r="K504" t="s">
        <v>495</v>
      </c>
      <c r="L504">
        <v>1368</v>
      </c>
      <c r="N504">
        <v>1011</v>
      </c>
      <c r="O504" t="s">
        <v>445</v>
      </c>
      <c r="P504" t="s">
        <v>445</v>
      </c>
      <c r="Q504">
        <v>1</v>
      </c>
      <c r="X504">
        <v>5.14</v>
      </c>
      <c r="Y504">
        <v>0</v>
      </c>
      <c r="Z504">
        <v>4</v>
      </c>
      <c r="AA504">
        <v>0</v>
      </c>
      <c r="AB504">
        <v>0</v>
      </c>
      <c r="AC504">
        <v>0</v>
      </c>
      <c r="AD504">
        <v>1</v>
      </c>
      <c r="AE504">
        <v>0</v>
      </c>
      <c r="AF504" t="s">
        <v>22</v>
      </c>
      <c r="AG504">
        <v>5.6539999999999999</v>
      </c>
      <c r="AH504">
        <v>3</v>
      </c>
      <c r="AI504">
        <v>-1</v>
      </c>
      <c r="AJ504" t="s">
        <v>3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">
      <c r="A505">
        <f>ROW(Source!A133)</f>
        <v>133</v>
      </c>
      <c r="B505">
        <v>56616851</v>
      </c>
      <c r="C505">
        <v>56616845</v>
      </c>
      <c r="D505">
        <v>46723498</v>
      </c>
      <c r="E505">
        <v>1</v>
      </c>
      <c r="F505">
        <v>1</v>
      </c>
      <c r="G505">
        <v>27786564</v>
      </c>
      <c r="H505">
        <v>3</v>
      </c>
      <c r="I505" t="s">
        <v>496</v>
      </c>
      <c r="J505" t="s">
        <v>497</v>
      </c>
      <c r="K505" t="s">
        <v>498</v>
      </c>
      <c r="L505">
        <v>1348</v>
      </c>
      <c r="N505">
        <v>1009</v>
      </c>
      <c r="O505" t="s">
        <v>367</v>
      </c>
      <c r="P505" t="s">
        <v>367</v>
      </c>
      <c r="Q505">
        <v>1000</v>
      </c>
      <c r="X505">
        <v>6.0000000000000002E-5</v>
      </c>
      <c r="Y505">
        <v>11242.42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 t="s">
        <v>3</v>
      </c>
      <c r="AG505">
        <v>6.0000000000000002E-5</v>
      </c>
      <c r="AH505">
        <v>3</v>
      </c>
      <c r="AI505">
        <v>-1</v>
      </c>
      <c r="AJ505" t="s">
        <v>3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">
      <c r="A506">
        <f>ROW(Source!A133)</f>
        <v>133</v>
      </c>
      <c r="B506">
        <v>56616852</v>
      </c>
      <c r="C506">
        <v>56616845</v>
      </c>
      <c r="D506">
        <v>45796980</v>
      </c>
      <c r="E506">
        <v>1</v>
      </c>
      <c r="F506">
        <v>1</v>
      </c>
      <c r="G506">
        <v>27786564</v>
      </c>
      <c r="H506">
        <v>3</v>
      </c>
      <c r="I506" t="s">
        <v>499</v>
      </c>
      <c r="J506" t="s">
        <v>500</v>
      </c>
      <c r="K506" t="s">
        <v>501</v>
      </c>
      <c r="L506">
        <v>1346</v>
      </c>
      <c r="N506">
        <v>1009</v>
      </c>
      <c r="O506" t="s">
        <v>104</v>
      </c>
      <c r="P506" t="s">
        <v>104</v>
      </c>
      <c r="Q506">
        <v>1</v>
      </c>
      <c r="X506">
        <v>0.8</v>
      </c>
      <c r="Y506">
        <v>25.8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 t="s">
        <v>3</v>
      </c>
      <c r="AG506">
        <v>0.8</v>
      </c>
      <c r="AH506">
        <v>3</v>
      </c>
      <c r="AI506">
        <v>-1</v>
      </c>
      <c r="AJ506" t="s">
        <v>3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">
      <c r="A507">
        <f>ROW(Source!A133)</f>
        <v>133</v>
      </c>
      <c r="B507">
        <v>56616853</v>
      </c>
      <c r="C507">
        <v>56616845</v>
      </c>
      <c r="D507">
        <v>46723689</v>
      </c>
      <c r="E507">
        <v>1</v>
      </c>
      <c r="F507">
        <v>1</v>
      </c>
      <c r="G507">
        <v>27786564</v>
      </c>
      <c r="H507">
        <v>3</v>
      </c>
      <c r="I507" t="s">
        <v>502</v>
      </c>
      <c r="J507" t="s">
        <v>503</v>
      </c>
      <c r="K507" t="s">
        <v>504</v>
      </c>
      <c r="L507">
        <v>1348</v>
      </c>
      <c r="N507">
        <v>1009</v>
      </c>
      <c r="O507" t="s">
        <v>367</v>
      </c>
      <c r="P507" t="s">
        <v>367</v>
      </c>
      <c r="Q507">
        <v>1000</v>
      </c>
      <c r="X507">
        <v>5.0000000000000001E-4</v>
      </c>
      <c r="Y507">
        <v>60966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 t="s">
        <v>3</v>
      </c>
      <c r="AG507">
        <v>5.0000000000000001E-4</v>
      </c>
      <c r="AH507">
        <v>3</v>
      </c>
      <c r="AI507">
        <v>-1</v>
      </c>
      <c r="AJ507" t="s">
        <v>3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">
      <c r="A508">
        <f>ROW(Source!A133)</f>
        <v>133</v>
      </c>
      <c r="B508">
        <v>56616854</v>
      </c>
      <c r="C508">
        <v>56616845</v>
      </c>
      <c r="D508">
        <v>46723704</v>
      </c>
      <c r="E508">
        <v>1</v>
      </c>
      <c r="F508">
        <v>1</v>
      </c>
      <c r="G508">
        <v>27786564</v>
      </c>
      <c r="H508">
        <v>3</v>
      </c>
      <c r="I508" t="s">
        <v>505</v>
      </c>
      <c r="J508" t="s">
        <v>506</v>
      </c>
      <c r="K508" t="s">
        <v>507</v>
      </c>
      <c r="L508">
        <v>1348</v>
      </c>
      <c r="N508">
        <v>1009</v>
      </c>
      <c r="O508" t="s">
        <v>367</v>
      </c>
      <c r="P508" t="s">
        <v>367</v>
      </c>
      <c r="Q508">
        <v>1000</v>
      </c>
      <c r="X508">
        <v>4.0000000000000003E-5</v>
      </c>
      <c r="Y508">
        <v>7982.5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 t="s">
        <v>3</v>
      </c>
      <c r="AG508">
        <v>4.0000000000000003E-5</v>
      </c>
      <c r="AH508">
        <v>3</v>
      </c>
      <c r="AI508">
        <v>-1</v>
      </c>
      <c r="AJ508" t="s">
        <v>3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">
      <c r="A509">
        <f>ROW(Source!A133)</f>
        <v>133</v>
      </c>
      <c r="B509">
        <v>56616855</v>
      </c>
      <c r="C509">
        <v>56616845</v>
      </c>
      <c r="D509">
        <v>46735845</v>
      </c>
      <c r="E509">
        <v>1</v>
      </c>
      <c r="F509">
        <v>1</v>
      </c>
      <c r="G509">
        <v>27786564</v>
      </c>
      <c r="H509">
        <v>3</v>
      </c>
      <c r="I509" t="s">
        <v>508</v>
      </c>
      <c r="J509" t="s">
        <v>553</v>
      </c>
      <c r="K509" t="s">
        <v>510</v>
      </c>
      <c r="L509">
        <v>1356</v>
      </c>
      <c r="N509">
        <v>1010</v>
      </c>
      <c r="O509" t="s">
        <v>511</v>
      </c>
      <c r="P509" t="s">
        <v>511</v>
      </c>
      <c r="Q509">
        <v>1000</v>
      </c>
      <c r="X509">
        <v>4.0999999999999999E-4</v>
      </c>
      <c r="Y509">
        <v>226.68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 t="s">
        <v>3</v>
      </c>
      <c r="AG509">
        <v>4.0999999999999999E-4</v>
      </c>
      <c r="AH509">
        <v>3</v>
      </c>
      <c r="AI509">
        <v>-1</v>
      </c>
      <c r="AJ509" t="s">
        <v>3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">
      <c r="A510">
        <f>ROW(Source!A133)</f>
        <v>133</v>
      </c>
      <c r="B510">
        <v>56616856</v>
      </c>
      <c r="C510">
        <v>56616845</v>
      </c>
      <c r="D510">
        <v>46735506</v>
      </c>
      <c r="E510">
        <v>1</v>
      </c>
      <c r="F510">
        <v>1</v>
      </c>
      <c r="G510">
        <v>27786564</v>
      </c>
      <c r="H510">
        <v>3</v>
      </c>
      <c r="I510" t="s">
        <v>512</v>
      </c>
      <c r="J510" t="s">
        <v>513</v>
      </c>
      <c r="K510" t="s">
        <v>514</v>
      </c>
      <c r="L510">
        <v>1301</v>
      </c>
      <c r="N510">
        <v>1003</v>
      </c>
      <c r="O510" t="s">
        <v>55</v>
      </c>
      <c r="P510" t="s">
        <v>55</v>
      </c>
      <c r="Q510">
        <v>1</v>
      </c>
      <c r="X510">
        <v>0.96</v>
      </c>
      <c r="Y510">
        <v>0.7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 t="s">
        <v>3</v>
      </c>
      <c r="AG510">
        <v>0.96</v>
      </c>
      <c r="AH510">
        <v>3</v>
      </c>
      <c r="AI510">
        <v>-1</v>
      </c>
      <c r="AJ510" t="s">
        <v>3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">
      <c r="A511">
        <f>ROW(Source!A133)</f>
        <v>133</v>
      </c>
      <c r="B511">
        <v>56616857</v>
      </c>
      <c r="C511">
        <v>56616845</v>
      </c>
      <c r="D511">
        <v>46735508</v>
      </c>
      <c r="E511">
        <v>1</v>
      </c>
      <c r="F511">
        <v>1</v>
      </c>
      <c r="G511">
        <v>27786564</v>
      </c>
      <c r="H511">
        <v>3</v>
      </c>
      <c r="I511" t="s">
        <v>515</v>
      </c>
      <c r="J511" t="s">
        <v>516</v>
      </c>
      <c r="K511" t="s">
        <v>517</v>
      </c>
      <c r="L511">
        <v>1356</v>
      </c>
      <c r="N511">
        <v>1010</v>
      </c>
      <c r="O511" t="s">
        <v>511</v>
      </c>
      <c r="P511" t="s">
        <v>511</v>
      </c>
      <c r="Q511">
        <v>1000</v>
      </c>
      <c r="X511">
        <v>8.3199999999999993E-3</v>
      </c>
      <c r="Y511">
        <v>6.44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 t="s">
        <v>3</v>
      </c>
      <c r="AG511">
        <v>8.3199999999999993E-3</v>
      </c>
      <c r="AH511">
        <v>3</v>
      </c>
      <c r="AI511">
        <v>-1</v>
      </c>
      <c r="AJ511" t="s">
        <v>3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">
      <c r="A512">
        <f>ROW(Source!A133)</f>
        <v>133</v>
      </c>
      <c r="B512">
        <v>56616858</v>
      </c>
      <c r="C512">
        <v>56616845</v>
      </c>
      <c r="D512">
        <v>49717618</v>
      </c>
      <c r="E512">
        <v>27786564</v>
      </c>
      <c r="F512">
        <v>1</v>
      </c>
      <c r="G512">
        <v>27786564</v>
      </c>
      <c r="H512">
        <v>3</v>
      </c>
      <c r="I512" t="s">
        <v>554</v>
      </c>
      <c r="J512" t="s">
        <v>3</v>
      </c>
      <c r="K512" t="s">
        <v>555</v>
      </c>
      <c r="L512">
        <v>1303</v>
      </c>
      <c r="N512">
        <v>1003</v>
      </c>
      <c r="O512" t="s">
        <v>556</v>
      </c>
      <c r="P512" t="s">
        <v>556</v>
      </c>
      <c r="Q512">
        <v>1000</v>
      </c>
      <c r="X512">
        <v>0.10199999999999999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3</v>
      </c>
      <c r="AG512">
        <v>0.10199999999999999</v>
      </c>
      <c r="AH512">
        <v>3</v>
      </c>
      <c r="AI512">
        <v>-1</v>
      </c>
      <c r="AJ512" t="s">
        <v>3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">
      <c r="A513">
        <f>ROW(Source!A133)</f>
        <v>133</v>
      </c>
      <c r="B513">
        <v>56616859</v>
      </c>
      <c r="C513">
        <v>56616845</v>
      </c>
      <c r="D513">
        <v>46556476</v>
      </c>
      <c r="E513">
        <v>27786564</v>
      </c>
      <c r="F513">
        <v>1</v>
      </c>
      <c r="G513">
        <v>27786564</v>
      </c>
      <c r="H513">
        <v>3</v>
      </c>
      <c r="I513" t="s">
        <v>557</v>
      </c>
      <c r="J513" t="s">
        <v>3</v>
      </c>
      <c r="K513" t="s">
        <v>558</v>
      </c>
      <c r="L513">
        <v>1354</v>
      </c>
      <c r="N513">
        <v>1010</v>
      </c>
      <c r="O513" t="s">
        <v>88</v>
      </c>
      <c r="P513" t="s">
        <v>88</v>
      </c>
      <c r="Q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 t="s">
        <v>3</v>
      </c>
      <c r="AG513">
        <v>0</v>
      </c>
      <c r="AH513">
        <v>3</v>
      </c>
      <c r="AI513">
        <v>-1</v>
      </c>
      <c r="AJ513" t="s">
        <v>3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">
      <c r="A514">
        <f>ROW(Source!A134)</f>
        <v>134</v>
      </c>
      <c r="B514">
        <v>56616847</v>
      </c>
      <c r="C514">
        <v>56616845</v>
      </c>
      <c r="D514">
        <v>47634407</v>
      </c>
      <c r="E514">
        <v>27786564</v>
      </c>
      <c r="F514">
        <v>1</v>
      </c>
      <c r="G514">
        <v>27786564</v>
      </c>
      <c r="H514">
        <v>1</v>
      </c>
      <c r="I514" t="s">
        <v>439</v>
      </c>
      <c r="J514" t="s">
        <v>3</v>
      </c>
      <c r="K514" t="s">
        <v>440</v>
      </c>
      <c r="L514">
        <v>1191</v>
      </c>
      <c r="N514">
        <v>1013</v>
      </c>
      <c r="O514" t="s">
        <v>441</v>
      </c>
      <c r="P514" t="s">
        <v>441</v>
      </c>
      <c r="Q514">
        <v>1</v>
      </c>
      <c r="X514">
        <v>24.8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1</v>
      </c>
      <c r="AF514" t="s">
        <v>22</v>
      </c>
      <c r="AG514">
        <v>27.280000000000005</v>
      </c>
      <c r="AH514">
        <v>2</v>
      </c>
      <c r="AI514">
        <v>56616846</v>
      </c>
      <c r="AJ514">
        <v>116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">
      <c r="A515">
        <f>ROW(Source!A134)</f>
        <v>134</v>
      </c>
      <c r="B515">
        <v>56616848</v>
      </c>
      <c r="C515">
        <v>56616845</v>
      </c>
      <c r="D515">
        <v>47767106</v>
      </c>
      <c r="E515">
        <v>1</v>
      </c>
      <c r="F515">
        <v>1</v>
      </c>
      <c r="G515">
        <v>27786564</v>
      </c>
      <c r="H515">
        <v>2</v>
      </c>
      <c r="I515" t="s">
        <v>487</v>
      </c>
      <c r="J515" t="s">
        <v>488</v>
      </c>
      <c r="K515" t="s">
        <v>489</v>
      </c>
      <c r="L515">
        <v>1368</v>
      </c>
      <c r="N515">
        <v>1011</v>
      </c>
      <c r="O515" t="s">
        <v>445</v>
      </c>
      <c r="P515" t="s">
        <v>445</v>
      </c>
      <c r="Q515">
        <v>1</v>
      </c>
      <c r="X515">
        <v>1.49</v>
      </c>
      <c r="Y515">
        <v>0</v>
      </c>
      <c r="Z515">
        <v>83.1</v>
      </c>
      <c r="AA515">
        <v>12.62</v>
      </c>
      <c r="AB515">
        <v>0</v>
      </c>
      <c r="AC515">
        <v>0</v>
      </c>
      <c r="AD515">
        <v>1</v>
      </c>
      <c r="AE515">
        <v>0</v>
      </c>
      <c r="AF515" t="s">
        <v>22</v>
      </c>
      <c r="AG515">
        <v>1.639</v>
      </c>
      <c r="AH515">
        <v>3</v>
      </c>
      <c r="AI515">
        <v>-1</v>
      </c>
      <c r="AJ515" t="s">
        <v>3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">
      <c r="A516">
        <f>ROW(Source!A134)</f>
        <v>134</v>
      </c>
      <c r="B516">
        <v>56616849</v>
      </c>
      <c r="C516">
        <v>56616845</v>
      </c>
      <c r="D516">
        <v>47766545</v>
      </c>
      <c r="E516">
        <v>1</v>
      </c>
      <c r="F516">
        <v>1</v>
      </c>
      <c r="G516">
        <v>27786564</v>
      </c>
      <c r="H516">
        <v>2</v>
      </c>
      <c r="I516" t="s">
        <v>490</v>
      </c>
      <c r="J516" t="s">
        <v>491</v>
      </c>
      <c r="K516" t="s">
        <v>492</v>
      </c>
      <c r="L516">
        <v>1368</v>
      </c>
      <c r="N516">
        <v>1011</v>
      </c>
      <c r="O516" t="s">
        <v>445</v>
      </c>
      <c r="P516" t="s">
        <v>445</v>
      </c>
      <c r="Q516">
        <v>1</v>
      </c>
      <c r="X516">
        <v>5.53</v>
      </c>
      <c r="Y516">
        <v>0</v>
      </c>
      <c r="Z516">
        <v>0.73</v>
      </c>
      <c r="AA516">
        <v>0</v>
      </c>
      <c r="AB516">
        <v>0</v>
      </c>
      <c r="AC516">
        <v>0</v>
      </c>
      <c r="AD516">
        <v>1</v>
      </c>
      <c r="AE516">
        <v>0</v>
      </c>
      <c r="AF516" t="s">
        <v>22</v>
      </c>
      <c r="AG516">
        <v>6.0830000000000011</v>
      </c>
      <c r="AH516">
        <v>3</v>
      </c>
      <c r="AI516">
        <v>-1</v>
      </c>
      <c r="AJ516" t="s">
        <v>3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">
      <c r="A517">
        <f>ROW(Source!A134)</f>
        <v>134</v>
      </c>
      <c r="B517">
        <v>56616850</v>
      </c>
      <c r="C517">
        <v>56616845</v>
      </c>
      <c r="D517">
        <v>47766581</v>
      </c>
      <c r="E517">
        <v>1</v>
      </c>
      <c r="F517">
        <v>1</v>
      </c>
      <c r="G517">
        <v>27786564</v>
      </c>
      <c r="H517">
        <v>2</v>
      </c>
      <c r="I517" t="s">
        <v>493</v>
      </c>
      <c r="J517" t="s">
        <v>494</v>
      </c>
      <c r="K517" t="s">
        <v>495</v>
      </c>
      <c r="L517">
        <v>1368</v>
      </c>
      <c r="N517">
        <v>1011</v>
      </c>
      <c r="O517" t="s">
        <v>445</v>
      </c>
      <c r="P517" t="s">
        <v>445</v>
      </c>
      <c r="Q517">
        <v>1</v>
      </c>
      <c r="X517">
        <v>5.14</v>
      </c>
      <c r="Y517">
        <v>0</v>
      </c>
      <c r="Z517">
        <v>4</v>
      </c>
      <c r="AA517">
        <v>0</v>
      </c>
      <c r="AB517">
        <v>0</v>
      </c>
      <c r="AC517">
        <v>0</v>
      </c>
      <c r="AD517">
        <v>1</v>
      </c>
      <c r="AE517">
        <v>0</v>
      </c>
      <c r="AF517" t="s">
        <v>22</v>
      </c>
      <c r="AG517">
        <v>5.6539999999999999</v>
      </c>
      <c r="AH517">
        <v>3</v>
      </c>
      <c r="AI517">
        <v>-1</v>
      </c>
      <c r="AJ517" t="s">
        <v>3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">
      <c r="A518">
        <f>ROW(Source!A134)</f>
        <v>134</v>
      </c>
      <c r="B518">
        <v>56616851</v>
      </c>
      <c r="C518">
        <v>56616845</v>
      </c>
      <c r="D518">
        <v>46723498</v>
      </c>
      <c r="E518">
        <v>1</v>
      </c>
      <c r="F518">
        <v>1</v>
      </c>
      <c r="G518">
        <v>27786564</v>
      </c>
      <c r="H518">
        <v>3</v>
      </c>
      <c r="I518" t="s">
        <v>496</v>
      </c>
      <c r="J518" t="s">
        <v>497</v>
      </c>
      <c r="K518" t="s">
        <v>498</v>
      </c>
      <c r="L518">
        <v>1348</v>
      </c>
      <c r="N518">
        <v>1009</v>
      </c>
      <c r="O518" t="s">
        <v>367</v>
      </c>
      <c r="P518" t="s">
        <v>367</v>
      </c>
      <c r="Q518">
        <v>1000</v>
      </c>
      <c r="X518">
        <v>6.0000000000000002E-5</v>
      </c>
      <c r="Y518">
        <v>11242.42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3</v>
      </c>
      <c r="AG518">
        <v>6.0000000000000002E-5</v>
      </c>
      <c r="AH518">
        <v>3</v>
      </c>
      <c r="AI518">
        <v>-1</v>
      </c>
      <c r="AJ518" t="s">
        <v>3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">
      <c r="A519">
        <f>ROW(Source!A134)</f>
        <v>134</v>
      </c>
      <c r="B519">
        <v>56616852</v>
      </c>
      <c r="C519">
        <v>56616845</v>
      </c>
      <c r="D519">
        <v>45796980</v>
      </c>
      <c r="E519">
        <v>1</v>
      </c>
      <c r="F519">
        <v>1</v>
      </c>
      <c r="G519">
        <v>27786564</v>
      </c>
      <c r="H519">
        <v>3</v>
      </c>
      <c r="I519" t="s">
        <v>499</v>
      </c>
      <c r="J519" t="s">
        <v>500</v>
      </c>
      <c r="K519" t="s">
        <v>501</v>
      </c>
      <c r="L519">
        <v>1346</v>
      </c>
      <c r="N519">
        <v>1009</v>
      </c>
      <c r="O519" t="s">
        <v>104</v>
      </c>
      <c r="P519" t="s">
        <v>104</v>
      </c>
      <c r="Q519">
        <v>1</v>
      </c>
      <c r="X519">
        <v>0.8</v>
      </c>
      <c r="Y519">
        <v>25.8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 t="s">
        <v>3</v>
      </c>
      <c r="AG519">
        <v>0.8</v>
      </c>
      <c r="AH519">
        <v>3</v>
      </c>
      <c r="AI519">
        <v>-1</v>
      </c>
      <c r="AJ519" t="s">
        <v>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">
      <c r="A520">
        <f>ROW(Source!A134)</f>
        <v>134</v>
      </c>
      <c r="B520">
        <v>56616853</v>
      </c>
      <c r="C520">
        <v>56616845</v>
      </c>
      <c r="D520">
        <v>46723689</v>
      </c>
      <c r="E520">
        <v>1</v>
      </c>
      <c r="F520">
        <v>1</v>
      </c>
      <c r="G520">
        <v>27786564</v>
      </c>
      <c r="H520">
        <v>3</v>
      </c>
      <c r="I520" t="s">
        <v>502</v>
      </c>
      <c r="J520" t="s">
        <v>503</v>
      </c>
      <c r="K520" t="s">
        <v>504</v>
      </c>
      <c r="L520">
        <v>1348</v>
      </c>
      <c r="N520">
        <v>1009</v>
      </c>
      <c r="O520" t="s">
        <v>367</v>
      </c>
      <c r="P520" t="s">
        <v>367</v>
      </c>
      <c r="Q520">
        <v>1000</v>
      </c>
      <c r="X520">
        <v>5.0000000000000001E-4</v>
      </c>
      <c r="Y520">
        <v>60966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 t="s">
        <v>3</v>
      </c>
      <c r="AG520">
        <v>5.0000000000000001E-4</v>
      </c>
      <c r="AH520">
        <v>3</v>
      </c>
      <c r="AI520">
        <v>-1</v>
      </c>
      <c r="AJ520" t="s">
        <v>3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">
      <c r="A521">
        <f>ROW(Source!A134)</f>
        <v>134</v>
      </c>
      <c r="B521">
        <v>56616854</v>
      </c>
      <c r="C521">
        <v>56616845</v>
      </c>
      <c r="D521">
        <v>46723704</v>
      </c>
      <c r="E521">
        <v>1</v>
      </c>
      <c r="F521">
        <v>1</v>
      </c>
      <c r="G521">
        <v>27786564</v>
      </c>
      <c r="H521">
        <v>3</v>
      </c>
      <c r="I521" t="s">
        <v>505</v>
      </c>
      <c r="J521" t="s">
        <v>506</v>
      </c>
      <c r="K521" t="s">
        <v>507</v>
      </c>
      <c r="L521">
        <v>1348</v>
      </c>
      <c r="N521">
        <v>1009</v>
      </c>
      <c r="O521" t="s">
        <v>367</v>
      </c>
      <c r="P521" t="s">
        <v>367</v>
      </c>
      <c r="Q521">
        <v>1000</v>
      </c>
      <c r="X521">
        <v>4.0000000000000003E-5</v>
      </c>
      <c r="Y521">
        <v>7982.5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 t="s">
        <v>3</v>
      </c>
      <c r="AG521">
        <v>4.0000000000000003E-5</v>
      </c>
      <c r="AH521">
        <v>3</v>
      </c>
      <c r="AI521">
        <v>-1</v>
      </c>
      <c r="AJ521" t="s">
        <v>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">
      <c r="A522">
        <f>ROW(Source!A134)</f>
        <v>134</v>
      </c>
      <c r="B522">
        <v>56616855</v>
      </c>
      <c r="C522">
        <v>56616845</v>
      </c>
      <c r="D522">
        <v>46735845</v>
      </c>
      <c r="E522">
        <v>1</v>
      </c>
      <c r="F522">
        <v>1</v>
      </c>
      <c r="G522">
        <v>27786564</v>
      </c>
      <c r="H522">
        <v>3</v>
      </c>
      <c r="I522" t="s">
        <v>508</v>
      </c>
      <c r="J522" t="s">
        <v>553</v>
      </c>
      <c r="K522" t="s">
        <v>510</v>
      </c>
      <c r="L522">
        <v>1356</v>
      </c>
      <c r="N522">
        <v>1010</v>
      </c>
      <c r="O522" t="s">
        <v>511</v>
      </c>
      <c r="P522" t="s">
        <v>511</v>
      </c>
      <c r="Q522">
        <v>1000</v>
      </c>
      <c r="X522">
        <v>4.0999999999999999E-4</v>
      </c>
      <c r="Y522">
        <v>226.68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 t="s">
        <v>3</v>
      </c>
      <c r="AG522">
        <v>4.0999999999999999E-4</v>
      </c>
      <c r="AH522">
        <v>3</v>
      </c>
      <c r="AI522">
        <v>-1</v>
      </c>
      <c r="AJ522" t="s">
        <v>3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">
      <c r="A523">
        <f>ROW(Source!A134)</f>
        <v>134</v>
      </c>
      <c r="B523">
        <v>56616856</v>
      </c>
      <c r="C523">
        <v>56616845</v>
      </c>
      <c r="D523">
        <v>46735506</v>
      </c>
      <c r="E523">
        <v>1</v>
      </c>
      <c r="F523">
        <v>1</v>
      </c>
      <c r="G523">
        <v>27786564</v>
      </c>
      <c r="H523">
        <v>3</v>
      </c>
      <c r="I523" t="s">
        <v>512</v>
      </c>
      <c r="J523" t="s">
        <v>513</v>
      </c>
      <c r="K523" t="s">
        <v>514</v>
      </c>
      <c r="L523">
        <v>1301</v>
      </c>
      <c r="N523">
        <v>1003</v>
      </c>
      <c r="O523" t="s">
        <v>55</v>
      </c>
      <c r="P523" t="s">
        <v>55</v>
      </c>
      <c r="Q523">
        <v>1</v>
      </c>
      <c r="X523">
        <v>0.96</v>
      </c>
      <c r="Y523">
        <v>0.7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 t="s">
        <v>3</v>
      </c>
      <c r="AG523">
        <v>0.96</v>
      </c>
      <c r="AH523">
        <v>3</v>
      </c>
      <c r="AI523">
        <v>-1</v>
      </c>
      <c r="AJ523" t="s">
        <v>3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">
      <c r="A524">
        <f>ROW(Source!A134)</f>
        <v>134</v>
      </c>
      <c r="B524">
        <v>56616857</v>
      </c>
      <c r="C524">
        <v>56616845</v>
      </c>
      <c r="D524">
        <v>46735508</v>
      </c>
      <c r="E524">
        <v>1</v>
      </c>
      <c r="F524">
        <v>1</v>
      </c>
      <c r="G524">
        <v>27786564</v>
      </c>
      <c r="H524">
        <v>3</v>
      </c>
      <c r="I524" t="s">
        <v>515</v>
      </c>
      <c r="J524" t="s">
        <v>516</v>
      </c>
      <c r="K524" t="s">
        <v>517</v>
      </c>
      <c r="L524">
        <v>1356</v>
      </c>
      <c r="N524">
        <v>1010</v>
      </c>
      <c r="O524" t="s">
        <v>511</v>
      </c>
      <c r="P524" t="s">
        <v>511</v>
      </c>
      <c r="Q524">
        <v>1000</v>
      </c>
      <c r="X524">
        <v>8.3199999999999993E-3</v>
      </c>
      <c r="Y524">
        <v>6.44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 t="s">
        <v>3</v>
      </c>
      <c r="AG524">
        <v>8.3199999999999993E-3</v>
      </c>
      <c r="AH524">
        <v>3</v>
      </c>
      <c r="AI524">
        <v>-1</v>
      </c>
      <c r="AJ524" t="s">
        <v>3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">
      <c r="A525">
        <f>ROW(Source!A134)</f>
        <v>134</v>
      </c>
      <c r="B525">
        <v>56616858</v>
      </c>
      <c r="C525">
        <v>56616845</v>
      </c>
      <c r="D525">
        <v>49717618</v>
      </c>
      <c r="E525">
        <v>27786564</v>
      </c>
      <c r="F525">
        <v>1</v>
      </c>
      <c r="G525">
        <v>27786564</v>
      </c>
      <c r="H525">
        <v>3</v>
      </c>
      <c r="I525" t="s">
        <v>554</v>
      </c>
      <c r="J525" t="s">
        <v>3</v>
      </c>
      <c r="K525" t="s">
        <v>555</v>
      </c>
      <c r="L525">
        <v>1303</v>
      </c>
      <c r="N525">
        <v>1003</v>
      </c>
      <c r="O525" t="s">
        <v>556</v>
      </c>
      <c r="P525" t="s">
        <v>556</v>
      </c>
      <c r="Q525">
        <v>1000</v>
      </c>
      <c r="X525">
        <v>0.10199999999999999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 t="s">
        <v>3</v>
      </c>
      <c r="AG525">
        <v>0.10199999999999999</v>
      </c>
      <c r="AH525">
        <v>3</v>
      </c>
      <c r="AI525">
        <v>-1</v>
      </c>
      <c r="AJ525" t="s">
        <v>3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">
      <c r="A526">
        <f>ROW(Source!A134)</f>
        <v>134</v>
      </c>
      <c r="B526">
        <v>56616859</v>
      </c>
      <c r="C526">
        <v>56616845</v>
      </c>
      <c r="D526">
        <v>46556476</v>
      </c>
      <c r="E526">
        <v>27786564</v>
      </c>
      <c r="F526">
        <v>1</v>
      </c>
      <c r="G526">
        <v>27786564</v>
      </c>
      <c r="H526">
        <v>3</v>
      </c>
      <c r="I526" t="s">
        <v>557</v>
      </c>
      <c r="J526" t="s">
        <v>3</v>
      </c>
      <c r="K526" t="s">
        <v>558</v>
      </c>
      <c r="L526">
        <v>1354</v>
      </c>
      <c r="N526">
        <v>1010</v>
      </c>
      <c r="O526" t="s">
        <v>88</v>
      </c>
      <c r="P526" t="s">
        <v>88</v>
      </c>
      <c r="Q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 t="s">
        <v>3</v>
      </c>
      <c r="AG526">
        <v>0</v>
      </c>
      <c r="AH526">
        <v>3</v>
      </c>
      <c r="AI526">
        <v>-1</v>
      </c>
      <c r="AJ526" t="s">
        <v>3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">
      <c r="A527">
        <f>ROW(Source!A135)</f>
        <v>135</v>
      </c>
      <c r="B527">
        <v>56616861</v>
      </c>
      <c r="C527">
        <v>56616860</v>
      </c>
      <c r="D527">
        <v>47634407</v>
      </c>
      <c r="E527">
        <v>27786564</v>
      </c>
      <c r="F527">
        <v>1</v>
      </c>
      <c r="G527">
        <v>27786564</v>
      </c>
      <c r="H527">
        <v>1</v>
      </c>
      <c r="I527" t="s">
        <v>439</v>
      </c>
      <c r="J527" t="s">
        <v>3</v>
      </c>
      <c r="K527" t="s">
        <v>440</v>
      </c>
      <c r="L527">
        <v>1191</v>
      </c>
      <c r="N527">
        <v>1013</v>
      </c>
      <c r="O527" t="s">
        <v>441</v>
      </c>
      <c r="P527" t="s">
        <v>441</v>
      </c>
      <c r="Q527">
        <v>1</v>
      </c>
      <c r="X527">
        <v>24.8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1</v>
      </c>
      <c r="AF527" t="s">
        <v>22</v>
      </c>
      <c r="AG527">
        <v>27.280000000000005</v>
      </c>
      <c r="AH527">
        <v>3</v>
      </c>
      <c r="AI527">
        <v>-1</v>
      </c>
      <c r="AJ527" t="s">
        <v>3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">
      <c r="A528">
        <f>ROW(Source!A135)</f>
        <v>135</v>
      </c>
      <c r="B528">
        <v>56616862</v>
      </c>
      <c r="C528">
        <v>56616860</v>
      </c>
      <c r="D528">
        <v>47767106</v>
      </c>
      <c r="E528">
        <v>1</v>
      </c>
      <c r="F528">
        <v>1</v>
      </c>
      <c r="G528">
        <v>27786564</v>
      </c>
      <c r="H528">
        <v>2</v>
      </c>
      <c r="I528" t="s">
        <v>487</v>
      </c>
      <c r="J528" t="s">
        <v>488</v>
      </c>
      <c r="K528" t="s">
        <v>489</v>
      </c>
      <c r="L528">
        <v>1368</v>
      </c>
      <c r="N528">
        <v>1011</v>
      </c>
      <c r="O528" t="s">
        <v>445</v>
      </c>
      <c r="P528" t="s">
        <v>445</v>
      </c>
      <c r="Q528">
        <v>1</v>
      </c>
      <c r="X528">
        <v>1.49</v>
      </c>
      <c r="Y528">
        <v>0</v>
      </c>
      <c r="Z528">
        <v>83.1</v>
      </c>
      <c r="AA528">
        <v>12.62</v>
      </c>
      <c r="AB528">
        <v>0</v>
      </c>
      <c r="AC528">
        <v>0</v>
      </c>
      <c r="AD528">
        <v>1</v>
      </c>
      <c r="AE528">
        <v>0</v>
      </c>
      <c r="AF528" t="s">
        <v>22</v>
      </c>
      <c r="AG528">
        <v>1.639</v>
      </c>
      <c r="AH528">
        <v>3</v>
      </c>
      <c r="AI528">
        <v>-1</v>
      </c>
      <c r="AJ528" t="s">
        <v>3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">
      <c r="A529">
        <f>ROW(Source!A135)</f>
        <v>135</v>
      </c>
      <c r="B529">
        <v>56616863</v>
      </c>
      <c r="C529">
        <v>56616860</v>
      </c>
      <c r="D529">
        <v>47766545</v>
      </c>
      <c r="E529">
        <v>1</v>
      </c>
      <c r="F529">
        <v>1</v>
      </c>
      <c r="G529">
        <v>27786564</v>
      </c>
      <c r="H529">
        <v>2</v>
      </c>
      <c r="I529" t="s">
        <v>490</v>
      </c>
      <c r="J529" t="s">
        <v>491</v>
      </c>
      <c r="K529" t="s">
        <v>492</v>
      </c>
      <c r="L529">
        <v>1368</v>
      </c>
      <c r="N529">
        <v>1011</v>
      </c>
      <c r="O529" t="s">
        <v>445</v>
      </c>
      <c r="P529" t="s">
        <v>445</v>
      </c>
      <c r="Q529">
        <v>1</v>
      </c>
      <c r="X529">
        <v>5.53</v>
      </c>
      <c r="Y529">
        <v>0</v>
      </c>
      <c r="Z529">
        <v>0.73</v>
      </c>
      <c r="AA529">
        <v>0</v>
      </c>
      <c r="AB529">
        <v>0</v>
      </c>
      <c r="AC529">
        <v>0</v>
      </c>
      <c r="AD529">
        <v>1</v>
      </c>
      <c r="AE529">
        <v>0</v>
      </c>
      <c r="AF529" t="s">
        <v>22</v>
      </c>
      <c r="AG529">
        <v>6.0830000000000011</v>
      </c>
      <c r="AH529">
        <v>3</v>
      </c>
      <c r="AI529">
        <v>-1</v>
      </c>
      <c r="AJ529" t="s">
        <v>3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">
      <c r="A530">
        <f>ROW(Source!A135)</f>
        <v>135</v>
      </c>
      <c r="B530">
        <v>56616864</v>
      </c>
      <c r="C530">
        <v>56616860</v>
      </c>
      <c r="D530">
        <v>47766581</v>
      </c>
      <c r="E530">
        <v>1</v>
      </c>
      <c r="F530">
        <v>1</v>
      </c>
      <c r="G530">
        <v>27786564</v>
      </c>
      <c r="H530">
        <v>2</v>
      </c>
      <c r="I530" t="s">
        <v>493</v>
      </c>
      <c r="J530" t="s">
        <v>494</v>
      </c>
      <c r="K530" t="s">
        <v>495</v>
      </c>
      <c r="L530">
        <v>1368</v>
      </c>
      <c r="N530">
        <v>1011</v>
      </c>
      <c r="O530" t="s">
        <v>445</v>
      </c>
      <c r="P530" t="s">
        <v>445</v>
      </c>
      <c r="Q530">
        <v>1</v>
      </c>
      <c r="X530">
        <v>5.14</v>
      </c>
      <c r="Y530">
        <v>0</v>
      </c>
      <c r="Z530">
        <v>4</v>
      </c>
      <c r="AA530">
        <v>0</v>
      </c>
      <c r="AB530">
        <v>0</v>
      </c>
      <c r="AC530">
        <v>0</v>
      </c>
      <c r="AD530">
        <v>1</v>
      </c>
      <c r="AE530">
        <v>0</v>
      </c>
      <c r="AF530" t="s">
        <v>22</v>
      </c>
      <c r="AG530">
        <v>5.6539999999999999</v>
      </c>
      <c r="AH530">
        <v>3</v>
      </c>
      <c r="AI530">
        <v>-1</v>
      </c>
      <c r="AJ530" t="s">
        <v>3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">
      <c r="A531">
        <f>ROW(Source!A135)</f>
        <v>135</v>
      </c>
      <c r="B531">
        <v>56616865</v>
      </c>
      <c r="C531">
        <v>56616860</v>
      </c>
      <c r="D531">
        <v>46723498</v>
      </c>
      <c r="E531">
        <v>1</v>
      </c>
      <c r="F531">
        <v>1</v>
      </c>
      <c r="G531">
        <v>27786564</v>
      </c>
      <c r="H531">
        <v>3</v>
      </c>
      <c r="I531" t="s">
        <v>496</v>
      </c>
      <c r="J531" t="s">
        <v>497</v>
      </c>
      <c r="K531" t="s">
        <v>498</v>
      </c>
      <c r="L531">
        <v>1348</v>
      </c>
      <c r="N531">
        <v>1009</v>
      </c>
      <c r="O531" t="s">
        <v>367</v>
      </c>
      <c r="P531" t="s">
        <v>367</v>
      </c>
      <c r="Q531">
        <v>1000</v>
      </c>
      <c r="X531">
        <v>6.0000000000000002E-5</v>
      </c>
      <c r="Y531">
        <v>11242.42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 t="s">
        <v>3</v>
      </c>
      <c r="AG531">
        <v>6.0000000000000002E-5</v>
      </c>
      <c r="AH531">
        <v>3</v>
      </c>
      <c r="AI531">
        <v>-1</v>
      </c>
      <c r="AJ531" t="s">
        <v>3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">
      <c r="A532">
        <f>ROW(Source!A135)</f>
        <v>135</v>
      </c>
      <c r="B532">
        <v>56616866</v>
      </c>
      <c r="C532">
        <v>56616860</v>
      </c>
      <c r="D532">
        <v>45796980</v>
      </c>
      <c r="E532">
        <v>1</v>
      </c>
      <c r="F532">
        <v>1</v>
      </c>
      <c r="G532">
        <v>27786564</v>
      </c>
      <c r="H532">
        <v>3</v>
      </c>
      <c r="I532" t="s">
        <v>499</v>
      </c>
      <c r="J532" t="s">
        <v>500</v>
      </c>
      <c r="K532" t="s">
        <v>501</v>
      </c>
      <c r="L532">
        <v>1346</v>
      </c>
      <c r="N532">
        <v>1009</v>
      </c>
      <c r="O532" t="s">
        <v>104</v>
      </c>
      <c r="P532" t="s">
        <v>104</v>
      </c>
      <c r="Q532">
        <v>1</v>
      </c>
      <c r="X532">
        <v>0.8</v>
      </c>
      <c r="Y532">
        <v>25.8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 t="s">
        <v>3</v>
      </c>
      <c r="AG532">
        <v>0.8</v>
      </c>
      <c r="AH532">
        <v>3</v>
      </c>
      <c r="AI532">
        <v>-1</v>
      </c>
      <c r="AJ532" t="s">
        <v>3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">
      <c r="A533">
        <f>ROW(Source!A135)</f>
        <v>135</v>
      </c>
      <c r="B533">
        <v>56616867</v>
      </c>
      <c r="C533">
        <v>56616860</v>
      </c>
      <c r="D533">
        <v>46723689</v>
      </c>
      <c r="E533">
        <v>1</v>
      </c>
      <c r="F533">
        <v>1</v>
      </c>
      <c r="G533">
        <v>27786564</v>
      </c>
      <c r="H533">
        <v>3</v>
      </c>
      <c r="I533" t="s">
        <v>502</v>
      </c>
      <c r="J533" t="s">
        <v>503</v>
      </c>
      <c r="K533" t="s">
        <v>504</v>
      </c>
      <c r="L533">
        <v>1348</v>
      </c>
      <c r="N533">
        <v>1009</v>
      </c>
      <c r="O533" t="s">
        <v>367</v>
      </c>
      <c r="P533" t="s">
        <v>367</v>
      </c>
      <c r="Q533">
        <v>1000</v>
      </c>
      <c r="X533">
        <v>5.0000000000000001E-4</v>
      </c>
      <c r="Y533">
        <v>60966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 t="s">
        <v>3</v>
      </c>
      <c r="AG533">
        <v>5.0000000000000001E-4</v>
      </c>
      <c r="AH533">
        <v>3</v>
      </c>
      <c r="AI533">
        <v>-1</v>
      </c>
      <c r="AJ533" t="s">
        <v>3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">
      <c r="A534">
        <f>ROW(Source!A135)</f>
        <v>135</v>
      </c>
      <c r="B534">
        <v>56616868</v>
      </c>
      <c r="C534">
        <v>56616860</v>
      </c>
      <c r="D534">
        <v>46723704</v>
      </c>
      <c r="E534">
        <v>1</v>
      </c>
      <c r="F534">
        <v>1</v>
      </c>
      <c r="G534">
        <v>27786564</v>
      </c>
      <c r="H534">
        <v>3</v>
      </c>
      <c r="I534" t="s">
        <v>505</v>
      </c>
      <c r="J534" t="s">
        <v>506</v>
      </c>
      <c r="K534" t="s">
        <v>507</v>
      </c>
      <c r="L534">
        <v>1348</v>
      </c>
      <c r="N534">
        <v>1009</v>
      </c>
      <c r="O534" t="s">
        <v>367</v>
      </c>
      <c r="P534" t="s">
        <v>367</v>
      </c>
      <c r="Q534">
        <v>1000</v>
      </c>
      <c r="X534">
        <v>4.0000000000000003E-5</v>
      </c>
      <c r="Y534">
        <v>7982.5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 t="s">
        <v>3</v>
      </c>
      <c r="AG534">
        <v>4.0000000000000003E-5</v>
      </c>
      <c r="AH534">
        <v>3</v>
      </c>
      <c r="AI534">
        <v>-1</v>
      </c>
      <c r="AJ534" t="s">
        <v>3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">
      <c r="A535">
        <f>ROW(Source!A135)</f>
        <v>135</v>
      </c>
      <c r="B535">
        <v>56616869</v>
      </c>
      <c r="C535">
        <v>56616860</v>
      </c>
      <c r="D535">
        <v>46735845</v>
      </c>
      <c r="E535">
        <v>1</v>
      </c>
      <c r="F535">
        <v>1</v>
      </c>
      <c r="G535">
        <v>27786564</v>
      </c>
      <c r="H535">
        <v>3</v>
      </c>
      <c r="I535" t="s">
        <v>508</v>
      </c>
      <c r="J535" t="s">
        <v>553</v>
      </c>
      <c r="K535" t="s">
        <v>510</v>
      </c>
      <c r="L535">
        <v>1356</v>
      </c>
      <c r="N535">
        <v>1010</v>
      </c>
      <c r="O535" t="s">
        <v>511</v>
      </c>
      <c r="P535" t="s">
        <v>511</v>
      </c>
      <c r="Q535">
        <v>1000</v>
      </c>
      <c r="X535">
        <v>4.0999999999999999E-4</v>
      </c>
      <c r="Y535">
        <v>226.68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 t="s">
        <v>3</v>
      </c>
      <c r="AG535">
        <v>4.0999999999999999E-4</v>
      </c>
      <c r="AH535">
        <v>3</v>
      </c>
      <c r="AI535">
        <v>-1</v>
      </c>
      <c r="AJ535" t="s">
        <v>3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">
      <c r="A536">
        <f>ROW(Source!A135)</f>
        <v>135</v>
      </c>
      <c r="B536">
        <v>56616870</v>
      </c>
      <c r="C536">
        <v>56616860</v>
      </c>
      <c r="D536">
        <v>46735506</v>
      </c>
      <c r="E536">
        <v>1</v>
      </c>
      <c r="F536">
        <v>1</v>
      </c>
      <c r="G536">
        <v>27786564</v>
      </c>
      <c r="H536">
        <v>3</v>
      </c>
      <c r="I536" t="s">
        <v>512</v>
      </c>
      <c r="J536" t="s">
        <v>513</v>
      </c>
      <c r="K536" t="s">
        <v>514</v>
      </c>
      <c r="L536">
        <v>1301</v>
      </c>
      <c r="N536">
        <v>1003</v>
      </c>
      <c r="O536" t="s">
        <v>55</v>
      </c>
      <c r="P536" t="s">
        <v>55</v>
      </c>
      <c r="Q536">
        <v>1</v>
      </c>
      <c r="X536">
        <v>0.96</v>
      </c>
      <c r="Y536">
        <v>0.7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 t="s">
        <v>3</v>
      </c>
      <c r="AG536">
        <v>0.96</v>
      </c>
      <c r="AH536">
        <v>3</v>
      </c>
      <c r="AI536">
        <v>-1</v>
      </c>
      <c r="AJ536" t="s">
        <v>3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">
      <c r="A537">
        <f>ROW(Source!A135)</f>
        <v>135</v>
      </c>
      <c r="B537">
        <v>56616871</v>
      </c>
      <c r="C537">
        <v>56616860</v>
      </c>
      <c r="D537">
        <v>46735508</v>
      </c>
      <c r="E537">
        <v>1</v>
      </c>
      <c r="F537">
        <v>1</v>
      </c>
      <c r="G537">
        <v>27786564</v>
      </c>
      <c r="H537">
        <v>3</v>
      </c>
      <c r="I537" t="s">
        <v>515</v>
      </c>
      <c r="J537" t="s">
        <v>516</v>
      </c>
      <c r="K537" t="s">
        <v>517</v>
      </c>
      <c r="L537">
        <v>1356</v>
      </c>
      <c r="N537">
        <v>1010</v>
      </c>
      <c r="O537" t="s">
        <v>511</v>
      </c>
      <c r="P537" t="s">
        <v>511</v>
      </c>
      <c r="Q537">
        <v>1000</v>
      </c>
      <c r="X537">
        <v>8.3199999999999993E-3</v>
      </c>
      <c r="Y537">
        <v>6.44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 t="s">
        <v>3</v>
      </c>
      <c r="AG537">
        <v>8.3199999999999993E-3</v>
      </c>
      <c r="AH537">
        <v>3</v>
      </c>
      <c r="AI537">
        <v>-1</v>
      </c>
      <c r="AJ537" t="s">
        <v>3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">
      <c r="A538">
        <f>ROW(Source!A135)</f>
        <v>135</v>
      </c>
      <c r="B538">
        <v>56616872</v>
      </c>
      <c r="C538">
        <v>56616860</v>
      </c>
      <c r="D538">
        <v>49717618</v>
      </c>
      <c r="E538">
        <v>27786564</v>
      </c>
      <c r="F538">
        <v>1</v>
      </c>
      <c r="G538">
        <v>27786564</v>
      </c>
      <c r="H538">
        <v>3</v>
      </c>
      <c r="I538" t="s">
        <v>554</v>
      </c>
      <c r="J538" t="s">
        <v>3</v>
      </c>
      <c r="K538" t="s">
        <v>555</v>
      </c>
      <c r="L538">
        <v>1303</v>
      </c>
      <c r="N538">
        <v>1003</v>
      </c>
      <c r="O538" t="s">
        <v>556</v>
      </c>
      <c r="P538" t="s">
        <v>556</v>
      </c>
      <c r="Q538">
        <v>1000</v>
      </c>
      <c r="X538">
        <v>0.10199999999999999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 t="s">
        <v>3</v>
      </c>
      <c r="AG538">
        <v>0.10199999999999999</v>
      </c>
      <c r="AH538">
        <v>3</v>
      </c>
      <c r="AI538">
        <v>-1</v>
      </c>
      <c r="AJ538" t="s">
        <v>3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">
      <c r="A539">
        <f>ROW(Source!A135)</f>
        <v>135</v>
      </c>
      <c r="B539">
        <v>56616873</v>
      </c>
      <c r="C539">
        <v>56616860</v>
      </c>
      <c r="D539">
        <v>46556476</v>
      </c>
      <c r="E539">
        <v>27786564</v>
      </c>
      <c r="F539">
        <v>1</v>
      </c>
      <c r="G539">
        <v>27786564</v>
      </c>
      <c r="H539">
        <v>3</v>
      </c>
      <c r="I539" t="s">
        <v>557</v>
      </c>
      <c r="J539" t="s">
        <v>3</v>
      </c>
      <c r="K539" t="s">
        <v>558</v>
      </c>
      <c r="L539">
        <v>1354</v>
      </c>
      <c r="N539">
        <v>1010</v>
      </c>
      <c r="O539" t="s">
        <v>88</v>
      </c>
      <c r="P539" t="s">
        <v>88</v>
      </c>
      <c r="Q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3</v>
      </c>
      <c r="AG539">
        <v>0</v>
      </c>
      <c r="AH539">
        <v>3</v>
      </c>
      <c r="AI539">
        <v>-1</v>
      </c>
      <c r="AJ539" t="s">
        <v>3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">
      <c r="A540">
        <f>ROW(Source!A136)</f>
        <v>136</v>
      </c>
      <c r="B540">
        <v>56616861</v>
      </c>
      <c r="C540">
        <v>56616860</v>
      </c>
      <c r="D540">
        <v>47634407</v>
      </c>
      <c r="E540">
        <v>27786564</v>
      </c>
      <c r="F540">
        <v>1</v>
      </c>
      <c r="G540">
        <v>27786564</v>
      </c>
      <c r="H540">
        <v>1</v>
      </c>
      <c r="I540" t="s">
        <v>439</v>
      </c>
      <c r="J540" t="s">
        <v>3</v>
      </c>
      <c r="K540" t="s">
        <v>440</v>
      </c>
      <c r="L540">
        <v>1191</v>
      </c>
      <c r="N540">
        <v>1013</v>
      </c>
      <c r="O540" t="s">
        <v>441</v>
      </c>
      <c r="P540" t="s">
        <v>441</v>
      </c>
      <c r="Q540">
        <v>1</v>
      </c>
      <c r="X540">
        <v>24.8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1</v>
      </c>
      <c r="AF540" t="s">
        <v>22</v>
      </c>
      <c r="AG540">
        <v>27.280000000000005</v>
      </c>
      <c r="AH540">
        <v>3</v>
      </c>
      <c r="AI540">
        <v>-1</v>
      </c>
      <c r="AJ540" t="s">
        <v>3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">
      <c r="A541">
        <f>ROW(Source!A136)</f>
        <v>136</v>
      </c>
      <c r="B541">
        <v>56616862</v>
      </c>
      <c r="C541">
        <v>56616860</v>
      </c>
      <c r="D541">
        <v>47767106</v>
      </c>
      <c r="E541">
        <v>1</v>
      </c>
      <c r="F541">
        <v>1</v>
      </c>
      <c r="G541">
        <v>27786564</v>
      </c>
      <c r="H541">
        <v>2</v>
      </c>
      <c r="I541" t="s">
        <v>487</v>
      </c>
      <c r="J541" t="s">
        <v>488</v>
      </c>
      <c r="K541" t="s">
        <v>489</v>
      </c>
      <c r="L541">
        <v>1368</v>
      </c>
      <c r="N541">
        <v>1011</v>
      </c>
      <c r="O541" t="s">
        <v>445</v>
      </c>
      <c r="P541" t="s">
        <v>445</v>
      </c>
      <c r="Q541">
        <v>1</v>
      </c>
      <c r="X541">
        <v>1.49</v>
      </c>
      <c r="Y541">
        <v>0</v>
      </c>
      <c r="Z541">
        <v>83.1</v>
      </c>
      <c r="AA541">
        <v>12.62</v>
      </c>
      <c r="AB541">
        <v>0</v>
      </c>
      <c r="AC541">
        <v>0</v>
      </c>
      <c r="AD541">
        <v>1</v>
      </c>
      <c r="AE541">
        <v>0</v>
      </c>
      <c r="AF541" t="s">
        <v>22</v>
      </c>
      <c r="AG541">
        <v>1.639</v>
      </c>
      <c r="AH541">
        <v>3</v>
      </c>
      <c r="AI541">
        <v>-1</v>
      </c>
      <c r="AJ541" t="s">
        <v>3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">
      <c r="A542">
        <f>ROW(Source!A136)</f>
        <v>136</v>
      </c>
      <c r="B542">
        <v>56616863</v>
      </c>
      <c r="C542">
        <v>56616860</v>
      </c>
      <c r="D542">
        <v>47766545</v>
      </c>
      <c r="E542">
        <v>1</v>
      </c>
      <c r="F542">
        <v>1</v>
      </c>
      <c r="G542">
        <v>27786564</v>
      </c>
      <c r="H542">
        <v>2</v>
      </c>
      <c r="I542" t="s">
        <v>490</v>
      </c>
      <c r="J542" t="s">
        <v>491</v>
      </c>
      <c r="K542" t="s">
        <v>492</v>
      </c>
      <c r="L542">
        <v>1368</v>
      </c>
      <c r="N542">
        <v>1011</v>
      </c>
      <c r="O542" t="s">
        <v>445</v>
      </c>
      <c r="P542" t="s">
        <v>445</v>
      </c>
      <c r="Q542">
        <v>1</v>
      </c>
      <c r="X542">
        <v>5.53</v>
      </c>
      <c r="Y542">
        <v>0</v>
      </c>
      <c r="Z542">
        <v>0.73</v>
      </c>
      <c r="AA542">
        <v>0</v>
      </c>
      <c r="AB542">
        <v>0</v>
      </c>
      <c r="AC542">
        <v>0</v>
      </c>
      <c r="AD542">
        <v>1</v>
      </c>
      <c r="AE542">
        <v>0</v>
      </c>
      <c r="AF542" t="s">
        <v>22</v>
      </c>
      <c r="AG542">
        <v>6.0830000000000011</v>
      </c>
      <c r="AH542">
        <v>3</v>
      </c>
      <c r="AI542">
        <v>-1</v>
      </c>
      <c r="AJ542" t="s">
        <v>3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">
      <c r="A543">
        <f>ROW(Source!A136)</f>
        <v>136</v>
      </c>
      <c r="B543">
        <v>56616864</v>
      </c>
      <c r="C543">
        <v>56616860</v>
      </c>
      <c r="D543">
        <v>47766581</v>
      </c>
      <c r="E543">
        <v>1</v>
      </c>
      <c r="F543">
        <v>1</v>
      </c>
      <c r="G543">
        <v>27786564</v>
      </c>
      <c r="H543">
        <v>2</v>
      </c>
      <c r="I543" t="s">
        <v>493</v>
      </c>
      <c r="J543" t="s">
        <v>494</v>
      </c>
      <c r="K543" t="s">
        <v>495</v>
      </c>
      <c r="L543">
        <v>1368</v>
      </c>
      <c r="N543">
        <v>1011</v>
      </c>
      <c r="O543" t="s">
        <v>445</v>
      </c>
      <c r="P543" t="s">
        <v>445</v>
      </c>
      <c r="Q543">
        <v>1</v>
      </c>
      <c r="X543">
        <v>5.14</v>
      </c>
      <c r="Y543">
        <v>0</v>
      </c>
      <c r="Z543">
        <v>4</v>
      </c>
      <c r="AA543">
        <v>0</v>
      </c>
      <c r="AB543">
        <v>0</v>
      </c>
      <c r="AC543">
        <v>0</v>
      </c>
      <c r="AD543">
        <v>1</v>
      </c>
      <c r="AE543">
        <v>0</v>
      </c>
      <c r="AF543" t="s">
        <v>22</v>
      </c>
      <c r="AG543">
        <v>5.6539999999999999</v>
      </c>
      <c r="AH543">
        <v>3</v>
      </c>
      <c r="AI543">
        <v>-1</v>
      </c>
      <c r="AJ543" t="s">
        <v>3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">
      <c r="A544">
        <f>ROW(Source!A136)</f>
        <v>136</v>
      </c>
      <c r="B544">
        <v>56616865</v>
      </c>
      <c r="C544">
        <v>56616860</v>
      </c>
      <c r="D544">
        <v>46723498</v>
      </c>
      <c r="E544">
        <v>1</v>
      </c>
      <c r="F544">
        <v>1</v>
      </c>
      <c r="G544">
        <v>27786564</v>
      </c>
      <c r="H544">
        <v>3</v>
      </c>
      <c r="I544" t="s">
        <v>496</v>
      </c>
      <c r="J544" t="s">
        <v>497</v>
      </c>
      <c r="K544" t="s">
        <v>498</v>
      </c>
      <c r="L544">
        <v>1348</v>
      </c>
      <c r="N544">
        <v>1009</v>
      </c>
      <c r="O544" t="s">
        <v>367</v>
      </c>
      <c r="P544" t="s">
        <v>367</v>
      </c>
      <c r="Q544">
        <v>1000</v>
      </c>
      <c r="X544">
        <v>6.0000000000000002E-5</v>
      </c>
      <c r="Y544">
        <v>11242.42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 t="s">
        <v>3</v>
      </c>
      <c r="AG544">
        <v>6.0000000000000002E-5</v>
      </c>
      <c r="AH544">
        <v>3</v>
      </c>
      <c r="AI544">
        <v>-1</v>
      </c>
      <c r="AJ544" t="s">
        <v>3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">
      <c r="A545">
        <f>ROW(Source!A136)</f>
        <v>136</v>
      </c>
      <c r="B545">
        <v>56616866</v>
      </c>
      <c r="C545">
        <v>56616860</v>
      </c>
      <c r="D545">
        <v>45796980</v>
      </c>
      <c r="E545">
        <v>1</v>
      </c>
      <c r="F545">
        <v>1</v>
      </c>
      <c r="G545">
        <v>27786564</v>
      </c>
      <c r="H545">
        <v>3</v>
      </c>
      <c r="I545" t="s">
        <v>499</v>
      </c>
      <c r="J545" t="s">
        <v>500</v>
      </c>
      <c r="K545" t="s">
        <v>501</v>
      </c>
      <c r="L545">
        <v>1346</v>
      </c>
      <c r="N545">
        <v>1009</v>
      </c>
      <c r="O545" t="s">
        <v>104</v>
      </c>
      <c r="P545" t="s">
        <v>104</v>
      </c>
      <c r="Q545">
        <v>1</v>
      </c>
      <c r="X545">
        <v>0.8</v>
      </c>
      <c r="Y545">
        <v>25.8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 t="s">
        <v>3</v>
      </c>
      <c r="AG545">
        <v>0.8</v>
      </c>
      <c r="AH545">
        <v>3</v>
      </c>
      <c r="AI545">
        <v>-1</v>
      </c>
      <c r="AJ545" t="s">
        <v>3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">
      <c r="A546">
        <f>ROW(Source!A136)</f>
        <v>136</v>
      </c>
      <c r="B546">
        <v>56616867</v>
      </c>
      <c r="C546">
        <v>56616860</v>
      </c>
      <c r="D546">
        <v>46723689</v>
      </c>
      <c r="E546">
        <v>1</v>
      </c>
      <c r="F546">
        <v>1</v>
      </c>
      <c r="G546">
        <v>27786564</v>
      </c>
      <c r="H546">
        <v>3</v>
      </c>
      <c r="I546" t="s">
        <v>502</v>
      </c>
      <c r="J546" t="s">
        <v>503</v>
      </c>
      <c r="K546" t="s">
        <v>504</v>
      </c>
      <c r="L546">
        <v>1348</v>
      </c>
      <c r="N546">
        <v>1009</v>
      </c>
      <c r="O546" t="s">
        <v>367</v>
      </c>
      <c r="P546" t="s">
        <v>367</v>
      </c>
      <c r="Q546">
        <v>1000</v>
      </c>
      <c r="X546">
        <v>5.0000000000000001E-4</v>
      </c>
      <c r="Y546">
        <v>60966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  <c r="AF546" t="s">
        <v>3</v>
      </c>
      <c r="AG546">
        <v>5.0000000000000001E-4</v>
      </c>
      <c r="AH546">
        <v>3</v>
      </c>
      <c r="AI546">
        <v>-1</v>
      </c>
      <c r="AJ546" t="s">
        <v>3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">
      <c r="A547">
        <f>ROW(Source!A136)</f>
        <v>136</v>
      </c>
      <c r="B547">
        <v>56616868</v>
      </c>
      <c r="C547">
        <v>56616860</v>
      </c>
      <c r="D547">
        <v>46723704</v>
      </c>
      <c r="E547">
        <v>1</v>
      </c>
      <c r="F547">
        <v>1</v>
      </c>
      <c r="G547">
        <v>27786564</v>
      </c>
      <c r="H547">
        <v>3</v>
      </c>
      <c r="I547" t="s">
        <v>505</v>
      </c>
      <c r="J547" t="s">
        <v>506</v>
      </c>
      <c r="K547" t="s">
        <v>507</v>
      </c>
      <c r="L547">
        <v>1348</v>
      </c>
      <c r="N547">
        <v>1009</v>
      </c>
      <c r="O547" t="s">
        <v>367</v>
      </c>
      <c r="P547" t="s">
        <v>367</v>
      </c>
      <c r="Q547">
        <v>1000</v>
      </c>
      <c r="X547">
        <v>4.0000000000000003E-5</v>
      </c>
      <c r="Y547">
        <v>7982.5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 t="s">
        <v>3</v>
      </c>
      <c r="AG547">
        <v>4.0000000000000003E-5</v>
      </c>
      <c r="AH547">
        <v>3</v>
      </c>
      <c r="AI547">
        <v>-1</v>
      </c>
      <c r="AJ547" t="s">
        <v>3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">
      <c r="A548">
        <f>ROW(Source!A136)</f>
        <v>136</v>
      </c>
      <c r="B548">
        <v>56616869</v>
      </c>
      <c r="C548">
        <v>56616860</v>
      </c>
      <c r="D548">
        <v>46735845</v>
      </c>
      <c r="E548">
        <v>1</v>
      </c>
      <c r="F548">
        <v>1</v>
      </c>
      <c r="G548">
        <v>27786564</v>
      </c>
      <c r="H548">
        <v>3</v>
      </c>
      <c r="I548" t="s">
        <v>508</v>
      </c>
      <c r="J548" t="s">
        <v>553</v>
      </c>
      <c r="K548" t="s">
        <v>510</v>
      </c>
      <c r="L548">
        <v>1356</v>
      </c>
      <c r="N548">
        <v>1010</v>
      </c>
      <c r="O548" t="s">
        <v>511</v>
      </c>
      <c r="P548" t="s">
        <v>511</v>
      </c>
      <c r="Q548">
        <v>1000</v>
      </c>
      <c r="X548">
        <v>4.0999999999999999E-4</v>
      </c>
      <c r="Y548">
        <v>226.68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 t="s">
        <v>3</v>
      </c>
      <c r="AG548">
        <v>4.0999999999999999E-4</v>
      </c>
      <c r="AH548">
        <v>3</v>
      </c>
      <c r="AI548">
        <v>-1</v>
      </c>
      <c r="AJ548" t="s">
        <v>3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">
      <c r="A549">
        <f>ROW(Source!A136)</f>
        <v>136</v>
      </c>
      <c r="B549">
        <v>56616870</v>
      </c>
      <c r="C549">
        <v>56616860</v>
      </c>
      <c r="D549">
        <v>46735506</v>
      </c>
      <c r="E549">
        <v>1</v>
      </c>
      <c r="F549">
        <v>1</v>
      </c>
      <c r="G549">
        <v>27786564</v>
      </c>
      <c r="H549">
        <v>3</v>
      </c>
      <c r="I549" t="s">
        <v>512</v>
      </c>
      <c r="J549" t="s">
        <v>513</v>
      </c>
      <c r="K549" t="s">
        <v>514</v>
      </c>
      <c r="L549">
        <v>1301</v>
      </c>
      <c r="N549">
        <v>1003</v>
      </c>
      <c r="O549" t="s">
        <v>55</v>
      </c>
      <c r="P549" t="s">
        <v>55</v>
      </c>
      <c r="Q549">
        <v>1</v>
      </c>
      <c r="X549">
        <v>0.96</v>
      </c>
      <c r="Y549">
        <v>0.7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 t="s">
        <v>3</v>
      </c>
      <c r="AG549">
        <v>0.96</v>
      </c>
      <c r="AH549">
        <v>3</v>
      </c>
      <c r="AI549">
        <v>-1</v>
      </c>
      <c r="AJ549" t="s">
        <v>3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">
      <c r="A550">
        <f>ROW(Source!A136)</f>
        <v>136</v>
      </c>
      <c r="B550">
        <v>56616871</v>
      </c>
      <c r="C550">
        <v>56616860</v>
      </c>
      <c r="D550">
        <v>46735508</v>
      </c>
      <c r="E550">
        <v>1</v>
      </c>
      <c r="F550">
        <v>1</v>
      </c>
      <c r="G550">
        <v>27786564</v>
      </c>
      <c r="H550">
        <v>3</v>
      </c>
      <c r="I550" t="s">
        <v>515</v>
      </c>
      <c r="J550" t="s">
        <v>516</v>
      </c>
      <c r="K550" t="s">
        <v>517</v>
      </c>
      <c r="L550">
        <v>1356</v>
      </c>
      <c r="N550">
        <v>1010</v>
      </c>
      <c r="O550" t="s">
        <v>511</v>
      </c>
      <c r="P550" t="s">
        <v>511</v>
      </c>
      <c r="Q550">
        <v>1000</v>
      </c>
      <c r="X550">
        <v>8.3199999999999993E-3</v>
      </c>
      <c r="Y550">
        <v>6.44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 t="s">
        <v>3</v>
      </c>
      <c r="AG550">
        <v>8.3199999999999993E-3</v>
      </c>
      <c r="AH550">
        <v>3</v>
      </c>
      <c r="AI550">
        <v>-1</v>
      </c>
      <c r="AJ550" t="s">
        <v>3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">
      <c r="A551">
        <f>ROW(Source!A136)</f>
        <v>136</v>
      </c>
      <c r="B551">
        <v>56616872</v>
      </c>
      <c r="C551">
        <v>56616860</v>
      </c>
      <c r="D551">
        <v>49717618</v>
      </c>
      <c r="E551">
        <v>27786564</v>
      </c>
      <c r="F551">
        <v>1</v>
      </c>
      <c r="G551">
        <v>27786564</v>
      </c>
      <c r="H551">
        <v>3</v>
      </c>
      <c r="I551" t="s">
        <v>554</v>
      </c>
      <c r="J551" t="s">
        <v>3</v>
      </c>
      <c r="K551" t="s">
        <v>555</v>
      </c>
      <c r="L551">
        <v>1303</v>
      </c>
      <c r="N551">
        <v>1003</v>
      </c>
      <c r="O551" t="s">
        <v>556</v>
      </c>
      <c r="P551" t="s">
        <v>556</v>
      </c>
      <c r="Q551">
        <v>1000</v>
      </c>
      <c r="X551">
        <v>0.10199999999999999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 t="s">
        <v>3</v>
      </c>
      <c r="AG551">
        <v>0.10199999999999999</v>
      </c>
      <c r="AH551">
        <v>3</v>
      </c>
      <c r="AI551">
        <v>-1</v>
      </c>
      <c r="AJ551" t="s">
        <v>3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">
      <c r="A552">
        <f>ROW(Source!A136)</f>
        <v>136</v>
      </c>
      <c r="B552">
        <v>56616873</v>
      </c>
      <c r="C552">
        <v>56616860</v>
      </c>
      <c r="D552">
        <v>46556476</v>
      </c>
      <c r="E552">
        <v>27786564</v>
      </c>
      <c r="F552">
        <v>1</v>
      </c>
      <c r="G552">
        <v>27786564</v>
      </c>
      <c r="H552">
        <v>3</v>
      </c>
      <c r="I552" t="s">
        <v>557</v>
      </c>
      <c r="J552" t="s">
        <v>3</v>
      </c>
      <c r="K552" t="s">
        <v>558</v>
      </c>
      <c r="L552">
        <v>1354</v>
      </c>
      <c r="N552">
        <v>1010</v>
      </c>
      <c r="O552" t="s">
        <v>88</v>
      </c>
      <c r="P552" t="s">
        <v>88</v>
      </c>
      <c r="Q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 t="s">
        <v>3</v>
      </c>
      <c r="AG552">
        <v>0</v>
      </c>
      <c r="AH552">
        <v>3</v>
      </c>
      <c r="AI552">
        <v>-1</v>
      </c>
      <c r="AJ552" t="s">
        <v>3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">
      <c r="A553">
        <f>ROW(Source!A137)</f>
        <v>137</v>
      </c>
      <c r="B553">
        <v>56616876</v>
      </c>
      <c r="C553">
        <v>56616874</v>
      </c>
      <c r="D553">
        <v>47634407</v>
      </c>
      <c r="E553">
        <v>27786564</v>
      </c>
      <c r="F553">
        <v>1</v>
      </c>
      <c r="G553">
        <v>27786564</v>
      </c>
      <c r="H553">
        <v>1</v>
      </c>
      <c r="I553" t="s">
        <v>439</v>
      </c>
      <c r="J553" t="s">
        <v>3</v>
      </c>
      <c r="K553" t="s">
        <v>440</v>
      </c>
      <c r="L553">
        <v>1191</v>
      </c>
      <c r="N553">
        <v>1013</v>
      </c>
      <c r="O553" t="s">
        <v>441</v>
      </c>
      <c r="P553" t="s">
        <v>441</v>
      </c>
      <c r="Q553">
        <v>1</v>
      </c>
      <c r="X553">
        <v>24.8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1</v>
      </c>
      <c r="AF553" t="s">
        <v>22</v>
      </c>
      <c r="AG553">
        <v>27.280000000000005</v>
      </c>
      <c r="AH553">
        <v>2</v>
      </c>
      <c r="AI553">
        <v>56616875</v>
      </c>
      <c r="AJ553">
        <v>117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">
      <c r="A554">
        <f>ROW(Source!A137)</f>
        <v>137</v>
      </c>
      <c r="B554">
        <v>56616877</v>
      </c>
      <c r="C554">
        <v>56616874</v>
      </c>
      <c r="D554">
        <v>47767106</v>
      </c>
      <c r="E554">
        <v>1</v>
      </c>
      <c r="F554">
        <v>1</v>
      </c>
      <c r="G554">
        <v>27786564</v>
      </c>
      <c r="H554">
        <v>2</v>
      </c>
      <c r="I554" t="s">
        <v>487</v>
      </c>
      <c r="J554" t="s">
        <v>488</v>
      </c>
      <c r="K554" t="s">
        <v>489</v>
      </c>
      <c r="L554">
        <v>1368</v>
      </c>
      <c r="N554">
        <v>1011</v>
      </c>
      <c r="O554" t="s">
        <v>445</v>
      </c>
      <c r="P554" t="s">
        <v>445</v>
      </c>
      <c r="Q554">
        <v>1</v>
      </c>
      <c r="X554">
        <v>1.49</v>
      </c>
      <c r="Y554">
        <v>0</v>
      </c>
      <c r="Z554">
        <v>83.1</v>
      </c>
      <c r="AA554">
        <v>12.62</v>
      </c>
      <c r="AB554">
        <v>0</v>
      </c>
      <c r="AC554">
        <v>0</v>
      </c>
      <c r="AD554">
        <v>1</v>
      </c>
      <c r="AE554">
        <v>0</v>
      </c>
      <c r="AF554" t="s">
        <v>22</v>
      </c>
      <c r="AG554">
        <v>1.639</v>
      </c>
      <c r="AH554">
        <v>3</v>
      </c>
      <c r="AI554">
        <v>-1</v>
      </c>
      <c r="AJ554" t="s">
        <v>3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">
      <c r="A555">
        <f>ROW(Source!A137)</f>
        <v>137</v>
      </c>
      <c r="B555">
        <v>56616878</v>
      </c>
      <c r="C555">
        <v>56616874</v>
      </c>
      <c r="D555">
        <v>47766545</v>
      </c>
      <c r="E555">
        <v>1</v>
      </c>
      <c r="F555">
        <v>1</v>
      </c>
      <c r="G555">
        <v>27786564</v>
      </c>
      <c r="H555">
        <v>2</v>
      </c>
      <c r="I555" t="s">
        <v>490</v>
      </c>
      <c r="J555" t="s">
        <v>491</v>
      </c>
      <c r="K555" t="s">
        <v>492</v>
      </c>
      <c r="L555">
        <v>1368</v>
      </c>
      <c r="N555">
        <v>1011</v>
      </c>
      <c r="O555" t="s">
        <v>445</v>
      </c>
      <c r="P555" t="s">
        <v>445</v>
      </c>
      <c r="Q555">
        <v>1</v>
      </c>
      <c r="X555">
        <v>5.53</v>
      </c>
      <c r="Y555">
        <v>0</v>
      </c>
      <c r="Z555">
        <v>0.73</v>
      </c>
      <c r="AA555">
        <v>0</v>
      </c>
      <c r="AB555">
        <v>0</v>
      </c>
      <c r="AC555">
        <v>0</v>
      </c>
      <c r="AD555">
        <v>1</v>
      </c>
      <c r="AE555">
        <v>0</v>
      </c>
      <c r="AF555" t="s">
        <v>22</v>
      </c>
      <c r="AG555">
        <v>6.0830000000000011</v>
      </c>
      <c r="AH555">
        <v>3</v>
      </c>
      <c r="AI555">
        <v>-1</v>
      </c>
      <c r="AJ555" t="s">
        <v>3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">
      <c r="A556">
        <f>ROW(Source!A137)</f>
        <v>137</v>
      </c>
      <c r="B556">
        <v>56616879</v>
      </c>
      <c r="C556">
        <v>56616874</v>
      </c>
      <c r="D556">
        <v>47766581</v>
      </c>
      <c r="E556">
        <v>1</v>
      </c>
      <c r="F556">
        <v>1</v>
      </c>
      <c r="G556">
        <v>27786564</v>
      </c>
      <c r="H556">
        <v>2</v>
      </c>
      <c r="I556" t="s">
        <v>493</v>
      </c>
      <c r="J556" t="s">
        <v>494</v>
      </c>
      <c r="K556" t="s">
        <v>495</v>
      </c>
      <c r="L556">
        <v>1368</v>
      </c>
      <c r="N556">
        <v>1011</v>
      </c>
      <c r="O556" t="s">
        <v>445</v>
      </c>
      <c r="P556" t="s">
        <v>445</v>
      </c>
      <c r="Q556">
        <v>1</v>
      </c>
      <c r="X556">
        <v>5.14</v>
      </c>
      <c r="Y556">
        <v>0</v>
      </c>
      <c r="Z556">
        <v>4</v>
      </c>
      <c r="AA556">
        <v>0</v>
      </c>
      <c r="AB556">
        <v>0</v>
      </c>
      <c r="AC556">
        <v>0</v>
      </c>
      <c r="AD556">
        <v>1</v>
      </c>
      <c r="AE556">
        <v>0</v>
      </c>
      <c r="AF556" t="s">
        <v>22</v>
      </c>
      <c r="AG556">
        <v>5.6539999999999999</v>
      </c>
      <c r="AH556">
        <v>3</v>
      </c>
      <c r="AI556">
        <v>-1</v>
      </c>
      <c r="AJ556" t="s">
        <v>3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">
      <c r="A557">
        <f>ROW(Source!A137)</f>
        <v>137</v>
      </c>
      <c r="B557">
        <v>56616880</v>
      </c>
      <c r="C557">
        <v>56616874</v>
      </c>
      <c r="D557">
        <v>46723498</v>
      </c>
      <c r="E557">
        <v>1</v>
      </c>
      <c r="F557">
        <v>1</v>
      </c>
      <c r="G557">
        <v>27786564</v>
      </c>
      <c r="H557">
        <v>3</v>
      </c>
      <c r="I557" t="s">
        <v>496</v>
      </c>
      <c r="J557" t="s">
        <v>497</v>
      </c>
      <c r="K557" t="s">
        <v>498</v>
      </c>
      <c r="L557">
        <v>1348</v>
      </c>
      <c r="N557">
        <v>1009</v>
      </c>
      <c r="O557" t="s">
        <v>367</v>
      </c>
      <c r="P557" t="s">
        <v>367</v>
      </c>
      <c r="Q557">
        <v>1000</v>
      </c>
      <c r="X557">
        <v>6.0000000000000002E-5</v>
      </c>
      <c r="Y557">
        <v>11242.42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 t="s">
        <v>3</v>
      </c>
      <c r="AG557">
        <v>6.0000000000000002E-5</v>
      </c>
      <c r="AH557">
        <v>3</v>
      </c>
      <c r="AI557">
        <v>-1</v>
      </c>
      <c r="AJ557" t="s">
        <v>3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">
      <c r="A558">
        <f>ROW(Source!A137)</f>
        <v>137</v>
      </c>
      <c r="B558">
        <v>56616881</v>
      </c>
      <c r="C558">
        <v>56616874</v>
      </c>
      <c r="D558">
        <v>45796980</v>
      </c>
      <c r="E558">
        <v>1</v>
      </c>
      <c r="F558">
        <v>1</v>
      </c>
      <c r="G558">
        <v>27786564</v>
      </c>
      <c r="H558">
        <v>3</v>
      </c>
      <c r="I558" t="s">
        <v>499</v>
      </c>
      <c r="J558" t="s">
        <v>500</v>
      </c>
      <c r="K558" t="s">
        <v>501</v>
      </c>
      <c r="L558">
        <v>1346</v>
      </c>
      <c r="N558">
        <v>1009</v>
      </c>
      <c r="O558" t="s">
        <v>104</v>
      </c>
      <c r="P558" t="s">
        <v>104</v>
      </c>
      <c r="Q558">
        <v>1</v>
      </c>
      <c r="X558">
        <v>0.8</v>
      </c>
      <c r="Y558">
        <v>25.8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 t="s">
        <v>3</v>
      </c>
      <c r="AG558">
        <v>0.8</v>
      </c>
      <c r="AH558">
        <v>3</v>
      </c>
      <c r="AI558">
        <v>-1</v>
      </c>
      <c r="AJ558" t="s">
        <v>3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">
      <c r="A559">
        <f>ROW(Source!A137)</f>
        <v>137</v>
      </c>
      <c r="B559">
        <v>56616882</v>
      </c>
      <c r="C559">
        <v>56616874</v>
      </c>
      <c r="D559">
        <v>46723689</v>
      </c>
      <c r="E559">
        <v>1</v>
      </c>
      <c r="F559">
        <v>1</v>
      </c>
      <c r="G559">
        <v>27786564</v>
      </c>
      <c r="H559">
        <v>3</v>
      </c>
      <c r="I559" t="s">
        <v>502</v>
      </c>
      <c r="J559" t="s">
        <v>503</v>
      </c>
      <c r="K559" t="s">
        <v>504</v>
      </c>
      <c r="L559">
        <v>1348</v>
      </c>
      <c r="N559">
        <v>1009</v>
      </c>
      <c r="O559" t="s">
        <v>367</v>
      </c>
      <c r="P559" t="s">
        <v>367</v>
      </c>
      <c r="Q559">
        <v>1000</v>
      </c>
      <c r="X559">
        <v>5.0000000000000001E-4</v>
      </c>
      <c r="Y559">
        <v>60966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 t="s">
        <v>3</v>
      </c>
      <c r="AG559">
        <v>5.0000000000000001E-4</v>
      </c>
      <c r="AH559">
        <v>3</v>
      </c>
      <c r="AI559">
        <v>-1</v>
      </c>
      <c r="AJ559" t="s">
        <v>3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">
      <c r="A560">
        <f>ROW(Source!A137)</f>
        <v>137</v>
      </c>
      <c r="B560">
        <v>56616883</v>
      </c>
      <c r="C560">
        <v>56616874</v>
      </c>
      <c r="D560">
        <v>46723704</v>
      </c>
      <c r="E560">
        <v>1</v>
      </c>
      <c r="F560">
        <v>1</v>
      </c>
      <c r="G560">
        <v>27786564</v>
      </c>
      <c r="H560">
        <v>3</v>
      </c>
      <c r="I560" t="s">
        <v>505</v>
      </c>
      <c r="J560" t="s">
        <v>506</v>
      </c>
      <c r="K560" t="s">
        <v>507</v>
      </c>
      <c r="L560">
        <v>1348</v>
      </c>
      <c r="N560">
        <v>1009</v>
      </c>
      <c r="O560" t="s">
        <v>367</v>
      </c>
      <c r="P560" t="s">
        <v>367</v>
      </c>
      <c r="Q560">
        <v>1000</v>
      </c>
      <c r="X560">
        <v>4.0000000000000003E-5</v>
      </c>
      <c r="Y560">
        <v>7982.5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 t="s">
        <v>3</v>
      </c>
      <c r="AG560">
        <v>4.0000000000000003E-5</v>
      </c>
      <c r="AH560">
        <v>3</v>
      </c>
      <c r="AI560">
        <v>-1</v>
      </c>
      <c r="AJ560" t="s">
        <v>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">
      <c r="A561">
        <f>ROW(Source!A137)</f>
        <v>137</v>
      </c>
      <c r="B561">
        <v>56616884</v>
      </c>
      <c r="C561">
        <v>56616874</v>
      </c>
      <c r="D561">
        <v>46735845</v>
      </c>
      <c r="E561">
        <v>1</v>
      </c>
      <c r="F561">
        <v>1</v>
      </c>
      <c r="G561">
        <v>27786564</v>
      </c>
      <c r="H561">
        <v>3</v>
      </c>
      <c r="I561" t="s">
        <v>508</v>
      </c>
      <c r="J561" t="s">
        <v>553</v>
      </c>
      <c r="K561" t="s">
        <v>510</v>
      </c>
      <c r="L561">
        <v>1356</v>
      </c>
      <c r="N561">
        <v>1010</v>
      </c>
      <c r="O561" t="s">
        <v>511</v>
      </c>
      <c r="P561" t="s">
        <v>511</v>
      </c>
      <c r="Q561">
        <v>1000</v>
      </c>
      <c r="X561">
        <v>4.0999999999999999E-4</v>
      </c>
      <c r="Y561">
        <v>226.68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 t="s">
        <v>3</v>
      </c>
      <c r="AG561">
        <v>4.0999999999999999E-4</v>
      </c>
      <c r="AH561">
        <v>3</v>
      </c>
      <c r="AI561">
        <v>-1</v>
      </c>
      <c r="AJ561" t="s">
        <v>3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">
      <c r="A562">
        <f>ROW(Source!A137)</f>
        <v>137</v>
      </c>
      <c r="B562">
        <v>56616885</v>
      </c>
      <c r="C562">
        <v>56616874</v>
      </c>
      <c r="D562">
        <v>46735506</v>
      </c>
      <c r="E562">
        <v>1</v>
      </c>
      <c r="F562">
        <v>1</v>
      </c>
      <c r="G562">
        <v>27786564</v>
      </c>
      <c r="H562">
        <v>3</v>
      </c>
      <c r="I562" t="s">
        <v>512</v>
      </c>
      <c r="J562" t="s">
        <v>513</v>
      </c>
      <c r="K562" t="s">
        <v>514</v>
      </c>
      <c r="L562">
        <v>1301</v>
      </c>
      <c r="N562">
        <v>1003</v>
      </c>
      <c r="O562" t="s">
        <v>55</v>
      </c>
      <c r="P562" t="s">
        <v>55</v>
      </c>
      <c r="Q562">
        <v>1</v>
      </c>
      <c r="X562">
        <v>0.96</v>
      </c>
      <c r="Y562">
        <v>0.7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 t="s">
        <v>3</v>
      </c>
      <c r="AG562">
        <v>0.96</v>
      </c>
      <c r="AH562">
        <v>3</v>
      </c>
      <c r="AI562">
        <v>-1</v>
      </c>
      <c r="AJ562" t="s">
        <v>3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">
      <c r="A563">
        <f>ROW(Source!A137)</f>
        <v>137</v>
      </c>
      <c r="B563">
        <v>56616886</v>
      </c>
      <c r="C563">
        <v>56616874</v>
      </c>
      <c r="D563">
        <v>46735508</v>
      </c>
      <c r="E563">
        <v>1</v>
      </c>
      <c r="F563">
        <v>1</v>
      </c>
      <c r="G563">
        <v>27786564</v>
      </c>
      <c r="H563">
        <v>3</v>
      </c>
      <c r="I563" t="s">
        <v>515</v>
      </c>
      <c r="J563" t="s">
        <v>516</v>
      </c>
      <c r="K563" t="s">
        <v>517</v>
      </c>
      <c r="L563">
        <v>1356</v>
      </c>
      <c r="N563">
        <v>1010</v>
      </c>
      <c r="O563" t="s">
        <v>511</v>
      </c>
      <c r="P563" t="s">
        <v>511</v>
      </c>
      <c r="Q563">
        <v>1000</v>
      </c>
      <c r="X563">
        <v>8.3199999999999993E-3</v>
      </c>
      <c r="Y563">
        <v>6.44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 t="s">
        <v>3</v>
      </c>
      <c r="AG563">
        <v>8.3199999999999993E-3</v>
      </c>
      <c r="AH563">
        <v>3</v>
      </c>
      <c r="AI563">
        <v>-1</v>
      </c>
      <c r="AJ563" t="s">
        <v>3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">
      <c r="A564">
        <f>ROW(Source!A137)</f>
        <v>137</v>
      </c>
      <c r="B564">
        <v>56616887</v>
      </c>
      <c r="C564">
        <v>56616874</v>
      </c>
      <c r="D564">
        <v>49717618</v>
      </c>
      <c r="E564">
        <v>27786564</v>
      </c>
      <c r="F564">
        <v>1</v>
      </c>
      <c r="G564">
        <v>27786564</v>
      </c>
      <c r="H564">
        <v>3</v>
      </c>
      <c r="I564" t="s">
        <v>554</v>
      </c>
      <c r="J564" t="s">
        <v>3</v>
      </c>
      <c r="K564" t="s">
        <v>555</v>
      </c>
      <c r="L564">
        <v>1303</v>
      </c>
      <c r="N564">
        <v>1003</v>
      </c>
      <c r="O564" t="s">
        <v>556</v>
      </c>
      <c r="P564" t="s">
        <v>556</v>
      </c>
      <c r="Q564">
        <v>1000</v>
      </c>
      <c r="X564">
        <v>0.10199999999999999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3</v>
      </c>
      <c r="AG564">
        <v>0.10199999999999999</v>
      </c>
      <c r="AH564">
        <v>3</v>
      </c>
      <c r="AI564">
        <v>-1</v>
      </c>
      <c r="AJ564" t="s">
        <v>3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">
      <c r="A565">
        <f>ROW(Source!A137)</f>
        <v>137</v>
      </c>
      <c r="B565">
        <v>56616888</v>
      </c>
      <c r="C565">
        <v>56616874</v>
      </c>
      <c r="D565">
        <v>46556476</v>
      </c>
      <c r="E565">
        <v>27786564</v>
      </c>
      <c r="F565">
        <v>1</v>
      </c>
      <c r="G565">
        <v>27786564</v>
      </c>
      <c r="H565">
        <v>3</v>
      </c>
      <c r="I565" t="s">
        <v>557</v>
      </c>
      <c r="J565" t="s">
        <v>3</v>
      </c>
      <c r="K565" t="s">
        <v>558</v>
      </c>
      <c r="L565">
        <v>1354</v>
      </c>
      <c r="N565">
        <v>1010</v>
      </c>
      <c r="O565" t="s">
        <v>88</v>
      </c>
      <c r="P565" t="s">
        <v>88</v>
      </c>
      <c r="Q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 t="s">
        <v>3</v>
      </c>
      <c r="AG565">
        <v>0</v>
      </c>
      <c r="AH565">
        <v>3</v>
      </c>
      <c r="AI565">
        <v>-1</v>
      </c>
      <c r="AJ565" t="s">
        <v>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">
      <c r="A566">
        <f>ROW(Source!A138)</f>
        <v>138</v>
      </c>
      <c r="B566">
        <v>56616876</v>
      </c>
      <c r="C566">
        <v>56616874</v>
      </c>
      <c r="D566">
        <v>47634407</v>
      </c>
      <c r="E566">
        <v>27786564</v>
      </c>
      <c r="F566">
        <v>1</v>
      </c>
      <c r="G566">
        <v>27786564</v>
      </c>
      <c r="H566">
        <v>1</v>
      </c>
      <c r="I566" t="s">
        <v>439</v>
      </c>
      <c r="J566" t="s">
        <v>3</v>
      </c>
      <c r="K566" t="s">
        <v>440</v>
      </c>
      <c r="L566">
        <v>1191</v>
      </c>
      <c r="N566">
        <v>1013</v>
      </c>
      <c r="O566" t="s">
        <v>441</v>
      </c>
      <c r="P566" t="s">
        <v>441</v>
      </c>
      <c r="Q566">
        <v>1</v>
      </c>
      <c r="X566">
        <v>24.8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1</v>
      </c>
      <c r="AF566" t="s">
        <v>22</v>
      </c>
      <c r="AG566">
        <v>27.280000000000005</v>
      </c>
      <c r="AH566">
        <v>2</v>
      </c>
      <c r="AI566">
        <v>56616875</v>
      </c>
      <c r="AJ566">
        <v>118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">
      <c r="A567">
        <f>ROW(Source!A138)</f>
        <v>138</v>
      </c>
      <c r="B567">
        <v>56616877</v>
      </c>
      <c r="C567">
        <v>56616874</v>
      </c>
      <c r="D567">
        <v>47767106</v>
      </c>
      <c r="E567">
        <v>1</v>
      </c>
      <c r="F567">
        <v>1</v>
      </c>
      <c r="G567">
        <v>27786564</v>
      </c>
      <c r="H567">
        <v>2</v>
      </c>
      <c r="I567" t="s">
        <v>487</v>
      </c>
      <c r="J567" t="s">
        <v>488</v>
      </c>
      <c r="K567" t="s">
        <v>489</v>
      </c>
      <c r="L567">
        <v>1368</v>
      </c>
      <c r="N567">
        <v>1011</v>
      </c>
      <c r="O567" t="s">
        <v>445</v>
      </c>
      <c r="P567" t="s">
        <v>445</v>
      </c>
      <c r="Q567">
        <v>1</v>
      </c>
      <c r="X567">
        <v>1.49</v>
      </c>
      <c r="Y567">
        <v>0</v>
      </c>
      <c r="Z567">
        <v>83.1</v>
      </c>
      <c r="AA567">
        <v>12.62</v>
      </c>
      <c r="AB567">
        <v>0</v>
      </c>
      <c r="AC567">
        <v>0</v>
      </c>
      <c r="AD567">
        <v>1</v>
      </c>
      <c r="AE567">
        <v>0</v>
      </c>
      <c r="AF567" t="s">
        <v>22</v>
      </c>
      <c r="AG567">
        <v>1.639</v>
      </c>
      <c r="AH567">
        <v>3</v>
      </c>
      <c r="AI567">
        <v>-1</v>
      </c>
      <c r="AJ567" t="s">
        <v>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">
      <c r="A568">
        <f>ROW(Source!A138)</f>
        <v>138</v>
      </c>
      <c r="B568">
        <v>56616878</v>
      </c>
      <c r="C568">
        <v>56616874</v>
      </c>
      <c r="D568">
        <v>47766545</v>
      </c>
      <c r="E568">
        <v>1</v>
      </c>
      <c r="F568">
        <v>1</v>
      </c>
      <c r="G568">
        <v>27786564</v>
      </c>
      <c r="H568">
        <v>2</v>
      </c>
      <c r="I568" t="s">
        <v>490</v>
      </c>
      <c r="J568" t="s">
        <v>491</v>
      </c>
      <c r="K568" t="s">
        <v>492</v>
      </c>
      <c r="L568">
        <v>1368</v>
      </c>
      <c r="N568">
        <v>1011</v>
      </c>
      <c r="O568" t="s">
        <v>445</v>
      </c>
      <c r="P568" t="s">
        <v>445</v>
      </c>
      <c r="Q568">
        <v>1</v>
      </c>
      <c r="X568">
        <v>5.53</v>
      </c>
      <c r="Y568">
        <v>0</v>
      </c>
      <c r="Z568">
        <v>0.73</v>
      </c>
      <c r="AA568">
        <v>0</v>
      </c>
      <c r="AB568">
        <v>0</v>
      </c>
      <c r="AC568">
        <v>0</v>
      </c>
      <c r="AD568">
        <v>1</v>
      </c>
      <c r="AE568">
        <v>0</v>
      </c>
      <c r="AF568" t="s">
        <v>22</v>
      </c>
      <c r="AG568">
        <v>6.0830000000000011</v>
      </c>
      <c r="AH568">
        <v>3</v>
      </c>
      <c r="AI568">
        <v>-1</v>
      </c>
      <c r="AJ568" t="s">
        <v>3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">
      <c r="A569">
        <f>ROW(Source!A138)</f>
        <v>138</v>
      </c>
      <c r="B569">
        <v>56616879</v>
      </c>
      <c r="C569">
        <v>56616874</v>
      </c>
      <c r="D569">
        <v>47766581</v>
      </c>
      <c r="E569">
        <v>1</v>
      </c>
      <c r="F569">
        <v>1</v>
      </c>
      <c r="G569">
        <v>27786564</v>
      </c>
      <c r="H569">
        <v>2</v>
      </c>
      <c r="I569" t="s">
        <v>493</v>
      </c>
      <c r="J569" t="s">
        <v>494</v>
      </c>
      <c r="K569" t="s">
        <v>495</v>
      </c>
      <c r="L569">
        <v>1368</v>
      </c>
      <c r="N569">
        <v>1011</v>
      </c>
      <c r="O569" t="s">
        <v>445</v>
      </c>
      <c r="P569" t="s">
        <v>445</v>
      </c>
      <c r="Q569">
        <v>1</v>
      </c>
      <c r="X569">
        <v>5.14</v>
      </c>
      <c r="Y569">
        <v>0</v>
      </c>
      <c r="Z569">
        <v>4</v>
      </c>
      <c r="AA569">
        <v>0</v>
      </c>
      <c r="AB569">
        <v>0</v>
      </c>
      <c r="AC569">
        <v>0</v>
      </c>
      <c r="AD569">
        <v>1</v>
      </c>
      <c r="AE569">
        <v>0</v>
      </c>
      <c r="AF569" t="s">
        <v>22</v>
      </c>
      <c r="AG569">
        <v>5.6539999999999999</v>
      </c>
      <c r="AH569">
        <v>3</v>
      </c>
      <c r="AI569">
        <v>-1</v>
      </c>
      <c r="AJ569" t="s">
        <v>3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">
      <c r="A570">
        <f>ROW(Source!A138)</f>
        <v>138</v>
      </c>
      <c r="B570">
        <v>56616880</v>
      </c>
      <c r="C570">
        <v>56616874</v>
      </c>
      <c r="D570">
        <v>46723498</v>
      </c>
      <c r="E570">
        <v>1</v>
      </c>
      <c r="F570">
        <v>1</v>
      </c>
      <c r="G570">
        <v>27786564</v>
      </c>
      <c r="H570">
        <v>3</v>
      </c>
      <c r="I570" t="s">
        <v>496</v>
      </c>
      <c r="J570" t="s">
        <v>497</v>
      </c>
      <c r="K570" t="s">
        <v>498</v>
      </c>
      <c r="L570">
        <v>1348</v>
      </c>
      <c r="N570">
        <v>1009</v>
      </c>
      <c r="O570" t="s">
        <v>367</v>
      </c>
      <c r="P570" t="s">
        <v>367</v>
      </c>
      <c r="Q570">
        <v>1000</v>
      </c>
      <c r="X570">
        <v>6.0000000000000002E-5</v>
      </c>
      <c r="Y570">
        <v>11242.42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 t="s">
        <v>3</v>
      </c>
      <c r="AG570">
        <v>6.0000000000000002E-5</v>
      </c>
      <c r="AH570">
        <v>3</v>
      </c>
      <c r="AI570">
        <v>-1</v>
      </c>
      <c r="AJ570" t="s">
        <v>3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">
      <c r="A571">
        <f>ROW(Source!A138)</f>
        <v>138</v>
      </c>
      <c r="B571">
        <v>56616881</v>
      </c>
      <c r="C571">
        <v>56616874</v>
      </c>
      <c r="D571">
        <v>45796980</v>
      </c>
      <c r="E571">
        <v>1</v>
      </c>
      <c r="F571">
        <v>1</v>
      </c>
      <c r="G571">
        <v>27786564</v>
      </c>
      <c r="H571">
        <v>3</v>
      </c>
      <c r="I571" t="s">
        <v>499</v>
      </c>
      <c r="J571" t="s">
        <v>500</v>
      </c>
      <c r="K571" t="s">
        <v>501</v>
      </c>
      <c r="L571">
        <v>1346</v>
      </c>
      <c r="N571">
        <v>1009</v>
      </c>
      <c r="O571" t="s">
        <v>104</v>
      </c>
      <c r="P571" t="s">
        <v>104</v>
      </c>
      <c r="Q571">
        <v>1</v>
      </c>
      <c r="X571">
        <v>0.8</v>
      </c>
      <c r="Y571">
        <v>25.8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 t="s">
        <v>3</v>
      </c>
      <c r="AG571">
        <v>0.8</v>
      </c>
      <c r="AH571">
        <v>3</v>
      </c>
      <c r="AI571">
        <v>-1</v>
      </c>
      <c r="AJ571" t="s">
        <v>3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">
      <c r="A572">
        <f>ROW(Source!A138)</f>
        <v>138</v>
      </c>
      <c r="B572">
        <v>56616882</v>
      </c>
      <c r="C572">
        <v>56616874</v>
      </c>
      <c r="D572">
        <v>46723689</v>
      </c>
      <c r="E572">
        <v>1</v>
      </c>
      <c r="F572">
        <v>1</v>
      </c>
      <c r="G572">
        <v>27786564</v>
      </c>
      <c r="H572">
        <v>3</v>
      </c>
      <c r="I572" t="s">
        <v>502</v>
      </c>
      <c r="J572" t="s">
        <v>503</v>
      </c>
      <c r="K572" t="s">
        <v>504</v>
      </c>
      <c r="L572">
        <v>1348</v>
      </c>
      <c r="N572">
        <v>1009</v>
      </c>
      <c r="O572" t="s">
        <v>367</v>
      </c>
      <c r="P572" t="s">
        <v>367</v>
      </c>
      <c r="Q572">
        <v>1000</v>
      </c>
      <c r="X572">
        <v>5.0000000000000001E-4</v>
      </c>
      <c r="Y572">
        <v>60966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 t="s">
        <v>3</v>
      </c>
      <c r="AG572">
        <v>5.0000000000000001E-4</v>
      </c>
      <c r="AH572">
        <v>3</v>
      </c>
      <c r="AI572">
        <v>-1</v>
      </c>
      <c r="AJ572" t="s">
        <v>3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">
      <c r="A573">
        <f>ROW(Source!A138)</f>
        <v>138</v>
      </c>
      <c r="B573">
        <v>56616883</v>
      </c>
      <c r="C573">
        <v>56616874</v>
      </c>
      <c r="D573">
        <v>46723704</v>
      </c>
      <c r="E573">
        <v>1</v>
      </c>
      <c r="F573">
        <v>1</v>
      </c>
      <c r="G573">
        <v>27786564</v>
      </c>
      <c r="H573">
        <v>3</v>
      </c>
      <c r="I573" t="s">
        <v>505</v>
      </c>
      <c r="J573" t="s">
        <v>506</v>
      </c>
      <c r="K573" t="s">
        <v>507</v>
      </c>
      <c r="L573">
        <v>1348</v>
      </c>
      <c r="N573">
        <v>1009</v>
      </c>
      <c r="O573" t="s">
        <v>367</v>
      </c>
      <c r="P573" t="s">
        <v>367</v>
      </c>
      <c r="Q573">
        <v>1000</v>
      </c>
      <c r="X573">
        <v>4.0000000000000003E-5</v>
      </c>
      <c r="Y573">
        <v>7982.5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 t="s">
        <v>3</v>
      </c>
      <c r="AG573">
        <v>4.0000000000000003E-5</v>
      </c>
      <c r="AH573">
        <v>3</v>
      </c>
      <c r="AI573">
        <v>-1</v>
      </c>
      <c r="AJ573" t="s">
        <v>3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">
      <c r="A574">
        <f>ROW(Source!A138)</f>
        <v>138</v>
      </c>
      <c r="B574">
        <v>56616884</v>
      </c>
      <c r="C574">
        <v>56616874</v>
      </c>
      <c r="D574">
        <v>46735845</v>
      </c>
      <c r="E574">
        <v>1</v>
      </c>
      <c r="F574">
        <v>1</v>
      </c>
      <c r="G574">
        <v>27786564</v>
      </c>
      <c r="H574">
        <v>3</v>
      </c>
      <c r="I574" t="s">
        <v>508</v>
      </c>
      <c r="J574" t="s">
        <v>553</v>
      </c>
      <c r="K574" t="s">
        <v>510</v>
      </c>
      <c r="L574">
        <v>1356</v>
      </c>
      <c r="N574">
        <v>1010</v>
      </c>
      <c r="O574" t="s">
        <v>511</v>
      </c>
      <c r="P574" t="s">
        <v>511</v>
      </c>
      <c r="Q574">
        <v>1000</v>
      </c>
      <c r="X574">
        <v>4.0999999999999999E-4</v>
      </c>
      <c r="Y574">
        <v>226.68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 t="s">
        <v>3</v>
      </c>
      <c r="AG574">
        <v>4.0999999999999999E-4</v>
      </c>
      <c r="AH574">
        <v>3</v>
      </c>
      <c r="AI574">
        <v>-1</v>
      </c>
      <c r="AJ574" t="s">
        <v>3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">
      <c r="A575">
        <f>ROW(Source!A138)</f>
        <v>138</v>
      </c>
      <c r="B575">
        <v>56616885</v>
      </c>
      <c r="C575">
        <v>56616874</v>
      </c>
      <c r="D575">
        <v>46735506</v>
      </c>
      <c r="E575">
        <v>1</v>
      </c>
      <c r="F575">
        <v>1</v>
      </c>
      <c r="G575">
        <v>27786564</v>
      </c>
      <c r="H575">
        <v>3</v>
      </c>
      <c r="I575" t="s">
        <v>512</v>
      </c>
      <c r="J575" t="s">
        <v>513</v>
      </c>
      <c r="K575" t="s">
        <v>514</v>
      </c>
      <c r="L575">
        <v>1301</v>
      </c>
      <c r="N575">
        <v>1003</v>
      </c>
      <c r="O575" t="s">
        <v>55</v>
      </c>
      <c r="P575" t="s">
        <v>55</v>
      </c>
      <c r="Q575">
        <v>1</v>
      </c>
      <c r="X575">
        <v>0.96</v>
      </c>
      <c r="Y575">
        <v>0.7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 t="s">
        <v>3</v>
      </c>
      <c r="AG575">
        <v>0.96</v>
      </c>
      <c r="AH575">
        <v>3</v>
      </c>
      <c r="AI575">
        <v>-1</v>
      </c>
      <c r="AJ575" t="s">
        <v>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">
      <c r="A576">
        <f>ROW(Source!A138)</f>
        <v>138</v>
      </c>
      <c r="B576">
        <v>56616886</v>
      </c>
      <c r="C576">
        <v>56616874</v>
      </c>
      <c r="D576">
        <v>46735508</v>
      </c>
      <c r="E576">
        <v>1</v>
      </c>
      <c r="F576">
        <v>1</v>
      </c>
      <c r="G576">
        <v>27786564</v>
      </c>
      <c r="H576">
        <v>3</v>
      </c>
      <c r="I576" t="s">
        <v>515</v>
      </c>
      <c r="J576" t="s">
        <v>516</v>
      </c>
      <c r="K576" t="s">
        <v>517</v>
      </c>
      <c r="L576">
        <v>1356</v>
      </c>
      <c r="N576">
        <v>1010</v>
      </c>
      <c r="O576" t="s">
        <v>511</v>
      </c>
      <c r="P576" t="s">
        <v>511</v>
      </c>
      <c r="Q576">
        <v>1000</v>
      </c>
      <c r="X576">
        <v>8.3199999999999993E-3</v>
      </c>
      <c r="Y576">
        <v>6.44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  <c r="AF576" t="s">
        <v>3</v>
      </c>
      <c r="AG576">
        <v>8.3199999999999993E-3</v>
      </c>
      <c r="AH576">
        <v>3</v>
      </c>
      <c r="AI576">
        <v>-1</v>
      </c>
      <c r="AJ576" t="s">
        <v>3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">
      <c r="A577">
        <f>ROW(Source!A138)</f>
        <v>138</v>
      </c>
      <c r="B577">
        <v>56616887</v>
      </c>
      <c r="C577">
        <v>56616874</v>
      </c>
      <c r="D577">
        <v>49717618</v>
      </c>
      <c r="E577">
        <v>27786564</v>
      </c>
      <c r="F577">
        <v>1</v>
      </c>
      <c r="G577">
        <v>27786564</v>
      </c>
      <c r="H577">
        <v>3</v>
      </c>
      <c r="I577" t="s">
        <v>554</v>
      </c>
      <c r="J577" t="s">
        <v>3</v>
      </c>
      <c r="K577" t="s">
        <v>555</v>
      </c>
      <c r="L577">
        <v>1303</v>
      </c>
      <c r="N577">
        <v>1003</v>
      </c>
      <c r="O577" t="s">
        <v>556</v>
      </c>
      <c r="P577" t="s">
        <v>556</v>
      </c>
      <c r="Q577">
        <v>1000</v>
      </c>
      <c r="X577">
        <v>0.10199999999999999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3</v>
      </c>
      <c r="AG577">
        <v>0.10199999999999999</v>
      </c>
      <c r="AH577">
        <v>3</v>
      </c>
      <c r="AI577">
        <v>-1</v>
      </c>
      <c r="AJ577" t="s">
        <v>3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">
      <c r="A578">
        <f>ROW(Source!A138)</f>
        <v>138</v>
      </c>
      <c r="B578">
        <v>56616888</v>
      </c>
      <c r="C578">
        <v>56616874</v>
      </c>
      <c r="D578">
        <v>46556476</v>
      </c>
      <c r="E578">
        <v>27786564</v>
      </c>
      <c r="F578">
        <v>1</v>
      </c>
      <c r="G578">
        <v>27786564</v>
      </c>
      <c r="H578">
        <v>3</v>
      </c>
      <c r="I578" t="s">
        <v>557</v>
      </c>
      <c r="J578" t="s">
        <v>3</v>
      </c>
      <c r="K578" t="s">
        <v>558</v>
      </c>
      <c r="L578">
        <v>1354</v>
      </c>
      <c r="N578">
        <v>1010</v>
      </c>
      <c r="O578" t="s">
        <v>88</v>
      </c>
      <c r="P578" t="s">
        <v>88</v>
      </c>
      <c r="Q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3</v>
      </c>
      <c r="AG578">
        <v>0</v>
      </c>
      <c r="AH578">
        <v>3</v>
      </c>
      <c r="AI578">
        <v>-1</v>
      </c>
      <c r="AJ578" t="s">
        <v>3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">
      <c r="A579">
        <f>ROW(Source!A139)</f>
        <v>139</v>
      </c>
      <c r="B579">
        <v>56616891</v>
      </c>
      <c r="C579">
        <v>56616889</v>
      </c>
      <c r="D579">
        <v>47634407</v>
      </c>
      <c r="E579">
        <v>27786564</v>
      </c>
      <c r="F579">
        <v>1</v>
      </c>
      <c r="G579">
        <v>27786564</v>
      </c>
      <c r="H579">
        <v>1</v>
      </c>
      <c r="I579" t="s">
        <v>439</v>
      </c>
      <c r="J579" t="s">
        <v>3</v>
      </c>
      <c r="K579" t="s">
        <v>440</v>
      </c>
      <c r="L579">
        <v>1191</v>
      </c>
      <c r="N579">
        <v>1013</v>
      </c>
      <c r="O579" t="s">
        <v>441</v>
      </c>
      <c r="P579" t="s">
        <v>441</v>
      </c>
      <c r="Q579">
        <v>1</v>
      </c>
      <c r="X579">
        <v>24.8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1</v>
      </c>
      <c r="AF579" t="s">
        <v>22</v>
      </c>
      <c r="AG579">
        <v>27.280000000000005</v>
      </c>
      <c r="AH579">
        <v>2</v>
      </c>
      <c r="AI579">
        <v>56616890</v>
      </c>
      <c r="AJ579">
        <v>119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">
      <c r="A580">
        <f>ROW(Source!A139)</f>
        <v>139</v>
      </c>
      <c r="B580">
        <v>56616892</v>
      </c>
      <c r="C580">
        <v>56616889</v>
      </c>
      <c r="D580">
        <v>47767106</v>
      </c>
      <c r="E580">
        <v>1</v>
      </c>
      <c r="F580">
        <v>1</v>
      </c>
      <c r="G580">
        <v>27786564</v>
      </c>
      <c r="H580">
        <v>2</v>
      </c>
      <c r="I580" t="s">
        <v>487</v>
      </c>
      <c r="J580" t="s">
        <v>488</v>
      </c>
      <c r="K580" t="s">
        <v>489</v>
      </c>
      <c r="L580">
        <v>1368</v>
      </c>
      <c r="N580">
        <v>1011</v>
      </c>
      <c r="O580" t="s">
        <v>445</v>
      </c>
      <c r="P580" t="s">
        <v>445</v>
      </c>
      <c r="Q580">
        <v>1</v>
      </c>
      <c r="X580">
        <v>1.49</v>
      </c>
      <c r="Y580">
        <v>0</v>
      </c>
      <c r="Z580">
        <v>83.1</v>
      </c>
      <c r="AA580">
        <v>12.62</v>
      </c>
      <c r="AB580">
        <v>0</v>
      </c>
      <c r="AC580">
        <v>0</v>
      </c>
      <c r="AD580">
        <v>1</v>
      </c>
      <c r="AE580">
        <v>0</v>
      </c>
      <c r="AF580" t="s">
        <v>22</v>
      </c>
      <c r="AG580">
        <v>1.639</v>
      </c>
      <c r="AH580">
        <v>3</v>
      </c>
      <c r="AI580">
        <v>-1</v>
      </c>
      <c r="AJ580" t="s">
        <v>3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">
      <c r="A581">
        <f>ROW(Source!A139)</f>
        <v>139</v>
      </c>
      <c r="B581">
        <v>56616893</v>
      </c>
      <c r="C581">
        <v>56616889</v>
      </c>
      <c r="D581">
        <v>47766545</v>
      </c>
      <c r="E581">
        <v>1</v>
      </c>
      <c r="F581">
        <v>1</v>
      </c>
      <c r="G581">
        <v>27786564</v>
      </c>
      <c r="H581">
        <v>2</v>
      </c>
      <c r="I581" t="s">
        <v>490</v>
      </c>
      <c r="J581" t="s">
        <v>491</v>
      </c>
      <c r="K581" t="s">
        <v>492</v>
      </c>
      <c r="L581">
        <v>1368</v>
      </c>
      <c r="N581">
        <v>1011</v>
      </c>
      <c r="O581" t="s">
        <v>445</v>
      </c>
      <c r="P581" t="s">
        <v>445</v>
      </c>
      <c r="Q581">
        <v>1</v>
      </c>
      <c r="X581">
        <v>5.53</v>
      </c>
      <c r="Y581">
        <v>0</v>
      </c>
      <c r="Z581">
        <v>0.73</v>
      </c>
      <c r="AA581">
        <v>0</v>
      </c>
      <c r="AB581">
        <v>0</v>
      </c>
      <c r="AC581">
        <v>0</v>
      </c>
      <c r="AD581">
        <v>1</v>
      </c>
      <c r="AE581">
        <v>0</v>
      </c>
      <c r="AF581" t="s">
        <v>22</v>
      </c>
      <c r="AG581">
        <v>6.0830000000000011</v>
      </c>
      <c r="AH581">
        <v>3</v>
      </c>
      <c r="AI581">
        <v>-1</v>
      </c>
      <c r="AJ581" t="s">
        <v>3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">
      <c r="A582">
        <f>ROW(Source!A139)</f>
        <v>139</v>
      </c>
      <c r="B582">
        <v>56616894</v>
      </c>
      <c r="C582">
        <v>56616889</v>
      </c>
      <c r="D582">
        <v>47766581</v>
      </c>
      <c r="E582">
        <v>1</v>
      </c>
      <c r="F582">
        <v>1</v>
      </c>
      <c r="G582">
        <v>27786564</v>
      </c>
      <c r="H582">
        <v>2</v>
      </c>
      <c r="I582" t="s">
        <v>493</v>
      </c>
      <c r="J582" t="s">
        <v>494</v>
      </c>
      <c r="K582" t="s">
        <v>495</v>
      </c>
      <c r="L582">
        <v>1368</v>
      </c>
      <c r="N582">
        <v>1011</v>
      </c>
      <c r="O582" t="s">
        <v>445</v>
      </c>
      <c r="P582" t="s">
        <v>445</v>
      </c>
      <c r="Q582">
        <v>1</v>
      </c>
      <c r="X582">
        <v>5.14</v>
      </c>
      <c r="Y582">
        <v>0</v>
      </c>
      <c r="Z582">
        <v>4</v>
      </c>
      <c r="AA582">
        <v>0</v>
      </c>
      <c r="AB582">
        <v>0</v>
      </c>
      <c r="AC582">
        <v>0</v>
      </c>
      <c r="AD582">
        <v>1</v>
      </c>
      <c r="AE582">
        <v>0</v>
      </c>
      <c r="AF582" t="s">
        <v>22</v>
      </c>
      <c r="AG582">
        <v>5.6539999999999999</v>
      </c>
      <c r="AH582">
        <v>3</v>
      </c>
      <c r="AI582">
        <v>-1</v>
      </c>
      <c r="AJ582" t="s">
        <v>3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">
      <c r="A583">
        <f>ROW(Source!A139)</f>
        <v>139</v>
      </c>
      <c r="B583">
        <v>56616895</v>
      </c>
      <c r="C583">
        <v>56616889</v>
      </c>
      <c r="D583">
        <v>46723498</v>
      </c>
      <c r="E583">
        <v>1</v>
      </c>
      <c r="F583">
        <v>1</v>
      </c>
      <c r="G583">
        <v>27786564</v>
      </c>
      <c r="H583">
        <v>3</v>
      </c>
      <c r="I583" t="s">
        <v>496</v>
      </c>
      <c r="J583" t="s">
        <v>497</v>
      </c>
      <c r="K583" t="s">
        <v>498</v>
      </c>
      <c r="L583">
        <v>1348</v>
      </c>
      <c r="N583">
        <v>1009</v>
      </c>
      <c r="O583" t="s">
        <v>367</v>
      </c>
      <c r="P583" t="s">
        <v>367</v>
      </c>
      <c r="Q583">
        <v>1000</v>
      </c>
      <c r="X583">
        <v>6.0000000000000002E-5</v>
      </c>
      <c r="Y583">
        <v>11242.42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 t="s">
        <v>3</v>
      </c>
      <c r="AG583">
        <v>6.0000000000000002E-5</v>
      </c>
      <c r="AH583">
        <v>3</v>
      </c>
      <c r="AI583">
        <v>-1</v>
      </c>
      <c r="AJ583" t="s">
        <v>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">
      <c r="A584">
        <f>ROW(Source!A139)</f>
        <v>139</v>
      </c>
      <c r="B584">
        <v>56616896</v>
      </c>
      <c r="C584">
        <v>56616889</v>
      </c>
      <c r="D584">
        <v>45796980</v>
      </c>
      <c r="E584">
        <v>1</v>
      </c>
      <c r="F584">
        <v>1</v>
      </c>
      <c r="G584">
        <v>27786564</v>
      </c>
      <c r="H584">
        <v>3</v>
      </c>
      <c r="I584" t="s">
        <v>499</v>
      </c>
      <c r="J584" t="s">
        <v>500</v>
      </c>
      <c r="K584" t="s">
        <v>501</v>
      </c>
      <c r="L584">
        <v>1346</v>
      </c>
      <c r="N584">
        <v>1009</v>
      </c>
      <c r="O584" t="s">
        <v>104</v>
      </c>
      <c r="P584" t="s">
        <v>104</v>
      </c>
      <c r="Q584">
        <v>1</v>
      </c>
      <c r="X584">
        <v>0.8</v>
      </c>
      <c r="Y584">
        <v>25.8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0</v>
      </c>
      <c r="AF584" t="s">
        <v>3</v>
      </c>
      <c r="AG584">
        <v>0.8</v>
      </c>
      <c r="AH584">
        <v>3</v>
      </c>
      <c r="AI584">
        <v>-1</v>
      </c>
      <c r="AJ584" t="s">
        <v>3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">
      <c r="A585">
        <f>ROW(Source!A139)</f>
        <v>139</v>
      </c>
      <c r="B585">
        <v>56616897</v>
      </c>
      <c r="C585">
        <v>56616889</v>
      </c>
      <c r="D585">
        <v>46723689</v>
      </c>
      <c r="E585">
        <v>1</v>
      </c>
      <c r="F585">
        <v>1</v>
      </c>
      <c r="G585">
        <v>27786564</v>
      </c>
      <c r="H585">
        <v>3</v>
      </c>
      <c r="I585" t="s">
        <v>502</v>
      </c>
      <c r="J585" t="s">
        <v>503</v>
      </c>
      <c r="K585" t="s">
        <v>504</v>
      </c>
      <c r="L585">
        <v>1348</v>
      </c>
      <c r="N585">
        <v>1009</v>
      </c>
      <c r="O585" t="s">
        <v>367</v>
      </c>
      <c r="P585" t="s">
        <v>367</v>
      </c>
      <c r="Q585">
        <v>1000</v>
      </c>
      <c r="X585">
        <v>5.0000000000000001E-4</v>
      </c>
      <c r="Y585">
        <v>60966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 t="s">
        <v>3</v>
      </c>
      <c r="AG585">
        <v>5.0000000000000001E-4</v>
      </c>
      <c r="AH585">
        <v>3</v>
      </c>
      <c r="AI585">
        <v>-1</v>
      </c>
      <c r="AJ585" t="s">
        <v>3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">
      <c r="A586">
        <f>ROW(Source!A139)</f>
        <v>139</v>
      </c>
      <c r="B586">
        <v>56616898</v>
      </c>
      <c r="C586">
        <v>56616889</v>
      </c>
      <c r="D586">
        <v>46723704</v>
      </c>
      <c r="E586">
        <v>1</v>
      </c>
      <c r="F586">
        <v>1</v>
      </c>
      <c r="G586">
        <v>27786564</v>
      </c>
      <c r="H586">
        <v>3</v>
      </c>
      <c r="I586" t="s">
        <v>505</v>
      </c>
      <c r="J586" t="s">
        <v>506</v>
      </c>
      <c r="K586" t="s">
        <v>507</v>
      </c>
      <c r="L586">
        <v>1348</v>
      </c>
      <c r="N586">
        <v>1009</v>
      </c>
      <c r="O586" t="s">
        <v>367</v>
      </c>
      <c r="P586" t="s">
        <v>367</v>
      </c>
      <c r="Q586">
        <v>1000</v>
      </c>
      <c r="X586">
        <v>4.0000000000000003E-5</v>
      </c>
      <c r="Y586">
        <v>7982.5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 t="s">
        <v>3</v>
      </c>
      <c r="AG586">
        <v>4.0000000000000003E-5</v>
      </c>
      <c r="AH586">
        <v>3</v>
      </c>
      <c r="AI586">
        <v>-1</v>
      </c>
      <c r="AJ586" t="s">
        <v>3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">
      <c r="A587">
        <f>ROW(Source!A139)</f>
        <v>139</v>
      </c>
      <c r="B587">
        <v>56616899</v>
      </c>
      <c r="C587">
        <v>56616889</v>
      </c>
      <c r="D587">
        <v>46735845</v>
      </c>
      <c r="E587">
        <v>1</v>
      </c>
      <c r="F587">
        <v>1</v>
      </c>
      <c r="G587">
        <v>27786564</v>
      </c>
      <c r="H587">
        <v>3</v>
      </c>
      <c r="I587" t="s">
        <v>508</v>
      </c>
      <c r="J587" t="s">
        <v>553</v>
      </c>
      <c r="K587" t="s">
        <v>510</v>
      </c>
      <c r="L587">
        <v>1356</v>
      </c>
      <c r="N587">
        <v>1010</v>
      </c>
      <c r="O587" t="s">
        <v>511</v>
      </c>
      <c r="P587" t="s">
        <v>511</v>
      </c>
      <c r="Q587">
        <v>1000</v>
      </c>
      <c r="X587">
        <v>4.0999999999999999E-4</v>
      </c>
      <c r="Y587">
        <v>226.68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 t="s">
        <v>3</v>
      </c>
      <c r="AG587">
        <v>4.0999999999999999E-4</v>
      </c>
      <c r="AH587">
        <v>3</v>
      </c>
      <c r="AI587">
        <v>-1</v>
      </c>
      <c r="AJ587" t="s">
        <v>3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">
      <c r="A588">
        <f>ROW(Source!A139)</f>
        <v>139</v>
      </c>
      <c r="B588">
        <v>56616900</v>
      </c>
      <c r="C588">
        <v>56616889</v>
      </c>
      <c r="D588">
        <v>46735506</v>
      </c>
      <c r="E588">
        <v>1</v>
      </c>
      <c r="F588">
        <v>1</v>
      </c>
      <c r="G588">
        <v>27786564</v>
      </c>
      <c r="H588">
        <v>3</v>
      </c>
      <c r="I588" t="s">
        <v>512</v>
      </c>
      <c r="J588" t="s">
        <v>513</v>
      </c>
      <c r="K588" t="s">
        <v>514</v>
      </c>
      <c r="L588">
        <v>1301</v>
      </c>
      <c r="N588">
        <v>1003</v>
      </c>
      <c r="O588" t="s">
        <v>55</v>
      </c>
      <c r="P588" t="s">
        <v>55</v>
      </c>
      <c r="Q588">
        <v>1</v>
      </c>
      <c r="X588">
        <v>0.96</v>
      </c>
      <c r="Y588">
        <v>0.7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0</v>
      </c>
      <c r="AF588" t="s">
        <v>3</v>
      </c>
      <c r="AG588">
        <v>0.96</v>
      </c>
      <c r="AH588">
        <v>3</v>
      </c>
      <c r="AI588">
        <v>-1</v>
      </c>
      <c r="AJ588" t="s">
        <v>3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">
      <c r="A589">
        <f>ROW(Source!A139)</f>
        <v>139</v>
      </c>
      <c r="B589">
        <v>56616901</v>
      </c>
      <c r="C589">
        <v>56616889</v>
      </c>
      <c r="D589">
        <v>46735508</v>
      </c>
      <c r="E589">
        <v>1</v>
      </c>
      <c r="F589">
        <v>1</v>
      </c>
      <c r="G589">
        <v>27786564</v>
      </c>
      <c r="H589">
        <v>3</v>
      </c>
      <c r="I589" t="s">
        <v>515</v>
      </c>
      <c r="J589" t="s">
        <v>516</v>
      </c>
      <c r="K589" t="s">
        <v>517</v>
      </c>
      <c r="L589">
        <v>1356</v>
      </c>
      <c r="N589">
        <v>1010</v>
      </c>
      <c r="O589" t="s">
        <v>511</v>
      </c>
      <c r="P589" t="s">
        <v>511</v>
      </c>
      <c r="Q589">
        <v>1000</v>
      </c>
      <c r="X589">
        <v>8.3199999999999993E-3</v>
      </c>
      <c r="Y589">
        <v>6.44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 t="s">
        <v>3</v>
      </c>
      <c r="AG589">
        <v>8.3199999999999993E-3</v>
      </c>
      <c r="AH589">
        <v>3</v>
      </c>
      <c r="AI589">
        <v>-1</v>
      </c>
      <c r="AJ589" t="s">
        <v>3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">
      <c r="A590">
        <f>ROW(Source!A139)</f>
        <v>139</v>
      </c>
      <c r="B590">
        <v>56616902</v>
      </c>
      <c r="C590">
        <v>56616889</v>
      </c>
      <c r="D590">
        <v>49717618</v>
      </c>
      <c r="E590">
        <v>27786564</v>
      </c>
      <c r="F590">
        <v>1</v>
      </c>
      <c r="G590">
        <v>27786564</v>
      </c>
      <c r="H590">
        <v>3</v>
      </c>
      <c r="I590" t="s">
        <v>554</v>
      </c>
      <c r="J590" t="s">
        <v>3</v>
      </c>
      <c r="K590" t="s">
        <v>555</v>
      </c>
      <c r="L590">
        <v>1303</v>
      </c>
      <c r="N590">
        <v>1003</v>
      </c>
      <c r="O590" t="s">
        <v>556</v>
      </c>
      <c r="P590" t="s">
        <v>556</v>
      </c>
      <c r="Q590">
        <v>1000</v>
      </c>
      <c r="X590">
        <v>0.10199999999999999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 t="s">
        <v>3</v>
      </c>
      <c r="AG590">
        <v>0.10199999999999999</v>
      </c>
      <c r="AH590">
        <v>3</v>
      </c>
      <c r="AI590">
        <v>-1</v>
      </c>
      <c r="AJ590" t="s">
        <v>3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">
      <c r="A591">
        <f>ROW(Source!A139)</f>
        <v>139</v>
      </c>
      <c r="B591">
        <v>56616903</v>
      </c>
      <c r="C591">
        <v>56616889</v>
      </c>
      <c r="D591">
        <v>46556476</v>
      </c>
      <c r="E591">
        <v>27786564</v>
      </c>
      <c r="F591">
        <v>1</v>
      </c>
      <c r="G591">
        <v>27786564</v>
      </c>
      <c r="H591">
        <v>3</v>
      </c>
      <c r="I591" t="s">
        <v>557</v>
      </c>
      <c r="J591" t="s">
        <v>3</v>
      </c>
      <c r="K591" t="s">
        <v>558</v>
      </c>
      <c r="L591">
        <v>1354</v>
      </c>
      <c r="N591">
        <v>1010</v>
      </c>
      <c r="O591" t="s">
        <v>88</v>
      </c>
      <c r="P591" t="s">
        <v>88</v>
      </c>
      <c r="Q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3</v>
      </c>
      <c r="AG591">
        <v>0</v>
      </c>
      <c r="AH591">
        <v>3</v>
      </c>
      <c r="AI591">
        <v>-1</v>
      </c>
      <c r="AJ591" t="s">
        <v>3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">
      <c r="A592">
        <f>ROW(Source!A140)</f>
        <v>140</v>
      </c>
      <c r="B592">
        <v>56616891</v>
      </c>
      <c r="C592">
        <v>56616889</v>
      </c>
      <c r="D592">
        <v>47634407</v>
      </c>
      <c r="E592">
        <v>27786564</v>
      </c>
      <c r="F592">
        <v>1</v>
      </c>
      <c r="G592">
        <v>27786564</v>
      </c>
      <c r="H592">
        <v>1</v>
      </c>
      <c r="I592" t="s">
        <v>439</v>
      </c>
      <c r="J592" t="s">
        <v>3</v>
      </c>
      <c r="K592" t="s">
        <v>440</v>
      </c>
      <c r="L592">
        <v>1191</v>
      </c>
      <c r="N592">
        <v>1013</v>
      </c>
      <c r="O592" t="s">
        <v>441</v>
      </c>
      <c r="P592" t="s">
        <v>441</v>
      </c>
      <c r="Q592">
        <v>1</v>
      </c>
      <c r="X592">
        <v>24.8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1</v>
      </c>
      <c r="AF592" t="s">
        <v>22</v>
      </c>
      <c r="AG592">
        <v>27.280000000000005</v>
      </c>
      <c r="AH592">
        <v>2</v>
      </c>
      <c r="AI592">
        <v>56616890</v>
      </c>
      <c r="AJ592">
        <v>120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">
      <c r="A593">
        <f>ROW(Source!A140)</f>
        <v>140</v>
      </c>
      <c r="B593">
        <v>56616892</v>
      </c>
      <c r="C593">
        <v>56616889</v>
      </c>
      <c r="D593">
        <v>47767106</v>
      </c>
      <c r="E593">
        <v>1</v>
      </c>
      <c r="F593">
        <v>1</v>
      </c>
      <c r="G593">
        <v>27786564</v>
      </c>
      <c r="H593">
        <v>2</v>
      </c>
      <c r="I593" t="s">
        <v>487</v>
      </c>
      <c r="J593" t="s">
        <v>488</v>
      </c>
      <c r="K593" t="s">
        <v>489</v>
      </c>
      <c r="L593">
        <v>1368</v>
      </c>
      <c r="N593">
        <v>1011</v>
      </c>
      <c r="O593" t="s">
        <v>445</v>
      </c>
      <c r="P593" t="s">
        <v>445</v>
      </c>
      <c r="Q593">
        <v>1</v>
      </c>
      <c r="X593">
        <v>1.49</v>
      </c>
      <c r="Y593">
        <v>0</v>
      </c>
      <c r="Z593">
        <v>83.1</v>
      </c>
      <c r="AA593">
        <v>12.62</v>
      </c>
      <c r="AB593">
        <v>0</v>
      </c>
      <c r="AC593">
        <v>0</v>
      </c>
      <c r="AD593">
        <v>1</v>
      </c>
      <c r="AE593">
        <v>0</v>
      </c>
      <c r="AF593" t="s">
        <v>22</v>
      </c>
      <c r="AG593">
        <v>1.639</v>
      </c>
      <c r="AH593">
        <v>3</v>
      </c>
      <c r="AI593">
        <v>-1</v>
      </c>
      <c r="AJ593" t="s">
        <v>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">
      <c r="A594">
        <f>ROW(Source!A140)</f>
        <v>140</v>
      </c>
      <c r="B594">
        <v>56616893</v>
      </c>
      <c r="C594">
        <v>56616889</v>
      </c>
      <c r="D594">
        <v>47766545</v>
      </c>
      <c r="E594">
        <v>1</v>
      </c>
      <c r="F594">
        <v>1</v>
      </c>
      <c r="G594">
        <v>27786564</v>
      </c>
      <c r="H594">
        <v>2</v>
      </c>
      <c r="I594" t="s">
        <v>490</v>
      </c>
      <c r="J594" t="s">
        <v>491</v>
      </c>
      <c r="K594" t="s">
        <v>492</v>
      </c>
      <c r="L594">
        <v>1368</v>
      </c>
      <c r="N594">
        <v>1011</v>
      </c>
      <c r="O594" t="s">
        <v>445</v>
      </c>
      <c r="P594" t="s">
        <v>445</v>
      </c>
      <c r="Q594">
        <v>1</v>
      </c>
      <c r="X594">
        <v>5.53</v>
      </c>
      <c r="Y594">
        <v>0</v>
      </c>
      <c r="Z594">
        <v>0.73</v>
      </c>
      <c r="AA594">
        <v>0</v>
      </c>
      <c r="AB594">
        <v>0</v>
      </c>
      <c r="AC594">
        <v>0</v>
      </c>
      <c r="AD594">
        <v>1</v>
      </c>
      <c r="AE594">
        <v>0</v>
      </c>
      <c r="AF594" t="s">
        <v>22</v>
      </c>
      <c r="AG594">
        <v>6.0830000000000011</v>
      </c>
      <c r="AH594">
        <v>3</v>
      </c>
      <c r="AI594">
        <v>-1</v>
      </c>
      <c r="AJ594" t="s">
        <v>3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">
      <c r="A595">
        <f>ROW(Source!A140)</f>
        <v>140</v>
      </c>
      <c r="B595">
        <v>56616894</v>
      </c>
      <c r="C595">
        <v>56616889</v>
      </c>
      <c r="D595">
        <v>47766581</v>
      </c>
      <c r="E595">
        <v>1</v>
      </c>
      <c r="F595">
        <v>1</v>
      </c>
      <c r="G595">
        <v>27786564</v>
      </c>
      <c r="H595">
        <v>2</v>
      </c>
      <c r="I595" t="s">
        <v>493</v>
      </c>
      <c r="J595" t="s">
        <v>494</v>
      </c>
      <c r="K595" t="s">
        <v>495</v>
      </c>
      <c r="L595">
        <v>1368</v>
      </c>
      <c r="N595">
        <v>1011</v>
      </c>
      <c r="O595" t="s">
        <v>445</v>
      </c>
      <c r="P595" t="s">
        <v>445</v>
      </c>
      <c r="Q595">
        <v>1</v>
      </c>
      <c r="X595">
        <v>5.14</v>
      </c>
      <c r="Y595">
        <v>0</v>
      </c>
      <c r="Z595">
        <v>4</v>
      </c>
      <c r="AA595">
        <v>0</v>
      </c>
      <c r="AB595">
        <v>0</v>
      </c>
      <c r="AC595">
        <v>0</v>
      </c>
      <c r="AD595">
        <v>1</v>
      </c>
      <c r="AE595">
        <v>0</v>
      </c>
      <c r="AF595" t="s">
        <v>22</v>
      </c>
      <c r="AG595">
        <v>5.6539999999999999</v>
      </c>
      <c r="AH595">
        <v>3</v>
      </c>
      <c r="AI595">
        <v>-1</v>
      </c>
      <c r="AJ595" t="s">
        <v>3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">
      <c r="A596">
        <f>ROW(Source!A140)</f>
        <v>140</v>
      </c>
      <c r="B596">
        <v>56616895</v>
      </c>
      <c r="C596">
        <v>56616889</v>
      </c>
      <c r="D596">
        <v>46723498</v>
      </c>
      <c r="E596">
        <v>1</v>
      </c>
      <c r="F596">
        <v>1</v>
      </c>
      <c r="G596">
        <v>27786564</v>
      </c>
      <c r="H596">
        <v>3</v>
      </c>
      <c r="I596" t="s">
        <v>496</v>
      </c>
      <c r="J596" t="s">
        <v>497</v>
      </c>
      <c r="K596" t="s">
        <v>498</v>
      </c>
      <c r="L596">
        <v>1348</v>
      </c>
      <c r="N596">
        <v>1009</v>
      </c>
      <c r="O596" t="s">
        <v>367</v>
      </c>
      <c r="P596" t="s">
        <v>367</v>
      </c>
      <c r="Q596">
        <v>1000</v>
      </c>
      <c r="X596">
        <v>6.0000000000000002E-5</v>
      </c>
      <c r="Y596">
        <v>11242.42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 t="s">
        <v>3</v>
      </c>
      <c r="AG596">
        <v>6.0000000000000002E-5</v>
      </c>
      <c r="AH596">
        <v>3</v>
      </c>
      <c r="AI596">
        <v>-1</v>
      </c>
      <c r="AJ596" t="s">
        <v>3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">
      <c r="A597">
        <f>ROW(Source!A140)</f>
        <v>140</v>
      </c>
      <c r="B597">
        <v>56616896</v>
      </c>
      <c r="C597">
        <v>56616889</v>
      </c>
      <c r="D597">
        <v>45796980</v>
      </c>
      <c r="E597">
        <v>1</v>
      </c>
      <c r="F597">
        <v>1</v>
      </c>
      <c r="G597">
        <v>27786564</v>
      </c>
      <c r="H597">
        <v>3</v>
      </c>
      <c r="I597" t="s">
        <v>499</v>
      </c>
      <c r="J597" t="s">
        <v>500</v>
      </c>
      <c r="K597" t="s">
        <v>501</v>
      </c>
      <c r="L597">
        <v>1346</v>
      </c>
      <c r="N597">
        <v>1009</v>
      </c>
      <c r="O597" t="s">
        <v>104</v>
      </c>
      <c r="P597" t="s">
        <v>104</v>
      </c>
      <c r="Q597">
        <v>1</v>
      </c>
      <c r="X597">
        <v>0.8</v>
      </c>
      <c r="Y597">
        <v>25.8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 t="s">
        <v>3</v>
      </c>
      <c r="AG597">
        <v>0.8</v>
      </c>
      <c r="AH597">
        <v>3</v>
      </c>
      <c r="AI597">
        <v>-1</v>
      </c>
      <c r="AJ597" t="s">
        <v>3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">
      <c r="A598">
        <f>ROW(Source!A140)</f>
        <v>140</v>
      </c>
      <c r="B598">
        <v>56616897</v>
      </c>
      <c r="C598">
        <v>56616889</v>
      </c>
      <c r="D598">
        <v>46723689</v>
      </c>
      <c r="E598">
        <v>1</v>
      </c>
      <c r="F598">
        <v>1</v>
      </c>
      <c r="G598">
        <v>27786564</v>
      </c>
      <c r="H598">
        <v>3</v>
      </c>
      <c r="I598" t="s">
        <v>502</v>
      </c>
      <c r="J598" t="s">
        <v>503</v>
      </c>
      <c r="K598" t="s">
        <v>504</v>
      </c>
      <c r="L598">
        <v>1348</v>
      </c>
      <c r="N598">
        <v>1009</v>
      </c>
      <c r="O598" t="s">
        <v>367</v>
      </c>
      <c r="P598" t="s">
        <v>367</v>
      </c>
      <c r="Q598">
        <v>1000</v>
      </c>
      <c r="X598">
        <v>5.0000000000000001E-4</v>
      </c>
      <c r="Y598">
        <v>60966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 t="s">
        <v>3</v>
      </c>
      <c r="AG598">
        <v>5.0000000000000001E-4</v>
      </c>
      <c r="AH598">
        <v>3</v>
      </c>
      <c r="AI598">
        <v>-1</v>
      </c>
      <c r="AJ598" t="s">
        <v>3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">
      <c r="A599">
        <f>ROW(Source!A140)</f>
        <v>140</v>
      </c>
      <c r="B599">
        <v>56616898</v>
      </c>
      <c r="C599">
        <v>56616889</v>
      </c>
      <c r="D599">
        <v>46723704</v>
      </c>
      <c r="E599">
        <v>1</v>
      </c>
      <c r="F599">
        <v>1</v>
      </c>
      <c r="G599">
        <v>27786564</v>
      </c>
      <c r="H599">
        <v>3</v>
      </c>
      <c r="I599" t="s">
        <v>505</v>
      </c>
      <c r="J599" t="s">
        <v>506</v>
      </c>
      <c r="K599" t="s">
        <v>507</v>
      </c>
      <c r="L599">
        <v>1348</v>
      </c>
      <c r="N599">
        <v>1009</v>
      </c>
      <c r="O599" t="s">
        <v>367</v>
      </c>
      <c r="P599" t="s">
        <v>367</v>
      </c>
      <c r="Q599">
        <v>1000</v>
      </c>
      <c r="X599">
        <v>4.0000000000000003E-5</v>
      </c>
      <c r="Y599">
        <v>7982.5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 t="s">
        <v>3</v>
      </c>
      <c r="AG599">
        <v>4.0000000000000003E-5</v>
      </c>
      <c r="AH599">
        <v>3</v>
      </c>
      <c r="AI599">
        <v>-1</v>
      </c>
      <c r="AJ599" t="s">
        <v>3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">
      <c r="A600">
        <f>ROW(Source!A140)</f>
        <v>140</v>
      </c>
      <c r="B600">
        <v>56616899</v>
      </c>
      <c r="C600">
        <v>56616889</v>
      </c>
      <c r="D600">
        <v>46735845</v>
      </c>
      <c r="E600">
        <v>1</v>
      </c>
      <c r="F600">
        <v>1</v>
      </c>
      <c r="G600">
        <v>27786564</v>
      </c>
      <c r="H600">
        <v>3</v>
      </c>
      <c r="I600" t="s">
        <v>508</v>
      </c>
      <c r="J600" t="s">
        <v>553</v>
      </c>
      <c r="K600" t="s">
        <v>510</v>
      </c>
      <c r="L600">
        <v>1356</v>
      </c>
      <c r="N600">
        <v>1010</v>
      </c>
      <c r="O600" t="s">
        <v>511</v>
      </c>
      <c r="P600" t="s">
        <v>511</v>
      </c>
      <c r="Q600">
        <v>1000</v>
      </c>
      <c r="X600">
        <v>4.0999999999999999E-4</v>
      </c>
      <c r="Y600">
        <v>226.68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 t="s">
        <v>3</v>
      </c>
      <c r="AG600">
        <v>4.0999999999999999E-4</v>
      </c>
      <c r="AH600">
        <v>3</v>
      </c>
      <c r="AI600">
        <v>-1</v>
      </c>
      <c r="AJ600" t="s">
        <v>3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">
      <c r="A601">
        <f>ROW(Source!A140)</f>
        <v>140</v>
      </c>
      <c r="B601">
        <v>56616900</v>
      </c>
      <c r="C601">
        <v>56616889</v>
      </c>
      <c r="D601">
        <v>46735506</v>
      </c>
      <c r="E601">
        <v>1</v>
      </c>
      <c r="F601">
        <v>1</v>
      </c>
      <c r="G601">
        <v>27786564</v>
      </c>
      <c r="H601">
        <v>3</v>
      </c>
      <c r="I601" t="s">
        <v>512</v>
      </c>
      <c r="J601" t="s">
        <v>513</v>
      </c>
      <c r="K601" t="s">
        <v>514</v>
      </c>
      <c r="L601">
        <v>1301</v>
      </c>
      <c r="N601">
        <v>1003</v>
      </c>
      <c r="O601" t="s">
        <v>55</v>
      </c>
      <c r="P601" t="s">
        <v>55</v>
      </c>
      <c r="Q601">
        <v>1</v>
      </c>
      <c r="X601">
        <v>0.96</v>
      </c>
      <c r="Y601">
        <v>0.7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 t="s">
        <v>3</v>
      </c>
      <c r="AG601">
        <v>0.96</v>
      </c>
      <c r="AH601">
        <v>3</v>
      </c>
      <c r="AI601">
        <v>-1</v>
      </c>
      <c r="AJ601" t="s">
        <v>3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">
      <c r="A602">
        <f>ROW(Source!A140)</f>
        <v>140</v>
      </c>
      <c r="B602">
        <v>56616901</v>
      </c>
      <c r="C602">
        <v>56616889</v>
      </c>
      <c r="D602">
        <v>46735508</v>
      </c>
      <c r="E602">
        <v>1</v>
      </c>
      <c r="F602">
        <v>1</v>
      </c>
      <c r="G602">
        <v>27786564</v>
      </c>
      <c r="H602">
        <v>3</v>
      </c>
      <c r="I602" t="s">
        <v>515</v>
      </c>
      <c r="J602" t="s">
        <v>516</v>
      </c>
      <c r="K602" t="s">
        <v>517</v>
      </c>
      <c r="L602">
        <v>1356</v>
      </c>
      <c r="N602">
        <v>1010</v>
      </c>
      <c r="O602" t="s">
        <v>511</v>
      </c>
      <c r="P602" t="s">
        <v>511</v>
      </c>
      <c r="Q602">
        <v>1000</v>
      </c>
      <c r="X602">
        <v>8.3199999999999993E-3</v>
      </c>
      <c r="Y602">
        <v>6.44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 t="s">
        <v>3</v>
      </c>
      <c r="AG602">
        <v>8.3199999999999993E-3</v>
      </c>
      <c r="AH602">
        <v>3</v>
      </c>
      <c r="AI602">
        <v>-1</v>
      </c>
      <c r="AJ602" t="s">
        <v>3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">
      <c r="A603">
        <f>ROW(Source!A140)</f>
        <v>140</v>
      </c>
      <c r="B603">
        <v>56616902</v>
      </c>
      <c r="C603">
        <v>56616889</v>
      </c>
      <c r="D603">
        <v>49717618</v>
      </c>
      <c r="E603">
        <v>27786564</v>
      </c>
      <c r="F603">
        <v>1</v>
      </c>
      <c r="G603">
        <v>27786564</v>
      </c>
      <c r="H603">
        <v>3</v>
      </c>
      <c r="I603" t="s">
        <v>554</v>
      </c>
      <c r="J603" t="s">
        <v>3</v>
      </c>
      <c r="K603" t="s">
        <v>555</v>
      </c>
      <c r="L603">
        <v>1303</v>
      </c>
      <c r="N603">
        <v>1003</v>
      </c>
      <c r="O603" t="s">
        <v>556</v>
      </c>
      <c r="P603" t="s">
        <v>556</v>
      </c>
      <c r="Q603">
        <v>1000</v>
      </c>
      <c r="X603">
        <v>0.10199999999999999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3</v>
      </c>
      <c r="AG603">
        <v>0.10199999999999999</v>
      </c>
      <c r="AH603">
        <v>3</v>
      </c>
      <c r="AI603">
        <v>-1</v>
      </c>
      <c r="AJ603" t="s">
        <v>3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">
      <c r="A604">
        <f>ROW(Source!A140)</f>
        <v>140</v>
      </c>
      <c r="B604">
        <v>56616903</v>
      </c>
      <c r="C604">
        <v>56616889</v>
      </c>
      <c r="D604">
        <v>46556476</v>
      </c>
      <c r="E604">
        <v>27786564</v>
      </c>
      <c r="F604">
        <v>1</v>
      </c>
      <c r="G604">
        <v>27786564</v>
      </c>
      <c r="H604">
        <v>3</v>
      </c>
      <c r="I604" t="s">
        <v>557</v>
      </c>
      <c r="J604" t="s">
        <v>3</v>
      </c>
      <c r="K604" t="s">
        <v>558</v>
      </c>
      <c r="L604">
        <v>1354</v>
      </c>
      <c r="N604">
        <v>1010</v>
      </c>
      <c r="O604" t="s">
        <v>88</v>
      </c>
      <c r="P604" t="s">
        <v>88</v>
      </c>
      <c r="Q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 t="s">
        <v>3</v>
      </c>
      <c r="AG604">
        <v>0</v>
      </c>
      <c r="AH604">
        <v>3</v>
      </c>
      <c r="AI604">
        <v>-1</v>
      </c>
      <c r="AJ604" t="s">
        <v>3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">
      <c r="A605">
        <f>ROW(Source!A141)</f>
        <v>141</v>
      </c>
      <c r="B605">
        <v>56616906</v>
      </c>
      <c r="C605">
        <v>56616904</v>
      </c>
      <c r="D605">
        <v>47634407</v>
      </c>
      <c r="E605">
        <v>27786564</v>
      </c>
      <c r="F605">
        <v>1</v>
      </c>
      <c r="G605">
        <v>27786564</v>
      </c>
      <c r="H605">
        <v>1</v>
      </c>
      <c r="I605" t="s">
        <v>439</v>
      </c>
      <c r="J605" t="s">
        <v>3</v>
      </c>
      <c r="K605" t="s">
        <v>440</v>
      </c>
      <c r="L605">
        <v>1191</v>
      </c>
      <c r="N605">
        <v>1013</v>
      </c>
      <c r="O605" t="s">
        <v>441</v>
      </c>
      <c r="P605" t="s">
        <v>441</v>
      </c>
      <c r="Q605">
        <v>1</v>
      </c>
      <c r="X605">
        <v>24.8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1</v>
      </c>
      <c r="AF605" t="s">
        <v>22</v>
      </c>
      <c r="AG605">
        <v>27.280000000000005</v>
      </c>
      <c r="AH605">
        <v>2</v>
      </c>
      <c r="AI605">
        <v>56616905</v>
      </c>
      <c r="AJ605">
        <v>121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">
      <c r="A606">
        <f>ROW(Source!A141)</f>
        <v>141</v>
      </c>
      <c r="B606">
        <v>56616907</v>
      </c>
      <c r="C606">
        <v>56616904</v>
      </c>
      <c r="D606">
        <v>47767106</v>
      </c>
      <c r="E606">
        <v>1</v>
      </c>
      <c r="F606">
        <v>1</v>
      </c>
      <c r="G606">
        <v>27786564</v>
      </c>
      <c r="H606">
        <v>2</v>
      </c>
      <c r="I606" t="s">
        <v>487</v>
      </c>
      <c r="J606" t="s">
        <v>488</v>
      </c>
      <c r="K606" t="s">
        <v>489</v>
      </c>
      <c r="L606">
        <v>1368</v>
      </c>
      <c r="N606">
        <v>1011</v>
      </c>
      <c r="O606" t="s">
        <v>445</v>
      </c>
      <c r="P606" t="s">
        <v>445</v>
      </c>
      <c r="Q606">
        <v>1</v>
      </c>
      <c r="X606">
        <v>1.49</v>
      </c>
      <c r="Y606">
        <v>0</v>
      </c>
      <c r="Z606">
        <v>83.1</v>
      </c>
      <c r="AA606">
        <v>12.62</v>
      </c>
      <c r="AB606">
        <v>0</v>
      </c>
      <c r="AC606">
        <v>0</v>
      </c>
      <c r="AD606">
        <v>1</v>
      </c>
      <c r="AE606">
        <v>0</v>
      </c>
      <c r="AF606" t="s">
        <v>22</v>
      </c>
      <c r="AG606">
        <v>1.639</v>
      </c>
      <c r="AH606">
        <v>3</v>
      </c>
      <c r="AI606">
        <v>-1</v>
      </c>
      <c r="AJ606" t="s">
        <v>3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">
      <c r="A607">
        <f>ROW(Source!A141)</f>
        <v>141</v>
      </c>
      <c r="B607">
        <v>56616908</v>
      </c>
      <c r="C607">
        <v>56616904</v>
      </c>
      <c r="D607">
        <v>47766545</v>
      </c>
      <c r="E607">
        <v>1</v>
      </c>
      <c r="F607">
        <v>1</v>
      </c>
      <c r="G607">
        <v>27786564</v>
      </c>
      <c r="H607">
        <v>2</v>
      </c>
      <c r="I607" t="s">
        <v>490</v>
      </c>
      <c r="J607" t="s">
        <v>491</v>
      </c>
      <c r="K607" t="s">
        <v>492</v>
      </c>
      <c r="L607">
        <v>1368</v>
      </c>
      <c r="N607">
        <v>1011</v>
      </c>
      <c r="O607" t="s">
        <v>445</v>
      </c>
      <c r="P607" t="s">
        <v>445</v>
      </c>
      <c r="Q607">
        <v>1</v>
      </c>
      <c r="X607">
        <v>5.53</v>
      </c>
      <c r="Y607">
        <v>0</v>
      </c>
      <c r="Z607">
        <v>0.73</v>
      </c>
      <c r="AA607">
        <v>0</v>
      </c>
      <c r="AB607">
        <v>0</v>
      </c>
      <c r="AC607">
        <v>0</v>
      </c>
      <c r="AD607">
        <v>1</v>
      </c>
      <c r="AE607">
        <v>0</v>
      </c>
      <c r="AF607" t="s">
        <v>22</v>
      </c>
      <c r="AG607">
        <v>6.0830000000000011</v>
      </c>
      <c r="AH607">
        <v>3</v>
      </c>
      <c r="AI607">
        <v>-1</v>
      </c>
      <c r="AJ607" t="s">
        <v>3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">
      <c r="A608">
        <f>ROW(Source!A141)</f>
        <v>141</v>
      </c>
      <c r="B608">
        <v>56616909</v>
      </c>
      <c r="C608">
        <v>56616904</v>
      </c>
      <c r="D608">
        <v>47766581</v>
      </c>
      <c r="E608">
        <v>1</v>
      </c>
      <c r="F608">
        <v>1</v>
      </c>
      <c r="G608">
        <v>27786564</v>
      </c>
      <c r="H608">
        <v>2</v>
      </c>
      <c r="I608" t="s">
        <v>493</v>
      </c>
      <c r="J608" t="s">
        <v>494</v>
      </c>
      <c r="K608" t="s">
        <v>495</v>
      </c>
      <c r="L608">
        <v>1368</v>
      </c>
      <c r="N608">
        <v>1011</v>
      </c>
      <c r="O608" t="s">
        <v>445</v>
      </c>
      <c r="P608" t="s">
        <v>445</v>
      </c>
      <c r="Q608">
        <v>1</v>
      </c>
      <c r="X608">
        <v>5.14</v>
      </c>
      <c r="Y608">
        <v>0</v>
      </c>
      <c r="Z608">
        <v>4</v>
      </c>
      <c r="AA608">
        <v>0</v>
      </c>
      <c r="AB608">
        <v>0</v>
      </c>
      <c r="AC608">
        <v>0</v>
      </c>
      <c r="AD608">
        <v>1</v>
      </c>
      <c r="AE608">
        <v>0</v>
      </c>
      <c r="AF608" t="s">
        <v>22</v>
      </c>
      <c r="AG608">
        <v>5.6539999999999999</v>
      </c>
      <c r="AH608">
        <v>3</v>
      </c>
      <c r="AI608">
        <v>-1</v>
      </c>
      <c r="AJ608" t="s">
        <v>3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">
      <c r="A609">
        <f>ROW(Source!A141)</f>
        <v>141</v>
      </c>
      <c r="B609">
        <v>56616910</v>
      </c>
      <c r="C609">
        <v>56616904</v>
      </c>
      <c r="D609">
        <v>46723498</v>
      </c>
      <c r="E609">
        <v>1</v>
      </c>
      <c r="F609">
        <v>1</v>
      </c>
      <c r="G609">
        <v>27786564</v>
      </c>
      <c r="H609">
        <v>3</v>
      </c>
      <c r="I609" t="s">
        <v>496</v>
      </c>
      <c r="J609" t="s">
        <v>497</v>
      </c>
      <c r="K609" t="s">
        <v>498</v>
      </c>
      <c r="L609">
        <v>1348</v>
      </c>
      <c r="N609">
        <v>1009</v>
      </c>
      <c r="O609" t="s">
        <v>367</v>
      </c>
      <c r="P609" t="s">
        <v>367</v>
      </c>
      <c r="Q609">
        <v>1000</v>
      </c>
      <c r="X609">
        <v>6.0000000000000002E-5</v>
      </c>
      <c r="Y609">
        <v>11242.42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  <c r="AF609" t="s">
        <v>3</v>
      </c>
      <c r="AG609">
        <v>6.0000000000000002E-5</v>
      </c>
      <c r="AH609">
        <v>3</v>
      </c>
      <c r="AI609">
        <v>-1</v>
      </c>
      <c r="AJ609" t="s">
        <v>3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">
      <c r="A610">
        <f>ROW(Source!A141)</f>
        <v>141</v>
      </c>
      <c r="B610">
        <v>56616911</v>
      </c>
      <c r="C610">
        <v>56616904</v>
      </c>
      <c r="D610">
        <v>45796980</v>
      </c>
      <c r="E610">
        <v>1</v>
      </c>
      <c r="F610">
        <v>1</v>
      </c>
      <c r="G610">
        <v>27786564</v>
      </c>
      <c r="H610">
        <v>3</v>
      </c>
      <c r="I610" t="s">
        <v>499</v>
      </c>
      <c r="J610" t="s">
        <v>500</v>
      </c>
      <c r="K610" t="s">
        <v>501</v>
      </c>
      <c r="L610">
        <v>1346</v>
      </c>
      <c r="N610">
        <v>1009</v>
      </c>
      <c r="O610" t="s">
        <v>104</v>
      </c>
      <c r="P610" t="s">
        <v>104</v>
      </c>
      <c r="Q610">
        <v>1</v>
      </c>
      <c r="X610">
        <v>0.8</v>
      </c>
      <c r="Y610">
        <v>25.8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0</v>
      </c>
      <c r="AF610" t="s">
        <v>3</v>
      </c>
      <c r="AG610">
        <v>0.8</v>
      </c>
      <c r="AH610">
        <v>3</v>
      </c>
      <c r="AI610">
        <v>-1</v>
      </c>
      <c r="AJ610" t="s">
        <v>3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">
      <c r="A611">
        <f>ROW(Source!A141)</f>
        <v>141</v>
      </c>
      <c r="B611">
        <v>56616912</v>
      </c>
      <c r="C611">
        <v>56616904</v>
      </c>
      <c r="D611">
        <v>46723689</v>
      </c>
      <c r="E611">
        <v>1</v>
      </c>
      <c r="F611">
        <v>1</v>
      </c>
      <c r="G611">
        <v>27786564</v>
      </c>
      <c r="H611">
        <v>3</v>
      </c>
      <c r="I611" t="s">
        <v>502</v>
      </c>
      <c r="J611" t="s">
        <v>503</v>
      </c>
      <c r="K611" t="s">
        <v>504</v>
      </c>
      <c r="L611">
        <v>1348</v>
      </c>
      <c r="N611">
        <v>1009</v>
      </c>
      <c r="O611" t="s">
        <v>367</v>
      </c>
      <c r="P611" t="s">
        <v>367</v>
      </c>
      <c r="Q611">
        <v>1000</v>
      </c>
      <c r="X611">
        <v>5.0000000000000001E-4</v>
      </c>
      <c r="Y611">
        <v>60966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0</v>
      </c>
      <c r="AF611" t="s">
        <v>3</v>
      </c>
      <c r="AG611">
        <v>5.0000000000000001E-4</v>
      </c>
      <c r="AH611">
        <v>3</v>
      </c>
      <c r="AI611">
        <v>-1</v>
      </c>
      <c r="AJ611" t="s">
        <v>3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">
      <c r="A612">
        <f>ROW(Source!A141)</f>
        <v>141</v>
      </c>
      <c r="B612">
        <v>56616913</v>
      </c>
      <c r="C612">
        <v>56616904</v>
      </c>
      <c r="D612">
        <v>46723704</v>
      </c>
      <c r="E612">
        <v>1</v>
      </c>
      <c r="F612">
        <v>1</v>
      </c>
      <c r="G612">
        <v>27786564</v>
      </c>
      <c r="H612">
        <v>3</v>
      </c>
      <c r="I612" t="s">
        <v>505</v>
      </c>
      <c r="J612" t="s">
        <v>506</v>
      </c>
      <c r="K612" t="s">
        <v>507</v>
      </c>
      <c r="L612">
        <v>1348</v>
      </c>
      <c r="N612">
        <v>1009</v>
      </c>
      <c r="O612" t="s">
        <v>367</v>
      </c>
      <c r="P612" t="s">
        <v>367</v>
      </c>
      <c r="Q612">
        <v>1000</v>
      </c>
      <c r="X612">
        <v>4.0000000000000003E-5</v>
      </c>
      <c r="Y612">
        <v>7982.5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0</v>
      </c>
      <c r="AF612" t="s">
        <v>3</v>
      </c>
      <c r="AG612">
        <v>4.0000000000000003E-5</v>
      </c>
      <c r="AH612">
        <v>3</v>
      </c>
      <c r="AI612">
        <v>-1</v>
      </c>
      <c r="AJ612" t="s">
        <v>3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">
      <c r="A613">
        <f>ROW(Source!A141)</f>
        <v>141</v>
      </c>
      <c r="B613">
        <v>56616914</v>
      </c>
      <c r="C613">
        <v>56616904</v>
      </c>
      <c r="D613">
        <v>46735845</v>
      </c>
      <c r="E613">
        <v>1</v>
      </c>
      <c r="F613">
        <v>1</v>
      </c>
      <c r="G613">
        <v>27786564</v>
      </c>
      <c r="H613">
        <v>3</v>
      </c>
      <c r="I613" t="s">
        <v>508</v>
      </c>
      <c r="J613" t="s">
        <v>553</v>
      </c>
      <c r="K613" t="s">
        <v>510</v>
      </c>
      <c r="L613">
        <v>1356</v>
      </c>
      <c r="N613">
        <v>1010</v>
      </c>
      <c r="O613" t="s">
        <v>511</v>
      </c>
      <c r="P613" t="s">
        <v>511</v>
      </c>
      <c r="Q613">
        <v>1000</v>
      </c>
      <c r="X613">
        <v>4.0999999999999999E-4</v>
      </c>
      <c r="Y613">
        <v>226.68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  <c r="AF613" t="s">
        <v>3</v>
      </c>
      <c r="AG613">
        <v>4.0999999999999999E-4</v>
      </c>
      <c r="AH613">
        <v>3</v>
      </c>
      <c r="AI613">
        <v>-1</v>
      </c>
      <c r="AJ613" t="s">
        <v>3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">
      <c r="A614">
        <f>ROW(Source!A141)</f>
        <v>141</v>
      </c>
      <c r="B614">
        <v>56616915</v>
      </c>
      <c r="C614">
        <v>56616904</v>
      </c>
      <c r="D614">
        <v>46735506</v>
      </c>
      <c r="E614">
        <v>1</v>
      </c>
      <c r="F614">
        <v>1</v>
      </c>
      <c r="G614">
        <v>27786564</v>
      </c>
      <c r="H614">
        <v>3</v>
      </c>
      <c r="I614" t="s">
        <v>512</v>
      </c>
      <c r="J614" t="s">
        <v>513</v>
      </c>
      <c r="K614" t="s">
        <v>514</v>
      </c>
      <c r="L614">
        <v>1301</v>
      </c>
      <c r="N614">
        <v>1003</v>
      </c>
      <c r="O614" t="s">
        <v>55</v>
      </c>
      <c r="P614" t="s">
        <v>55</v>
      </c>
      <c r="Q614">
        <v>1</v>
      </c>
      <c r="X614">
        <v>0.96</v>
      </c>
      <c r="Y614">
        <v>0.7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 t="s">
        <v>3</v>
      </c>
      <c r="AG614">
        <v>0.96</v>
      </c>
      <c r="AH614">
        <v>3</v>
      </c>
      <c r="AI614">
        <v>-1</v>
      </c>
      <c r="AJ614" t="s">
        <v>3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">
      <c r="A615">
        <f>ROW(Source!A141)</f>
        <v>141</v>
      </c>
      <c r="B615">
        <v>56616916</v>
      </c>
      <c r="C615">
        <v>56616904</v>
      </c>
      <c r="D615">
        <v>46735508</v>
      </c>
      <c r="E615">
        <v>1</v>
      </c>
      <c r="F615">
        <v>1</v>
      </c>
      <c r="G615">
        <v>27786564</v>
      </c>
      <c r="H615">
        <v>3</v>
      </c>
      <c r="I615" t="s">
        <v>515</v>
      </c>
      <c r="J615" t="s">
        <v>516</v>
      </c>
      <c r="K615" t="s">
        <v>517</v>
      </c>
      <c r="L615">
        <v>1356</v>
      </c>
      <c r="N615">
        <v>1010</v>
      </c>
      <c r="O615" t="s">
        <v>511</v>
      </c>
      <c r="P615" t="s">
        <v>511</v>
      </c>
      <c r="Q615">
        <v>1000</v>
      </c>
      <c r="X615">
        <v>8.3199999999999993E-3</v>
      </c>
      <c r="Y615">
        <v>6.44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 t="s">
        <v>3</v>
      </c>
      <c r="AG615">
        <v>8.3199999999999993E-3</v>
      </c>
      <c r="AH615">
        <v>3</v>
      </c>
      <c r="AI615">
        <v>-1</v>
      </c>
      <c r="AJ615" t="s">
        <v>3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">
      <c r="A616">
        <f>ROW(Source!A141)</f>
        <v>141</v>
      </c>
      <c r="B616">
        <v>56616917</v>
      </c>
      <c r="C616">
        <v>56616904</v>
      </c>
      <c r="D616">
        <v>49717618</v>
      </c>
      <c r="E616">
        <v>27786564</v>
      </c>
      <c r="F616">
        <v>1</v>
      </c>
      <c r="G616">
        <v>27786564</v>
      </c>
      <c r="H616">
        <v>3</v>
      </c>
      <c r="I616" t="s">
        <v>554</v>
      </c>
      <c r="J616" t="s">
        <v>3</v>
      </c>
      <c r="K616" t="s">
        <v>555</v>
      </c>
      <c r="L616">
        <v>1303</v>
      </c>
      <c r="N616">
        <v>1003</v>
      </c>
      <c r="O616" t="s">
        <v>556</v>
      </c>
      <c r="P616" t="s">
        <v>556</v>
      </c>
      <c r="Q616">
        <v>1000</v>
      </c>
      <c r="X616">
        <v>0.10199999999999999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 t="s">
        <v>3</v>
      </c>
      <c r="AG616">
        <v>0.10199999999999999</v>
      </c>
      <c r="AH616">
        <v>3</v>
      </c>
      <c r="AI616">
        <v>-1</v>
      </c>
      <c r="AJ616" t="s">
        <v>3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">
      <c r="A617">
        <f>ROW(Source!A141)</f>
        <v>141</v>
      </c>
      <c r="B617">
        <v>56616918</v>
      </c>
      <c r="C617">
        <v>56616904</v>
      </c>
      <c r="D617">
        <v>46556476</v>
      </c>
      <c r="E617">
        <v>27786564</v>
      </c>
      <c r="F617">
        <v>1</v>
      </c>
      <c r="G617">
        <v>27786564</v>
      </c>
      <c r="H617">
        <v>3</v>
      </c>
      <c r="I617" t="s">
        <v>557</v>
      </c>
      <c r="J617" t="s">
        <v>3</v>
      </c>
      <c r="K617" t="s">
        <v>558</v>
      </c>
      <c r="L617">
        <v>1354</v>
      </c>
      <c r="N617">
        <v>1010</v>
      </c>
      <c r="O617" t="s">
        <v>88</v>
      </c>
      <c r="P617" t="s">
        <v>88</v>
      </c>
      <c r="Q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t="s">
        <v>3</v>
      </c>
      <c r="AG617">
        <v>0</v>
      </c>
      <c r="AH617">
        <v>3</v>
      </c>
      <c r="AI617">
        <v>-1</v>
      </c>
      <c r="AJ617" t="s">
        <v>3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">
      <c r="A618">
        <f>ROW(Source!A142)</f>
        <v>142</v>
      </c>
      <c r="B618">
        <v>56616906</v>
      </c>
      <c r="C618">
        <v>56616904</v>
      </c>
      <c r="D618">
        <v>47634407</v>
      </c>
      <c r="E618">
        <v>27786564</v>
      </c>
      <c r="F618">
        <v>1</v>
      </c>
      <c r="G618">
        <v>27786564</v>
      </c>
      <c r="H618">
        <v>1</v>
      </c>
      <c r="I618" t="s">
        <v>439</v>
      </c>
      <c r="J618" t="s">
        <v>3</v>
      </c>
      <c r="K618" t="s">
        <v>440</v>
      </c>
      <c r="L618">
        <v>1191</v>
      </c>
      <c r="N618">
        <v>1013</v>
      </c>
      <c r="O618" t="s">
        <v>441</v>
      </c>
      <c r="P618" t="s">
        <v>441</v>
      </c>
      <c r="Q618">
        <v>1</v>
      </c>
      <c r="X618">
        <v>24.8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1</v>
      </c>
      <c r="AF618" t="s">
        <v>22</v>
      </c>
      <c r="AG618">
        <v>27.280000000000005</v>
      </c>
      <c r="AH618">
        <v>2</v>
      </c>
      <c r="AI618">
        <v>56616905</v>
      </c>
      <c r="AJ618">
        <v>122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">
      <c r="A619">
        <f>ROW(Source!A142)</f>
        <v>142</v>
      </c>
      <c r="B619">
        <v>56616907</v>
      </c>
      <c r="C619">
        <v>56616904</v>
      </c>
      <c r="D619">
        <v>47767106</v>
      </c>
      <c r="E619">
        <v>1</v>
      </c>
      <c r="F619">
        <v>1</v>
      </c>
      <c r="G619">
        <v>27786564</v>
      </c>
      <c r="H619">
        <v>2</v>
      </c>
      <c r="I619" t="s">
        <v>487</v>
      </c>
      <c r="J619" t="s">
        <v>488</v>
      </c>
      <c r="K619" t="s">
        <v>489</v>
      </c>
      <c r="L619">
        <v>1368</v>
      </c>
      <c r="N619">
        <v>1011</v>
      </c>
      <c r="O619" t="s">
        <v>445</v>
      </c>
      <c r="P619" t="s">
        <v>445</v>
      </c>
      <c r="Q619">
        <v>1</v>
      </c>
      <c r="X619">
        <v>1.49</v>
      </c>
      <c r="Y619">
        <v>0</v>
      </c>
      <c r="Z619">
        <v>83.1</v>
      </c>
      <c r="AA619">
        <v>12.62</v>
      </c>
      <c r="AB619">
        <v>0</v>
      </c>
      <c r="AC619">
        <v>0</v>
      </c>
      <c r="AD619">
        <v>1</v>
      </c>
      <c r="AE619">
        <v>0</v>
      </c>
      <c r="AF619" t="s">
        <v>22</v>
      </c>
      <c r="AG619">
        <v>1.639</v>
      </c>
      <c r="AH619">
        <v>3</v>
      </c>
      <c r="AI619">
        <v>-1</v>
      </c>
      <c r="AJ619" t="s">
        <v>3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">
      <c r="A620">
        <f>ROW(Source!A142)</f>
        <v>142</v>
      </c>
      <c r="B620">
        <v>56616908</v>
      </c>
      <c r="C620">
        <v>56616904</v>
      </c>
      <c r="D620">
        <v>47766545</v>
      </c>
      <c r="E620">
        <v>1</v>
      </c>
      <c r="F620">
        <v>1</v>
      </c>
      <c r="G620">
        <v>27786564</v>
      </c>
      <c r="H620">
        <v>2</v>
      </c>
      <c r="I620" t="s">
        <v>490</v>
      </c>
      <c r="J620" t="s">
        <v>491</v>
      </c>
      <c r="K620" t="s">
        <v>492</v>
      </c>
      <c r="L620">
        <v>1368</v>
      </c>
      <c r="N620">
        <v>1011</v>
      </c>
      <c r="O620" t="s">
        <v>445</v>
      </c>
      <c r="P620" t="s">
        <v>445</v>
      </c>
      <c r="Q620">
        <v>1</v>
      </c>
      <c r="X620">
        <v>5.53</v>
      </c>
      <c r="Y620">
        <v>0</v>
      </c>
      <c r="Z620">
        <v>0.73</v>
      </c>
      <c r="AA620">
        <v>0</v>
      </c>
      <c r="AB620">
        <v>0</v>
      </c>
      <c r="AC620">
        <v>0</v>
      </c>
      <c r="AD620">
        <v>1</v>
      </c>
      <c r="AE620">
        <v>0</v>
      </c>
      <c r="AF620" t="s">
        <v>22</v>
      </c>
      <c r="AG620">
        <v>6.0830000000000011</v>
      </c>
      <c r="AH620">
        <v>3</v>
      </c>
      <c r="AI620">
        <v>-1</v>
      </c>
      <c r="AJ620" t="s">
        <v>3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">
      <c r="A621">
        <f>ROW(Source!A142)</f>
        <v>142</v>
      </c>
      <c r="B621">
        <v>56616909</v>
      </c>
      <c r="C621">
        <v>56616904</v>
      </c>
      <c r="D621">
        <v>47766581</v>
      </c>
      <c r="E621">
        <v>1</v>
      </c>
      <c r="F621">
        <v>1</v>
      </c>
      <c r="G621">
        <v>27786564</v>
      </c>
      <c r="H621">
        <v>2</v>
      </c>
      <c r="I621" t="s">
        <v>493</v>
      </c>
      <c r="J621" t="s">
        <v>494</v>
      </c>
      <c r="K621" t="s">
        <v>495</v>
      </c>
      <c r="L621">
        <v>1368</v>
      </c>
      <c r="N621">
        <v>1011</v>
      </c>
      <c r="O621" t="s">
        <v>445</v>
      </c>
      <c r="P621" t="s">
        <v>445</v>
      </c>
      <c r="Q621">
        <v>1</v>
      </c>
      <c r="X621">
        <v>5.14</v>
      </c>
      <c r="Y621">
        <v>0</v>
      </c>
      <c r="Z621">
        <v>4</v>
      </c>
      <c r="AA621">
        <v>0</v>
      </c>
      <c r="AB621">
        <v>0</v>
      </c>
      <c r="AC621">
        <v>0</v>
      </c>
      <c r="AD621">
        <v>1</v>
      </c>
      <c r="AE621">
        <v>0</v>
      </c>
      <c r="AF621" t="s">
        <v>22</v>
      </c>
      <c r="AG621">
        <v>5.6539999999999999</v>
      </c>
      <c r="AH621">
        <v>3</v>
      </c>
      <c r="AI621">
        <v>-1</v>
      </c>
      <c r="AJ621" t="s">
        <v>3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">
      <c r="A622">
        <f>ROW(Source!A142)</f>
        <v>142</v>
      </c>
      <c r="B622">
        <v>56616910</v>
      </c>
      <c r="C622">
        <v>56616904</v>
      </c>
      <c r="D622">
        <v>46723498</v>
      </c>
      <c r="E622">
        <v>1</v>
      </c>
      <c r="F622">
        <v>1</v>
      </c>
      <c r="G622">
        <v>27786564</v>
      </c>
      <c r="H622">
        <v>3</v>
      </c>
      <c r="I622" t="s">
        <v>496</v>
      </c>
      <c r="J622" t="s">
        <v>497</v>
      </c>
      <c r="K622" t="s">
        <v>498</v>
      </c>
      <c r="L622">
        <v>1348</v>
      </c>
      <c r="N622">
        <v>1009</v>
      </c>
      <c r="O622" t="s">
        <v>367</v>
      </c>
      <c r="P622" t="s">
        <v>367</v>
      </c>
      <c r="Q622">
        <v>1000</v>
      </c>
      <c r="X622">
        <v>6.0000000000000002E-5</v>
      </c>
      <c r="Y622">
        <v>11242.42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 t="s">
        <v>3</v>
      </c>
      <c r="AG622">
        <v>6.0000000000000002E-5</v>
      </c>
      <c r="AH622">
        <v>3</v>
      </c>
      <c r="AI622">
        <v>-1</v>
      </c>
      <c r="AJ622" t="s">
        <v>3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">
      <c r="A623">
        <f>ROW(Source!A142)</f>
        <v>142</v>
      </c>
      <c r="B623">
        <v>56616911</v>
      </c>
      <c r="C623">
        <v>56616904</v>
      </c>
      <c r="D623">
        <v>45796980</v>
      </c>
      <c r="E623">
        <v>1</v>
      </c>
      <c r="F623">
        <v>1</v>
      </c>
      <c r="G623">
        <v>27786564</v>
      </c>
      <c r="H623">
        <v>3</v>
      </c>
      <c r="I623" t="s">
        <v>499</v>
      </c>
      <c r="J623" t="s">
        <v>500</v>
      </c>
      <c r="K623" t="s">
        <v>501</v>
      </c>
      <c r="L623">
        <v>1346</v>
      </c>
      <c r="N623">
        <v>1009</v>
      </c>
      <c r="O623" t="s">
        <v>104</v>
      </c>
      <c r="P623" t="s">
        <v>104</v>
      </c>
      <c r="Q623">
        <v>1</v>
      </c>
      <c r="X623">
        <v>0.8</v>
      </c>
      <c r="Y623">
        <v>25.8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 t="s">
        <v>3</v>
      </c>
      <c r="AG623">
        <v>0.8</v>
      </c>
      <c r="AH623">
        <v>3</v>
      </c>
      <c r="AI623">
        <v>-1</v>
      </c>
      <c r="AJ623" t="s">
        <v>3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">
      <c r="A624">
        <f>ROW(Source!A142)</f>
        <v>142</v>
      </c>
      <c r="B624">
        <v>56616912</v>
      </c>
      <c r="C624">
        <v>56616904</v>
      </c>
      <c r="D624">
        <v>46723689</v>
      </c>
      <c r="E624">
        <v>1</v>
      </c>
      <c r="F624">
        <v>1</v>
      </c>
      <c r="G624">
        <v>27786564</v>
      </c>
      <c r="H624">
        <v>3</v>
      </c>
      <c r="I624" t="s">
        <v>502</v>
      </c>
      <c r="J624" t="s">
        <v>503</v>
      </c>
      <c r="K624" t="s">
        <v>504</v>
      </c>
      <c r="L624">
        <v>1348</v>
      </c>
      <c r="N624">
        <v>1009</v>
      </c>
      <c r="O624" t="s">
        <v>367</v>
      </c>
      <c r="P624" t="s">
        <v>367</v>
      </c>
      <c r="Q624">
        <v>1000</v>
      </c>
      <c r="X624">
        <v>5.0000000000000001E-4</v>
      </c>
      <c r="Y624">
        <v>60966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 t="s">
        <v>3</v>
      </c>
      <c r="AG624">
        <v>5.0000000000000001E-4</v>
      </c>
      <c r="AH624">
        <v>3</v>
      </c>
      <c r="AI624">
        <v>-1</v>
      </c>
      <c r="AJ624" t="s">
        <v>3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">
      <c r="A625">
        <f>ROW(Source!A142)</f>
        <v>142</v>
      </c>
      <c r="B625">
        <v>56616913</v>
      </c>
      <c r="C625">
        <v>56616904</v>
      </c>
      <c r="D625">
        <v>46723704</v>
      </c>
      <c r="E625">
        <v>1</v>
      </c>
      <c r="F625">
        <v>1</v>
      </c>
      <c r="G625">
        <v>27786564</v>
      </c>
      <c r="H625">
        <v>3</v>
      </c>
      <c r="I625" t="s">
        <v>505</v>
      </c>
      <c r="J625" t="s">
        <v>506</v>
      </c>
      <c r="K625" t="s">
        <v>507</v>
      </c>
      <c r="L625">
        <v>1348</v>
      </c>
      <c r="N625">
        <v>1009</v>
      </c>
      <c r="O625" t="s">
        <v>367</v>
      </c>
      <c r="P625" t="s">
        <v>367</v>
      </c>
      <c r="Q625">
        <v>1000</v>
      </c>
      <c r="X625">
        <v>4.0000000000000003E-5</v>
      </c>
      <c r="Y625">
        <v>7982.5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0</v>
      </c>
      <c r="AF625" t="s">
        <v>3</v>
      </c>
      <c r="AG625">
        <v>4.0000000000000003E-5</v>
      </c>
      <c r="AH625">
        <v>3</v>
      </c>
      <c r="AI625">
        <v>-1</v>
      </c>
      <c r="AJ625" t="s">
        <v>3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">
      <c r="A626">
        <f>ROW(Source!A142)</f>
        <v>142</v>
      </c>
      <c r="B626">
        <v>56616914</v>
      </c>
      <c r="C626">
        <v>56616904</v>
      </c>
      <c r="D626">
        <v>46735845</v>
      </c>
      <c r="E626">
        <v>1</v>
      </c>
      <c r="F626">
        <v>1</v>
      </c>
      <c r="G626">
        <v>27786564</v>
      </c>
      <c r="H626">
        <v>3</v>
      </c>
      <c r="I626" t="s">
        <v>508</v>
      </c>
      <c r="J626" t="s">
        <v>553</v>
      </c>
      <c r="K626" t="s">
        <v>510</v>
      </c>
      <c r="L626">
        <v>1356</v>
      </c>
      <c r="N626">
        <v>1010</v>
      </c>
      <c r="O626" t="s">
        <v>511</v>
      </c>
      <c r="P626" t="s">
        <v>511</v>
      </c>
      <c r="Q626">
        <v>1000</v>
      </c>
      <c r="X626">
        <v>4.0999999999999999E-4</v>
      </c>
      <c r="Y626">
        <v>226.68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 t="s">
        <v>3</v>
      </c>
      <c r="AG626">
        <v>4.0999999999999999E-4</v>
      </c>
      <c r="AH626">
        <v>3</v>
      </c>
      <c r="AI626">
        <v>-1</v>
      </c>
      <c r="AJ626" t="s">
        <v>3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">
      <c r="A627">
        <f>ROW(Source!A142)</f>
        <v>142</v>
      </c>
      <c r="B627">
        <v>56616915</v>
      </c>
      <c r="C627">
        <v>56616904</v>
      </c>
      <c r="D627">
        <v>46735506</v>
      </c>
      <c r="E627">
        <v>1</v>
      </c>
      <c r="F627">
        <v>1</v>
      </c>
      <c r="G627">
        <v>27786564</v>
      </c>
      <c r="H627">
        <v>3</v>
      </c>
      <c r="I627" t="s">
        <v>512</v>
      </c>
      <c r="J627" t="s">
        <v>513</v>
      </c>
      <c r="K627" t="s">
        <v>514</v>
      </c>
      <c r="L627">
        <v>1301</v>
      </c>
      <c r="N627">
        <v>1003</v>
      </c>
      <c r="O627" t="s">
        <v>55</v>
      </c>
      <c r="P627" t="s">
        <v>55</v>
      </c>
      <c r="Q627">
        <v>1</v>
      </c>
      <c r="X627">
        <v>0.96</v>
      </c>
      <c r="Y627">
        <v>0.7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0</v>
      </c>
      <c r="AF627" t="s">
        <v>3</v>
      </c>
      <c r="AG627">
        <v>0.96</v>
      </c>
      <c r="AH627">
        <v>3</v>
      </c>
      <c r="AI627">
        <v>-1</v>
      </c>
      <c r="AJ627" t="s">
        <v>3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">
      <c r="A628">
        <f>ROW(Source!A142)</f>
        <v>142</v>
      </c>
      <c r="B628">
        <v>56616916</v>
      </c>
      <c r="C628">
        <v>56616904</v>
      </c>
      <c r="D628">
        <v>46735508</v>
      </c>
      <c r="E628">
        <v>1</v>
      </c>
      <c r="F628">
        <v>1</v>
      </c>
      <c r="G628">
        <v>27786564</v>
      </c>
      <c r="H628">
        <v>3</v>
      </c>
      <c r="I628" t="s">
        <v>515</v>
      </c>
      <c r="J628" t="s">
        <v>516</v>
      </c>
      <c r="K628" t="s">
        <v>517</v>
      </c>
      <c r="L628">
        <v>1356</v>
      </c>
      <c r="N628">
        <v>1010</v>
      </c>
      <c r="O628" t="s">
        <v>511</v>
      </c>
      <c r="P628" t="s">
        <v>511</v>
      </c>
      <c r="Q628">
        <v>1000</v>
      </c>
      <c r="X628">
        <v>8.3199999999999993E-3</v>
      </c>
      <c r="Y628">
        <v>6.44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 t="s">
        <v>3</v>
      </c>
      <c r="AG628">
        <v>8.3199999999999993E-3</v>
      </c>
      <c r="AH628">
        <v>3</v>
      </c>
      <c r="AI628">
        <v>-1</v>
      </c>
      <c r="AJ628" t="s">
        <v>3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">
      <c r="A629">
        <f>ROW(Source!A142)</f>
        <v>142</v>
      </c>
      <c r="B629">
        <v>56616917</v>
      </c>
      <c r="C629">
        <v>56616904</v>
      </c>
      <c r="D629">
        <v>49717618</v>
      </c>
      <c r="E629">
        <v>27786564</v>
      </c>
      <c r="F629">
        <v>1</v>
      </c>
      <c r="G629">
        <v>27786564</v>
      </c>
      <c r="H629">
        <v>3</v>
      </c>
      <c r="I629" t="s">
        <v>554</v>
      </c>
      <c r="J629" t="s">
        <v>3</v>
      </c>
      <c r="K629" t="s">
        <v>555</v>
      </c>
      <c r="L629">
        <v>1303</v>
      </c>
      <c r="N629">
        <v>1003</v>
      </c>
      <c r="O629" t="s">
        <v>556</v>
      </c>
      <c r="P629" t="s">
        <v>556</v>
      </c>
      <c r="Q629">
        <v>1000</v>
      </c>
      <c r="X629">
        <v>0.10199999999999999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 t="s">
        <v>3</v>
      </c>
      <c r="AG629">
        <v>0.10199999999999999</v>
      </c>
      <c r="AH629">
        <v>3</v>
      </c>
      <c r="AI629">
        <v>-1</v>
      </c>
      <c r="AJ629" t="s">
        <v>3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">
      <c r="A630">
        <f>ROW(Source!A142)</f>
        <v>142</v>
      </c>
      <c r="B630">
        <v>56616918</v>
      </c>
      <c r="C630">
        <v>56616904</v>
      </c>
      <c r="D630">
        <v>46556476</v>
      </c>
      <c r="E630">
        <v>27786564</v>
      </c>
      <c r="F630">
        <v>1</v>
      </c>
      <c r="G630">
        <v>27786564</v>
      </c>
      <c r="H630">
        <v>3</v>
      </c>
      <c r="I630" t="s">
        <v>557</v>
      </c>
      <c r="J630" t="s">
        <v>3</v>
      </c>
      <c r="K630" t="s">
        <v>558</v>
      </c>
      <c r="L630">
        <v>1354</v>
      </c>
      <c r="N630">
        <v>1010</v>
      </c>
      <c r="O630" t="s">
        <v>88</v>
      </c>
      <c r="P630" t="s">
        <v>88</v>
      </c>
      <c r="Q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 t="s">
        <v>3</v>
      </c>
      <c r="AG630">
        <v>0</v>
      </c>
      <c r="AH630">
        <v>3</v>
      </c>
      <c r="AI630">
        <v>-1</v>
      </c>
      <c r="AJ630" t="s">
        <v>3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">
      <c r="A631">
        <f>ROW(Source!A143)</f>
        <v>143</v>
      </c>
      <c r="B631">
        <v>56616921</v>
      </c>
      <c r="C631">
        <v>56616919</v>
      </c>
      <c r="D631">
        <v>47634407</v>
      </c>
      <c r="E631">
        <v>27786564</v>
      </c>
      <c r="F631">
        <v>1</v>
      </c>
      <c r="G631">
        <v>27786564</v>
      </c>
      <c r="H631">
        <v>1</v>
      </c>
      <c r="I631" t="s">
        <v>439</v>
      </c>
      <c r="J631" t="s">
        <v>3</v>
      </c>
      <c r="K631" t="s">
        <v>440</v>
      </c>
      <c r="L631">
        <v>1191</v>
      </c>
      <c r="N631">
        <v>1013</v>
      </c>
      <c r="O631" t="s">
        <v>441</v>
      </c>
      <c r="P631" t="s">
        <v>441</v>
      </c>
      <c r="Q631">
        <v>1</v>
      </c>
      <c r="X631">
        <v>24.8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1</v>
      </c>
      <c r="AF631" t="s">
        <v>22</v>
      </c>
      <c r="AG631">
        <v>27.280000000000005</v>
      </c>
      <c r="AH631">
        <v>2</v>
      </c>
      <c r="AI631">
        <v>56616920</v>
      </c>
      <c r="AJ631">
        <v>123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">
      <c r="A632">
        <f>ROW(Source!A143)</f>
        <v>143</v>
      </c>
      <c r="B632">
        <v>56616922</v>
      </c>
      <c r="C632">
        <v>56616919</v>
      </c>
      <c r="D632">
        <v>47767106</v>
      </c>
      <c r="E632">
        <v>1</v>
      </c>
      <c r="F632">
        <v>1</v>
      </c>
      <c r="G632">
        <v>27786564</v>
      </c>
      <c r="H632">
        <v>2</v>
      </c>
      <c r="I632" t="s">
        <v>487</v>
      </c>
      <c r="J632" t="s">
        <v>488</v>
      </c>
      <c r="K632" t="s">
        <v>489</v>
      </c>
      <c r="L632">
        <v>1368</v>
      </c>
      <c r="N632">
        <v>1011</v>
      </c>
      <c r="O632" t="s">
        <v>445</v>
      </c>
      <c r="P632" t="s">
        <v>445</v>
      </c>
      <c r="Q632">
        <v>1</v>
      </c>
      <c r="X632">
        <v>1.49</v>
      </c>
      <c r="Y632">
        <v>0</v>
      </c>
      <c r="Z632">
        <v>83.1</v>
      </c>
      <c r="AA632">
        <v>12.62</v>
      </c>
      <c r="AB632">
        <v>0</v>
      </c>
      <c r="AC632">
        <v>0</v>
      </c>
      <c r="AD632">
        <v>1</v>
      </c>
      <c r="AE632">
        <v>0</v>
      </c>
      <c r="AF632" t="s">
        <v>22</v>
      </c>
      <c r="AG632">
        <v>1.639</v>
      </c>
      <c r="AH632">
        <v>3</v>
      </c>
      <c r="AI632">
        <v>-1</v>
      </c>
      <c r="AJ632" t="s">
        <v>3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">
      <c r="A633">
        <f>ROW(Source!A143)</f>
        <v>143</v>
      </c>
      <c r="B633">
        <v>56616923</v>
      </c>
      <c r="C633">
        <v>56616919</v>
      </c>
      <c r="D633">
        <v>47766545</v>
      </c>
      <c r="E633">
        <v>1</v>
      </c>
      <c r="F633">
        <v>1</v>
      </c>
      <c r="G633">
        <v>27786564</v>
      </c>
      <c r="H633">
        <v>2</v>
      </c>
      <c r="I633" t="s">
        <v>490</v>
      </c>
      <c r="J633" t="s">
        <v>491</v>
      </c>
      <c r="K633" t="s">
        <v>492</v>
      </c>
      <c r="L633">
        <v>1368</v>
      </c>
      <c r="N633">
        <v>1011</v>
      </c>
      <c r="O633" t="s">
        <v>445</v>
      </c>
      <c r="P633" t="s">
        <v>445</v>
      </c>
      <c r="Q633">
        <v>1</v>
      </c>
      <c r="X633">
        <v>5.53</v>
      </c>
      <c r="Y633">
        <v>0</v>
      </c>
      <c r="Z633">
        <v>0.73</v>
      </c>
      <c r="AA633">
        <v>0</v>
      </c>
      <c r="AB633">
        <v>0</v>
      </c>
      <c r="AC633">
        <v>0</v>
      </c>
      <c r="AD633">
        <v>1</v>
      </c>
      <c r="AE633">
        <v>0</v>
      </c>
      <c r="AF633" t="s">
        <v>22</v>
      </c>
      <c r="AG633">
        <v>6.0830000000000011</v>
      </c>
      <c r="AH633">
        <v>3</v>
      </c>
      <c r="AI633">
        <v>-1</v>
      </c>
      <c r="AJ633" t="s">
        <v>3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">
      <c r="A634">
        <f>ROW(Source!A143)</f>
        <v>143</v>
      </c>
      <c r="B634">
        <v>56616924</v>
      </c>
      <c r="C634">
        <v>56616919</v>
      </c>
      <c r="D634">
        <v>47766581</v>
      </c>
      <c r="E634">
        <v>1</v>
      </c>
      <c r="F634">
        <v>1</v>
      </c>
      <c r="G634">
        <v>27786564</v>
      </c>
      <c r="H634">
        <v>2</v>
      </c>
      <c r="I634" t="s">
        <v>493</v>
      </c>
      <c r="J634" t="s">
        <v>494</v>
      </c>
      <c r="K634" t="s">
        <v>495</v>
      </c>
      <c r="L634">
        <v>1368</v>
      </c>
      <c r="N634">
        <v>1011</v>
      </c>
      <c r="O634" t="s">
        <v>445</v>
      </c>
      <c r="P634" t="s">
        <v>445</v>
      </c>
      <c r="Q634">
        <v>1</v>
      </c>
      <c r="X634">
        <v>5.14</v>
      </c>
      <c r="Y634">
        <v>0</v>
      </c>
      <c r="Z634">
        <v>4</v>
      </c>
      <c r="AA634">
        <v>0</v>
      </c>
      <c r="AB634">
        <v>0</v>
      </c>
      <c r="AC634">
        <v>0</v>
      </c>
      <c r="AD634">
        <v>1</v>
      </c>
      <c r="AE634">
        <v>0</v>
      </c>
      <c r="AF634" t="s">
        <v>22</v>
      </c>
      <c r="AG634">
        <v>5.6539999999999999</v>
      </c>
      <c r="AH634">
        <v>3</v>
      </c>
      <c r="AI634">
        <v>-1</v>
      </c>
      <c r="AJ634" t="s">
        <v>3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">
      <c r="A635">
        <f>ROW(Source!A143)</f>
        <v>143</v>
      </c>
      <c r="B635">
        <v>56616925</v>
      </c>
      <c r="C635">
        <v>56616919</v>
      </c>
      <c r="D635">
        <v>46723498</v>
      </c>
      <c r="E635">
        <v>1</v>
      </c>
      <c r="F635">
        <v>1</v>
      </c>
      <c r="G635">
        <v>27786564</v>
      </c>
      <c r="H635">
        <v>3</v>
      </c>
      <c r="I635" t="s">
        <v>496</v>
      </c>
      <c r="J635" t="s">
        <v>497</v>
      </c>
      <c r="K635" t="s">
        <v>498</v>
      </c>
      <c r="L635">
        <v>1348</v>
      </c>
      <c r="N635">
        <v>1009</v>
      </c>
      <c r="O635" t="s">
        <v>367</v>
      </c>
      <c r="P635" t="s">
        <v>367</v>
      </c>
      <c r="Q635">
        <v>1000</v>
      </c>
      <c r="X635">
        <v>6.0000000000000002E-5</v>
      </c>
      <c r="Y635">
        <v>11242.42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 t="s">
        <v>3</v>
      </c>
      <c r="AG635">
        <v>6.0000000000000002E-5</v>
      </c>
      <c r="AH635">
        <v>3</v>
      </c>
      <c r="AI635">
        <v>-1</v>
      </c>
      <c r="AJ635" t="s">
        <v>3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">
      <c r="A636">
        <f>ROW(Source!A143)</f>
        <v>143</v>
      </c>
      <c r="B636">
        <v>56616926</v>
      </c>
      <c r="C636">
        <v>56616919</v>
      </c>
      <c r="D636">
        <v>45796980</v>
      </c>
      <c r="E636">
        <v>1</v>
      </c>
      <c r="F636">
        <v>1</v>
      </c>
      <c r="G636">
        <v>27786564</v>
      </c>
      <c r="H636">
        <v>3</v>
      </c>
      <c r="I636" t="s">
        <v>499</v>
      </c>
      <c r="J636" t="s">
        <v>500</v>
      </c>
      <c r="K636" t="s">
        <v>501</v>
      </c>
      <c r="L636">
        <v>1346</v>
      </c>
      <c r="N636">
        <v>1009</v>
      </c>
      <c r="O636" t="s">
        <v>104</v>
      </c>
      <c r="P636" t="s">
        <v>104</v>
      </c>
      <c r="Q636">
        <v>1</v>
      </c>
      <c r="X636">
        <v>0.8</v>
      </c>
      <c r="Y636">
        <v>25.8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 t="s">
        <v>3</v>
      </c>
      <c r="AG636">
        <v>0.8</v>
      </c>
      <c r="AH636">
        <v>3</v>
      </c>
      <c r="AI636">
        <v>-1</v>
      </c>
      <c r="AJ636" t="s">
        <v>3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">
      <c r="A637">
        <f>ROW(Source!A143)</f>
        <v>143</v>
      </c>
      <c r="B637">
        <v>56616927</v>
      </c>
      <c r="C637">
        <v>56616919</v>
      </c>
      <c r="D637">
        <v>46723689</v>
      </c>
      <c r="E637">
        <v>1</v>
      </c>
      <c r="F637">
        <v>1</v>
      </c>
      <c r="G637">
        <v>27786564</v>
      </c>
      <c r="H637">
        <v>3</v>
      </c>
      <c r="I637" t="s">
        <v>502</v>
      </c>
      <c r="J637" t="s">
        <v>503</v>
      </c>
      <c r="K637" t="s">
        <v>504</v>
      </c>
      <c r="L637">
        <v>1348</v>
      </c>
      <c r="N637">
        <v>1009</v>
      </c>
      <c r="O637" t="s">
        <v>367</v>
      </c>
      <c r="P637" t="s">
        <v>367</v>
      </c>
      <c r="Q637">
        <v>1000</v>
      </c>
      <c r="X637">
        <v>5.0000000000000001E-4</v>
      </c>
      <c r="Y637">
        <v>60966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 t="s">
        <v>3</v>
      </c>
      <c r="AG637">
        <v>5.0000000000000001E-4</v>
      </c>
      <c r="AH637">
        <v>3</v>
      </c>
      <c r="AI637">
        <v>-1</v>
      </c>
      <c r="AJ637" t="s">
        <v>3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">
      <c r="A638">
        <f>ROW(Source!A143)</f>
        <v>143</v>
      </c>
      <c r="B638">
        <v>56616928</v>
      </c>
      <c r="C638">
        <v>56616919</v>
      </c>
      <c r="D638">
        <v>46723704</v>
      </c>
      <c r="E638">
        <v>1</v>
      </c>
      <c r="F638">
        <v>1</v>
      </c>
      <c r="G638">
        <v>27786564</v>
      </c>
      <c r="H638">
        <v>3</v>
      </c>
      <c r="I638" t="s">
        <v>505</v>
      </c>
      <c r="J638" t="s">
        <v>506</v>
      </c>
      <c r="K638" t="s">
        <v>507</v>
      </c>
      <c r="L638">
        <v>1348</v>
      </c>
      <c r="N638">
        <v>1009</v>
      </c>
      <c r="O638" t="s">
        <v>367</v>
      </c>
      <c r="P638" t="s">
        <v>367</v>
      </c>
      <c r="Q638">
        <v>1000</v>
      </c>
      <c r="X638">
        <v>4.0000000000000003E-5</v>
      </c>
      <c r="Y638">
        <v>7982.5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0</v>
      </c>
      <c r="AF638" t="s">
        <v>3</v>
      </c>
      <c r="AG638">
        <v>4.0000000000000003E-5</v>
      </c>
      <c r="AH638">
        <v>3</v>
      </c>
      <c r="AI638">
        <v>-1</v>
      </c>
      <c r="AJ638" t="s">
        <v>3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">
      <c r="A639">
        <f>ROW(Source!A143)</f>
        <v>143</v>
      </c>
      <c r="B639">
        <v>56616929</v>
      </c>
      <c r="C639">
        <v>56616919</v>
      </c>
      <c r="D639">
        <v>46735845</v>
      </c>
      <c r="E639">
        <v>1</v>
      </c>
      <c r="F639">
        <v>1</v>
      </c>
      <c r="G639">
        <v>27786564</v>
      </c>
      <c r="H639">
        <v>3</v>
      </c>
      <c r="I639" t="s">
        <v>508</v>
      </c>
      <c r="J639" t="s">
        <v>553</v>
      </c>
      <c r="K639" t="s">
        <v>510</v>
      </c>
      <c r="L639">
        <v>1356</v>
      </c>
      <c r="N639">
        <v>1010</v>
      </c>
      <c r="O639" t="s">
        <v>511</v>
      </c>
      <c r="P639" t="s">
        <v>511</v>
      </c>
      <c r="Q639">
        <v>1000</v>
      </c>
      <c r="X639">
        <v>4.0999999999999999E-4</v>
      </c>
      <c r="Y639">
        <v>226.68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0</v>
      </c>
      <c r="AF639" t="s">
        <v>3</v>
      </c>
      <c r="AG639">
        <v>4.0999999999999999E-4</v>
      </c>
      <c r="AH639">
        <v>3</v>
      </c>
      <c r="AI639">
        <v>-1</v>
      </c>
      <c r="AJ639" t="s">
        <v>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">
      <c r="A640">
        <f>ROW(Source!A143)</f>
        <v>143</v>
      </c>
      <c r="B640">
        <v>56616930</v>
      </c>
      <c r="C640">
        <v>56616919</v>
      </c>
      <c r="D640">
        <v>46735506</v>
      </c>
      <c r="E640">
        <v>1</v>
      </c>
      <c r="F640">
        <v>1</v>
      </c>
      <c r="G640">
        <v>27786564</v>
      </c>
      <c r="H640">
        <v>3</v>
      </c>
      <c r="I640" t="s">
        <v>512</v>
      </c>
      <c r="J640" t="s">
        <v>513</v>
      </c>
      <c r="K640" t="s">
        <v>514</v>
      </c>
      <c r="L640">
        <v>1301</v>
      </c>
      <c r="N640">
        <v>1003</v>
      </c>
      <c r="O640" t="s">
        <v>55</v>
      </c>
      <c r="P640" t="s">
        <v>55</v>
      </c>
      <c r="Q640">
        <v>1</v>
      </c>
      <c r="X640">
        <v>0.96</v>
      </c>
      <c r="Y640">
        <v>0.7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 t="s">
        <v>3</v>
      </c>
      <c r="AG640">
        <v>0.96</v>
      </c>
      <c r="AH640">
        <v>3</v>
      </c>
      <c r="AI640">
        <v>-1</v>
      </c>
      <c r="AJ640" t="s">
        <v>3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">
      <c r="A641">
        <f>ROW(Source!A143)</f>
        <v>143</v>
      </c>
      <c r="B641">
        <v>56616931</v>
      </c>
      <c r="C641">
        <v>56616919</v>
      </c>
      <c r="D641">
        <v>46735508</v>
      </c>
      <c r="E641">
        <v>1</v>
      </c>
      <c r="F641">
        <v>1</v>
      </c>
      <c r="G641">
        <v>27786564</v>
      </c>
      <c r="H641">
        <v>3</v>
      </c>
      <c r="I641" t="s">
        <v>515</v>
      </c>
      <c r="J641" t="s">
        <v>516</v>
      </c>
      <c r="K641" t="s">
        <v>517</v>
      </c>
      <c r="L641">
        <v>1356</v>
      </c>
      <c r="N641">
        <v>1010</v>
      </c>
      <c r="O641" t="s">
        <v>511</v>
      </c>
      <c r="P641" t="s">
        <v>511</v>
      </c>
      <c r="Q641">
        <v>1000</v>
      </c>
      <c r="X641">
        <v>8.3199999999999993E-3</v>
      </c>
      <c r="Y641">
        <v>6.44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 t="s">
        <v>3</v>
      </c>
      <c r="AG641">
        <v>8.3199999999999993E-3</v>
      </c>
      <c r="AH641">
        <v>3</v>
      </c>
      <c r="AI641">
        <v>-1</v>
      </c>
      <c r="AJ641" t="s">
        <v>3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">
      <c r="A642">
        <f>ROW(Source!A143)</f>
        <v>143</v>
      </c>
      <c r="B642">
        <v>56616932</v>
      </c>
      <c r="C642">
        <v>56616919</v>
      </c>
      <c r="D642">
        <v>49717618</v>
      </c>
      <c r="E642">
        <v>27786564</v>
      </c>
      <c r="F642">
        <v>1</v>
      </c>
      <c r="G642">
        <v>27786564</v>
      </c>
      <c r="H642">
        <v>3</v>
      </c>
      <c r="I642" t="s">
        <v>554</v>
      </c>
      <c r="J642" t="s">
        <v>3</v>
      </c>
      <c r="K642" t="s">
        <v>555</v>
      </c>
      <c r="L642">
        <v>1303</v>
      </c>
      <c r="N642">
        <v>1003</v>
      </c>
      <c r="O642" t="s">
        <v>556</v>
      </c>
      <c r="P642" t="s">
        <v>556</v>
      </c>
      <c r="Q642">
        <v>1000</v>
      </c>
      <c r="X642">
        <v>0.10199999999999999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3</v>
      </c>
      <c r="AG642">
        <v>0.10199999999999999</v>
      </c>
      <c r="AH642">
        <v>3</v>
      </c>
      <c r="AI642">
        <v>-1</v>
      </c>
      <c r="AJ642" t="s">
        <v>3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">
      <c r="A643">
        <f>ROW(Source!A143)</f>
        <v>143</v>
      </c>
      <c r="B643">
        <v>56616933</v>
      </c>
      <c r="C643">
        <v>56616919</v>
      </c>
      <c r="D643">
        <v>46556476</v>
      </c>
      <c r="E643">
        <v>27786564</v>
      </c>
      <c r="F643">
        <v>1</v>
      </c>
      <c r="G643">
        <v>27786564</v>
      </c>
      <c r="H643">
        <v>3</v>
      </c>
      <c r="I643" t="s">
        <v>557</v>
      </c>
      <c r="J643" t="s">
        <v>3</v>
      </c>
      <c r="K643" t="s">
        <v>558</v>
      </c>
      <c r="L643">
        <v>1354</v>
      </c>
      <c r="N643">
        <v>1010</v>
      </c>
      <c r="O643" t="s">
        <v>88</v>
      </c>
      <c r="P643" t="s">
        <v>88</v>
      </c>
      <c r="Q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 t="s">
        <v>3</v>
      </c>
      <c r="AG643">
        <v>0</v>
      </c>
      <c r="AH643">
        <v>3</v>
      </c>
      <c r="AI643">
        <v>-1</v>
      </c>
      <c r="AJ643" t="s">
        <v>3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">
      <c r="A644">
        <f>ROW(Source!A144)</f>
        <v>144</v>
      </c>
      <c r="B644">
        <v>56616921</v>
      </c>
      <c r="C644">
        <v>56616919</v>
      </c>
      <c r="D644">
        <v>47634407</v>
      </c>
      <c r="E644">
        <v>27786564</v>
      </c>
      <c r="F644">
        <v>1</v>
      </c>
      <c r="G644">
        <v>27786564</v>
      </c>
      <c r="H644">
        <v>1</v>
      </c>
      <c r="I644" t="s">
        <v>439</v>
      </c>
      <c r="J644" t="s">
        <v>3</v>
      </c>
      <c r="K644" t="s">
        <v>440</v>
      </c>
      <c r="L644">
        <v>1191</v>
      </c>
      <c r="N644">
        <v>1013</v>
      </c>
      <c r="O644" t="s">
        <v>441</v>
      </c>
      <c r="P644" t="s">
        <v>441</v>
      </c>
      <c r="Q644">
        <v>1</v>
      </c>
      <c r="X644">
        <v>24.8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1</v>
      </c>
      <c r="AF644" t="s">
        <v>22</v>
      </c>
      <c r="AG644">
        <v>27.280000000000005</v>
      </c>
      <c r="AH644">
        <v>2</v>
      </c>
      <c r="AI644">
        <v>56616920</v>
      </c>
      <c r="AJ644">
        <v>124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">
      <c r="A645">
        <f>ROW(Source!A144)</f>
        <v>144</v>
      </c>
      <c r="B645">
        <v>56616922</v>
      </c>
      <c r="C645">
        <v>56616919</v>
      </c>
      <c r="D645">
        <v>47767106</v>
      </c>
      <c r="E645">
        <v>1</v>
      </c>
      <c r="F645">
        <v>1</v>
      </c>
      <c r="G645">
        <v>27786564</v>
      </c>
      <c r="H645">
        <v>2</v>
      </c>
      <c r="I645" t="s">
        <v>487</v>
      </c>
      <c r="J645" t="s">
        <v>488</v>
      </c>
      <c r="K645" t="s">
        <v>489</v>
      </c>
      <c r="L645">
        <v>1368</v>
      </c>
      <c r="N645">
        <v>1011</v>
      </c>
      <c r="O645" t="s">
        <v>445</v>
      </c>
      <c r="P645" t="s">
        <v>445</v>
      </c>
      <c r="Q645">
        <v>1</v>
      </c>
      <c r="X645">
        <v>1.49</v>
      </c>
      <c r="Y645">
        <v>0</v>
      </c>
      <c r="Z645">
        <v>83.1</v>
      </c>
      <c r="AA645">
        <v>12.62</v>
      </c>
      <c r="AB645">
        <v>0</v>
      </c>
      <c r="AC645">
        <v>0</v>
      </c>
      <c r="AD645">
        <v>1</v>
      </c>
      <c r="AE645">
        <v>0</v>
      </c>
      <c r="AF645" t="s">
        <v>22</v>
      </c>
      <c r="AG645">
        <v>1.639</v>
      </c>
      <c r="AH645">
        <v>3</v>
      </c>
      <c r="AI645">
        <v>-1</v>
      </c>
      <c r="AJ645" t="s">
        <v>3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">
      <c r="A646">
        <f>ROW(Source!A144)</f>
        <v>144</v>
      </c>
      <c r="B646">
        <v>56616923</v>
      </c>
      <c r="C646">
        <v>56616919</v>
      </c>
      <c r="D646">
        <v>47766545</v>
      </c>
      <c r="E646">
        <v>1</v>
      </c>
      <c r="F646">
        <v>1</v>
      </c>
      <c r="G646">
        <v>27786564</v>
      </c>
      <c r="H646">
        <v>2</v>
      </c>
      <c r="I646" t="s">
        <v>490</v>
      </c>
      <c r="J646" t="s">
        <v>491</v>
      </c>
      <c r="K646" t="s">
        <v>492</v>
      </c>
      <c r="L646">
        <v>1368</v>
      </c>
      <c r="N646">
        <v>1011</v>
      </c>
      <c r="O646" t="s">
        <v>445</v>
      </c>
      <c r="P646" t="s">
        <v>445</v>
      </c>
      <c r="Q646">
        <v>1</v>
      </c>
      <c r="X646">
        <v>5.53</v>
      </c>
      <c r="Y646">
        <v>0</v>
      </c>
      <c r="Z646">
        <v>0.73</v>
      </c>
      <c r="AA646">
        <v>0</v>
      </c>
      <c r="AB646">
        <v>0</v>
      </c>
      <c r="AC646">
        <v>0</v>
      </c>
      <c r="AD646">
        <v>1</v>
      </c>
      <c r="AE646">
        <v>0</v>
      </c>
      <c r="AF646" t="s">
        <v>22</v>
      </c>
      <c r="AG646">
        <v>6.0830000000000011</v>
      </c>
      <c r="AH646">
        <v>3</v>
      </c>
      <c r="AI646">
        <v>-1</v>
      </c>
      <c r="AJ646" t="s">
        <v>3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">
      <c r="A647">
        <f>ROW(Source!A144)</f>
        <v>144</v>
      </c>
      <c r="B647">
        <v>56616924</v>
      </c>
      <c r="C647">
        <v>56616919</v>
      </c>
      <c r="D647">
        <v>47766581</v>
      </c>
      <c r="E647">
        <v>1</v>
      </c>
      <c r="F647">
        <v>1</v>
      </c>
      <c r="G647">
        <v>27786564</v>
      </c>
      <c r="H647">
        <v>2</v>
      </c>
      <c r="I647" t="s">
        <v>493</v>
      </c>
      <c r="J647" t="s">
        <v>494</v>
      </c>
      <c r="K647" t="s">
        <v>495</v>
      </c>
      <c r="L647">
        <v>1368</v>
      </c>
      <c r="N647">
        <v>1011</v>
      </c>
      <c r="O647" t="s">
        <v>445</v>
      </c>
      <c r="P647" t="s">
        <v>445</v>
      </c>
      <c r="Q647">
        <v>1</v>
      </c>
      <c r="X647">
        <v>5.14</v>
      </c>
      <c r="Y647">
        <v>0</v>
      </c>
      <c r="Z647">
        <v>4</v>
      </c>
      <c r="AA647">
        <v>0</v>
      </c>
      <c r="AB647">
        <v>0</v>
      </c>
      <c r="AC647">
        <v>0</v>
      </c>
      <c r="AD647">
        <v>1</v>
      </c>
      <c r="AE647">
        <v>0</v>
      </c>
      <c r="AF647" t="s">
        <v>22</v>
      </c>
      <c r="AG647">
        <v>5.6539999999999999</v>
      </c>
      <c r="AH647">
        <v>3</v>
      </c>
      <c r="AI647">
        <v>-1</v>
      </c>
      <c r="AJ647" t="s">
        <v>3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">
      <c r="A648">
        <f>ROW(Source!A144)</f>
        <v>144</v>
      </c>
      <c r="B648">
        <v>56616925</v>
      </c>
      <c r="C648">
        <v>56616919</v>
      </c>
      <c r="D648">
        <v>46723498</v>
      </c>
      <c r="E648">
        <v>1</v>
      </c>
      <c r="F648">
        <v>1</v>
      </c>
      <c r="G648">
        <v>27786564</v>
      </c>
      <c r="H648">
        <v>3</v>
      </c>
      <c r="I648" t="s">
        <v>496</v>
      </c>
      <c r="J648" t="s">
        <v>497</v>
      </c>
      <c r="K648" t="s">
        <v>498</v>
      </c>
      <c r="L648">
        <v>1348</v>
      </c>
      <c r="N648">
        <v>1009</v>
      </c>
      <c r="O648" t="s">
        <v>367</v>
      </c>
      <c r="P648" t="s">
        <v>367</v>
      </c>
      <c r="Q648">
        <v>1000</v>
      </c>
      <c r="X648">
        <v>6.0000000000000002E-5</v>
      </c>
      <c r="Y648">
        <v>11242.42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 t="s">
        <v>3</v>
      </c>
      <c r="AG648">
        <v>6.0000000000000002E-5</v>
      </c>
      <c r="AH648">
        <v>3</v>
      </c>
      <c r="AI648">
        <v>-1</v>
      </c>
      <c r="AJ648" t="s">
        <v>3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">
      <c r="A649">
        <f>ROW(Source!A144)</f>
        <v>144</v>
      </c>
      <c r="B649">
        <v>56616926</v>
      </c>
      <c r="C649">
        <v>56616919</v>
      </c>
      <c r="D649">
        <v>45796980</v>
      </c>
      <c r="E649">
        <v>1</v>
      </c>
      <c r="F649">
        <v>1</v>
      </c>
      <c r="G649">
        <v>27786564</v>
      </c>
      <c r="H649">
        <v>3</v>
      </c>
      <c r="I649" t="s">
        <v>499</v>
      </c>
      <c r="J649" t="s">
        <v>500</v>
      </c>
      <c r="K649" t="s">
        <v>501</v>
      </c>
      <c r="L649">
        <v>1346</v>
      </c>
      <c r="N649">
        <v>1009</v>
      </c>
      <c r="O649" t="s">
        <v>104</v>
      </c>
      <c r="P649" t="s">
        <v>104</v>
      </c>
      <c r="Q649">
        <v>1</v>
      </c>
      <c r="X649">
        <v>0.8</v>
      </c>
      <c r="Y649">
        <v>25.8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 t="s">
        <v>3</v>
      </c>
      <c r="AG649">
        <v>0.8</v>
      </c>
      <c r="AH649">
        <v>3</v>
      </c>
      <c r="AI649">
        <v>-1</v>
      </c>
      <c r="AJ649" t="s">
        <v>3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">
      <c r="A650">
        <f>ROW(Source!A144)</f>
        <v>144</v>
      </c>
      <c r="B650">
        <v>56616927</v>
      </c>
      <c r="C650">
        <v>56616919</v>
      </c>
      <c r="D650">
        <v>46723689</v>
      </c>
      <c r="E650">
        <v>1</v>
      </c>
      <c r="F650">
        <v>1</v>
      </c>
      <c r="G650">
        <v>27786564</v>
      </c>
      <c r="H650">
        <v>3</v>
      </c>
      <c r="I650" t="s">
        <v>502</v>
      </c>
      <c r="J650" t="s">
        <v>503</v>
      </c>
      <c r="K650" t="s">
        <v>504</v>
      </c>
      <c r="L650">
        <v>1348</v>
      </c>
      <c r="N650">
        <v>1009</v>
      </c>
      <c r="O650" t="s">
        <v>367</v>
      </c>
      <c r="P650" t="s">
        <v>367</v>
      </c>
      <c r="Q650">
        <v>1000</v>
      </c>
      <c r="X650">
        <v>5.0000000000000001E-4</v>
      </c>
      <c r="Y650">
        <v>60966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 t="s">
        <v>3</v>
      </c>
      <c r="AG650">
        <v>5.0000000000000001E-4</v>
      </c>
      <c r="AH650">
        <v>3</v>
      </c>
      <c r="AI650">
        <v>-1</v>
      </c>
      <c r="AJ650" t="s">
        <v>3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">
      <c r="A651">
        <f>ROW(Source!A144)</f>
        <v>144</v>
      </c>
      <c r="B651">
        <v>56616928</v>
      </c>
      <c r="C651">
        <v>56616919</v>
      </c>
      <c r="D651">
        <v>46723704</v>
      </c>
      <c r="E651">
        <v>1</v>
      </c>
      <c r="F651">
        <v>1</v>
      </c>
      <c r="G651">
        <v>27786564</v>
      </c>
      <c r="H651">
        <v>3</v>
      </c>
      <c r="I651" t="s">
        <v>505</v>
      </c>
      <c r="J651" t="s">
        <v>506</v>
      </c>
      <c r="K651" t="s">
        <v>507</v>
      </c>
      <c r="L651">
        <v>1348</v>
      </c>
      <c r="N651">
        <v>1009</v>
      </c>
      <c r="O651" t="s">
        <v>367</v>
      </c>
      <c r="P651" t="s">
        <v>367</v>
      </c>
      <c r="Q651">
        <v>1000</v>
      </c>
      <c r="X651">
        <v>4.0000000000000003E-5</v>
      </c>
      <c r="Y651">
        <v>7982.5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 t="s">
        <v>3</v>
      </c>
      <c r="AG651">
        <v>4.0000000000000003E-5</v>
      </c>
      <c r="AH651">
        <v>3</v>
      </c>
      <c r="AI651">
        <v>-1</v>
      </c>
      <c r="AJ651" t="s">
        <v>3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">
      <c r="A652">
        <f>ROW(Source!A144)</f>
        <v>144</v>
      </c>
      <c r="B652">
        <v>56616929</v>
      </c>
      <c r="C652">
        <v>56616919</v>
      </c>
      <c r="D652">
        <v>46735845</v>
      </c>
      <c r="E652">
        <v>1</v>
      </c>
      <c r="F652">
        <v>1</v>
      </c>
      <c r="G652">
        <v>27786564</v>
      </c>
      <c r="H652">
        <v>3</v>
      </c>
      <c r="I652" t="s">
        <v>508</v>
      </c>
      <c r="J652" t="s">
        <v>553</v>
      </c>
      <c r="K652" t="s">
        <v>510</v>
      </c>
      <c r="L652">
        <v>1356</v>
      </c>
      <c r="N652">
        <v>1010</v>
      </c>
      <c r="O652" t="s">
        <v>511</v>
      </c>
      <c r="P652" t="s">
        <v>511</v>
      </c>
      <c r="Q652">
        <v>1000</v>
      </c>
      <c r="X652">
        <v>4.0999999999999999E-4</v>
      </c>
      <c r="Y652">
        <v>226.68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 t="s">
        <v>3</v>
      </c>
      <c r="AG652">
        <v>4.0999999999999999E-4</v>
      </c>
      <c r="AH652">
        <v>3</v>
      </c>
      <c r="AI652">
        <v>-1</v>
      </c>
      <c r="AJ652" t="s">
        <v>3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">
      <c r="A653">
        <f>ROW(Source!A144)</f>
        <v>144</v>
      </c>
      <c r="B653">
        <v>56616930</v>
      </c>
      <c r="C653">
        <v>56616919</v>
      </c>
      <c r="D653">
        <v>46735506</v>
      </c>
      <c r="E653">
        <v>1</v>
      </c>
      <c r="F653">
        <v>1</v>
      </c>
      <c r="G653">
        <v>27786564</v>
      </c>
      <c r="H653">
        <v>3</v>
      </c>
      <c r="I653" t="s">
        <v>512</v>
      </c>
      <c r="J653" t="s">
        <v>513</v>
      </c>
      <c r="K653" t="s">
        <v>514</v>
      </c>
      <c r="L653">
        <v>1301</v>
      </c>
      <c r="N653">
        <v>1003</v>
      </c>
      <c r="O653" t="s">
        <v>55</v>
      </c>
      <c r="P653" t="s">
        <v>55</v>
      </c>
      <c r="Q653">
        <v>1</v>
      </c>
      <c r="X653">
        <v>0.96</v>
      </c>
      <c r="Y653">
        <v>0.7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 t="s">
        <v>3</v>
      </c>
      <c r="AG653">
        <v>0.96</v>
      </c>
      <c r="AH653">
        <v>3</v>
      </c>
      <c r="AI653">
        <v>-1</v>
      </c>
      <c r="AJ653" t="s">
        <v>3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">
      <c r="A654">
        <f>ROW(Source!A144)</f>
        <v>144</v>
      </c>
      <c r="B654">
        <v>56616931</v>
      </c>
      <c r="C654">
        <v>56616919</v>
      </c>
      <c r="D654">
        <v>46735508</v>
      </c>
      <c r="E654">
        <v>1</v>
      </c>
      <c r="F654">
        <v>1</v>
      </c>
      <c r="G654">
        <v>27786564</v>
      </c>
      <c r="H654">
        <v>3</v>
      </c>
      <c r="I654" t="s">
        <v>515</v>
      </c>
      <c r="J654" t="s">
        <v>516</v>
      </c>
      <c r="K654" t="s">
        <v>517</v>
      </c>
      <c r="L654">
        <v>1356</v>
      </c>
      <c r="N654">
        <v>1010</v>
      </c>
      <c r="O654" t="s">
        <v>511</v>
      </c>
      <c r="P654" t="s">
        <v>511</v>
      </c>
      <c r="Q654">
        <v>1000</v>
      </c>
      <c r="X654">
        <v>8.3199999999999993E-3</v>
      </c>
      <c r="Y654">
        <v>6.44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 t="s">
        <v>3</v>
      </c>
      <c r="AG654">
        <v>8.3199999999999993E-3</v>
      </c>
      <c r="AH654">
        <v>3</v>
      </c>
      <c r="AI654">
        <v>-1</v>
      </c>
      <c r="AJ654" t="s">
        <v>3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">
      <c r="A655">
        <f>ROW(Source!A144)</f>
        <v>144</v>
      </c>
      <c r="B655">
        <v>56616932</v>
      </c>
      <c r="C655">
        <v>56616919</v>
      </c>
      <c r="D655">
        <v>49717618</v>
      </c>
      <c r="E655">
        <v>27786564</v>
      </c>
      <c r="F655">
        <v>1</v>
      </c>
      <c r="G655">
        <v>27786564</v>
      </c>
      <c r="H655">
        <v>3</v>
      </c>
      <c r="I655" t="s">
        <v>554</v>
      </c>
      <c r="J655" t="s">
        <v>3</v>
      </c>
      <c r="K655" t="s">
        <v>555</v>
      </c>
      <c r="L655">
        <v>1303</v>
      </c>
      <c r="N655">
        <v>1003</v>
      </c>
      <c r="O655" t="s">
        <v>556</v>
      </c>
      <c r="P655" t="s">
        <v>556</v>
      </c>
      <c r="Q655">
        <v>1000</v>
      </c>
      <c r="X655">
        <v>0.10199999999999999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 t="s">
        <v>3</v>
      </c>
      <c r="AG655">
        <v>0.10199999999999999</v>
      </c>
      <c r="AH655">
        <v>3</v>
      </c>
      <c r="AI655">
        <v>-1</v>
      </c>
      <c r="AJ655" t="s">
        <v>3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">
      <c r="A656">
        <f>ROW(Source!A144)</f>
        <v>144</v>
      </c>
      <c r="B656">
        <v>56616933</v>
      </c>
      <c r="C656">
        <v>56616919</v>
      </c>
      <c r="D656">
        <v>46556476</v>
      </c>
      <c r="E656">
        <v>27786564</v>
      </c>
      <c r="F656">
        <v>1</v>
      </c>
      <c r="G656">
        <v>27786564</v>
      </c>
      <c r="H656">
        <v>3</v>
      </c>
      <c r="I656" t="s">
        <v>557</v>
      </c>
      <c r="J656" t="s">
        <v>3</v>
      </c>
      <c r="K656" t="s">
        <v>558</v>
      </c>
      <c r="L656">
        <v>1354</v>
      </c>
      <c r="N656">
        <v>1010</v>
      </c>
      <c r="O656" t="s">
        <v>88</v>
      </c>
      <c r="P656" t="s">
        <v>88</v>
      </c>
      <c r="Q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 t="s">
        <v>3</v>
      </c>
      <c r="AG656">
        <v>0</v>
      </c>
      <c r="AH656">
        <v>3</v>
      </c>
      <c r="AI656">
        <v>-1</v>
      </c>
      <c r="AJ656" t="s">
        <v>3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2">
      <c r="A657">
        <f>ROW(Source!A145)</f>
        <v>145</v>
      </c>
      <c r="B657">
        <v>56616936</v>
      </c>
      <c r="C657">
        <v>56616934</v>
      </c>
      <c r="D657">
        <v>47634407</v>
      </c>
      <c r="E657">
        <v>27786564</v>
      </c>
      <c r="F657">
        <v>1</v>
      </c>
      <c r="G657">
        <v>27786564</v>
      </c>
      <c r="H657">
        <v>1</v>
      </c>
      <c r="I657" t="s">
        <v>439</v>
      </c>
      <c r="J657" t="s">
        <v>3</v>
      </c>
      <c r="K657" t="s">
        <v>440</v>
      </c>
      <c r="L657">
        <v>1191</v>
      </c>
      <c r="N657">
        <v>1013</v>
      </c>
      <c r="O657" t="s">
        <v>441</v>
      </c>
      <c r="P657" t="s">
        <v>441</v>
      </c>
      <c r="Q657">
        <v>1</v>
      </c>
      <c r="X657">
        <v>7.14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1</v>
      </c>
      <c r="AF657" t="s">
        <v>22</v>
      </c>
      <c r="AG657">
        <v>7.8540000000000001</v>
      </c>
      <c r="AH657">
        <v>2</v>
      </c>
      <c r="AI657">
        <v>56616935</v>
      </c>
      <c r="AJ657">
        <v>125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2">
      <c r="A658">
        <f>ROW(Source!A145)</f>
        <v>145</v>
      </c>
      <c r="B658">
        <v>56616937</v>
      </c>
      <c r="C658">
        <v>56616934</v>
      </c>
      <c r="D658">
        <v>47767106</v>
      </c>
      <c r="E658">
        <v>1</v>
      </c>
      <c r="F658">
        <v>1</v>
      </c>
      <c r="G658">
        <v>27786564</v>
      </c>
      <c r="H658">
        <v>2</v>
      </c>
      <c r="I658" t="s">
        <v>487</v>
      </c>
      <c r="J658" t="s">
        <v>488</v>
      </c>
      <c r="K658" t="s">
        <v>489</v>
      </c>
      <c r="L658">
        <v>1368</v>
      </c>
      <c r="N658">
        <v>1011</v>
      </c>
      <c r="O658" t="s">
        <v>445</v>
      </c>
      <c r="P658" t="s">
        <v>445</v>
      </c>
      <c r="Q658">
        <v>1</v>
      </c>
      <c r="X658">
        <v>0.49</v>
      </c>
      <c r="Y658">
        <v>0</v>
      </c>
      <c r="Z658">
        <v>83.1</v>
      </c>
      <c r="AA658">
        <v>12.62</v>
      </c>
      <c r="AB658">
        <v>0</v>
      </c>
      <c r="AC658">
        <v>0</v>
      </c>
      <c r="AD658">
        <v>1</v>
      </c>
      <c r="AE658">
        <v>0</v>
      </c>
      <c r="AF658" t="s">
        <v>22</v>
      </c>
      <c r="AG658">
        <v>0.53900000000000003</v>
      </c>
      <c r="AH658">
        <v>3</v>
      </c>
      <c r="AI658">
        <v>-1</v>
      </c>
      <c r="AJ658" t="s">
        <v>3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">
      <c r="A659">
        <f>ROW(Source!A145)</f>
        <v>145</v>
      </c>
      <c r="B659">
        <v>56616938</v>
      </c>
      <c r="C659">
        <v>56616934</v>
      </c>
      <c r="D659">
        <v>47766535</v>
      </c>
      <c r="E659">
        <v>1</v>
      </c>
      <c r="F659">
        <v>1</v>
      </c>
      <c r="G659">
        <v>27786564</v>
      </c>
      <c r="H659">
        <v>2</v>
      </c>
      <c r="I659" t="s">
        <v>541</v>
      </c>
      <c r="J659" t="s">
        <v>542</v>
      </c>
      <c r="K659" t="s">
        <v>543</v>
      </c>
      <c r="L659">
        <v>1368</v>
      </c>
      <c r="N659">
        <v>1011</v>
      </c>
      <c r="O659" t="s">
        <v>445</v>
      </c>
      <c r="P659" t="s">
        <v>445</v>
      </c>
      <c r="Q659">
        <v>1</v>
      </c>
      <c r="X659">
        <v>1.63</v>
      </c>
      <c r="Y659">
        <v>0</v>
      </c>
      <c r="Z659">
        <v>2.27</v>
      </c>
      <c r="AA659">
        <v>0</v>
      </c>
      <c r="AB659">
        <v>0</v>
      </c>
      <c r="AC659">
        <v>0</v>
      </c>
      <c r="AD659">
        <v>1</v>
      </c>
      <c r="AE659">
        <v>0</v>
      </c>
      <c r="AF659" t="s">
        <v>22</v>
      </c>
      <c r="AG659">
        <v>1.7929999999999999</v>
      </c>
      <c r="AH659">
        <v>3</v>
      </c>
      <c r="AI659">
        <v>-1</v>
      </c>
      <c r="AJ659" t="s">
        <v>3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2">
      <c r="A660">
        <f>ROW(Source!A145)</f>
        <v>145</v>
      </c>
      <c r="B660">
        <v>56616939</v>
      </c>
      <c r="C660">
        <v>56616934</v>
      </c>
      <c r="D660">
        <v>47766545</v>
      </c>
      <c r="E660">
        <v>1</v>
      </c>
      <c r="F660">
        <v>1</v>
      </c>
      <c r="G660">
        <v>27786564</v>
      </c>
      <c r="H660">
        <v>2</v>
      </c>
      <c r="I660" t="s">
        <v>490</v>
      </c>
      <c r="J660" t="s">
        <v>491</v>
      </c>
      <c r="K660" t="s">
        <v>492</v>
      </c>
      <c r="L660">
        <v>1368</v>
      </c>
      <c r="N660">
        <v>1011</v>
      </c>
      <c r="O660" t="s">
        <v>445</v>
      </c>
      <c r="P660" t="s">
        <v>445</v>
      </c>
      <c r="Q660">
        <v>1</v>
      </c>
      <c r="X660">
        <v>1.63</v>
      </c>
      <c r="Y660">
        <v>0</v>
      </c>
      <c r="Z660">
        <v>0.73</v>
      </c>
      <c r="AA660">
        <v>0</v>
      </c>
      <c r="AB660">
        <v>0</v>
      </c>
      <c r="AC660">
        <v>0</v>
      </c>
      <c r="AD660">
        <v>1</v>
      </c>
      <c r="AE660">
        <v>0</v>
      </c>
      <c r="AF660" t="s">
        <v>22</v>
      </c>
      <c r="AG660">
        <v>1.7929999999999999</v>
      </c>
      <c r="AH660">
        <v>3</v>
      </c>
      <c r="AI660">
        <v>-1</v>
      </c>
      <c r="AJ660" t="s">
        <v>3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">
      <c r="A661">
        <f>ROW(Source!A145)</f>
        <v>145</v>
      </c>
      <c r="B661">
        <v>56616940</v>
      </c>
      <c r="C661">
        <v>56616934</v>
      </c>
      <c r="D661">
        <v>46723498</v>
      </c>
      <c r="E661">
        <v>1</v>
      </c>
      <c r="F661">
        <v>1</v>
      </c>
      <c r="G661">
        <v>27786564</v>
      </c>
      <c r="H661">
        <v>3</v>
      </c>
      <c r="I661" t="s">
        <v>496</v>
      </c>
      <c r="J661" t="s">
        <v>497</v>
      </c>
      <c r="K661" t="s">
        <v>498</v>
      </c>
      <c r="L661">
        <v>1348</v>
      </c>
      <c r="N661">
        <v>1009</v>
      </c>
      <c r="O661" t="s">
        <v>367</v>
      </c>
      <c r="P661" t="s">
        <v>367</v>
      </c>
      <c r="Q661">
        <v>1000</v>
      </c>
      <c r="X661">
        <v>6.0000000000000002E-5</v>
      </c>
      <c r="Y661">
        <v>11242.42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 t="s">
        <v>3</v>
      </c>
      <c r="AG661">
        <v>6.0000000000000002E-5</v>
      </c>
      <c r="AH661">
        <v>3</v>
      </c>
      <c r="AI661">
        <v>-1</v>
      </c>
      <c r="AJ661" t="s">
        <v>3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2">
      <c r="A662">
        <f>ROW(Source!A145)</f>
        <v>145</v>
      </c>
      <c r="B662">
        <v>56616941</v>
      </c>
      <c r="C662">
        <v>56616934</v>
      </c>
      <c r="D662">
        <v>45796980</v>
      </c>
      <c r="E662">
        <v>1</v>
      </c>
      <c r="F662">
        <v>1</v>
      </c>
      <c r="G662">
        <v>27786564</v>
      </c>
      <c r="H662">
        <v>3</v>
      </c>
      <c r="I662" t="s">
        <v>499</v>
      </c>
      <c r="J662" t="s">
        <v>500</v>
      </c>
      <c r="K662" t="s">
        <v>501</v>
      </c>
      <c r="L662">
        <v>1346</v>
      </c>
      <c r="N662">
        <v>1009</v>
      </c>
      <c r="O662" t="s">
        <v>104</v>
      </c>
      <c r="P662" t="s">
        <v>104</v>
      </c>
      <c r="Q662">
        <v>1</v>
      </c>
      <c r="X662">
        <v>0.8</v>
      </c>
      <c r="Y662">
        <v>25.8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 t="s">
        <v>3</v>
      </c>
      <c r="AG662">
        <v>0.8</v>
      </c>
      <c r="AH662">
        <v>3</v>
      </c>
      <c r="AI662">
        <v>-1</v>
      </c>
      <c r="AJ662" t="s">
        <v>3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2">
      <c r="A663">
        <f>ROW(Source!A145)</f>
        <v>145</v>
      </c>
      <c r="B663">
        <v>56616942</v>
      </c>
      <c r="C663">
        <v>56616934</v>
      </c>
      <c r="D663">
        <v>46723689</v>
      </c>
      <c r="E663">
        <v>1</v>
      </c>
      <c r="F663">
        <v>1</v>
      </c>
      <c r="G663">
        <v>27786564</v>
      </c>
      <c r="H663">
        <v>3</v>
      </c>
      <c r="I663" t="s">
        <v>502</v>
      </c>
      <c r="J663" t="s">
        <v>503</v>
      </c>
      <c r="K663" t="s">
        <v>504</v>
      </c>
      <c r="L663">
        <v>1348</v>
      </c>
      <c r="N663">
        <v>1009</v>
      </c>
      <c r="O663" t="s">
        <v>367</v>
      </c>
      <c r="P663" t="s">
        <v>367</v>
      </c>
      <c r="Q663">
        <v>1000</v>
      </c>
      <c r="X663">
        <v>5.0000000000000001E-4</v>
      </c>
      <c r="Y663">
        <v>60966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 t="s">
        <v>3</v>
      </c>
      <c r="AG663">
        <v>5.0000000000000001E-4</v>
      </c>
      <c r="AH663">
        <v>3</v>
      </c>
      <c r="AI663">
        <v>-1</v>
      </c>
      <c r="AJ663" t="s">
        <v>3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">
      <c r="A664">
        <f>ROW(Source!A145)</f>
        <v>145</v>
      </c>
      <c r="B664">
        <v>56616943</v>
      </c>
      <c r="C664">
        <v>56616934</v>
      </c>
      <c r="D664">
        <v>46723704</v>
      </c>
      <c r="E664">
        <v>1</v>
      </c>
      <c r="F664">
        <v>1</v>
      </c>
      <c r="G664">
        <v>27786564</v>
      </c>
      <c r="H664">
        <v>3</v>
      </c>
      <c r="I664" t="s">
        <v>505</v>
      </c>
      <c r="J664" t="s">
        <v>506</v>
      </c>
      <c r="K664" t="s">
        <v>507</v>
      </c>
      <c r="L664">
        <v>1348</v>
      </c>
      <c r="N664">
        <v>1009</v>
      </c>
      <c r="O664" t="s">
        <v>367</v>
      </c>
      <c r="P664" t="s">
        <v>367</v>
      </c>
      <c r="Q664">
        <v>1000</v>
      </c>
      <c r="X664">
        <v>4.0000000000000003E-5</v>
      </c>
      <c r="Y664">
        <v>7982.5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  <c r="AF664" t="s">
        <v>3</v>
      </c>
      <c r="AG664">
        <v>4.0000000000000003E-5</v>
      </c>
      <c r="AH664">
        <v>3</v>
      </c>
      <c r="AI664">
        <v>-1</v>
      </c>
      <c r="AJ664" t="s">
        <v>3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">
      <c r="A665">
        <f>ROW(Source!A145)</f>
        <v>145</v>
      </c>
      <c r="B665">
        <v>56616944</v>
      </c>
      <c r="C665">
        <v>56616934</v>
      </c>
      <c r="D665">
        <v>46735845</v>
      </c>
      <c r="E665">
        <v>1</v>
      </c>
      <c r="F665">
        <v>1</v>
      </c>
      <c r="G665">
        <v>27786564</v>
      </c>
      <c r="H665">
        <v>3</v>
      </c>
      <c r="I665" t="s">
        <v>508</v>
      </c>
      <c r="J665" t="s">
        <v>553</v>
      </c>
      <c r="K665" t="s">
        <v>510</v>
      </c>
      <c r="L665">
        <v>1356</v>
      </c>
      <c r="N665">
        <v>1010</v>
      </c>
      <c r="O665" t="s">
        <v>511</v>
      </c>
      <c r="P665" t="s">
        <v>511</v>
      </c>
      <c r="Q665">
        <v>1000</v>
      </c>
      <c r="X665">
        <v>4.0000000000000001E-3</v>
      </c>
      <c r="Y665">
        <v>226.68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 t="s">
        <v>3</v>
      </c>
      <c r="AG665">
        <v>4.0000000000000001E-3</v>
      </c>
      <c r="AH665">
        <v>3</v>
      </c>
      <c r="AI665">
        <v>-1</v>
      </c>
      <c r="AJ665" t="s">
        <v>3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">
      <c r="A666">
        <f>ROW(Source!A145)</f>
        <v>145</v>
      </c>
      <c r="B666">
        <v>56616945</v>
      </c>
      <c r="C666">
        <v>56616934</v>
      </c>
      <c r="D666">
        <v>46735506</v>
      </c>
      <c r="E666">
        <v>1</v>
      </c>
      <c r="F666">
        <v>1</v>
      </c>
      <c r="G666">
        <v>27786564</v>
      </c>
      <c r="H666">
        <v>3</v>
      </c>
      <c r="I666" t="s">
        <v>512</v>
      </c>
      <c r="J666" t="s">
        <v>513</v>
      </c>
      <c r="K666" t="s">
        <v>514</v>
      </c>
      <c r="L666">
        <v>1301</v>
      </c>
      <c r="N666">
        <v>1003</v>
      </c>
      <c r="O666" t="s">
        <v>55</v>
      </c>
      <c r="P666" t="s">
        <v>55</v>
      </c>
      <c r="Q666">
        <v>1</v>
      </c>
      <c r="X666">
        <v>0.96</v>
      </c>
      <c r="Y666">
        <v>0.7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 t="s">
        <v>3</v>
      </c>
      <c r="AG666">
        <v>0.96</v>
      </c>
      <c r="AH666">
        <v>3</v>
      </c>
      <c r="AI666">
        <v>-1</v>
      </c>
      <c r="AJ666" t="s">
        <v>3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">
      <c r="A667">
        <f>ROW(Source!A145)</f>
        <v>145</v>
      </c>
      <c r="B667">
        <v>56616946</v>
      </c>
      <c r="C667">
        <v>56616934</v>
      </c>
      <c r="D667">
        <v>46735508</v>
      </c>
      <c r="E667">
        <v>1</v>
      </c>
      <c r="F667">
        <v>1</v>
      </c>
      <c r="G667">
        <v>27786564</v>
      </c>
      <c r="H667">
        <v>3</v>
      </c>
      <c r="I667" t="s">
        <v>515</v>
      </c>
      <c r="J667" t="s">
        <v>516</v>
      </c>
      <c r="K667" t="s">
        <v>517</v>
      </c>
      <c r="L667">
        <v>1356</v>
      </c>
      <c r="N667">
        <v>1010</v>
      </c>
      <c r="O667" t="s">
        <v>511</v>
      </c>
      <c r="P667" t="s">
        <v>511</v>
      </c>
      <c r="Q667">
        <v>1000</v>
      </c>
      <c r="X667">
        <v>8.3199999999999993E-3</v>
      </c>
      <c r="Y667">
        <v>6.44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0</v>
      </c>
      <c r="AF667" t="s">
        <v>3</v>
      </c>
      <c r="AG667">
        <v>8.3199999999999993E-3</v>
      </c>
      <c r="AH667">
        <v>3</v>
      </c>
      <c r="AI667">
        <v>-1</v>
      </c>
      <c r="AJ667" t="s">
        <v>3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x14ac:dyDescent="0.2">
      <c r="A668">
        <f>ROW(Source!A145)</f>
        <v>145</v>
      </c>
      <c r="B668">
        <v>56616947</v>
      </c>
      <c r="C668">
        <v>56616934</v>
      </c>
      <c r="D668">
        <v>49717618</v>
      </c>
      <c r="E668">
        <v>27786564</v>
      </c>
      <c r="F668">
        <v>1</v>
      </c>
      <c r="G668">
        <v>27786564</v>
      </c>
      <c r="H668">
        <v>3</v>
      </c>
      <c r="I668" t="s">
        <v>554</v>
      </c>
      <c r="J668" t="s">
        <v>3</v>
      </c>
      <c r="K668" t="s">
        <v>555</v>
      </c>
      <c r="L668">
        <v>1303</v>
      </c>
      <c r="N668">
        <v>1003</v>
      </c>
      <c r="O668" t="s">
        <v>556</v>
      </c>
      <c r="P668" t="s">
        <v>556</v>
      </c>
      <c r="Q668">
        <v>1000</v>
      </c>
      <c r="X668">
        <v>0.10199999999999999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3</v>
      </c>
      <c r="AG668">
        <v>0.10199999999999999</v>
      </c>
      <c r="AH668">
        <v>3</v>
      </c>
      <c r="AI668">
        <v>-1</v>
      </c>
      <c r="AJ668" t="s">
        <v>3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">
      <c r="A669">
        <f>ROW(Source!A145)</f>
        <v>145</v>
      </c>
      <c r="B669">
        <v>56616948</v>
      </c>
      <c r="C669">
        <v>56616934</v>
      </c>
      <c r="D669">
        <v>46556476</v>
      </c>
      <c r="E669">
        <v>27786564</v>
      </c>
      <c r="F669">
        <v>1</v>
      </c>
      <c r="G669">
        <v>27786564</v>
      </c>
      <c r="H669">
        <v>3</v>
      </c>
      <c r="I669" t="s">
        <v>557</v>
      </c>
      <c r="J669" t="s">
        <v>3</v>
      </c>
      <c r="K669" t="s">
        <v>558</v>
      </c>
      <c r="L669">
        <v>1354</v>
      </c>
      <c r="N669">
        <v>1010</v>
      </c>
      <c r="O669" t="s">
        <v>88</v>
      </c>
      <c r="P669" t="s">
        <v>88</v>
      </c>
      <c r="Q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3</v>
      </c>
      <c r="AG669">
        <v>0</v>
      </c>
      <c r="AH669">
        <v>3</v>
      </c>
      <c r="AI669">
        <v>-1</v>
      </c>
      <c r="AJ669" t="s">
        <v>3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">
      <c r="A670">
        <f>ROW(Source!A146)</f>
        <v>146</v>
      </c>
      <c r="B670">
        <v>56616936</v>
      </c>
      <c r="C670">
        <v>56616934</v>
      </c>
      <c r="D670">
        <v>47634407</v>
      </c>
      <c r="E670">
        <v>27786564</v>
      </c>
      <c r="F670">
        <v>1</v>
      </c>
      <c r="G670">
        <v>27786564</v>
      </c>
      <c r="H670">
        <v>1</v>
      </c>
      <c r="I670" t="s">
        <v>439</v>
      </c>
      <c r="J670" t="s">
        <v>3</v>
      </c>
      <c r="K670" t="s">
        <v>440</v>
      </c>
      <c r="L670">
        <v>1191</v>
      </c>
      <c r="N670">
        <v>1013</v>
      </c>
      <c r="O670" t="s">
        <v>441</v>
      </c>
      <c r="P670" t="s">
        <v>441</v>
      </c>
      <c r="Q670">
        <v>1</v>
      </c>
      <c r="X670">
        <v>7.14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1</v>
      </c>
      <c r="AF670" t="s">
        <v>22</v>
      </c>
      <c r="AG670">
        <v>7.8540000000000001</v>
      </c>
      <c r="AH670">
        <v>2</v>
      </c>
      <c r="AI670">
        <v>56616935</v>
      </c>
      <c r="AJ670">
        <v>126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">
      <c r="A671">
        <f>ROW(Source!A146)</f>
        <v>146</v>
      </c>
      <c r="B671">
        <v>56616937</v>
      </c>
      <c r="C671">
        <v>56616934</v>
      </c>
      <c r="D671">
        <v>47767106</v>
      </c>
      <c r="E671">
        <v>1</v>
      </c>
      <c r="F671">
        <v>1</v>
      </c>
      <c r="G671">
        <v>27786564</v>
      </c>
      <c r="H671">
        <v>2</v>
      </c>
      <c r="I671" t="s">
        <v>487</v>
      </c>
      <c r="J671" t="s">
        <v>488</v>
      </c>
      <c r="K671" t="s">
        <v>489</v>
      </c>
      <c r="L671">
        <v>1368</v>
      </c>
      <c r="N671">
        <v>1011</v>
      </c>
      <c r="O671" t="s">
        <v>445</v>
      </c>
      <c r="P671" t="s">
        <v>445</v>
      </c>
      <c r="Q671">
        <v>1</v>
      </c>
      <c r="X671">
        <v>0.49</v>
      </c>
      <c r="Y671">
        <v>0</v>
      </c>
      <c r="Z671">
        <v>83.1</v>
      </c>
      <c r="AA671">
        <v>12.62</v>
      </c>
      <c r="AB671">
        <v>0</v>
      </c>
      <c r="AC671">
        <v>0</v>
      </c>
      <c r="AD671">
        <v>1</v>
      </c>
      <c r="AE671">
        <v>0</v>
      </c>
      <c r="AF671" t="s">
        <v>22</v>
      </c>
      <c r="AG671">
        <v>0.53900000000000003</v>
      </c>
      <c r="AH671">
        <v>3</v>
      </c>
      <c r="AI671">
        <v>-1</v>
      </c>
      <c r="AJ671" t="s">
        <v>3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2">
      <c r="A672">
        <f>ROW(Source!A146)</f>
        <v>146</v>
      </c>
      <c r="B672">
        <v>56616938</v>
      </c>
      <c r="C672">
        <v>56616934</v>
      </c>
      <c r="D672">
        <v>47766535</v>
      </c>
      <c r="E672">
        <v>1</v>
      </c>
      <c r="F672">
        <v>1</v>
      </c>
      <c r="G672">
        <v>27786564</v>
      </c>
      <c r="H672">
        <v>2</v>
      </c>
      <c r="I672" t="s">
        <v>541</v>
      </c>
      <c r="J672" t="s">
        <v>542</v>
      </c>
      <c r="K672" t="s">
        <v>543</v>
      </c>
      <c r="L672">
        <v>1368</v>
      </c>
      <c r="N672">
        <v>1011</v>
      </c>
      <c r="O672" t="s">
        <v>445</v>
      </c>
      <c r="P672" t="s">
        <v>445</v>
      </c>
      <c r="Q672">
        <v>1</v>
      </c>
      <c r="X672">
        <v>1.63</v>
      </c>
      <c r="Y672">
        <v>0</v>
      </c>
      <c r="Z672">
        <v>2.27</v>
      </c>
      <c r="AA672">
        <v>0</v>
      </c>
      <c r="AB672">
        <v>0</v>
      </c>
      <c r="AC672">
        <v>0</v>
      </c>
      <c r="AD672">
        <v>1</v>
      </c>
      <c r="AE672">
        <v>0</v>
      </c>
      <c r="AF672" t="s">
        <v>22</v>
      </c>
      <c r="AG672">
        <v>1.7929999999999999</v>
      </c>
      <c r="AH672">
        <v>3</v>
      </c>
      <c r="AI672">
        <v>-1</v>
      </c>
      <c r="AJ672" t="s">
        <v>3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2">
      <c r="A673">
        <f>ROW(Source!A146)</f>
        <v>146</v>
      </c>
      <c r="B673">
        <v>56616939</v>
      </c>
      <c r="C673">
        <v>56616934</v>
      </c>
      <c r="D673">
        <v>47766545</v>
      </c>
      <c r="E673">
        <v>1</v>
      </c>
      <c r="F673">
        <v>1</v>
      </c>
      <c r="G673">
        <v>27786564</v>
      </c>
      <c r="H673">
        <v>2</v>
      </c>
      <c r="I673" t="s">
        <v>490</v>
      </c>
      <c r="J673" t="s">
        <v>491</v>
      </c>
      <c r="K673" t="s">
        <v>492</v>
      </c>
      <c r="L673">
        <v>1368</v>
      </c>
      <c r="N673">
        <v>1011</v>
      </c>
      <c r="O673" t="s">
        <v>445</v>
      </c>
      <c r="P673" t="s">
        <v>445</v>
      </c>
      <c r="Q673">
        <v>1</v>
      </c>
      <c r="X673">
        <v>1.63</v>
      </c>
      <c r="Y673">
        <v>0</v>
      </c>
      <c r="Z673">
        <v>0.73</v>
      </c>
      <c r="AA673">
        <v>0</v>
      </c>
      <c r="AB673">
        <v>0</v>
      </c>
      <c r="AC673">
        <v>0</v>
      </c>
      <c r="AD673">
        <v>1</v>
      </c>
      <c r="AE673">
        <v>0</v>
      </c>
      <c r="AF673" t="s">
        <v>22</v>
      </c>
      <c r="AG673">
        <v>1.7929999999999999</v>
      </c>
      <c r="AH673">
        <v>3</v>
      </c>
      <c r="AI673">
        <v>-1</v>
      </c>
      <c r="AJ673" t="s">
        <v>3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">
      <c r="A674">
        <f>ROW(Source!A146)</f>
        <v>146</v>
      </c>
      <c r="B674">
        <v>56616940</v>
      </c>
      <c r="C674">
        <v>56616934</v>
      </c>
      <c r="D674">
        <v>46723498</v>
      </c>
      <c r="E674">
        <v>1</v>
      </c>
      <c r="F674">
        <v>1</v>
      </c>
      <c r="G674">
        <v>27786564</v>
      </c>
      <c r="H674">
        <v>3</v>
      </c>
      <c r="I674" t="s">
        <v>496</v>
      </c>
      <c r="J674" t="s">
        <v>497</v>
      </c>
      <c r="K674" t="s">
        <v>498</v>
      </c>
      <c r="L674">
        <v>1348</v>
      </c>
      <c r="N674">
        <v>1009</v>
      </c>
      <c r="O674" t="s">
        <v>367</v>
      </c>
      <c r="P674" t="s">
        <v>367</v>
      </c>
      <c r="Q674">
        <v>1000</v>
      </c>
      <c r="X674">
        <v>6.0000000000000002E-5</v>
      </c>
      <c r="Y674">
        <v>11242.42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 t="s">
        <v>3</v>
      </c>
      <c r="AG674">
        <v>6.0000000000000002E-5</v>
      </c>
      <c r="AH674">
        <v>3</v>
      </c>
      <c r="AI674">
        <v>-1</v>
      </c>
      <c r="AJ674" t="s">
        <v>3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x14ac:dyDescent="0.2">
      <c r="A675">
        <f>ROW(Source!A146)</f>
        <v>146</v>
      </c>
      <c r="B675">
        <v>56616941</v>
      </c>
      <c r="C675">
        <v>56616934</v>
      </c>
      <c r="D675">
        <v>45796980</v>
      </c>
      <c r="E675">
        <v>1</v>
      </c>
      <c r="F675">
        <v>1</v>
      </c>
      <c r="G675">
        <v>27786564</v>
      </c>
      <c r="H675">
        <v>3</v>
      </c>
      <c r="I675" t="s">
        <v>499</v>
      </c>
      <c r="J675" t="s">
        <v>500</v>
      </c>
      <c r="K675" t="s">
        <v>501</v>
      </c>
      <c r="L675">
        <v>1346</v>
      </c>
      <c r="N675">
        <v>1009</v>
      </c>
      <c r="O675" t="s">
        <v>104</v>
      </c>
      <c r="P675" t="s">
        <v>104</v>
      </c>
      <c r="Q675">
        <v>1</v>
      </c>
      <c r="X675">
        <v>0.8</v>
      </c>
      <c r="Y675">
        <v>25.8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 t="s">
        <v>3</v>
      </c>
      <c r="AG675">
        <v>0.8</v>
      </c>
      <c r="AH675">
        <v>3</v>
      </c>
      <c r="AI675">
        <v>-1</v>
      </c>
      <c r="AJ675" t="s">
        <v>3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">
      <c r="A676">
        <f>ROW(Source!A146)</f>
        <v>146</v>
      </c>
      <c r="B676">
        <v>56616942</v>
      </c>
      <c r="C676">
        <v>56616934</v>
      </c>
      <c r="D676">
        <v>46723689</v>
      </c>
      <c r="E676">
        <v>1</v>
      </c>
      <c r="F676">
        <v>1</v>
      </c>
      <c r="G676">
        <v>27786564</v>
      </c>
      <c r="H676">
        <v>3</v>
      </c>
      <c r="I676" t="s">
        <v>502</v>
      </c>
      <c r="J676" t="s">
        <v>503</v>
      </c>
      <c r="K676" t="s">
        <v>504</v>
      </c>
      <c r="L676">
        <v>1348</v>
      </c>
      <c r="N676">
        <v>1009</v>
      </c>
      <c r="O676" t="s">
        <v>367</v>
      </c>
      <c r="P676" t="s">
        <v>367</v>
      </c>
      <c r="Q676">
        <v>1000</v>
      </c>
      <c r="X676">
        <v>5.0000000000000001E-4</v>
      </c>
      <c r="Y676">
        <v>60966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 t="s">
        <v>3</v>
      </c>
      <c r="AG676">
        <v>5.0000000000000001E-4</v>
      </c>
      <c r="AH676">
        <v>3</v>
      </c>
      <c r="AI676">
        <v>-1</v>
      </c>
      <c r="AJ676" t="s">
        <v>3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2">
      <c r="A677">
        <f>ROW(Source!A146)</f>
        <v>146</v>
      </c>
      <c r="B677">
        <v>56616943</v>
      </c>
      <c r="C677">
        <v>56616934</v>
      </c>
      <c r="D677">
        <v>46723704</v>
      </c>
      <c r="E677">
        <v>1</v>
      </c>
      <c r="F677">
        <v>1</v>
      </c>
      <c r="G677">
        <v>27786564</v>
      </c>
      <c r="H677">
        <v>3</v>
      </c>
      <c r="I677" t="s">
        <v>505</v>
      </c>
      <c r="J677" t="s">
        <v>506</v>
      </c>
      <c r="K677" t="s">
        <v>507</v>
      </c>
      <c r="L677">
        <v>1348</v>
      </c>
      <c r="N677">
        <v>1009</v>
      </c>
      <c r="O677" t="s">
        <v>367</v>
      </c>
      <c r="P677" t="s">
        <v>367</v>
      </c>
      <c r="Q677">
        <v>1000</v>
      </c>
      <c r="X677">
        <v>4.0000000000000003E-5</v>
      </c>
      <c r="Y677">
        <v>7982.5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 t="s">
        <v>3</v>
      </c>
      <c r="AG677">
        <v>4.0000000000000003E-5</v>
      </c>
      <c r="AH677">
        <v>3</v>
      </c>
      <c r="AI677">
        <v>-1</v>
      </c>
      <c r="AJ677" t="s">
        <v>3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x14ac:dyDescent="0.2">
      <c r="A678">
        <f>ROW(Source!A146)</f>
        <v>146</v>
      </c>
      <c r="B678">
        <v>56616944</v>
      </c>
      <c r="C678">
        <v>56616934</v>
      </c>
      <c r="D678">
        <v>46735845</v>
      </c>
      <c r="E678">
        <v>1</v>
      </c>
      <c r="F678">
        <v>1</v>
      </c>
      <c r="G678">
        <v>27786564</v>
      </c>
      <c r="H678">
        <v>3</v>
      </c>
      <c r="I678" t="s">
        <v>508</v>
      </c>
      <c r="J678" t="s">
        <v>553</v>
      </c>
      <c r="K678" t="s">
        <v>510</v>
      </c>
      <c r="L678">
        <v>1356</v>
      </c>
      <c r="N678">
        <v>1010</v>
      </c>
      <c r="O678" t="s">
        <v>511</v>
      </c>
      <c r="P678" t="s">
        <v>511</v>
      </c>
      <c r="Q678">
        <v>1000</v>
      </c>
      <c r="X678">
        <v>4.0000000000000001E-3</v>
      </c>
      <c r="Y678">
        <v>226.68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 t="s">
        <v>3</v>
      </c>
      <c r="AG678">
        <v>4.0000000000000001E-3</v>
      </c>
      <c r="AH678">
        <v>3</v>
      </c>
      <c r="AI678">
        <v>-1</v>
      </c>
      <c r="AJ678" t="s">
        <v>3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">
      <c r="A679">
        <f>ROW(Source!A146)</f>
        <v>146</v>
      </c>
      <c r="B679">
        <v>56616945</v>
      </c>
      <c r="C679">
        <v>56616934</v>
      </c>
      <c r="D679">
        <v>46735506</v>
      </c>
      <c r="E679">
        <v>1</v>
      </c>
      <c r="F679">
        <v>1</v>
      </c>
      <c r="G679">
        <v>27786564</v>
      </c>
      <c r="H679">
        <v>3</v>
      </c>
      <c r="I679" t="s">
        <v>512</v>
      </c>
      <c r="J679" t="s">
        <v>513</v>
      </c>
      <c r="K679" t="s">
        <v>514</v>
      </c>
      <c r="L679">
        <v>1301</v>
      </c>
      <c r="N679">
        <v>1003</v>
      </c>
      <c r="O679" t="s">
        <v>55</v>
      </c>
      <c r="P679" t="s">
        <v>55</v>
      </c>
      <c r="Q679">
        <v>1</v>
      </c>
      <c r="X679">
        <v>0.96</v>
      </c>
      <c r="Y679">
        <v>0.7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 t="s">
        <v>3</v>
      </c>
      <c r="AG679">
        <v>0.96</v>
      </c>
      <c r="AH679">
        <v>3</v>
      </c>
      <c r="AI679">
        <v>-1</v>
      </c>
      <c r="AJ679" t="s">
        <v>3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x14ac:dyDescent="0.2">
      <c r="A680">
        <f>ROW(Source!A146)</f>
        <v>146</v>
      </c>
      <c r="B680">
        <v>56616946</v>
      </c>
      <c r="C680">
        <v>56616934</v>
      </c>
      <c r="D680">
        <v>46735508</v>
      </c>
      <c r="E680">
        <v>1</v>
      </c>
      <c r="F680">
        <v>1</v>
      </c>
      <c r="G680">
        <v>27786564</v>
      </c>
      <c r="H680">
        <v>3</v>
      </c>
      <c r="I680" t="s">
        <v>515</v>
      </c>
      <c r="J680" t="s">
        <v>516</v>
      </c>
      <c r="K680" t="s">
        <v>517</v>
      </c>
      <c r="L680">
        <v>1356</v>
      </c>
      <c r="N680">
        <v>1010</v>
      </c>
      <c r="O680" t="s">
        <v>511</v>
      </c>
      <c r="P680" t="s">
        <v>511</v>
      </c>
      <c r="Q680">
        <v>1000</v>
      </c>
      <c r="X680">
        <v>8.3199999999999993E-3</v>
      </c>
      <c r="Y680">
        <v>6.44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 t="s">
        <v>3</v>
      </c>
      <c r="AG680">
        <v>8.3199999999999993E-3</v>
      </c>
      <c r="AH680">
        <v>3</v>
      </c>
      <c r="AI680">
        <v>-1</v>
      </c>
      <c r="AJ680" t="s">
        <v>3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2">
      <c r="A681">
        <f>ROW(Source!A146)</f>
        <v>146</v>
      </c>
      <c r="B681">
        <v>56616947</v>
      </c>
      <c r="C681">
        <v>56616934</v>
      </c>
      <c r="D681">
        <v>49717618</v>
      </c>
      <c r="E681">
        <v>27786564</v>
      </c>
      <c r="F681">
        <v>1</v>
      </c>
      <c r="G681">
        <v>27786564</v>
      </c>
      <c r="H681">
        <v>3</v>
      </c>
      <c r="I681" t="s">
        <v>554</v>
      </c>
      <c r="J681" t="s">
        <v>3</v>
      </c>
      <c r="K681" t="s">
        <v>555</v>
      </c>
      <c r="L681">
        <v>1303</v>
      </c>
      <c r="N681">
        <v>1003</v>
      </c>
      <c r="O681" t="s">
        <v>556</v>
      </c>
      <c r="P681" t="s">
        <v>556</v>
      </c>
      <c r="Q681">
        <v>1000</v>
      </c>
      <c r="X681">
        <v>0.10199999999999999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 t="s">
        <v>3</v>
      </c>
      <c r="AG681">
        <v>0.10199999999999999</v>
      </c>
      <c r="AH681">
        <v>3</v>
      </c>
      <c r="AI681">
        <v>-1</v>
      </c>
      <c r="AJ681" t="s">
        <v>3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2">
      <c r="A682">
        <f>ROW(Source!A146)</f>
        <v>146</v>
      </c>
      <c r="B682">
        <v>56616948</v>
      </c>
      <c r="C682">
        <v>56616934</v>
      </c>
      <c r="D682">
        <v>46556476</v>
      </c>
      <c r="E682">
        <v>27786564</v>
      </c>
      <c r="F682">
        <v>1</v>
      </c>
      <c r="G682">
        <v>27786564</v>
      </c>
      <c r="H682">
        <v>3</v>
      </c>
      <c r="I682" t="s">
        <v>557</v>
      </c>
      <c r="J682" t="s">
        <v>3</v>
      </c>
      <c r="K682" t="s">
        <v>558</v>
      </c>
      <c r="L682">
        <v>1354</v>
      </c>
      <c r="N682">
        <v>1010</v>
      </c>
      <c r="O682" t="s">
        <v>88</v>
      </c>
      <c r="P682" t="s">
        <v>88</v>
      </c>
      <c r="Q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 t="s">
        <v>3</v>
      </c>
      <c r="AG682">
        <v>0</v>
      </c>
      <c r="AH682">
        <v>3</v>
      </c>
      <c r="AI682">
        <v>-1</v>
      </c>
      <c r="AJ682" t="s">
        <v>3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2">
      <c r="A683">
        <f>ROW(Source!A147)</f>
        <v>147</v>
      </c>
      <c r="B683">
        <v>56616951</v>
      </c>
      <c r="C683">
        <v>56616949</v>
      </c>
      <c r="D683">
        <v>47634407</v>
      </c>
      <c r="E683">
        <v>27786564</v>
      </c>
      <c r="F683">
        <v>1</v>
      </c>
      <c r="G683">
        <v>27786564</v>
      </c>
      <c r="H683">
        <v>1</v>
      </c>
      <c r="I683" t="s">
        <v>439</v>
      </c>
      <c r="J683" t="s">
        <v>3</v>
      </c>
      <c r="K683" t="s">
        <v>440</v>
      </c>
      <c r="L683">
        <v>1191</v>
      </c>
      <c r="N683">
        <v>1013</v>
      </c>
      <c r="O683" t="s">
        <v>441</v>
      </c>
      <c r="P683" t="s">
        <v>441</v>
      </c>
      <c r="Q683">
        <v>1</v>
      </c>
      <c r="X683">
        <v>8.01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1</v>
      </c>
      <c r="AF683" t="s">
        <v>22</v>
      </c>
      <c r="AG683">
        <v>8.8109999999999999</v>
      </c>
      <c r="AH683">
        <v>2</v>
      </c>
      <c r="AI683">
        <v>56616950</v>
      </c>
      <c r="AJ683">
        <v>127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2">
      <c r="A684">
        <f>ROW(Source!A147)</f>
        <v>147</v>
      </c>
      <c r="B684">
        <v>56616952</v>
      </c>
      <c r="C684">
        <v>56616949</v>
      </c>
      <c r="D684">
        <v>47767106</v>
      </c>
      <c r="E684">
        <v>1</v>
      </c>
      <c r="F684">
        <v>1</v>
      </c>
      <c r="G684">
        <v>27786564</v>
      </c>
      <c r="H684">
        <v>2</v>
      </c>
      <c r="I684" t="s">
        <v>487</v>
      </c>
      <c r="J684" t="s">
        <v>488</v>
      </c>
      <c r="K684" t="s">
        <v>489</v>
      </c>
      <c r="L684">
        <v>1368</v>
      </c>
      <c r="N684">
        <v>1011</v>
      </c>
      <c r="O684" t="s">
        <v>445</v>
      </c>
      <c r="P684" t="s">
        <v>445</v>
      </c>
      <c r="Q684">
        <v>1</v>
      </c>
      <c r="X684">
        <v>1.06</v>
      </c>
      <c r="Y684">
        <v>0</v>
      </c>
      <c r="Z684">
        <v>83.1</v>
      </c>
      <c r="AA684">
        <v>12.62</v>
      </c>
      <c r="AB684">
        <v>0</v>
      </c>
      <c r="AC684">
        <v>0</v>
      </c>
      <c r="AD684">
        <v>1</v>
      </c>
      <c r="AE684">
        <v>0</v>
      </c>
      <c r="AF684" t="s">
        <v>22</v>
      </c>
      <c r="AG684">
        <v>1.1660000000000001</v>
      </c>
      <c r="AH684">
        <v>3</v>
      </c>
      <c r="AI684">
        <v>-1</v>
      </c>
      <c r="AJ684" t="s">
        <v>3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2">
      <c r="A685">
        <f>ROW(Source!A147)</f>
        <v>147</v>
      </c>
      <c r="B685">
        <v>56616953</v>
      </c>
      <c r="C685">
        <v>56616949</v>
      </c>
      <c r="D685">
        <v>47766535</v>
      </c>
      <c r="E685">
        <v>1</v>
      </c>
      <c r="F685">
        <v>1</v>
      </c>
      <c r="G685">
        <v>27786564</v>
      </c>
      <c r="H685">
        <v>2</v>
      </c>
      <c r="I685" t="s">
        <v>541</v>
      </c>
      <c r="J685" t="s">
        <v>542</v>
      </c>
      <c r="K685" t="s">
        <v>543</v>
      </c>
      <c r="L685">
        <v>1368</v>
      </c>
      <c r="N685">
        <v>1011</v>
      </c>
      <c r="O685" t="s">
        <v>445</v>
      </c>
      <c r="P685" t="s">
        <v>445</v>
      </c>
      <c r="Q685">
        <v>1</v>
      </c>
      <c r="X685">
        <v>1.77</v>
      </c>
      <c r="Y685">
        <v>0</v>
      </c>
      <c r="Z685">
        <v>2.27</v>
      </c>
      <c r="AA685">
        <v>0</v>
      </c>
      <c r="AB685">
        <v>0</v>
      </c>
      <c r="AC685">
        <v>0</v>
      </c>
      <c r="AD685">
        <v>1</v>
      </c>
      <c r="AE685">
        <v>0</v>
      </c>
      <c r="AF685" t="s">
        <v>22</v>
      </c>
      <c r="AG685">
        <v>1.9470000000000003</v>
      </c>
      <c r="AH685">
        <v>3</v>
      </c>
      <c r="AI685">
        <v>-1</v>
      </c>
      <c r="AJ685" t="s">
        <v>3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x14ac:dyDescent="0.2">
      <c r="A686">
        <f>ROW(Source!A147)</f>
        <v>147</v>
      </c>
      <c r="B686">
        <v>56616954</v>
      </c>
      <c r="C686">
        <v>56616949</v>
      </c>
      <c r="D686">
        <v>47766545</v>
      </c>
      <c r="E686">
        <v>1</v>
      </c>
      <c r="F686">
        <v>1</v>
      </c>
      <c r="G686">
        <v>27786564</v>
      </c>
      <c r="H686">
        <v>2</v>
      </c>
      <c r="I686" t="s">
        <v>490</v>
      </c>
      <c r="J686" t="s">
        <v>491</v>
      </c>
      <c r="K686" t="s">
        <v>492</v>
      </c>
      <c r="L686">
        <v>1368</v>
      </c>
      <c r="N686">
        <v>1011</v>
      </c>
      <c r="O686" t="s">
        <v>445</v>
      </c>
      <c r="P686" t="s">
        <v>445</v>
      </c>
      <c r="Q686">
        <v>1</v>
      </c>
      <c r="X686">
        <v>1.77</v>
      </c>
      <c r="Y686">
        <v>0</v>
      </c>
      <c r="Z686">
        <v>0.73</v>
      </c>
      <c r="AA686">
        <v>0</v>
      </c>
      <c r="AB686">
        <v>0</v>
      </c>
      <c r="AC686">
        <v>0</v>
      </c>
      <c r="AD686">
        <v>1</v>
      </c>
      <c r="AE686">
        <v>0</v>
      </c>
      <c r="AF686" t="s">
        <v>22</v>
      </c>
      <c r="AG686">
        <v>1.9470000000000003</v>
      </c>
      <c r="AH686">
        <v>3</v>
      </c>
      <c r="AI686">
        <v>-1</v>
      </c>
      <c r="AJ686" t="s">
        <v>3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2">
      <c r="A687">
        <f>ROW(Source!A147)</f>
        <v>147</v>
      </c>
      <c r="B687">
        <v>56616955</v>
      </c>
      <c r="C687">
        <v>56616949</v>
      </c>
      <c r="D687">
        <v>46723498</v>
      </c>
      <c r="E687">
        <v>1</v>
      </c>
      <c r="F687">
        <v>1</v>
      </c>
      <c r="G687">
        <v>27786564</v>
      </c>
      <c r="H687">
        <v>3</v>
      </c>
      <c r="I687" t="s">
        <v>496</v>
      </c>
      <c r="J687" t="s">
        <v>497</v>
      </c>
      <c r="K687" t="s">
        <v>498</v>
      </c>
      <c r="L687">
        <v>1348</v>
      </c>
      <c r="N687">
        <v>1009</v>
      </c>
      <c r="O687" t="s">
        <v>367</v>
      </c>
      <c r="P687" t="s">
        <v>367</v>
      </c>
      <c r="Q687">
        <v>1000</v>
      </c>
      <c r="X687">
        <v>6.0000000000000002E-5</v>
      </c>
      <c r="Y687">
        <v>11242.42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0</v>
      </c>
      <c r="AF687" t="s">
        <v>3</v>
      </c>
      <c r="AG687">
        <v>6.0000000000000002E-5</v>
      </c>
      <c r="AH687">
        <v>3</v>
      </c>
      <c r="AI687">
        <v>-1</v>
      </c>
      <c r="AJ687" t="s">
        <v>3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x14ac:dyDescent="0.2">
      <c r="A688">
        <f>ROW(Source!A147)</f>
        <v>147</v>
      </c>
      <c r="B688">
        <v>56616956</v>
      </c>
      <c r="C688">
        <v>56616949</v>
      </c>
      <c r="D688">
        <v>45796980</v>
      </c>
      <c r="E688">
        <v>1</v>
      </c>
      <c r="F688">
        <v>1</v>
      </c>
      <c r="G688">
        <v>27786564</v>
      </c>
      <c r="H688">
        <v>3</v>
      </c>
      <c r="I688" t="s">
        <v>499</v>
      </c>
      <c r="J688" t="s">
        <v>500</v>
      </c>
      <c r="K688" t="s">
        <v>501</v>
      </c>
      <c r="L688">
        <v>1346</v>
      </c>
      <c r="N688">
        <v>1009</v>
      </c>
      <c r="O688" t="s">
        <v>104</v>
      </c>
      <c r="P688" t="s">
        <v>104</v>
      </c>
      <c r="Q688">
        <v>1</v>
      </c>
      <c r="X688">
        <v>0.8</v>
      </c>
      <c r="Y688">
        <v>25.8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 t="s">
        <v>3</v>
      </c>
      <c r="AG688">
        <v>0.8</v>
      </c>
      <c r="AH688">
        <v>3</v>
      </c>
      <c r="AI688">
        <v>-1</v>
      </c>
      <c r="AJ688" t="s">
        <v>3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2">
      <c r="A689">
        <f>ROW(Source!A147)</f>
        <v>147</v>
      </c>
      <c r="B689">
        <v>56616957</v>
      </c>
      <c r="C689">
        <v>56616949</v>
      </c>
      <c r="D689">
        <v>46723689</v>
      </c>
      <c r="E689">
        <v>1</v>
      </c>
      <c r="F689">
        <v>1</v>
      </c>
      <c r="G689">
        <v>27786564</v>
      </c>
      <c r="H689">
        <v>3</v>
      </c>
      <c r="I689" t="s">
        <v>502</v>
      </c>
      <c r="J689" t="s">
        <v>503</v>
      </c>
      <c r="K689" t="s">
        <v>504</v>
      </c>
      <c r="L689">
        <v>1348</v>
      </c>
      <c r="N689">
        <v>1009</v>
      </c>
      <c r="O689" t="s">
        <v>367</v>
      </c>
      <c r="P689" t="s">
        <v>367</v>
      </c>
      <c r="Q689">
        <v>1000</v>
      </c>
      <c r="X689">
        <v>5.0000000000000001E-4</v>
      </c>
      <c r="Y689">
        <v>60966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 t="s">
        <v>3</v>
      </c>
      <c r="AG689">
        <v>5.0000000000000001E-4</v>
      </c>
      <c r="AH689">
        <v>3</v>
      </c>
      <c r="AI689">
        <v>-1</v>
      </c>
      <c r="AJ689" t="s">
        <v>3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x14ac:dyDescent="0.2">
      <c r="A690">
        <f>ROW(Source!A147)</f>
        <v>147</v>
      </c>
      <c r="B690">
        <v>56616958</v>
      </c>
      <c r="C690">
        <v>56616949</v>
      </c>
      <c r="D690">
        <v>46723704</v>
      </c>
      <c r="E690">
        <v>1</v>
      </c>
      <c r="F690">
        <v>1</v>
      </c>
      <c r="G690">
        <v>27786564</v>
      </c>
      <c r="H690">
        <v>3</v>
      </c>
      <c r="I690" t="s">
        <v>505</v>
      </c>
      <c r="J690" t="s">
        <v>506</v>
      </c>
      <c r="K690" t="s">
        <v>507</v>
      </c>
      <c r="L690">
        <v>1348</v>
      </c>
      <c r="N690">
        <v>1009</v>
      </c>
      <c r="O690" t="s">
        <v>367</v>
      </c>
      <c r="P690" t="s">
        <v>367</v>
      </c>
      <c r="Q690">
        <v>1000</v>
      </c>
      <c r="X690">
        <v>4.0000000000000003E-5</v>
      </c>
      <c r="Y690">
        <v>7982.5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 t="s">
        <v>3</v>
      </c>
      <c r="AG690">
        <v>4.0000000000000003E-5</v>
      </c>
      <c r="AH690">
        <v>3</v>
      </c>
      <c r="AI690">
        <v>-1</v>
      </c>
      <c r="AJ690" t="s">
        <v>3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2">
      <c r="A691">
        <f>ROW(Source!A147)</f>
        <v>147</v>
      </c>
      <c r="B691">
        <v>56616959</v>
      </c>
      <c r="C691">
        <v>56616949</v>
      </c>
      <c r="D691">
        <v>46735845</v>
      </c>
      <c r="E691">
        <v>1</v>
      </c>
      <c r="F691">
        <v>1</v>
      </c>
      <c r="G691">
        <v>27786564</v>
      </c>
      <c r="H691">
        <v>3</v>
      </c>
      <c r="I691" t="s">
        <v>508</v>
      </c>
      <c r="J691" t="s">
        <v>553</v>
      </c>
      <c r="K691" t="s">
        <v>510</v>
      </c>
      <c r="L691">
        <v>1356</v>
      </c>
      <c r="N691">
        <v>1010</v>
      </c>
      <c r="O691" t="s">
        <v>511</v>
      </c>
      <c r="P691" t="s">
        <v>511</v>
      </c>
      <c r="Q691">
        <v>1000</v>
      </c>
      <c r="X691">
        <v>4.0000000000000001E-3</v>
      </c>
      <c r="Y691">
        <v>226.68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 t="s">
        <v>3</v>
      </c>
      <c r="AG691">
        <v>4.0000000000000001E-3</v>
      </c>
      <c r="AH691">
        <v>3</v>
      </c>
      <c r="AI691">
        <v>-1</v>
      </c>
      <c r="AJ691" t="s">
        <v>3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2">
      <c r="A692">
        <f>ROW(Source!A147)</f>
        <v>147</v>
      </c>
      <c r="B692">
        <v>56616960</v>
      </c>
      <c r="C692">
        <v>56616949</v>
      </c>
      <c r="D692">
        <v>46735506</v>
      </c>
      <c r="E692">
        <v>1</v>
      </c>
      <c r="F692">
        <v>1</v>
      </c>
      <c r="G692">
        <v>27786564</v>
      </c>
      <c r="H692">
        <v>3</v>
      </c>
      <c r="I692" t="s">
        <v>512</v>
      </c>
      <c r="J692" t="s">
        <v>513</v>
      </c>
      <c r="K692" t="s">
        <v>514</v>
      </c>
      <c r="L692">
        <v>1301</v>
      </c>
      <c r="N692">
        <v>1003</v>
      </c>
      <c r="O692" t="s">
        <v>55</v>
      </c>
      <c r="P692" t="s">
        <v>55</v>
      </c>
      <c r="Q692">
        <v>1</v>
      </c>
      <c r="X692">
        <v>0.96</v>
      </c>
      <c r="Y692">
        <v>0.7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 t="s">
        <v>3</v>
      </c>
      <c r="AG692">
        <v>0.96</v>
      </c>
      <c r="AH692">
        <v>3</v>
      </c>
      <c r="AI692">
        <v>-1</v>
      </c>
      <c r="AJ692" t="s">
        <v>3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2">
      <c r="A693">
        <f>ROW(Source!A147)</f>
        <v>147</v>
      </c>
      <c r="B693">
        <v>56616961</v>
      </c>
      <c r="C693">
        <v>56616949</v>
      </c>
      <c r="D693">
        <v>46735508</v>
      </c>
      <c r="E693">
        <v>1</v>
      </c>
      <c r="F693">
        <v>1</v>
      </c>
      <c r="G693">
        <v>27786564</v>
      </c>
      <c r="H693">
        <v>3</v>
      </c>
      <c r="I693" t="s">
        <v>515</v>
      </c>
      <c r="J693" t="s">
        <v>516</v>
      </c>
      <c r="K693" t="s">
        <v>517</v>
      </c>
      <c r="L693">
        <v>1356</v>
      </c>
      <c r="N693">
        <v>1010</v>
      </c>
      <c r="O693" t="s">
        <v>511</v>
      </c>
      <c r="P693" t="s">
        <v>511</v>
      </c>
      <c r="Q693">
        <v>1000</v>
      </c>
      <c r="X693">
        <v>8.3199999999999993E-3</v>
      </c>
      <c r="Y693">
        <v>6.44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 t="s">
        <v>3</v>
      </c>
      <c r="AG693">
        <v>8.3199999999999993E-3</v>
      </c>
      <c r="AH693">
        <v>3</v>
      </c>
      <c r="AI693">
        <v>-1</v>
      </c>
      <c r="AJ693" t="s">
        <v>3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x14ac:dyDescent="0.2">
      <c r="A694">
        <f>ROW(Source!A147)</f>
        <v>147</v>
      </c>
      <c r="B694">
        <v>56616962</v>
      </c>
      <c r="C694">
        <v>56616949</v>
      </c>
      <c r="D694">
        <v>49717618</v>
      </c>
      <c r="E694">
        <v>27786564</v>
      </c>
      <c r="F694">
        <v>1</v>
      </c>
      <c r="G694">
        <v>27786564</v>
      </c>
      <c r="H694">
        <v>3</v>
      </c>
      <c r="I694" t="s">
        <v>554</v>
      </c>
      <c r="J694" t="s">
        <v>3</v>
      </c>
      <c r="K694" t="s">
        <v>555</v>
      </c>
      <c r="L694">
        <v>1303</v>
      </c>
      <c r="N694">
        <v>1003</v>
      </c>
      <c r="O694" t="s">
        <v>556</v>
      </c>
      <c r="P694" t="s">
        <v>556</v>
      </c>
      <c r="Q694">
        <v>1000</v>
      </c>
      <c r="X694">
        <v>0.10199999999999999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3</v>
      </c>
      <c r="AG694">
        <v>0.10199999999999999</v>
      </c>
      <c r="AH694">
        <v>3</v>
      </c>
      <c r="AI694">
        <v>-1</v>
      </c>
      <c r="AJ694" t="s">
        <v>3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x14ac:dyDescent="0.2">
      <c r="A695">
        <f>ROW(Source!A147)</f>
        <v>147</v>
      </c>
      <c r="B695">
        <v>56616963</v>
      </c>
      <c r="C695">
        <v>56616949</v>
      </c>
      <c r="D695">
        <v>46556476</v>
      </c>
      <c r="E695">
        <v>27786564</v>
      </c>
      <c r="F695">
        <v>1</v>
      </c>
      <c r="G695">
        <v>27786564</v>
      </c>
      <c r="H695">
        <v>3</v>
      </c>
      <c r="I695" t="s">
        <v>557</v>
      </c>
      <c r="J695" t="s">
        <v>3</v>
      </c>
      <c r="K695" t="s">
        <v>558</v>
      </c>
      <c r="L695">
        <v>1354</v>
      </c>
      <c r="N695">
        <v>1010</v>
      </c>
      <c r="O695" t="s">
        <v>88</v>
      </c>
      <c r="P695" t="s">
        <v>88</v>
      </c>
      <c r="Q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3</v>
      </c>
      <c r="AG695">
        <v>0</v>
      </c>
      <c r="AH695">
        <v>3</v>
      </c>
      <c r="AI695">
        <v>-1</v>
      </c>
      <c r="AJ695" t="s">
        <v>3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">
      <c r="A696">
        <f>ROW(Source!A148)</f>
        <v>148</v>
      </c>
      <c r="B696">
        <v>56616951</v>
      </c>
      <c r="C696">
        <v>56616949</v>
      </c>
      <c r="D696">
        <v>47634407</v>
      </c>
      <c r="E696">
        <v>27786564</v>
      </c>
      <c r="F696">
        <v>1</v>
      </c>
      <c r="G696">
        <v>27786564</v>
      </c>
      <c r="H696">
        <v>1</v>
      </c>
      <c r="I696" t="s">
        <v>439</v>
      </c>
      <c r="J696" t="s">
        <v>3</v>
      </c>
      <c r="K696" t="s">
        <v>440</v>
      </c>
      <c r="L696">
        <v>1191</v>
      </c>
      <c r="N696">
        <v>1013</v>
      </c>
      <c r="O696" t="s">
        <v>441</v>
      </c>
      <c r="P696" t="s">
        <v>441</v>
      </c>
      <c r="Q696">
        <v>1</v>
      </c>
      <c r="X696">
        <v>8.01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1</v>
      </c>
      <c r="AF696" t="s">
        <v>22</v>
      </c>
      <c r="AG696">
        <v>8.8109999999999999</v>
      </c>
      <c r="AH696">
        <v>2</v>
      </c>
      <c r="AI696">
        <v>56616950</v>
      </c>
      <c r="AJ696">
        <v>128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">
      <c r="A697">
        <f>ROW(Source!A148)</f>
        <v>148</v>
      </c>
      <c r="B697">
        <v>56616952</v>
      </c>
      <c r="C697">
        <v>56616949</v>
      </c>
      <c r="D697">
        <v>47767106</v>
      </c>
      <c r="E697">
        <v>1</v>
      </c>
      <c r="F697">
        <v>1</v>
      </c>
      <c r="G697">
        <v>27786564</v>
      </c>
      <c r="H697">
        <v>2</v>
      </c>
      <c r="I697" t="s">
        <v>487</v>
      </c>
      <c r="J697" t="s">
        <v>488</v>
      </c>
      <c r="K697" t="s">
        <v>489</v>
      </c>
      <c r="L697">
        <v>1368</v>
      </c>
      <c r="N697">
        <v>1011</v>
      </c>
      <c r="O697" t="s">
        <v>445</v>
      </c>
      <c r="P697" t="s">
        <v>445</v>
      </c>
      <c r="Q697">
        <v>1</v>
      </c>
      <c r="X697">
        <v>1.06</v>
      </c>
      <c r="Y697">
        <v>0</v>
      </c>
      <c r="Z697">
        <v>83.1</v>
      </c>
      <c r="AA697">
        <v>12.62</v>
      </c>
      <c r="AB697">
        <v>0</v>
      </c>
      <c r="AC697">
        <v>0</v>
      </c>
      <c r="AD697">
        <v>1</v>
      </c>
      <c r="AE697">
        <v>0</v>
      </c>
      <c r="AF697" t="s">
        <v>22</v>
      </c>
      <c r="AG697">
        <v>1.1660000000000001</v>
      </c>
      <c r="AH697">
        <v>3</v>
      </c>
      <c r="AI697">
        <v>-1</v>
      </c>
      <c r="AJ697" t="s">
        <v>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">
      <c r="A698">
        <f>ROW(Source!A148)</f>
        <v>148</v>
      </c>
      <c r="B698">
        <v>56616953</v>
      </c>
      <c r="C698">
        <v>56616949</v>
      </c>
      <c r="D698">
        <v>47766535</v>
      </c>
      <c r="E698">
        <v>1</v>
      </c>
      <c r="F698">
        <v>1</v>
      </c>
      <c r="G698">
        <v>27786564</v>
      </c>
      <c r="H698">
        <v>2</v>
      </c>
      <c r="I698" t="s">
        <v>541</v>
      </c>
      <c r="J698" t="s">
        <v>542</v>
      </c>
      <c r="K698" t="s">
        <v>543</v>
      </c>
      <c r="L698">
        <v>1368</v>
      </c>
      <c r="N698">
        <v>1011</v>
      </c>
      <c r="O698" t="s">
        <v>445</v>
      </c>
      <c r="P698" t="s">
        <v>445</v>
      </c>
      <c r="Q698">
        <v>1</v>
      </c>
      <c r="X698">
        <v>1.77</v>
      </c>
      <c r="Y698">
        <v>0</v>
      </c>
      <c r="Z698">
        <v>2.27</v>
      </c>
      <c r="AA698">
        <v>0</v>
      </c>
      <c r="AB698">
        <v>0</v>
      </c>
      <c r="AC698">
        <v>0</v>
      </c>
      <c r="AD698">
        <v>1</v>
      </c>
      <c r="AE698">
        <v>0</v>
      </c>
      <c r="AF698" t="s">
        <v>22</v>
      </c>
      <c r="AG698">
        <v>1.9470000000000003</v>
      </c>
      <c r="AH698">
        <v>3</v>
      </c>
      <c r="AI698">
        <v>-1</v>
      </c>
      <c r="AJ698" t="s">
        <v>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">
      <c r="A699">
        <f>ROW(Source!A148)</f>
        <v>148</v>
      </c>
      <c r="B699">
        <v>56616954</v>
      </c>
      <c r="C699">
        <v>56616949</v>
      </c>
      <c r="D699">
        <v>47766545</v>
      </c>
      <c r="E699">
        <v>1</v>
      </c>
      <c r="F699">
        <v>1</v>
      </c>
      <c r="G699">
        <v>27786564</v>
      </c>
      <c r="H699">
        <v>2</v>
      </c>
      <c r="I699" t="s">
        <v>490</v>
      </c>
      <c r="J699" t="s">
        <v>491</v>
      </c>
      <c r="K699" t="s">
        <v>492</v>
      </c>
      <c r="L699">
        <v>1368</v>
      </c>
      <c r="N699">
        <v>1011</v>
      </c>
      <c r="O699" t="s">
        <v>445</v>
      </c>
      <c r="P699" t="s">
        <v>445</v>
      </c>
      <c r="Q699">
        <v>1</v>
      </c>
      <c r="X699">
        <v>1.77</v>
      </c>
      <c r="Y699">
        <v>0</v>
      </c>
      <c r="Z699">
        <v>0.73</v>
      </c>
      <c r="AA699">
        <v>0</v>
      </c>
      <c r="AB699">
        <v>0</v>
      </c>
      <c r="AC699">
        <v>0</v>
      </c>
      <c r="AD699">
        <v>1</v>
      </c>
      <c r="AE699">
        <v>0</v>
      </c>
      <c r="AF699" t="s">
        <v>22</v>
      </c>
      <c r="AG699">
        <v>1.9470000000000003</v>
      </c>
      <c r="AH699">
        <v>3</v>
      </c>
      <c r="AI699">
        <v>-1</v>
      </c>
      <c r="AJ699" t="s">
        <v>3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">
      <c r="A700">
        <f>ROW(Source!A148)</f>
        <v>148</v>
      </c>
      <c r="B700">
        <v>56616955</v>
      </c>
      <c r="C700">
        <v>56616949</v>
      </c>
      <c r="D700">
        <v>46723498</v>
      </c>
      <c r="E700">
        <v>1</v>
      </c>
      <c r="F700">
        <v>1</v>
      </c>
      <c r="G700">
        <v>27786564</v>
      </c>
      <c r="H700">
        <v>3</v>
      </c>
      <c r="I700" t="s">
        <v>496</v>
      </c>
      <c r="J700" t="s">
        <v>497</v>
      </c>
      <c r="K700" t="s">
        <v>498</v>
      </c>
      <c r="L700">
        <v>1348</v>
      </c>
      <c r="N700">
        <v>1009</v>
      </c>
      <c r="O700" t="s">
        <v>367</v>
      </c>
      <c r="P700" t="s">
        <v>367</v>
      </c>
      <c r="Q700">
        <v>1000</v>
      </c>
      <c r="X700">
        <v>6.0000000000000002E-5</v>
      </c>
      <c r="Y700">
        <v>11242.42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0</v>
      </c>
      <c r="AF700" t="s">
        <v>3</v>
      </c>
      <c r="AG700">
        <v>6.0000000000000002E-5</v>
      </c>
      <c r="AH700">
        <v>3</v>
      </c>
      <c r="AI700">
        <v>-1</v>
      </c>
      <c r="AJ700" t="s">
        <v>3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">
      <c r="A701">
        <f>ROW(Source!A148)</f>
        <v>148</v>
      </c>
      <c r="B701">
        <v>56616956</v>
      </c>
      <c r="C701">
        <v>56616949</v>
      </c>
      <c r="D701">
        <v>45796980</v>
      </c>
      <c r="E701">
        <v>1</v>
      </c>
      <c r="F701">
        <v>1</v>
      </c>
      <c r="G701">
        <v>27786564</v>
      </c>
      <c r="H701">
        <v>3</v>
      </c>
      <c r="I701" t="s">
        <v>499</v>
      </c>
      <c r="J701" t="s">
        <v>500</v>
      </c>
      <c r="K701" t="s">
        <v>501</v>
      </c>
      <c r="L701">
        <v>1346</v>
      </c>
      <c r="N701">
        <v>1009</v>
      </c>
      <c r="O701" t="s">
        <v>104</v>
      </c>
      <c r="P701" t="s">
        <v>104</v>
      </c>
      <c r="Q701">
        <v>1</v>
      </c>
      <c r="X701">
        <v>0.8</v>
      </c>
      <c r="Y701">
        <v>25.8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 t="s">
        <v>3</v>
      </c>
      <c r="AG701">
        <v>0.8</v>
      </c>
      <c r="AH701">
        <v>3</v>
      </c>
      <c r="AI701">
        <v>-1</v>
      </c>
      <c r="AJ701" t="s">
        <v>3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">
      <c r="A702">
        <f>ROW(Source!A148)</f>
        <v>148</v>
      </c>
      <c r="B702">
        <v>56616957</v>
      </c>
      <c r="C702">
        <v>56616949</v>
      </c>
      <c r="D702">
        <v>46723689</v>
      </c>
      <c r="E702">
        <v>1</v>
      </c>
      <c r="F702">
        <v>1</v>
      </c>
      <c r="G702">
        <v>27786564</v>
      </c>
      <c r="H702">
        <v>3</v>
      </c>
      <c r="I702" t="s">
        <v>502</v>
      </c>
      <c r="J702" t="s">
        <v>503</v>
      </c>
      <c r="K702" t="s">
        <v>504</v>
      </c>
      <c r="L702">
        <v>1348</v>
      </c>
      <c r="N702">
        <v>1009</v>
      </c>
      <c r="O702" t="s">
        <v>367</v>
      </c>
      <c r="P702" t="s">
        <v>367</v>
      </c>
      <c r="Q702">
        <v>1000</v>
      </c>
      <c r="X702">
        <v>5.0000000000000001E-4</v>
      </c>
      <c r="Y702">
        <v>60966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 t="s">
        <v>3</v>
      </c>
      <c r="AG702">
        <v>5.0000000000000001E-4</v>
      </c>
      <c r="AH702">
        <v>3</v>
      </c>
      <c r="AI702">
        <v>-1</v>
      </c>
      <c r="AJ702" t="s">
        <v>3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">
      <c r="A703">
        <f>ROW(Source!A148)</f>
        <v>148</v>
      </c>
      <c r="B703">
        <v>56616958</v>
      </c>
      <c r="C703">
        <v>56616949</v>
      </c>
      <c r="D703">
        <v>46723704</v>
      </c>
      <c r="E703">
        <v>1</v>
      </c>
      <c r="F703">
        <v>1</v>
      </c>
      <c r="G703">
        <v>27786564</v>
      </c>
      <c r="H703">
        <v>3</v>
      </c>
      <c r="I703" t="s">
        <v>505</v>
      </c>
      <c r="J703" t="s">
        <v>506</v>
      </c>
      <c r="K703" t="s">
        <v>507</v>
      </c>
      <c r="L703">
        <v>1348</v>
      </c>
      <c r="N703">
        <v>1009</v>
      </c>
      <c r="O703" t="s">
        <v>367</v>
      </c>
      <c r="P703" t="s">
        <v>367</v>
      </c>
      <c r="Q703">
        <v>1000</v>
      </c>
      <c r="X703">
        <v>4.0000000000000003E-5</v>
      </c>
      <c r="Y703">
        <v>7982.5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 t="s">
        <v>3</v>
      </c>
      <c r="AG703">
        <v>4.0000000000000003E-5</v>
      </c>
      <c r="AH703">
        <v>3</v>
      </c>
      <c r="AI703">
        <v>-1</v>
      </c>
      <c r="AJ703" t="s">
        <v>3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">
      <c r="A704">
        <f>ROW(Source!A148)</f>
        <v>148</v>
      </c>
      <c r="B704">
        <v>56616959</v>
      </c>
      <c r="C704">
        <v>56616949</v>
      </c>
      <c r="D704">
        <v>46735845</v>
      </c>
      <c r="E704">
        <v>1</v>
      </c>
      <c r="F704">
        <v>1</v>
      </c>
      <c r="G704">
        <v>27786564</v>
      </c>
      <c r="H704">
        <v>3</v>
      </c>
      <c r="I704" t="s">
        <v>508</v>
      </c>
      <c r="J704" t="s">
        <v>553</v>
      </c>
      <c r="K704" t="s">
        <v>510</v>
      </c>
      <c r="L704">
        <v>1356</v>
      </c>
      <c r="N704">
        <v>1010</v>
      </c>
      <c r="O704" t="s">
        <v>511</v>
      </c>
      <c r="P704" t="s">
        <v>511</v>
      </c>
      <c r="Q704">
        <v>1000</v>
      </c>
      <c r="X704">
        <v>4.0000000000000001E-3</v>
      </c>
      <c r="Y704">
        <v>226.68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 t="s">
        <v>3</v>
      </c>
      <c r="AG704">
        <v>4.0000000000000001E-3</v>
      </c>
      <c r="AH704">
        <v>3</v>
      </c>
      <c r="AI704">
        <v>-1</v>
      </c>
      <c r="AJ704" t="s">
        <v>3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">
      <c r="A705">
        <f>ROW(Source!A148)</f>
        <v>148</v>
      </c>
      <c r="B705">
        <v>56616960</v>
      </c>
      <c r="C705">
        <v>56616949</v>
      </c>
      <c r="D705">
        <v>46735506</v>
      </c>
      <c r="E705">
        <v>1</v>
      </c>
      <c r="F705">
        <v>1</v>
      </c>
      <c r="G705">
        <v>27786564</v>
      </c>
      <c r="H705">
        <v>3</v>
      </c>
      <c r="I705" t="s">
        <v>512</v>
      </c>
      <c r="J705" t="s">
        <v>513</v>
      </c>
      <c r="K705" t="s">
        <v>514</v>
      </c>
      <c r="L705">
        <v>1301</v>
      </c>
      <c r="N705">
        <v>1003</v>
      </c>
      <c r="O705" t="s">
        <v>55</v>
      </c>
      <c r="P705" t="s">
        <v>55</v>
      </c>
      <c r="Q705">
        <v>1</v>
      </c>
      <c r="X705">
        <v>0.96</v>
      </c>
      <c r="Y705">
        <v>0.7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 t="s">
        <v>3</v>
      </c>
      <c r="AG705">
        <v>0.96</v>
      </c>
      <c r="AH705">
        <v>3</v>
      </c>
      <c r="AI705">
        <v>-1</v>
      </c>
      <c r="AJ705" t="s">
        <v>3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">
      <c r="A706">
        <f>ROW(Source!A148)</f>
        <v>148</v>
      </c>
      <c r="B706">
        <v>56616961</v>
      </c>
      <c r="C706">
        <v>56616949</v>
      </c>
      <c r="D706">
        <v>46735508</v>
      </c>
      <c r="E706">
        <v>1</v>
      </c>
      <c r="F706">
        <v>1</v>
      </c>
      <c r="G706">
        <v>27786564</v>
      </c>
      <c r="H706">
        <v>3</v>
      </c>
      <c r="I706" t="s">
        <v>515</v>
      </c>
      <c r="J706" t="s">
        <v>516</v>
      </c>
      <c r="K706" t="s">
        <v>517</v>
      </c>
      <c r="L706">
        <v>1356</v>
      </c>
      <c r="N706">
        <v>1010</v>
      </c>
      <c r="O706" t="s">
        <v>511</v>
      </c>
      <c r="P706" t="s">
        <v>511</v>
      </c>
      <c r="Q706">
        <v>1000</v>
      </c>
      <c r="X706">
        <v>8.3199999999999993E-3</v>
      </c>
      <c r="Y706">
        <v>6.44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 t="s">
        <v>3</v>
      </c>
      <c r="AG706">
        <v>8.3199999999999993E-3</v>
      </c>
      <c r="AH706">
        <v>3</v>
      </c>
      <c r="AI706">
        <v>-1</v>
      </c>
      <c r="AJ706" t="s">
        <v>3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">
      <c r="A707">
        <f>ROW(Source!A148)</f>
        <v>148</v>
      </c>
      <c r="B707">
        <v>56616962</v>
      </c>
      <c r="C707">
        <v>56616949</v>
      </c>
      <c r="D707">
        <v>49717618</v>
      </c>
      <c r="E707">
        <v>27786564</v>
      </c>
      <c r="F707">
        <v>1</v>
      </c>
      <c r="G707">
        <v>27786564</v>
      </c>
      <c r="H707">
        <v>3</v>
      </c>
      <c r="I707" t="s">
        <v>554</v>
      </c>
      <c r="J707" t="s">
        <v>3</v>
      </c>
      <c r="K707" t="s">
        <v>555</v>
      </c>
      <c r="L707">
        <v>1303</v>
      </c>
      <c r="N707">
        <v>1003</v>
      </c>
      <c r="O707" t="s">
        <v>556</v>
      </c>
      <c r="P707" t="s">
        <v>556</v>
      </c>
      <c r="Q707">
        <v>1000</v>
      </c>
      <c r="X707">
        <v>0.10199999999999999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 t="s">
        <v>3</v>
      </c>
      <c r="AG707">
        <v>0.10199999999999999</v>
      </c>
      <c r="AH707">
        <v>3</v>
      </c>
      <c r="AI707">
        <v>-1</v>
      </c>
      <c r="AJ707" t="s">
        <v>3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">
      <c r="A708">
        <f>ROW(Source!A148)</f>
        <v>148</v>
      </c>
      <c r="B708">
        <v>56616963</v>
      </c>
      <c r="C708">
        <v>56616949</v>
      </c>
      <c r="D708">
        <v>46556476</v>
      </c>
      <c r="E708">
        <v>27786564</v>
      </c>
      <c r="F708">
        <v>1</v>
      </c>
      <c r="G708">
        <v>27786564</v>
      </c>
      <c r="H708">
        <v>3</v>
      </c>
      <c r="I708" t="s">
        <v>557</v>
      </c>
      <c r="J708" t="s">
        <v>3</v>
      </c>
      <c r="K708" t="s">
        <v>558</v>
      </c>
      <c r="L708">
        <v>1354</v>
      </c>
      <c r="N708">
        <v>1010</v>
      </c>
      <c r="O708" t="s">
        <v>88</v>
      </c>
      <c r="P708" t="s">
        <v>88</v>
      </c>
      <c r="Q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3</v>
      </c>
      <c r="AG708">
        <v>0</v>
      </c>
      <c r="AH708">
        <v>3</v>
      </c>
      <c r="AI708">
        <v>-1</v>
      </c>
      <c r="AJ708" t="s">
        <v>3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">
      <c r="A709">
        <f>ROW(Source!A149)</f>
        <v>149</v>
      </c>
      <c r="B709">
        <v>56616976</v>
      </c>
      <c r="C709">
        <v>56616964</v>
      </c>
      <c r="D709">
        <v>47634407</v>
      </c>
      <c r="E709">
        <v>27786564</v>
      </c>
      <c r="F709">
        <v>1</v>
      </c>
      <c r="G709">
        <v>27786564</v>
      </c>
      <c r="H709">
        <v>1</v>
      </c>
      <c r="I709" t="s">
        <v>439</v>
      </c>
      <c r="J709" t="s">
        <v>3</v>
      </c>
      <c r="K709" t="s">
        <v>440</v>
      </c>
      <c r="L709">
        <v>1191</v>
      </c>
      <c r="N709">
        <v>1013</v>
      </c>
      <c r="O709" t="s">
        <v>441</v>
      </c>
      <c r="P709" t="s">
        <v>441</v>
      </c>
      <c r="Q709">
        <v>1</v>
      </c>
      <c r="X709">
        <v>11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1</v>
      </c>
      <c r="AF709" t="s">
        <v>22</v>
      </c>
      <c r="AG709">
        <v>12.100000000000001</v>
      </c>
      <c r="AH709">
        <v>2</v>
      </c>
      <c r="AI709">
        <v>56616965</v>
      </c>
      <c r="AJ709">
        <v>129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">
      <c r="A710">
        <f>ROW(Source!A149)</f>
        <v>149</v>
      </c>
      <c r="B710">
        <v>56616977</v>
      </c>
      <c r="C710">
        <v>56616964</v>
      </c>
      <c r="D710">
        <v>47767106</v>
      </c>
      <c r="E710">
        <v>1</v>
      </c>
      <c r="F710">
        <v>1</v>
      </c>
      <c r="G710">
        <v>27786564</v>
      </c>
      <c r="H710">
        <v>2</v>
      </c>
      <c r="I710" t="s">
        <v>487</v>
      </c>
      <c r="J710" t="s">
        <v>488</v>
      </c>
      <c r="K710" t="s">
        <v>489</v>
      </c>
      <c r="L710">
        <v>1368</v>
      </c>
      <c r="N710">
        <v>1011</v>
      </c>
      <c r="O710" t="s">
        <v>445</v>
      </c>
      <c r="P710" t="s">
        <v>445</v>
      </c>
      <c r="Q710">
        <v>1</v>
      </c>
      <c r="X710">
        <v>1.48</v>
      </c>
      <c r="Y710">
        <v>0</v>
      </c>
      <c r="Z710">
        <v>83.1</v>
      </c>
      <c r="AA710">
        <v>12.62</v>
      </c>
      <c r="AB710">
        <v>0</v>
      </c>
      <c r="AC710">
        <v>0</v>
      </c>
      <c r="AD710">
        <v>1</v>
      </c>
      <c r="AE710">
        <v>0</v>
      </c>
      <c r="AF710" t="s">
        <v>22</v>
      </c>
      <c r="AG710">
        <v>1.6280000000000001</v>
      </c>
      <c r="AH710">
        <v>2</v>
      </c>
      <c r="AI710">
        <v>56616966</v>
      </c>
      <c r="AJ710">
        <v>130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">
      <c r="A711">
        <f>ROW(Source!A149)</f>
        <v>149</v>
      </c>
      <c r="B711">
        <v>56616978</v>
      </c>
      <c r="C711">
        <v>56616964</v>
      </c>
      <c r="D711">
        <v>47766545</v>
      </c>
      <c r="E711">
        <v>1</v>
      </c>
      <c r="F711">
        <v>1</v>
      </c>
      <c r="G711">
        <v>27786564</v>
      </c>
      <c r="H711">
        <v>2</v>
      </c>
      <c r="I711" t="s">
        <v>490</v>
      </c>
      <c r="J711" t="s">
        <v>491</v>
      </c>
      <c r="K711" t="s">
        <v>492</v>
      </c>
      <c r="L711">
        <v>1368</v>
      </c>
      <c r="N711">
        <v>1011</v>
      </c>
      <c r="O711" t="s">
        <v>445</v>
      </c>
      <c r="P711" t="s">
        <v>445</v>
      </c>
      <c r="Q711">
        <v>1</v>
      </c>
      <c r="X711">
        <v>2.4</v>
      </c>
      <c r="Y711">
        <v>0</v>
      </c>
      <c r="Z711">
        <v>0.73</v>
      </c>
      <c r="AA711">
        <v>0</v>
      </c>
      <c r="AB711">
        <v>0</v>
      </c>
      <c r="AC711">
        <v>0</v>
      </c>
      <c r="AD711">
        <v>1</v>
      </c>
      <c r="AE711">
        <v>0</v>
      </c>
      <c r="AF711" t="s">
        <v>22</v>
      </c>
      <c r="AG711">
        <v>2.64</v>
      </c>
      <c r="AH711">
        <v>2</v>
      </c>
      <c r="AI711">
        <v>56616967</v>
      </c>
      <c r="AJ711">
        <v>131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">
      <c r="A712">
        <f>ROW(Source!A149)</f>
        <v>149</v>
      </c>
      <c r="B712">
        <v>56616979</v>
      </c>
      <c r="C712">
        <v>56616964</v>
      </c>
      <c r="D712">
        <v>47766581</v>
      </c>
      <c r="E712">
        <v>1</v>
      </c>
      <c r="F712">
        <v>1</v>
      </c>
      <c r="G712">
        <v>27786564</v>
      </c>
      <c r="H712">
        <v>2</v>
      </c>
      <c r="I712" t="s">
        <v>493</v>
      </c>
      <c r="J712" t="s">
        <v>494</v>
      </c>
      <c r="K712" t="s">
        <v>495</v>
      </c>
      <c r="L712">
        <v>1368</v>
      </c>
      <c r="N712">
        <v>1011</v>
      </c>
      <c r="O712" t="s">
        <v>445</v>
      </c>
      <c r="P712" t="s">
        <v>445</v>
      </c>
      <c r="Q712">
        <v>1</v>
      </c>
      <c r="X712">
        <v>2.4</v>
      </c>
      <c r="Y712">
        <v>0</v>
      </c>
      <c r="Z712">
        <v>4</v>
      </c>
      <c r="AA712">
        <v>0</v>
      </c>
      <c r="AB712">
        <v>0</v>
      </c>
      <c r="AC712">
        <v>0</v>
      </c>
      <c r="AD712">
        <v>1</v>
      </c>
      <c r="AE712">
        <v>0</v>
      </c>
      <c r="AF712" t="s">
        <v>22</v>
      </c>
      <c r="AG712">
        <v>2.64</v>
      </c>
      <c r="AH712">
        <v>2</v>
      </c>
      <c r="AI712">
        <v>56616968</v>
      </c>
      <c r="AJ712">
        <v>132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">
      <c r="A713">
        <f>ROW(Source!A149)</f>
        <v>149</v>
      </c>
      <c r="B713">
        <v>56616980</v>
      </c>
      <c r="C713">
        <v>56616964</v>
      </c>
      <c r="D713">
        <v>46723498</v>
      </c>
      <c r="E713">
        <v>1</v>
      </c>
      <c r="F713">
        <v>1</v>
      </c>
      <c r="G713">
        <v>27786564</v>
      </c>
      <c r="H713">
        <v>3</v>
      </c>
      <c r="I713" t="s">
        <v>496</v>
      </c>
      <c r="J713" t="s">
        <v>497</v>
      </c>
      <c r="K713" t="s">
        <v>498</v>
      </c>
      <c r="L713">
        <v>1348</v>
      </c>
      <c r="N713">
        <v>1009</v>
      </c>
      <c r="O713" t="s">
        <v>367</v>
      </c>
      <c r="P713" t="s">
        <v>367</v>
      </c>
      <c r="Q713">
        <v>1000</v>
      </c>
      <c r="X713">
        <v>6.0000000000000002E-5</v>
      </c>
      <c r="Y713">
        <v>11242.42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 t="s">
        <v>3</v>
      </c>
      <c r="AG713">
        <v>6.0000000000000002E-5</v>
      </c>
      <c r="AH713">
        <v>2</v>
      </c>
      <c r="AI713">
        <v>56616969</v>
      </c>
      <c r="AJ713">
        <v>133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">
      <c r="A714">
        <f>ROW(Source!A149)</f>
        <v>149</v>
      </c>
      <c r="B714">
        <v>56616981</v>
      </c>
      <c r="C714">
        <v>56616964</v>
      </c>
      <c r="D714">
        <v>45796980</v>
      </c>
      <c r="E714">
        <v>1</v>
      </c>
      <c r="F714">
        <v>1</v>
      </c>
      <c r="G714">
        <v>27786564</v>
      </c>
      <c r="H714">
        <v>3</v>
      </c>
      <c r="I714" t="s">
        <v>499</v>
      </c>
      <c r="J714" t="s">
        <v>500</v>
      </c>
      <c r="K714" t="s">
        <v>501</v>
      </c>
      <c r="L714">
        <v>1346</v>
      </c>
      <c r="N714">
        <v>1009</v>
      </c>
      <c r="O714" t="s">
        <v>104</v>
      </c>
      <c r="P714" t="s">
        <v>104</v>
      </c>
      <c r="Q714">
        <v>1</v>
      </c>
      <c r="X714">
        <v>0.8</v>
      </c>
      <c r="Y714">
        <v>25.8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 t="s">
        <v>3</v>
      </c>
      <c r="AG714">
        <v>0.8</v>
      </c>
      <c r="AH714">
        <v>2</v>
      </c>
      <c r="AI714">
        <v>56616970</v>
      </c>
      <c r="AJ714">
        <v>134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">
      <c r="A715">
        <f>ROW(Source!A149)</f>
        <v>149</v>
      </c>
      <c r="B715">
        <v>56616982</v>
      </c>
      <c r="C715">
        <v>56616964</v>
      </c>
      <c r="D715">
        <v>46723689</v>
      </c>
      <c r="E715">
        <v>1</v>
      </c>
      <c r="F715">
        <v>1</v>
      </c>
      <c r="G715">
        <v>27786564</v>
      </c>
      <c r="H715">
        <v>3</v>
      </c>
      <c r="I715" t="s">
        <v>502</v>
      </c>
      <c r="J715" t="s">
        <v>503</v>
      </c>
      <c r="K715" t="s">
        <v>504</v>
      </c>
      <c r="L715">
        <v>1348</v>
      </c>
      <c r="N715">
        <v>1009</v>
      </c>
      <c r="O715" t="s">
        <v>367</v>
      </c>
      <c r="P715" t="s">
        <v>367</v>
      </c>
      <c r="Q715">
        <v>1000</v>
      </c>
      <c r="X715">
        <v>5.0000000000000001E-4</v>
      </c>
      <c r="Y715">
        <v>60966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0</v>
      </c>
      <c r="AF715" t="s">
        <v>3</v>
      </c>
      <c r="AG715">
        <v>5.0000000000000001E-4</v>
      </c>
      <c r="AH715">
        <v>2</v>
      </c>
      <c r="AI715">
        <v>56616971</v>
      </c>
      <c r="AJ715">
        <v>135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">
      <c r="A716">
        <f>ROW(Source!A149)</f>
        <v>149</v>
      </c>
      <c r="B716">
        <v>56616983</v>
      </c>
      <c r="C716">
        <v>56616964</v>
      </c>
      <c r="D716">
        <v>46723704</v>
      </c>
      <c r="E716">
        <v>1</v>
      </c>
      <c r="F716">
        <v>1</v>
      </c>
      <c r="G716">
        <v>27786564</v>
      </c>
      <c r="H716">
        <v>3</v>
      </c>
      <c r="I716" t="s">
        <v>505</v>
      </c>
      <c r="J716" t="s">
        <v>506</v>
      </c>
      <c r="K716" t="s">
        <v>507</v>
      </c>
      <c r="L716">
        <v>1348</v>
      </c>
      <c r="N716">
        <v>1009</v>
      </c>
      <c r="O716" t="s">
        <v>367</v>
      </c>
      <c r="P716" t="s">
        <v>367</v>
      </c>
      <c r="Q716">
        <v>1000</v>
      </c>
      <c r="X716">
        <v>4.0000000000000003E-5</v>
      </c>
      <c r="Y716">
        <v>7982.5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0</v>
      </c>
      <c r="AF716" t="s">
        <v>3</v>
      </c>
      <c r="AG716">
        <v>4.0000000000000003E-5</v>
      </c>
      <c r="AH716">
        <v>2</v>
      </c>
      <c r="AI716">
        <v>56616972</v>
      </c>
      <c r="AJ716">
        <v>136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">
      <c r="A717">
        <f>ROW(Source!A149)</f>
        <v>149</v>
      </c>
      <c r="B717">
        <v>56616984</v>
      </c>
      <c r="C717">
        <v>56616964</v>
      </c>
      <c r="D717">
        <v>46735845</v>
      </c>
      <c r="E717">
        <v>1</v>
      </c>
      <c r="F717">
        <v>1</v>
      </c>
      <c r="G717">
        <v>27786564</v>
      </c>
      <c r="H717">
        <v>3</v>
      </c>
      <c r="I717" t="s">
        <v>508</v>
      </c>
      <c r="J717" t="s">
        <v>553</v>
      </c>
      <c r="K717" t="s">
        <v>510</v>
      </c>
      <c r="L717">
        <v>1356</v>
      </c>
      <c r="N717">
        <v>1010</v>
      </c>
      <c r="O717" t="s">
        <v>511</v>
      </c>
      <c r="P717" t="s">
        <v>511</v>
      </c>
      <c r="Q717">
        <v>1000</v>
      </c>
      <c r="X717">
        <v>4.0000000000000001E-3</v>
      </c>
      <c r="Y717">
        <v>226.68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 t="s">
        <v>3</v>
      </c>
      <c r="AG717">
        <v>4.0000000000000001E-3</v>
      </c>
      <c r="AH717">
        <v>2</v>
      </c>
      <c r="AI717">
        <v>56616973</v>
      </c>
      <c r="AJ717">
        <v>137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">
      <c r="A718">
        <f>ROW(Source!A149)</f>
        <v>149</v>
      </c>
      <c r="B718">
        <v>56616985</v>
      </c>
      <c r="C718">
        <v>56616964</v>
      </c>
      <c r="D718">
        <v>46735506</v>
      </c>
      <c r="E718">
        <v>1</v>
      </c>
      <c r="F718">
        <v>1</v>
      </c>
      <c r="G718">
        <v>27786564</v>
      </c>
      <c r="H718">
        <v>3</v>
      </c>
      <c r="I718" t="s">
        <v>512</v>
      </c>
      <c r="J718" t="s">
        <v>513</v>
      </c>
      <c r="K718" t="s">
        <v>514</v>
      </c>
      <c r="L718">
        <v>1301</v>
      </c>
      <c r="N718">
        <v>1003</v>
      </c>
      <c r="O718" t="s">
        <v>55</v>
      </c>
      <c r="P718" t="s">
        <v>55</v>
      </c>
      <c r="Q718">
        <v>1</v>
      </c>
      <c r="X718">
        <v>0.96</v>
      </c>
      <c r="Y718">
        <v>0.7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0</v>
      </c>
      <c r="AF718" t="s">
        <v>3</v>
      </c>
      <c r="AG718">
        <v>0.96</v>
      </c>
      <c r="AH718">
        <v>2</v>
      </c>
      <c r="AI718">
        <v>56616974</v>
      </c>
      <c r="AJ718">
        <v>138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2">
      <c r="A719">
        <f>ROW(Source!A149)</f>
        <v>149</v>
      </c>
      <c r="B719">
        <v>56616986</v>
      </c>
      <c r="C719">
        <v>56616964</v>
      </c>
      <c r="D719">
        <v>46735508</v>
      </c>
      <c r="E719">
        <v>1</v>
      </c>
      <c r="F719">
        <v>1</v>
      </c>
      <c r="G719">
        <v>27786564</v>
      </c>
      <c r="H719">
        <v>3</v>
      </c>
      <c r="I719" t="s">
        <v>515</v>
      </c>
      <c r="J719" t="s">
        <v>516</v>
      </c>
      <c r="K719" t="s">
        <v>517</v>
      </c>
      <c r="L719">
        <v>1356</v>
      </c>
      <c r="N719">
        <v>1010</v>
      </c>
      <c r="O719" t="s">
        <v>511</v>
      </c>
      <c r="P719" t="s">
        <v>511</v>
      </c>
      <c r="Q719">
        <v>1000</v>
      </c>
      <c r="X719">
        <v>8.3199999999999993E-3</v>
      </c>
      <c r="Y719">
        <v>6.44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 t="s">
        <v>3</v>
      </c>
      <c r="AG719">
        <v>8.3199999999999993E-3</v>
      </c>
      <c r="AH719">
        <v>2</v>
      </c>
      <c r="AI719">
        <v>56616975</v>
      </c>
      <c r="AJ719">
        <v>139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">
      <c r="A720">
        <f>ROW(Source!A149)</f>
        <v>149</v>
      </c>
      <c r="B720">
        <v>56616987</v>
      </c>
      <c r="C720">
        <v>56616964</v>
      </c>
      <c r="D720">
        <v>49717618</v>
      </c>
      <c r="E720">
        <v>27786564</v>
      </c>
      <c r="F720">
        <v>1</v>
      </c>
      <c r="G720">
        <v>27786564</v>
      </c>
      <c r="H720">
        <v>3</v>
      </c>
      <c r="I720" t="s">
        <v>554</v>
      </c>
      <c r="J720" t="s">
        <v>3</v>
      </c>
      <c r="K720" t="s">
        <v>555</v>
      </c>
      <c r="L720">
        <v>1303</v>
      </c>
      <c r="N720">
        <v>1003</v>
      </c>
      <c r="O720" t="s">
        <v>556</v>
      </c>
      <c r="P720" t="s">
        <v>556</v>
      </c>
      <c r="Q720">
        <v>1000</v>
      </c>
      <c r="X720">
        <v>0.10199999999999999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 t="s">
        <v>3</v>
      </c>
      <c r="AG720">
        <v>0.10199999999999999</v>
      </c>
      <c r="AH720">
        <v>3</v>
      </c>
      <c r="AI720">
        <v>-1</v>
      </c>
      <c r="AJ720" t="s">
        <v>3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">
      <c r="A721">
        <f>ROW(Source!A149)</f>
        <v>149</v>
      </c>
      <c r="B721">
        <v>56616988</v>
      </c>
      <c r="C721">
        <v>56616964</v>
      </c>
      <c r="D721">
        <v>46556476</v>
      </c>
      <c r="E721">
        <v>27786564</v>
      </c>
      <c r="F721">
        <v>1</v>
      </c>
      <c r="G721">
        <v>27786564</v>
      </c>
      <c r="H721">
        <v>3</v>
      </c>
      <c r="I721" t="s">
        <v>557</v>
      </c>
      <c r="J721" t="s">
        <v>3</v>
      </c>
      <c r="K721" t="s">
        <v>558</v>
      </c>
      <c r="L721">
        <v>1354</v>
      </c>
      <c r="N721">
        <v>1010</v>
      </c>
      <c r="O721" t="s">
        <v>88</v>
      </c>
      <c r="P721" t="s">
        <v>88</v>
      </c>
      <c r="Q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 t="s">
        <v>3</v>
      </c>
      <c r="AG721">
        <v>0</v>
      </c>
      <c r="AH721">
        <v>3</v>
      </c>
      <c r="AI721">
        <v>-1</v>
      </c>
      <c r="AJ721" t="s">
        <v>3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">
      <c r="A722">
        <f>ROW(Source!A150)</f>
        <v>150</v>
      </c>
      <c r="B722">
        <v>56616976</v>
      </c>
      <c r="C722">
        <v>56616964</v>
      </c>
      <c r="D722">
        <v>47634407</v>
      </c>
      <c r="E722">
        <v>27786564</v>
      </c>
      <c r="F722">
        <v>1</v>
      </c>
      <c r="G722">
        <v>27786564</v>
      </c>
      <c r="H722">
        <v>1</v>
      </c>
      <c r="I722" t="s">
        <v>439</v>
      </c>
      <c r="J722" t="s">
        <v>3</v>
      </c>
      <c r="K722" t="s">
        <v>440</v>
      </c>
      <c r="L722">
        <v>1191</v>
      </c>
      <c r="N722">
        <v>1013</v>
      </c>
      <c r="O722" t="s">
        <v>441</v>
      </c>
      <c r="P722" t="s">
        <v>441</v>
      </c>
      <c r="Q722">
        <v>1</v>
      </c>
      <c r="X722">
        <v>11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1</v>
      </c>
      <c r="AF722" t="s">
        <v>22</v>
      </c>
      <c r="AG722">
        <v>12.100000000000001</v>
      </c>
      <c r="AH722">
        <v>2</v>
      </c>
      <c r="AI722">
        <v>56616965</v>
      </c>
      <c r="AJ722">
        <v>140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">
      <c r="A723">
        <f>ROW(Source!A150)</f>
        <v>150</v>
      </c>
      <c r="B723">
        <v>56616977</v>
      </c>
      <c r="C723">
        <v>56616964</v>
      </c>
      <c r="D723">
        <v>47767106</v>
      </c>
      <c r="E723">
        <v>1</v>
      </c>
      <c r="F723">
        <v>1</v>
      </c>
      <c r="G723">
        <v>27786564</v>
      </c>
      <c r="H723">
        <v>2</v>
      </c>
      <c r="I723" t="s">
        <v>487</v>
      </c>
      <c r="J723" t="s">
        <v>488</v>
      </c>
      <c r="K723" t="s">
        <v>489</v>
      </c>
      <c r="L723">
        <v>1368</v>
      </c>
      <c r="N723">
        <v>1011</v>
      </c>
      <c r="O723" t="s">
        <v>445</v>
      </c>
      <c r="P723" t="s">
        <v>445</v>
      </c>
      <c r="Q723">
        <v>1</v>
      </c>
      <c r="X723">
        <v>1.48</v>
      </c>
      <c r="Y723">
        <v>0</v>
      </c>
      <c r="Z723">
        <v>83.1</v>
      </c>
      <c r="AA723">
        <v>12.62</v>
      </c>
      <c r="AB723">
        <v>0</v>
      </c>
      <c r="AC723">
        <v>0</v>
      </c>
      <c r="AD723">
        <v>1</v>
      </c>
      <c r="AE723">
        <v>0</v>
      </c>
      <c r="AF723" t="s">
        <v>22</v>
      </c>
      <c r="AG723">
        <v>1.6280000000000001</v>
      </c>
      <c r="AH723">
        <v>2</v>
      </c>
      <c r="AI723">
        <v>56616966</v>
      </c>
      <c r="AJ723">
        <v>141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x14ac:dyDescent="0.2">
      <c r="A724">
        <f>ROW(Source!A150)</f>
        <v>150</v>
      </c>
      <c r="B724">
        <v>56616978</v>
      </c>
      <c r="C724">
        <v>56616964</v>
      </c>
      <c r="D724">
        <v>47766545</v>
      </c>
      <c r="E724">
        <v>1</v>
      </c>
      <c r="F724">
        <v>1</v>
      </c>
      <c r="G724">
        <v>27786564</v>
      </c>
      <c r="H724">
        <v>2</v>
      </c>
      <c r="I724" t="s">
        <v>490</v>
      </c>
      <c r="J724" t="s">
        <v>491</v>
      </c>
      <c r="K724" t="s">
        <v>492</v>
      </c>
      <c r="L724">
        <v>1368</v>
      </c>
      <c r="N724">
        <v>1011</v>
      </c>
      <c r="O724" t="s">
        <v>445</v>
      </c>
      <c r="P724" t="s">
        <v>445</v>
      </c>
      <c r="Q724">
        <v>1</v>
      </c>
      <c r="X724">
        <v>2.4</v>
      </c>
      <c r="Y724">
        <v>0</v>
      </c>
      <c r="Z724">
        <v>0.73</v>
      </c>
      <c r="AA724">
        <v>0</v>
      </c>
      <c r="AB724">
        <v>0</v>
      </c>
      <c r="AC724">
        <v>0</v>
      </c>
      <c r="AD724">
        <v>1</v>
      </c>
      <c r="AE724">
        <v>0</v>
      </c>
      <c r="AF724" t="s">
        <v>22</v>
      </c>
      <c r="AG724">
        <v>2.64</v>
      </c>
      <c r="AH724">
        <v>2</v>
      </c>
      <c r="AI724">
        <v>56616967</v>
      </c>
      <c r="AJ724">
        <v>142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">
      <c r="A725">
        <f>ROW(Source!A150)</f>
        <v>150</v>
      </c>
      <c r="B725">
        <v>56616979</v>
      </c>
      <c r="C725">
        <v>56616964</v>
      </c>
      <c r="D725">
        <v>47766581</v>
      </c>
      <c r="E725">
        <v>1</v>
      </c>
      <c r="F725">
        <v>1</v>
      </c>
      <c r="G725">
        <v>27786564</v>
      </c>
      <c r="H725">
        <v>2</v>
      </c>
      <c r="I725" t="s">
        <v>493</v>
      </c>
      <c r="J725" t="s">
        <v>494</v>
      </c>
      <c r="K725" t="s">
        <v>495</v>
      </c>
      <c r="L725">
        <v>1368</v>
      </c>
      <c r="N725">
        <v>1011</v>
      </c>
      <c r="O725" t="s">
        <v>445</v>
      </c>
      <c r="P725" t="s">
        <v>445</v>
      </c>
      <c r="Q725">
        <v>1</v>
      </c>
      <c r="X725">
        <v>2.4</v>
      </c>
      <c r="Y725">
        <v>0</v>
      </c>
      <c r="Z725">
        <v>4</v>
      </c>
      <c r="AA725">
        <v>0</v>
      </c>
      <c r="AB725">
        <v>0</v>
      </c>
      <c r="AC725">
        <v>0</v>
      </c>
      <c r="AD725">
        <v>1</v>
      </c>
      <c r="AE725">
        <v>0</v>
      </c>
      <c r="AF725" t="s">
        <v>22</v>
      </c>
      <c r="AG725">
        <v>2.64</v>
      </c>
      <c r="AH725">
        <v>2</v>
      </c>
      <c r="AI725">
        <v>56616968</v>
      </c>
      <c r="AJ725">
        <v>143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">
      <c r="A726">
        <f>ROW(Source!A150)</f>
        <v>150</v>
      </c>
      <c r="B726">
        <v>56616980</v>
      </c>
      <c r="C726">
        <v>56616964</v>
      </c>
      <c r="D726">
        <v>46723498</v>
      </c>
      <c r="E726">
        <v>1</v>
      </c>
      <c r="F726">
        <v>1</v>
      </c>
      <c r="G726">
        <v>27786564</v>
      </c>
      <c r="H726">
        <v>3</v>
      </c>
      <c r="I726" t="s">
        <v>496</v>
      </c>
      <c r="J726" t="s">
        <v>497</v>
      </c>
      <c r="K726" t="s">
        <v>498</v>
      </c>
      <c r="L726">
        <v>1348</v>
      </c>
      <c r="N726">
        <v>1009</v>
      </c>
      <c r="O726" t="s">
        <v>367</v>
      </c>
      <c r="P726" t="s">
        <v>367</v>
      </c>
      <c r="Q726">
        <v>1000</v>
      </c>
      <c r="X726">
        <v>6.0000000000000002E-5</v>
      </c>
      <c r="Y726">
        <v>11242.42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 t="s">
        <v>3</v>
      </c>
      <c r="AG726">
        <v>6.0000000000000002E-5</v>
      </c>
      <c r="AH726">
        <v>2</v>
      </c>
      <c r="AI726">
        <v>56616969</v>
      </c>
      <c r="AJ726">
        <v>144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2">
      <c r="A727">
        <f>ROW(Source!A150)</f>
        <v>150</v>
      </c>
      <c r="B727">
        <v>56616981</v>
      </c>
      <c r="C727">
        <v>56616964</v>
      </c>
      <c r="D727">
        <v>45796980</v>
      </c>
      <c r="E727">
        <v>1</v>
      </c>
      <c r="F727">
        <v>1</v>
      </c>
      <c r="G727">
        <v>27786564</v>
      </c>
      <c r="H727">
        <v>3</v>
      </c>
      <c r="I727" t="s">
        <v>499</v>
      </c>
      <c r="J727" t="s">
        <v>500</v>
      </c>
      <c r="K727" t="s">
        <v>501</v>
      </c>
      <c r="L727">
        <v>1346</v>
      </c>
      <c r="N727">
        <v>1009</v>
      </c>
      <c r="O727" t="s">
        <v>104</v>
      </c>
      <c r="P727" t="s">
        <v>104</v>
      </c>
      <c r="Q727">
        <v>1</v>
      </c>
      <c r="X727">
        <v>0.8</v>
      </c>
      <c r="Y727">
        <v>25.8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 t="s">
        <v>3</v>
      </c>
      <c r="AG727">
        <v>0.8</v>
      </c>
      <c r="AH727">
        <v>2</v>
      </c>
      <c r="AI727">
        <v>56616970</v>
      </c>
      <c r="AJ727">
        <v>145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2">
      <c r="A728">
        <f>ROW(Source!A150)</f>
        <v>150</v>
      </c>
      <c r="B728">
        <v>56616982</v>
      </c>
      <c r="C728">
        <v>56616964</v>
      </c>
      <c r="D728">
        <v>46723689</v>
      </c>
      <c r="E728">
        <v>1</v>
      </c>
      <c r="F728">
        <v>1</v>
      </c>
      <c r="G728">
        <v>27786564</v>
      </c>
      <c r="H728">
        <v>3</v>
      </c>
      <c r="I728" t="s">
        <v>502</v>
      </c>
      <c r="J728" t="s">
        <v>503</v>
      </c>
      <c r="K728" t="s">
        <v>504</v>
      </c>
      <c r="L728">
        <v>1348</v>
      </c>
      <c r="N728">
        <v>1009</v>
      </c>
      <c r="O728" t="s">
        <v>367</v>
      </c>
      <c r="P728" t="s">
        <v>367</v>
      </c>
      <c r="Q728">
        <v>1000</v>
      </c>
      <c r="X728">
        <v>5.0000000000000001E-4</v>
      </c>
      <c r="Y728">
        <v>60966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 t="s">
        <v>3</v>
      </c>
      <c r="AG728">
        <v>5.0000000000000001E-4</v>
      </c>
      <c r="AH728">
        <v>2</v>
      </c>
      <c r="AI728">
        <v>56616971</v>
      </c>
      <c r="AJ728">
        <v>146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">
      <c r="A729">
        <f>ROW(Source!A150)</f>
        <v>150</v>
      </c>
      <c r="B729">
        <v>56616983</v>
      </c>
      <c r="C729">
        <v>56616964</v>
      </c>
      <c r="D729">
        <v>46723704</v>
      </c>
      <c r="E729">
        <v>1</v>
      </c>
      <c r="F729">
        <v>1</v>
      </c>
      <c r="G729">
        <v>27786564</v>
      </c>
      <c r="H729">
        <v>3</v>
      </c>
      <c r="I729" t="s">
        <v>505</v>
      </c>
      <c r="J729" t="s">
        <v>506</v>
      </c>
      <c r="K729" t="s">
        <v>507</v>
      </c>
      <c r="L729">
        <v>1348</v>
      </c>
      <c r="N729">
        <v>1009</v>
      </c>
      <c r="O729" t="s">
        <v>367</v>
      </c>
      <c r="P729" t="s">
        <v>367</v>
      </c>
      <c r="Q729">
        <v>1000</v>
      </c>
      <c r="X729">
        <v>4.0000000000000003E-5</v>
      </c>
      <c r="Y729">
        <v>7982.5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0</v>
      </c>
      <c r="AF729" t="s">
        <v>3</v>
      </c>
      <c r="AG729">
        <v>4.0000000000000003E-5</v>
      </c>
      <c r="AH729">
        <v>2</v>
      </c>
      <c r="AI729">
        <v>56616972</v>
      </c>
      <c r="AJ729">
        <v>147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">
      <c r="A730">
        <f>ROW(Source!A150)</f>
        <v>150</v>
      </c>
      <c r="B730">
        <v>56616984</v>
      </c>
      <c r="C730">
        <v>56616964</v>
      </c>
      <c r="D730">
        <v>46735845</v>
      </c>
      <c r="E730">
        <v>1</v>
      </c>
      <c r="F730">
        <v>1</v>
      </c>
      <c r="G730">
        <v>27786564</v>
      </c>
      <c r="H730">
        <v>3</v>
      </c>
      <c r="I730" t="s">
        <v>508</v>
      </c>
      <c r="J730" t="s">
        <v>553</v>
      </c>
      <c r="K730" t="s">
        <v>510</v>
      </c>
      <c r="L730">
        <v>1356</v>
      </c>
      <c r="N730">
        <v>1010</v>
      </c>
      <c r="O730" t="s">
        <v>511</v>
      </c>
      <c r="P730" t="s">
        <v>511</v>
      </c>
      <c r="Q730">
        <v>1000</v>
      </c>
      <c r="X730">
        <v>4.0000000000000001E-3</v>
      </c>
      <c r="Y730">
        <v>226.68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 t="s">
        <v>3</v>
      </c>
      <c r="AG730">
        <v>4.0000000000000001E-3</v>
      </c>
      <c r="AH730">
        <v>2</v>
      </c>
      <c r="AI730">
        <v>56616973</v>
      </c>
      <c r="AJ730">
        <v>148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">
      <c r="A731">
        <f>ROW(Source!A150)</f>
        <v>150</v>
      </c>
      <c r="B731">
        <v>56616985</v>
      </c>
      <c r="C731">
        <v>56616964</v>
      </c>
      <c r="D731">
        <v>46735506</v>
      </c>
      <c r="E731">
        <v>1</v>
      </c>
      <c r="F731">
        <v>1</v>
      </c>
      <c r="G731">
        <v>27786564</v>
      </c>
      <c r="H731">
        <v>3</v>
      </c>
      <c r="I731" t="s">
        <v>512</v>
      </c>
      <c r="J731" t="s">
        <v>513</v>
      </c>
      <c r="K731" t="s">
        <v>514</v>
      </c>
      <c r="L731">
        <v>1301</v>
      </c>
      <c r="N731">
        <v>1003</v>
      </c>
      <c r="O731" t="s">
        <v>55</v>
      </c>
      <c r="P731" t="s">
        <v>55</v>
      </c>
      <c r="Q731">
        <v>1</v>
      </c>
      <c r="X731">
        <v>0.96</v>
      </c>
      <c r="Y731">
        <v>0.7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0</v>
      </c>
      <c r="AF731" t="s">
        <v>3</v>
      </c>
      <c r="AG731">
        <v>0.96</v>
      </c>
      <c r="AH731">
        <v>2</v>
      </c>
      <c r="AI731">
        <v>56616974</v>
      </c>
      <c r="AJ731">
        <v>149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">
      <c r="A732">
        <f>ROW(Source!A150)</f>
        <v>150</v>
      </c>
      <c r="B732">
        <v>56616986</v>
      </c>
      <c r="C732">
        <v>56616964</v>
      </c>
      <c r="D732">
        <v>46735508</v>
      </c>
      <c r="E732">
        <v>1</v>
      </c>
      <c r="F732">
        <v>1</v>
      </c>
      <c r="G732">
        <v>27786564</v>
      </c>
      <c r="H732">
        <v>3</v>
      </c>
      <c r="I732" t="s">
        <v>515</v>
      </c>
      <c r="J732" t="s">
        <v>516</v>
      </c>
      <c r="K732" t="s">
        <v>517</v>
      </c>
      <c r="L732">
        <v>1356</v>
      </c>
      <c r="N732">
        <v>1010</v>
      </c>
      <c r="O732" t="s">
        <v>511</v>
      </c>
      <c r="P732" t="s">
        <v>511</v>
      </c>
      <c r="Q732">
        <v>1000</v>
      </c>
      <c r="X732">
        <v>8.3199999999999993E-3</v>
      </c>
      <c r="Y732">
        <v>6.44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 t="s">
        <v>3</v>
      </c>
      <c r="AG732">
        <v>8.3199999999999993E-3</v>
      </c>
      <c r="AH732">
        <v>2</v>
      </c>
      <c r="AI732">
        <v>56616975</v>
      </c>
      <c r="AJ732">
        <v>150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2">
      <c r="A733">
        <f>ROW(Source!A150)</f>
        <v>150</v>
      </c>
      <c r="B733">
        <v>56616987</v>
      </c>
      <c r="C733">
        <v>56616964</v>
      </c>
      <c r="D733">
        <v>49717618</v>
      </c>
      <c r="E733">
        <v>27786564</v>
      </c>
      <c r="F733">
        <v>1</v>
      </c>
      <c r="G733">
        <v>27786564</v>
      </c>
      <c r="H733">
        <v>3</v>
      </c>
      <c r="I733" t="s">
        <v>554</v>
      </c>
      <c r="J733" t="s">
        <v>3</v>
      </c>
      <c r="K733" t="s">
        <v>555</v>
      </c>
      <c r="L733">
        <v>1303</v>
      </c>
      <c r="N733">
        <v>1003</v>
      </c>
      <c r="O733" t="s">
        <v>556</v>
      </c>
      <c r="P733" t="s">
        <v>556</v>
      </c>
      <c r="Q733">
        <v>1000</v>
      </c>
      <c r="X733">
        <v>0.10199999999999999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 t="s">
        <v>3</v>
      </c>
      <c r="AG733">
        <v>0.10199999999999999</v>
      </c>
      <c r="AH733">
        <v>3</v>
      </c>
      <c r="AI733">
        <v>-1</v>
      </c>
      <c r="AJ733" t="s">
        <v>3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">
      <c r="A734">
        <f>ROW(Source!A150)</f>
        <v>150</v>
      </c>
      <c r="B734">
        <v>56616988</v>
      </c>
      <c r="C734">
        <v>56616964</v>
      </c>
      <c r="D734">
        <v>46556476</v>
      </c>
      <c r="E734">
        <v>27786564</v>
      </c>
      <c r="F734">
        <v>1</v>
      </c>
      <c r="G734">
        <v>27786564</v>
      </c>
      <c r="H734">
        <v>3</v>
      </c>
      <c r="I734" t="s">
        <v>557</v>
      </c>
      <c r="J734" t="s">
        <v>3</v>
      </c>
      <c r="K734" t="s">
        <v>558</v>
      </c>
      <c r="L734">
        <v>1354</v>
      </c>
      <c r="N734">
        <v>1010</v>
      </c>
      <c r="O734" t="s">
        <v>88</v>
      </c>
      <c r="P734" t="s">
        <v>88</v>
      </c>
      <c r="Q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3</v>
      </c>
      <c r="AG734">
        <v>0</v>
      </c>
      <c r="AH734">
        <v>3</v>
      </c>
      <c r="AI734">
        <v>-1</v>
      </c>
      <c r="AJ734" t="s">
        <v>3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">
      <c r="A735">
        <f>ROW(Source!A151)</f>
        <v>151</v>
      </c>
      <c r="B735">
        <v>56617001</v>
      </c>
      <c r="C735">
        <v>56616989</v>
      </c>
      <c r="D735">
        <v>47634407</v>
      </c>
      <c r="E735">
        <v>27786564</v>
      </c>
      <c r="F735">
        <v>1</v>
      </c>
      <c r="G735">
        <v>27786564</v>
      </c>
      <c r="H735">
        <v>1</v>
      </c>
      <c r="I735" t="s">
        <v>439</v>
      </c>
      <c r="J735" t="s">
        <v>3</v>
      </c>
      <c r="K735" t="s">
        <v>440</v>
      </c>
      <c r="L735">
        <v>1191</v>
      </c>
      <c r="N735">
        <v>1013</v>
      </c>
      <c r="O735" t="s">
        <v>441</v>
      </c>
      <c r="P735" t="s">
        <v>441</v>
      </c>
      <c r="Q735">
        <v>1</v>
      </c>
      <c r="X735">
        <v>11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1</v>
      </c>
      <c r="AF735" t="s">
        <v>22</v>
      </c>
      <c r="AG735">
        <v>12.100000000000001</v>
      </c>
      <c r="AH735">
        <v>2</v>
      </c>
      <c r="AI735">
        <v>56616990</v>
      </c>
      <c r="AJ735">
        <v>151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">
      <c r="A736">
        <f>ROW(Source!A151)</f>
        <v>151</v>
      </c>
      <c r="B736">
        <v>56617002</v>
      </c>
      <c r="C736">
        <v>56616989</v>
      </c>
      <c r="D736">
        <v>47767106</v>
      </c>
      <c r="E736">
        <v>1</v>
      </c>
      <c r="F736">
        <v>1</v>
      </c>
      <c r="G736">
        <v>27786564</v>
      </c>
      <c r="H736">
        <v>2</v>
      </c>
      <c r="I736" t="s">
        <v>487</v>
      </c>
      <c r="J736" t="s">
        <v>488</v>
      </c>
      <c r="K736" t="s">
        <v>489</v>
      </c>
      <c r="L736">
        <v>1368</v>
      </c>
      <c r="N736">
        <v>1011</v>
      </c>
      <c r="O736" t="s">
        <v>445</v>
      </c>
      <c r="P736" t="s">
        <v>445</v>
      </c>
      <c r="Q736">
        <v>1</v>
      </c>
      <c r="X736">
        <v>1.48</v>
      </c>
      <c r="Y736">
        <v>0</v>
      </c>
      <c r="Z736">
        <v>83.1</v>
      </c>
      <c r="AA736">
        <v>12.62</v>
      </c>
      <c r="AB736">
        <v>0</v>
      </c>
      <c r="AC736">
        <v>0</v>
      </c>
      <c r="AD736">
        <v>1</v>
      </c>
      <c r="AE736">
        <v>0</v>
      </c>
      <c r="AF736" t="s">
        <v>22</v>
      </c>
      <c r="AG736">
        <v>1.6280000000000001</v>
      </c>
      <c r="AH736">
        <v>2</v>
      </c>
      <c r="AI736">
        <v>56616991</v>
      </c>
      <c r="AJ736">
        <v>152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">
      <c r="A737">
        <f>ROW(Source!A151)</f>
        <v>151</v>
      </c>
      <c r="B737">
        <v>56617003</v>
      </c>
      <c r="C737">
        <v>56616989</v>
      </c>
      <c r="D737">
        <v>47766545</v>
      </c>
      <c r="E737">
        <v>1</v>
      </c>
      <c r="F737">
        <v>1</v>
      </c>
      <c r="G737">
        <v>27786564</v>
      </c>
      <c r="H737">
        <v>2</v>
      </c>
      <c r="I737" t="s">
        <v>490</v>
      </c>
      <c r="J737" t="s">
        <v>491</v>
      </c>
      <c r="K737" t="s">
        <v>492</v>
      </c>
      <c r="L737">
        <v>1368</v>
      </c>
      <c r="N737">
        <v>1011</v>
      </c>
      <c r="O737" t="s">
        <v>445</v>
      </c>
      <c r="P737" t="s">
        <v>445</v>
      </c>
      <c r="Q737">
        <v>1</v>
      </c>
      <c r="X737">
        <v>2.4</v>
      </c>
      <c r="Y737">
        <v>0</v>
      </c>
      <c r="Z737">
        <v>0.73</v>
      </c>
      <c r="AA737">
        <v>0</v>
      </c>
      <c r="AB737">
        <v>0</v>
      </c>
      <c r="AC737">
        <v>0</v>
      </c>
      <c r="AD737">
        <v>1</v>
      </c>
      <c r="AE737">
        <v>0</v>
      </c>
      <c r="AF737" t="s">
        <v>22</v>
      </c>
      <c r="AG737">
        <v>2.64</v>
      </c>
      <c r="AH737">
        <v>2</v>
      </c>
      <c r="AI737">
        <v>56616992</v>
      </c>
      <c r="AJ737">
        <v>153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">
      <c r="A738">
        <f>ROW(Source!A151)</f>
        <v>151</v>
      </c>
      <c r="B738">
        <v>56617004</v>
      </c>
      <c r="C738">
        <v>56616989</v>
      </c>
      <c r="D738">
        <v>47766581</v>
      </c>
      <c r="E738">
        <v>1</v>
      </c>
      <c r="F738">
        <v>1</v>
      </c>
      <c r="G738">
        <v>27786564</v>
      </c>
      <c r="H738">
        <v>2</v>
      </c>
      <c r="I738" t="s">
        <v>493</v>
      </c>
      <c r="J738" t="s">
        <v>494</v>
      </c>
      <c r="K738" t="s">
        <v>495</v>
      </c>
      <c r="L738">
        <v>1368</v>
      </c>
      <c r="N738">
        <v>1011</v>
      </c>
      <c r="O738" t="s">
        <v>445</v>
      </c>
      <c r="P738" t="s">
        <v>445</v>
      </c>
      <c r="Q738">
        <v>1</v>
      </c>
      <c r="X738">
        <v>2.4</v>
      </c>
      <c r="Y738">
        <v>0</v>
      </c>
      <c r="Z738">
        <v>4</v>
      </c>
      <c r="AA738">
        <v>0</v>
      </c>
      <c r="AB738">
        <v>0</v>
      </c>
      <c r="AC738">
        <v>0</v>
      </c>
      <c r="AD738">
        <v>1</v>
      </c>
      <c r="AE738">
        <v>0</v>
      </c>
      <c r="AF738" t="s">
        <v>22</v>
      </c>
      <c r="AG738">
        <v>2.64</v>
      </c>
      <c r="AH738">
        <v>2</v>
      </c>
      <c r="AI738">
        <v>56616993</v>
      </c>
      <c r="AJ738">
        <v>154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">
      <c r="A739">
        <f>ROW(Source!A151)</f>
        <v>151</v>
      </c>
      <c r="B739">
        <v>56617005</v>
      </c>
      <c r="C739">
        <v>56616989</v>
      </c>
      <c r="D739">
        <v>46723498</v>
      </c>
      <c r="E739">
        <v>1</v>
      </c>
      <c r="F739">
        <v>1</v>
      </c>
      <c r="G739">
        <v>27786564</v>
      </c>
      <c r="H739">
        <v>3</v>
      </c>
      <c r="I739" t="s">
        <v>496</v>
      </c>
      <c r="J739" t="s">
        <v>497</v>
      </c>
      <c r="K739" t="s">
        <v>498</v>
      </c>
      <c r="L739">
        <v>1348</v>
      </c>
      <c r="N739">
        <v>1009</v>
      </c>
      <c r="O739" t="s">
        <v>367</v>
      </c>
      <c r="P739" t="s">
        <v>367</v>
      </c>
      <c r="Q739">
        <v>1000</v>
      </c>
      <c r="X739">
        <v>6.0000000000000002E-5</v>
      </c>
      <c r="Y739">
        <v>11242.42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 t="s">
        <v>3</v>
      </c>
      <c r="AG739">
        <v>6.0000000000000002E-5</v>
      </c>
      <c r="AH739">
        <v>2</v>
      </c>
      <c r="AI739">
        <v>56616994</v>
      </c>
      <c r="AJ739">
        <v>155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">
      <c r="A740">
        <f>ROW(Source!A151)</f>
        <v>151</v>
      </c>
      <c r="B740">
        <v>56617006</v>
      </c>
      <c r="C740">
        <v>56616989</v>
      </c>
      <c r="D740">
        <v>45796980</v>
      </c>
      <c r="E740">
        <v>1</v>
      </c>
      <c r="F740">
        <v>1</v>
      </c>
      <c r="G740">
        <v>27786564</v>
      </c>
      <c r="H740">
        <v>3</v>
      </c>
      <c r="I740" t="s">
        <v>499</v>
      </c>
      <c r="J740" t="s">
        <v>500</v>
      </c>
      <c r="K740" t="s">
        <v>501</v>
      </c>
      <c r="L740">
        <v>1346</v>
      </c>
      <c r="N740">
        <v>1009</v>
      </c>
      <c r="O740" t="s">
        <v>104</v>
      </c>
      <c r="P740" t="s">
        <v>104</v>
      </c>
      <c r="Q740">
        <v>1</v>
      </c>
      <c r="X740">
        <v>0.8</v>
      </c>
      <c r="Y740">
        <v>25.8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 t="s">
        <v>3</v>
      </c>
      <c r="AG740">
        <v>0.8</v>
      </c>
      <c r="AH740">
        <v>2</v>
      </c>
      <c r="AI740">
        <v>56616995</v>
      </c>
      <c r="AJ740">
        <v>156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">
      <c r="A741">
        <f>ROW(Source!A151)</f>
        <v>151</v>
      </c>
      <c r="B741">
        <v>56617007</v>
      </c>
      <c r="C741">
        <v>56616989</v>
      </c>
      <c r="D741">
        <v>46723689</v>
      </c>
      <c r="E741">
        <v>1</v>
      </c>
      <c r="F741">
        <v>1</v>
      </c>
      <c r="G741">
        <v>27786564</v>
      </c>
      <c r="H741">
        <v>3</v>
      </c>
      <c r="I741" t="s">
        <v>502</v>
      </c>
      <c r="J741" t="s">
        <v>503</v>
      </c>
      <c r="K741" t="s">
        <v>504</v>
      </c>
      <c r="L741">
        <v>1348</v>
      </c>
      <c r="N741">
        <v>1009</v>
      </c>
      <c r="O741" t="s">
        <v>367</v>
      </c>
      <c r="P741" t="s">
        <v>367</v>
      </c>
      <c r="Q741">
        <v>1000</v>
      </c>
      <c r="X741">
        <v>5.0000000000000001E-4</v>
      </c>
      <c r="Y741">
        <v>60966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 t="s">
        <v>3</v>
      </c>
      <c r="AG741">
        <v>5.0000000000000001E-4</v>
      </c>
      <c r="AH741">
        <v>2</v>
      </c>
      <c r="AI741">
        <v>56616996</v>
      </c>
      <c r="AJ741">
        <v>157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">
      <c r="A742">
        <f>ROW(Source!A151)</f>
        <v>151</v>
      </c>
      <c r="B742">
        <v>56617008</v>
      </c>
      <c r="C742">
        <v>56616989</v>
      </c>
      <c r="D742">
        <v>46723704</v>
      </c>
      <c r="E742">
        <v>1</v>
      </c>
      <c r="F742">
        <v>1</v>
      </c>
      <c r="G742">
        <v>27786564</v>
      </c>
      <c r="H742">
        <v>3</v>
      </c>
      <c r="I742" t="s">
        <v>505</v>
      </c>
      <c r="J742" t="s">
        <v>506</v>
      </c>
      <c r="K742" t="s">
        <v>507</v>
      </c>
      <c r="L742">
        <v>1348</v>
      </c>
      <c r="N742">
        <v>1009</v>
      </c>
      <c r="O742" t="s">
        <v>367</v>
      </c>
      <c r="P742" t="s">
        <v>367</v>
      </c>
      <c r="Q742">
        <v>1000</v>
      </c>
      <c r="X742">
        <v>4.0000000000000003E-5</v>
      </c>
      <c r="Y742">
        <v>7982.5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 t="s">
        <v>3</v>
      </c>
      <c r="AG742">
        <v>4.0000000000000003E-5</v>
      </c>
      <c r="AH742">
        <v>2</v>
      </c>
      <c r="AI742">
        <v>56616997</v>
      </c>
      <c r="AJ742">
        <v>158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">
      <c r="A743">
        <f>ROW(Source!A151)</f>
        <v>151</v>
      </c>
      <c r="B743">
        <v>56617009</v>
      </c>
      <c r="C743">
        <v>56616989</v>
      </c>
      <c r="D743">
        <v>46735845</v>
      </c>
      <c r="E743">
        <v>1</v>
      </c>
      <c r="F743">
        <v>1</v>
      </c>
      <c r="G743">
        <v>27786564</v>
      </c>
      <c r="H743">
        <v>3</v>
      </c>
      <c r="I743" t="s">
        <v>508</v>
      </c>
      <c r="J743" t="s">
        <v>553</v>
      </c>
      <c r="K743" t="s">
        <v>510</v>
      </c>
      <c r="L743">
        <v>1356</v>
      </c>
      <c r="N743">
        <v>1010</v>
      </c>
      <c r="O743" t="s">
        <v>511</v>
      </c>
      <c r="P743" t="s">
        <v>511</v>
      </c>
      <c r="Q743">
        <v>1000</v>
      </c>
      <c r="X743">
        <v>4.0000000000000001E-3</v>
      </c>
      <c r="Y743">
        <v>226.68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 t="s">
        <v>3</v>
      </c>
      <c r="AG743">
        <v>4.0000000000000001E-3</v>
      </c>
      <c r="AH743">
        <v>2</v>
      </c>
      <c r="AI743">
        <v>56616998</v>
      </c>
      <c r="AJ743">
        <v>159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">
      <c r="A744">
        <f>ROW(Source!A151)</f>
        <v>151</v>
      </c>
      <c r="B744">
        <v>56617010</v>
      </c>
      <c r="C744">
        <v>56616989</v>
      </c>
      <c r="D744">
        <v>46735506</v>
      </c>
      <c r="E744">
        <v>1</v>
      </c>
      <c r="F744">
        <v>1</v>
      </c>
      <c r="G744">
        <v>27786564</v>
      </c>
      <c r="H744">
        <v>3</v>
      </c>
      <c r="I744" t="s">
        <v>512</v>
      </c>
      <c r="J744" t="s">
        <v>513</v>
      </c>
      <c r="K744" t="s">
        <v>514</v>
      </c>
      <c r="L744">
        <v>1301</v>
      </c>
      <c r="N744">
        <v>1003</v>
      </c>
      <c r="O744" t="s">
        <v>55</v>
      </c>
      <c r="P744" t="s">
        <v>55</v>
      </c>
      <c r="Q744">
        <v>1</v>
      </c>
      <c r="X744">
        <v>0.96</v>
      </c>
      <c r="Y744">
        <v>0.7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0</v>
      </c>
      <c r="AF744" t="s">
        <v>3</v>
      </c>
      <c r="AG744">
        <v>0.96</v>
      </c>
      <c r="AH744">
        <v>2</v>
      </c>
      <c r="AI744">
        <v>56616999</v>
      </c>
      <c r="AJ744">
        <v>160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2">
      <c r="A745">
        <f>ROW(Source!A151)</f>
        <v>151</v>
      </c>
      <c r="B745">
        <v>56617011</v>
      </c>
      <c r="C745">
        <v>56616989</v>
      </c>
      <c r="D745">
        <v>46735508</v>
      </c>
      <c r="E745">
        <v>1</v>
      </c>
      <c r="F745">
        <v>1</v>
      </c>
      <c r="G745">
        <v>27786564</v>
      </c>
      <c r="H745">
        <v>3</v>
      </c>
      <c r="I745" t="s">
        <v>515</v>
      </c>
      <c r="J745" t="s">
        <v>516</v>
      </c>
      <c r="K745" t="s">
        <v>517</v>
      </c>
      <c r="L745">
        <v>1356</v>
      </c>
      <c r="N745">
        <v>1010</v>
      </c>
      <c r="O745" t="s">
        <v>511</v>
      </c>
      <c r="P745" t="s">
        <v>511</v>
      </c>
      <c r="Q745">
        <v>1000</v>
      </c>
      <c r="X745">
        <v>8.3199999999999993E-3</v>
      </c>
      <c r="Y745">
        <v>6.44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0</v>
      </c>
      <c r="AF745" t="s">
        <v>3</v>
      </c>
      <c r="AG745">
        <v>8.3199999999999993E-3</v>
      </c>
      <c r="AH745">
        <v>2</v>
      </c>
      <c r="AI745">
        <v>56617000</v>
      </c>
      <c r="AJ745">
        <v>161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x14ac:dyDescent="0.2">
      <c r="A746">
        <f>ROW(Source!A151)</f>
        <v>151</v>
      </c>
      <c r="B746">
        <v>56617012</v>
      </c>
      <c r="C746">
        <v>56616989</v>
      </c>
      <c r="D746">
        <v>49717618</v>
      </c>
      <c r="E746">
        <v>27786564</v>
      </c>
      <c r="F746">
        <v>1</v>
      </c>
      <c r="G746">
        <v>27786564</v>
      </c>
      <c r="H746">
        <v>3</v>
      </c>
      <c r="I746" t="s">
        <v>554</v>
      </c>
      <c r="J746" t="s">
        <v>3</v>
      </c>
      <c r="K746" t="s">
        <v>555</v>
      </c>
      <c r="L746">
        <v>1303</v>
      </c>
      <c r="N746">
        <v>1003</v>
      </c>
      <c r="O746" t="s">
        <v>556</v>
      </c>
      <c r="P746" t="s">
        <v>556</v>
      </c>
      <c r="Q746">
        <v>1000</v>
      </c>
      <c r="X746">
        <v>0.10199999999999999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 t="s">
        <v>3</v>
      </c>
      <c r="AG746">
        <v>0.10199999999999999</v>
      </c>
      <c r="AH746">
        <v>3</v>
      </c>
      <c r="AI746">
        <v>-1</v>
      </c>
      <c r="AJ746" t="s">
        <v>3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2">
      <c r="A747">
        <f>ROW(Source!A151)</f>
        <v>151</v>
      </c>
      <c r="B747">
        <v>56617013</v>
      </c>
      <c r="C747">
        <v>56616989</v>
      </c>
      <c r="D747">
        <v>46556476</v>
      </c>
      <c r="E747">
        <v>27786564</v>
      </c>
      <c r="F747">
        <v>1</v>
      </c>
      <c r="G747">
        <v>27786564</v>
      </c>
      <c r="H747">
        <v>3</v>
      </c>
      <c r="I747" t="s">
        <v>557</v>
      </c>
      <c r="J747" t="s">
        <v>3</v>
      </c>
      <c r="K747" t="s">
        <v>558</v>
      </c>
      <c r="L747">
        <v>1354</v>
      </c>
      <c r="N747">
        <v>1010</v>
      </c>
      <c r="O747" t="s">
        <v>88</v>
      </c>
      <c r="P747" t="s">
        <v>88</v>
      </c>
      <c r="Q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3</v>
      </c>
      <c r="AG747">
        <v>0</v>
      </c>
      <c r="AH747">
        <v>3</v>
      </c>
      <c r="AI747">
        <v>-1</v>
      </c>
      <c r="AJ747" t="s">
        <v>3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">
      <c r="A748">
        <f>ROW(Source!A152)</f>
        <v>152</v>
      </c>
      <c r="B748">
        <v>56617001</v>
      </c>
      <c r="C748">
        <v>56616989</v>
      </c>
      <c r="D748">
        <v>47634407</v>
      </c>
      <c r="E748">
        <v>27786564</v>
      </c>
      <c r="F748">
        <v>1</v>
      </c>
      <c r="G748">
        <v>27786564</v>
      </c>
      <c r="H748">
        <v>1</v>
      </c>
      <c r="I748" t="s">
        <v>439</v>
      </c>
      <c r="J748" t="s">
        <v>3</v>
      </c>
      <c r="K748" t="s">
        <v>440</v>
      </c>
      <c r="L748">
        <v>1191</v>
      </c>
      <c r="N748">
        <v>1013</v>
      </c>
      <c r="O748" t="s">
        <v>441</v>
      </c>
      <c r="P748" t="s">
        <v>441</v>
      </c>
      <c r="Q748">
        <v>1</v>
      </c>
      <c r="X748">
        <v>11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1</v>
      </c>
      <c r="AF748" t="s">
        <v>22</v>
      </c>
      <c r="AG748">
        <v>12.100000000000001</v>
      </c>
      <c r="AH748">
        <v>2</v>
      </c>
      <c r="AI748">
        <v>56616990</v>
      </c>
      <c r="AJ748">
        <v>162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2">
      <c r="A749">
        <f>ROW(Source!A152)</f>
        <v>152</v>
      </c>
      <c r="B749">
        <v>56617002</v>
      </c>
      <c r="C749">
        <v>56616989</v>
      </c>
      <c r="D749">
        <v>47767106</v>
      </c>
      <c r="E749">
        <v>1</v>
      </c>
      <c r="F749">
        <v>1</v>
      </c>
      <c r="G749">
        <v>27786564</v>
      </c>
      <c r="H749">
        <v>2</v>
      </c>
      <c r="I749" t="s">
        <v>487</v>
      </c>
      <c r="J749" t="s">
        <v>488</v>
      </c>
      <c r="K749" t="s">
        <v>489</v>
      </c>
      <c r="L749">
        <v>1368</v>
      </c>
      <c r="N749">
        <v>1011</v>
      </c>
      <c r="O749" t="s">
        <v>445</v>
      </c>
      <c r="P749" t="s">
        <v>445</v>
      </c>
      <c r="Q749">
        <v>1</v>
      </c>
      <c r="X749">
        <v>1.48</v>
      </c>
      <c r="Y749">
        <v>0</v>
      </c>
      <c r="Z749">
        <v>83.1</v>
      </c>
      <c r="AA749">
        <v>12.62</v>
      </c>
      <c r="AB749">
        <v>0</v>
      </c>
      <c r="AC749">
        <v>0</v>
      </c>
      <c r="AD749">
        <v>1</v>
      </c>
      <c r="AE749">
        <v>0</v>
      </c>
      <c r="AF749" t="s">
        <v>22</v>
      </c>
      <c r="AG749">
        <v>1.6280000000000001</v>
      </c>
      <c r="AH749">
        <v>2</v>
      </c>
      <c r="AI749">
        <v>56616991</v>
      </c>
      <c r="AJ749">
        <v>163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x14ac:dyDescent="0.2">
      <c r="A750">
        <f>ROW(Source!A152)</f>
        <v>152</v>
      </c>
      <c r="B750">
        <v>56617003</v>
      </c>
      <c r="C750">
        <v>56616989</v>
      </c>
      <c r="D750">
        <v>47766545</v>
      </c>
      <c r="E750">
        <v>1</v>
      </c>
      <c r="F750">
        <v>1</v>
      </c>
      <c r="G750">
        <v>27786564</v>
      </c>
      <c r="H750">
        <v>2</v>
      </c>
      <c r="I750" t="s">
        <v>490</v>
      </c>
      <c r="J750" t="s">
        <v>491</v>
      </c>
      <c r="K750" t="s">
        <v>492</v>
      </c>
      <c r="L750">
        <v>1368</v>
      </c>
      <c r="N750">
        <v>1011</v>
      </c>
      <c r="O750" t="s">
        <v>445</v>
      </c>
      <c r="P750" t="s">
        <v>445</v>
      </c>
      <c r="Q750">
        <v>1</v>
      </c>
      <c r="X750">
        <v>2.4</v>
      </c>
      <c r="Y750">
        <v>0</v>
      </c>
      <c r="Z750">
        <v>0.73</v>
      </c>
      <c r="AA750">
        <v>0</v>
      </c>
      <c r="AB750">
        <v>0</v>
      </c>
      <c r="AC750">
        <v>0</v>
      </c>
      <c r="AD750">
        <v>1</v>
      </c>
      <c r="AE750">
        <v>0</v>
      </c>
      <c r="AF750" t="s">
        <v>22</v>
      </c>
      <c r="AG750">
        <v>2.64</v>
      </c>
      <c r="AH750">
        <v>2</v>
      </c>
      <c r="AI750">
        <v>56616992</v>
      </c>
      <c r="AJ750">
        <v>164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">
      <c r="A751">
        <f>ROW(Source!A152)</f>
        <v>152</v>
      </c>
      <c r="B751">
        <v>56617004</v>
      </c>
      <c r="C751">
        <v>56616989</v>
      </c>
      <c r="D751">
        <v>47766581</v>
      </c>
      <c r="E751">
        <v>1</v>
      </c>
      <c r="F751">
        <v>1</v>
      </c>
      <c r="G751">
        <v>27786564</v>
      </c>
      <c r="H751">
        <v>2</v>
      </c>
      <c r="I751" t="s">
        <v>493</v>
      </c>
      <c r="J751" t="s">
        <v>494</v>
      </c>
      <c r="K751" t="s">
        <v>495</v>
      </c>
      <c r="L751">
        <v>1368</v>
      </c>
      <c r="N751">
        <v>1011</v>
      </c>
      <c r="O751" t="s">
        <v>445</v>
      </c>
      <c r="P751" t="s">
        <v>445</v>
      </c>
      <c r="Q751">
        <v>1</v>
      </c>
      <c r="X751">
        <v>2.4</v>
      </c>
      <c r="Y751">
        <v>0</v>
      </c>
      <c r="Z751">
        <v>4</v>
      </c>
      <c r="AA751">
        <v>0</v>
      </c>
      <c r="AB751">
        <v>0</v>
      </c>
      <c r="AC751">
        <v>0</v>
      </c>
      <c r="AD751">
        <v>1</v>
      </c>
      <c r="AE751">
        <v>0</v>
      </c>
      <c r="AF751" t="s">
        <v>22</v>
      </c>
      <c r="AG751">
        <v>2.64</v>
      </c>
      <c r="AH751">
        <v>2</v>
      </c>
      <c r="AI751">
        <v>56616993</v>
      </c>
      <c r="AJ751">
        <v>165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2">
      <c r="A752">
        <f>ROW(Source!A152)</f>
        <v>152</v>
      </c>
      <c r="B752">
        <v>56617005</v>
      </c>
      <c r="C752">
        <v>56616989</v>
      </c>
      <c r="D752">
        <v>46723498</v>
      </c>
      <c r="E752">
        <v>1</v>
      </c>
      <c r="F752">
        <v>1</v>
      </c>
      <c r="G752">
        <v>27786564</v>
      </c>
      <c r="H752">
        <v>3</v>
      </c>
      <c r="I752" t="s">
        <v>496</v>
      </c>
      <c r="J752" t="s">
        <v>497</v>
      </c>
      <c r="K752" t="s">
        <v>498</v>
      </c>
      <c r="L752">
        <v>1348</v>
      </c>
      <c r="N752">
        <v>1009</v>
      </c>
      <c r="O752" t="s">
        <v>367</v>
      </c>
      <c r="P752" t="s">
        <v>367</v>
      </c>
      <c r="Q752">
        <v>1000</v>
      </c>
      <c r="X752">
        <v>6.0000000000000002E-5</v>
      </c>
      <c r="Y752">
        <v>11242.42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 t="s">
        <v>3</v>
      </c>
      <c r="AG752">
        <v>6.0000000000000002E-5</v>
      </c>
      <c r="AH752">
        <v>2</v>
      </c>
      <c r="AI752">
        <v>56616994</v>
      </c>
      <c r="AJ752">
        <v>166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">
      <c r="A753">
        <f>ROW(Source!A152)</f>
        <v>152</v>
      </c>
      <c r="B753">
        <v>56617006</v>
      </c>
      <c r="C753">
        <v>56616989</v>
      </c>
      <c r="D753">
        <v>45796980</v>
      </c>
      <c r="E753">
        <v>1</v>
      </c>
      <c r="F753">
        <v>1</v>
      </c>
      <c r="G753">
        <v>27786564</v>
      </c>
      <c r="H753">
        <v>3</v>
      </c>
      <c r="I753" t="s">
        <v>499</v>
      </c>
      <c r="J753" t="s">
        <v>500</v>
      </c>
      <c r="K753" t="s">
        <v>501</v>
      </c>
      <c r="L753">
        <v>1346</v>
      </c>
      <c r="N753">
        <v>1009</v>
      </c>
      <c r="O753" t="s">
        <v>104</v>
      </c>
      <c r="P753" t="s">
        <v>104</v>
      </c>
      <c r="Q753">
        <v>1</v>
      </c>
      <c r="X753">
        <v>0.8</v>
      </c>
      <c r="Y753">
        <v>25.8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 t="s">
        <v>3</v>
      </c>
      <c r="AG753">
        <v>0.8</v>
      </c>
      <c r="AH753">
        <v>2</v>
      </c>
      <c r="AI753">
        <v>56616995</v>
      </c>
      <c r="AJ753">
        <v>167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2">
      <c r="A754">
        <f>ROW(Source!A152)</f>
        <v>152</v>
      </c>
      <c r="B754">
        <v>56617007</v>
      </c>
      <c r="C754">
        <v>56616989</v>
      </c>
      <c r="D754">
        <v>46723689</v>
      </c>
      <c r="E754">
        <v>1</v>
      </c>
      <c r="F754">
        <v>1</v>
      </c>
      <c r="G754">
        <v>27786564</v>
      </c>
      <c r="H754">
        <v>3</v>
      </c>
      <c r="I754" t="s">
        <v>502</v>
      </c>
      <c r="J754" t="s">
        <v>503</v>
      </c>
      <c r="K754" t="s">
        <v>504</v>
      </c>
      <c r="L754">
        <v>1348</v>
      </c>
      <c r="N754">
        <v>1009</v>
      </c>
      <c r="O754" t="s">
        <v>367</v>
      </c>
      <c r="P754" t="s">
        <v>367</v>
      </c>
      <c r="Q754">
        <v>1000</v>
      </c>
      <c r="X754">
        <v>5.0000000000000001E-4</v>
      </c>
      <c r="Y754">
        <v>60966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 t="s">
        <v>3</v>
      </c>
      <c r="AG754">
        <v>5.0000000000000001E-4</v>
      </c>
      <c r="AH754">
        <v>2</v>
      </c>
      <c r="AI754">
        <v>56616996</v>
      </c>
      <c r="AJ754">
        <v>168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x14ac:dyDescent="0.2">
      <c r="A755">
        <f>ROW(Source!A152)</f>
        <v>152</v>
      </c>
      <c r="B755">
        <v>56617008</v>
      </c>
      <c r="C755">
        <v>56616989</v>
      </c>
      <c r="D755">
        <v>46723704</v>
      </c>
      <c r="E755">
        <v>1</v>
      </c>
      <c r="F755">
        <v>1</v>
      </c>
      <c r="G755">
        <v>27786564</v>
      </c>
      <c r="H755">
        <v>3</v>
      </c>
      <c r="I755" t="s">
        <v>505</v>
      </c>
      <c r="J755" t="s">
        <v>506</v>
      </c>
      <c r="K755" t="s">
        <v>507</v>
      </c>
      <c r="L755">
        <v>1348</v>
      </c>
      <c r="N755">
        <v>1009</v>
      </c>
      <c r="O755" t="s">
        <v>367</v>
      </c>
      <c r="P755" t="s">
        <v>367</v>
      </c>
      <c r="Q755">
        <v>1000</v>
      </c>
      <c r="X755">
        <v>4.0000000000000003E-5</v>
      </c>
      <c r="Y755">
        <v>7982.5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 t="s">
        <v>3</v>
      </c>
      <c r="AG755">
        <v>4.0000000000000003E-5</v>
      </c>
      <c r="AH755">
        <v>2</v>
      </c>
      <c r="AI755">
        <v>56616997</v>
      </c>
      <c r="AJ755">
        <v>169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x14ac:dyDescent="0.2">
      <c r="A756">
        <f>ROW(Source!A152)</f>
        <v>152</v>
      </c>
      <c r="B756">
        <v>56617009</v>
      </c>
      <c r="C756">
        <v>56616989</v>
      </c>
      <c r="D756">
        <v>46735845</v>
      </c>
      <c r="E756">
        <v>1</v>
      </c>
      <c r="F756">
        <v>1</v>
      </c>
      <c r="G756">
        <v>27786564</v>
      </c>
      <c r="H756">
        <v>3</v>
      </c>
      <c r="I756" t="s">
        <v>508</v>
      </c>
      <c r="J756" t="s">
        <v>553</v>
      </c>
      <c r="K756" t="s">
        <v>510</v>
      </c>
      <c r="L756">
        <v>1356</v>
      </c>
      <c r="N756">
        <v>1010</v>
      </c>
      <c r="O756" t="s">
        <v>511</v>
      </c>
      <c r="P756" t="s">
        <v>511</v>
      </c>
      <c r="Q756">
        <v>1000</v>
      </c>
      <c r="X756">
        <v>4.0000000000000001E-3</v>
      </c>
      <c r="Y756">
        <v>226.68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 t="s">
        <v>3</v>
      </c>
      <c r="AG756">
        <v>4.0000000000000001E-3</v>
      </c>
      <c r="AH756">
        <v>2</v>
      </c>
      <c r="AI756">
        <v>56616998</v>
      </c>
      <c r="AJ756">
        <v>170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x14ac:dyDescent="0.2">
      <c r="A757">
        <f>ROW(Source!A152)</f>
        <v>152</v>
      </c>
      <c r="B757">
        <v>56617010</v>
      </c>
      <c r="C757">
        <v>56616989</v>
      </c>
      <c r="D757">
        <v>46735506</v>
      </c>
      <c r="E757">
        <v>1</v>
      </c>
      <c r="F757">
        <v>1</v>
      </c>
      <c r="G757">
        <v>27786564</v>
      </c>
      <c r="H757">
        <v>3</v>
      </c>
      <c r="I757" t="s">
        <v>512</v>
      </c>
      <c r="J757" t="s">
        <v>513</v>
      </c>
      <c r="K757" t="s">
        <v>514</v>
      </c>
      <c r="L757">
        <v>1301</v>
      </c>
      <c r="N757">
        <v>1003</v>
      </c>
      <c r="O757" t="s">
        <v>55</v>
      </c>
      <c r="P757" t="s">
        <v>55</v>
      </c>
      <c r="Q757">
        <v>1</v>
      </c>
      <c r="X757">
        <v>0.96</v>
      </c>
      <c r="Y757">
        <v>0.7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 t="s">
        <v>3</v>
      </c>
      <c r="AG757">
        <v>0.96</v>
      </c>
      <c r="AH757">
        <v>2</v>
      </c>
      <c r="AI757">
        <v>56616999</v>
      </c>
      <c r="AJ757">
        <v>171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2">
      <c r="A758">
        <f>ROW(Source!A152)</f>
        <v>152</v>
      </c>
      <c r="B758">
        <v>56617011</v>
      </c>
      <c r="C758">
        <v>56616989</v>
      </c>
      <c r="D758">
        <v>46735508</v>
      </c>
      <c r="E758">
        <v>1</v>
      </c>
      <c r="F758">
        <v>1</v>
      </c>
      <c r="G758">
        <v>27786564</v>
      </c>
      <c r="H758">
        <v>3</v>
      </c>
      <c r="I758" t="s">
        <v>515</v>
      </c>
      <c r="J758" t="s">
        <v>516</v>
      </c>
      <c r="K758" t="s">
        <v>517</v>
      </c>
      <c r="L758">
        <v>1356</v>
      </c>
      <c r="N758">
        <v>1010</v>
      </c>
      <c r="O758" t="s">
        <v>511</v>
      </c>
      <c r="P758" t="s">
        <v>511</v>
      </c>
      <c r="Q758">
        <v>1000</v>
      </c>
      <c r="X758">
        <v>8.3199999999999993E-3</v>
      </c>
      <c r="Y758">
        <v>6.44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0</v>
      </c>
      <c r="AF758" t="s">
        <v>3</v>
      </c>
      <c r="AG758">
        <v>8.3199999999999993E-3</v>
      </c>
      <c r="AH758">
        <v>2</v>
      </c>
      <c r="AI758">
        <v>56617000</v>
      </c>
      <c r="AJ758">
        <v>172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2">
      <c r="A759">
        <f>ROW(Source!A152)</f>
        <v>152</v>
      </c>
      <c r="B759">
        <v>56617012</v>
      </c>
      <c r="C759">
        <v>56616989</v>
      </c>
      <c r="D759">
        <v>49717618</v>
      </c>
      <c r="E759">
        <v>27786564</v>
      </c>
      <c r="F759">
        <v>1</v>
      </c>
      <c r="G759">
        <v>27786564</v>
      </c>
      <c r="H759">
        <v>3</v>
      </c>
      <c r="I759" t="s">
        <v>554</v>
      </c>
      <c r="J759" t="s">
        <v>3</v>
      </c>
      <c r="K759" t="s">
        <v>555</v>
      </c>
      <c r="L759">
        <v>1303</v>
      </c>
      <c r="N759">
        <v>1003</v>
      </c>
      <c r="O759" t="s">
        <v>556</v>
      </c>
      <c r="P759" t="s">
        <v>556</v>
      </c>
      <c r="Q759">
        <v>1000</v>
      </c>
      <c r="X759">
        <v>0.10199999999999999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3</v>
      </c>
      <c r="AG759">
        <v>0.10199999999999999</v>
      </c>
      <c r="AH759">
        <v>3</v>
      </c>
      <c r="AI759">
        <v>-1</v>
      </c>
      <c r="AJ759" t="s">
        <v>3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2">
      <c r="A760">
        <f>ROW(Source!A152)</f>
        <v>152</v>
      </c>
      <c r="B760">
        <v>56617013</v>
      </c>
      <c r="C760">
        <v>56616989</v>
      </c>
      <c r="D760">
        <v>46556476</v>
      </c>
      <c r="E760">
        <v>27786564</v>
      </c>
      <c r="F760">
        <v>1</v>
      </c>
      <c r="G760">
        <v>27786564</v>
      </c>
      <c r="H760">
        <v>3</v>
      </c>
      <c r="I760" t="s">
        <v>557</v>
      </c>
      <c r="J760" t="s">
        <v>3</v>
      </c>
      <c r="K760" t="s">
        <v>558</v>
      </c>
      <c r="L760">
        <v>1354</v>
      </c>
      <c r="N760">
        <v>1010</v>
      </c>
      <c r="O760" t="s">
        <v>88</v>
      </c>
      <c r="P760" t="s">
        <v>88</v>
      </c>
      <c r="Q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3</v>
      </c>
      <c r="AG760">
        <v>0</v>
      </c>
      <c r="AH760">
        <v>3</v>
      </c>
      <c r="AI760">
        <v>-1</v>
      </c>
      <c r="AJ760" t="s">
        <v>3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2">
      <c r="A761">
        <f>ROW(Source!A153)</f>
        <v>153</v>
      </c>
      <c r="B761">
        <v>56617016</v>
      </c>
      <c r="C761">
        <v>56617014</v>
      </c>
      <c r="D761">
        <v>47634407</v>
      </c>
      <c r="E761">
        <v>27786564</v>
      </c>
      <c r="F761">
        <v>1</v>
      </c>
      <c r="G761">
        <v>27786564</v>
      </c>
      <c r="H761">
        <v>1</v>
      </c>
      <c r="I761" t="s">
        <v>439</v>
      </c>
      <c r="J761" t="s">
        <v>3</v>
      </c>
      <c r="K761" t="s">
        <v>440</v>
      </c>
      <c r="L761">
        <v>1191</v>
      </c>
      <c r="N761">
        <v>1013</v>
      </c>
      <c r="O761" t="s">
        <v>441</v>
      </c>
      <c r="P761" t="s">
        <v>441</v>
      </c>
      <c r="Q761">
        <v>1</v>
      </c>
      <c r="X761">
        <v>11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1</v>
      </c>
      <c r="AF761" t="s">
        <v>22</v>
      </c>
      <c r="AG761">
        <v>12.100000000000001</v>
      </c>
      <c r="AH761">
        <v>2</v>
      </c>
      <c r="AI761">
        <v>56617015</v>
      </c>
      <c r="AJ761">
        <v>173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2">
      <c r="A762">
        <f>ROW(Source!A153)</f>
        <v>153</v>
      </c>
      <c r="B762">
        <v>56617017</v>
      </c>
      <c r="C762">
        <v>56617014</v>
      </c>
      <c r="D762">
        <v>47767106</v>
      </c>
      <c r="E762">
        <v>1</v>
      </c>
      <c r="F762">
        <v>1</v>
      </c>
      <c r="G762">
        <v>27786564</v>
      </c>
      <c r="H762">
        <v>2</v>
      </c>
      <c r="I762" t="s">
        <v>487</v>
      </c>
      <c r="J762" t="s">
        <v>488</v>
      </c>
      <c r="K762" t="s">
        <v>489</v>
      </c>
      <c r="L762">
        <v>1368</v>
      </c>
      <c r="N762">
        <v>1011</v>
      </c>
      <c r="O762" t="s">
        <v>445</v>
      </c>
      <c r="P762" t="s">
        <v>445</v>
      </c>
      <c r="Q762">
        <v>1</v>
      </c>
      <c r="X762">
        <v>1.48</v>
      </c>
      <c r="Y762">
        <v>0</v>
      </c>
      <c r="Z762">
        <v>83.1</v>
      </c>
      <c r="AA762">
        <v>12.62</v>
      </c>
      <c r="AB762">
        <v>0</v>
      </c>
      <c r="AC762">
        <v>0</v>
      </c>
      <c r="AD762">
        <v>1</v>
      </c>
      <c r="AE762">
        <v>0</v>
      </c>
      <c r="AF762" t="s">
        <v>22</v>
      </c>
      <c r="AG762">
        <v>1.6280000000000001</v>
      </c>
      <c r="AH762">
        <v>3</v>
      </c>
      <c r="AI762">
        <v>-1</v>
      </c>
      <c r="AJ762" t="s">
        <v>3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2">
      <c r="A763">
        <f>ROW(Source!A153)</f>
        <v>153</v>
      </c>
      <c r="B763">
        <v>56617018</v>
      </c>
      <c r="C763">
        <v>56617014</v>
      </c>
      <c r="D763">
        <v>47766545</v>
      </c>
      <c r="E763">
        <v>1</v>
      </c>
      <c r="F763">
        <v>1</v>
      </c>
      <c r="G763">
        <v>27786564</v>
      </c>
      <c r="H763">
        <v>2</v>
      </c>
      <c r="I763" t="s">
        <v>490</v>
      </c>
      <c r="J763" t="s">
        <v>491</v>
      </c>
      <c r="K763" t="s">
        <v>492</v>
      </c>
      <c r="L763">
        <v>1368</v>
      </c>
      <c r="N763">
        <v>1011</v>
      </c>
      <c r="O763" t="s">
        <v>445</v>
      </c>
      <c r="P763" t="s">
        <v>445</v>
      </c>
      <c r="Q763">
        <v>1</v>
      </c>
      <c r="X763">
        <v>2.4</v>
      </c>
      <c r="Y763">
        <v>0</v>
      </c>
      <c r="Z763">
        <v>0.73</v>
      </c>
      <c r="AA763">
        <v>0</v>
      </c>
      <c r="AB763">
        <v>0</v>
      </c>
      <c r="AC763">
        <v>0</v>
      </c>
      <c r="AD763">
        <v>1</v>
      </c>
      <c r="AE763">
        <v>0</v>
      </c>
      <c r="AF763" t="s">
        <v>22</v>
      </c>
      <c r="AG763">
        <v>2.64</v>
      </c>
      <c r="AH763">
        <v>3</v>
      </c>
      <c r="AI763">
        <v>-1</v>
      </c>
      <c r="AJ763" t="s">
        <v>3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2">
      <c r="A764">
        <f>ROW(Source!A153)</f>
        <v>153</v>
      </c>
      <c r="B764">
        <v>56617019</v>
      </c>
      <c r="C764">
        <v>56617014</v>
      </c>
      <c r="D764">
        <v>47766581</v>
      </c>
      <c r="E764">
        <v>1</v>
      </c>
      <c r="F764">
        <v>1</v>
      </c>
      <c r="G764">
        <v>27786564</v>
      </c>
      <c r="H764">
        <v>2</v>
      </c>
      <c r="I764" t="s">
        <v>493</v>
      </c>
      <c r="J764" t="s">
        <v>494</v>
      </c>
      <c r="K764" t="s">
        <v>495</v>
      </c>
      <c r="L764">
        <v>1368</v>
      </c>
      <c r="N764">
        <v>1011</v>
      </c>
      <c r="O764" t="s">
        <v>445</v>
      </c>
      <c r="P764" t="s">
        <v>445</v>
      </c>
      <c r="Q764">
        <v>1</v>
      </c>
      <c r="X764">
        <v>2.4</v>
      </c>
      <c r="Y764">
        <v>0</v>
      </c>
      <c r="Z764">
        <v>4</v>
      </c>
      <c r="AA764">
        <v>0</v>
      </c>
      <c r="AB764">
        <v>0</v>
      </c>
      <c r="AC764">
        <v>0</v>
      </c>
      <c r="AD764">
        <v>1</v>
      </c>
      <c r="AE764">
        <v>0</v>
      </c>
      <c r="AF764" t="s">
        <v>22</v>
      </c>
      <c r="AG764">
        <v>2.64</v>
      </c>
      <c r="AH764">
        <v>3</v>
      </c>
      <c r="AI764">
        <v>-1</v>
      </c>
      <c r="AJ764" t="s">
        <v>3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2">
      <c r="A765">
        <f>ROW(Source!A153)</f>
        <v>153</v>
      </c>
      <c r="B765">
        <v>56617020</v>
      </c>
      <c r="C765">
        <v>56617014</v>
      </c>
      <c r="D765">
        <v>46723498</v>
      </c>
      <c r="E765">
        <v>1</v>
      </c>
      <c r="F765">
        <v>1</v>
      </c>
      <c r="G765">
        <v>27786564</v>
      </c>
      <c r="H765">
        <v>3</v>
      </c>
      <c r="I765" t="s">
        <v>496</v>
      </c>
      <c r="J765" t="s">
        <v>497</v>
      </c>
      <c r="K765" t="s">
        <v>498</v>
      </c>
      <c r="L765">
        <v>1348</v>
      </c>
      <c r="N765">
        <v>1009</v>
      </c>
      <c r="O765" t="s">
        <v>367</v>
      </c>
      <c r="P765" t="s">
        <v>367</v>
      </c>
      <c r="Q765">
        <v>1000</v>
      </c>
      <c r="X765">
        <v>6.0000000000000002E-5</v>
      </c>
      <c r="Y765">
        <v>11242.42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 t="s">
        <v>3</v>
      </c>
      <c r="AG765">
        <v>6.0000000000000002E-5</v>
      </c>
      <c r="AH765">
        <v>3</v>
      </c>
      <c r="AI765">
        <v>-1</v>
      </c>
      <c r="AJ765" t="s">
        <v>3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2">
      <c r="A766">
        <f>ROW(Source!A153)</f>
        <v>153</v>
      </c>
      <c r="B766">
        <v>56617021</v>
      </c>
      <c r="C766">
        <v>56617014</v>
      </c>
      <c r="D766">
        <v>45796980</v>
      </c>
      <c r="E766">
        <v>1</v>
      </c>
      <c r="F766">
        <v>1</v>
      </c>
      <c r="G766">
        <v>27786564</v>
      </c>
      <c r="H766">
        <v>3</v>
      </c>
      <c r="I766" t="s">
        <v>499</v>
      </c>
      <c r="J766" t="s">
        <v>500</v>
      </c>
      <c r="K766" t="s">
        <v>501</v>
      </c>
      <c r="L766">
        <v>1346</v>
      </c>
      <c r="N766">
        <v>1009</v>
      </c>
      <c r="O766" t="s">
        <v>104</v>
      </c>
      <c r="P766" t="s">
        <v>104</v>
      </c>
      <c r="Q766">
        <v>1</v>
      </c>
      <c r="X766">
        <v>0.8</v>
      </c>
      <c r="Y766">
        <v>25.8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 t="s">
        <v>3</v>
      </c>
      <c r="AG766">
        <v>0.8</v>
      </c>
      <c r="AH766">
        <v>3</v>
      </c>
      <c r="AI766">
        <v>-1</v>
      </c>
      <c r="AJ766" t="s">
        <v>3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x14ac:dyDescent="0.2">
      <c r="A767">
        <f>ROW(Source!A153)</f>
        <v>153</v>
      </c>
      <c r="B767">
        <v>56617022</v>
      </c>
      <c r="C767">
        <v>56617014</v>
      </c>
      <c r="D767">
        <v>46723689</v>
      </c>
      <c r="E767">
        <v>1</v>
      </c>
      <c r="F767">
        <v>1</v>
      </c>
      <c r="G767">
        <v>27786564</v>
      </c>
      <c r="H767">
        <v>3</v>
      </c>
      <c r="I767" t="s">
        <v>502</v>
      </c>
      <c r="J767" t="s">
        <v>503</v>
      </c>
      <c r="K767" t="s">
        <v>504</v>
      </c>
      <c r="L767">
        <v>1348</v>
      </c>
      <c r="N767">
        <v>1009</v>
      </c>
      <c r="O767" t="s">
        <v>367</v>
      </c>
      <c r="P767" t="s">
        <v>367</v>
      </c>
      <c r="Q767">
        <v>1000</v>
      </c>
      <c r="X767">
        <v>5.0000000000000001E-4</v>
      </c>
      <c r="Y767">
        <v>60966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 t="s">
        <v>3</v>
      </c>
      <c r="AG767">
        <v>5.0000000000000001E-4</v>
      </c>
      <c r="AH767">
        <v>3</v>
      </c>
      <c r="AI767">
        <v>-1</v>
      </c>
      <c r="AJ767" t="s">
        <v>3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2">
      <c r="A768">
        <f>ROW(Source!A153)</f>
        <v>153</v>
      </c>
      <c r="B768">
        <v>56617023</v>
      </c>
      <c r="C768">
        <v>56617014</v>
      </c>
      <c r="D768">
        <v>46723704</v>
      </c>
      <c r="E768">
        <v>1</v>
      </c>
      <c r="F768">
        <v>1</v>
      </c>
      <c r="G768">
        <v>27786564</v>
      </c>
      <c r="H768">
        <v>3</v>
      </c>
      <c r="I768" t="s">
        <v>505</v>
      </c>
      <c r="J768" t="s">
        <v>506</v>
      </c>
      <c r="K768" t="s">
        <v>507</v>
      </c>
      <c r="L768">
        <v>1348</v>
      </c>
      <c r="N768">
        <v>1009</v>
      </c>
      <c r="O768" t="s">
        <v>367</v>
      </c>
      <c r="P768" t="s">
        <v>367</v>
      </c>
      <c r="Q768">
        <v>1000</v>
      </c>
      <c r="X768">
        <v>4.0000000000000003E-5</v>
      </c>
      <c r="Y768">
        <v>7982.5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 t="s">
        <v>3</v>
      </c>
      <c r="AG768">
        <v>4.0000000000000003E-5</v>
      </c>
      <c r="AH768">
        <v>3</v>
      </c>
      <c r="AI768">
        <v>-1</v>
      </c>
      <c r="AJ768" t="s">
        <v>3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 x14ac:dyDescent="0.2">
      <c r="A769">
        <f>ROW(Source!A153)</f>
        <v>153</v>
      </c>
      <c r="B769">
        <v>56617024</v>
      </c>
      <c r="C769">
        <v>56617014</v>
      </c>
      <c r="D769">
        <v>46735845</v>
      </c>
      <c r="E769">
        <v>1</v>
      </c>
      <c r="F769">
        <v>1</v>
      </c>
      <c r="G769">
        <v>27786564</v>
      </c>
      <c r="H769">
        <v>3</v>
      </c>
      <c r="I769" t="s">
        <v>508</v>
      </c>
      <c r="J769" t="s">
        <v>553</v>
      </c>
      <c r="K769" t="s">
        <v>510</v>
      </c>
      <c r="L769">
        <v>1356</v>
      </c>
      <c r="N769">
        <v>1010</v>
      </c>
      <c r="O769" t="s">
        <v>511</v>
      </c>
      <c r="P769" t="s">
        <v>511</v>
      </c>
      <c r="Q769">
        <v>1000</v>
      </c>
      <c r="X769">
        <v>4.0000000000000001E-3</v>
      </c>
      <c r="Y769">
        <v>226.68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 t="s">
        <v>3</v>
      </c>
      <c r="AG769">
        <v>4.0000000000000001E-3</v>
      </c>
      <c r="AH769">
        <v>3</v>
      </c>
      <c r="AI769">
        <v>-1</v>
      </c>
      <c r="AJ769" t="s">
        <v>3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2">
      <c r="A770">
        <f>ROW(Source!A153)</f>
        <v>153</v>
      </c>
      <c r="B770">
        <v>56617025</v>
      </c>
      <c r="C770">
        <v>56617014</v>
      </c>
      <c r="D770">
        <v>46735506</v>
      </c>
      <c r="E770">
        <v>1</v>
      </c>
      <c r="F770">
        <v>1</v>
      </c>
      <c r="G770">
        <v>27786564</v>
      </c>
      <c r="H770">
        <v>3</v>
      </c>
      <c r="I770" t="s">
        <v>512</v>
      </c>
      <c r="J770" t="s">
        <v>513</v>
      </c>
      <c r="K770" t="s">
        <v>514</v>
      </c>
      <c r="L770">
        <v>1301</v>
      </c>
      <c r="N770">
        <v>1003</v>
      </c>
      <c r="O770" t="s">
        <v>55</v>
      </c>
      <c r="P770" t="s">
        <v>55</v>
      </c>
      <c r="Q770">
        <v>1</v>
      </c>
      <c r="X770">
        <v>0.96</v>
      </c>
      <c r="Y770">
        <v>0.7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 t="s">
        <v>3</v>
      </c>
      <c r="AG770">
        <v>0.96</v>
      </c>
      <c r="AH770">
        <v>3</v>
      </c>
      <c r="AI770">
        <v>-1</v>
      </c>
      <c r="AJ770" t="s">
        <v>3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x14ac:dyDescent="0.2">
      <c r="A771">
        <f>ROW(Source!A153)</f>
        <v>153</v>
      </c>
      <c r="B771">
        <v>56617026</v>
      </c>
      <c r="C771">
        <v>56617014</v>
      </c>
      <c r="D771">
        <v>46735508</v>
      </c>
      <c r="E771">
        <v>1</v>
      </c>
      <c r="F771">
        <v>1</v>
      </c>
      <c r="G771">
        <v>27786564</v>
      </c>
      <c r="H771">
        <v>3</v>
      </c>
      <c r="I771" t="s">
        <v>515</v>
      </c>
      <c r="J771" t="s">
        <v>516</v>
      </c>
      <c r="K771" t="s">
        <v>517</v>
      </c>
      <c r="L771">
        <v>1356</v>
      </c>
      <c r="N771">
        <v>1010</v>
      </c>
      <c r="O771" t="s">
        <v>511</v>
      </c>
      <c r="P771" t="s">
        <v>511</v>
      </c>
      <c r="Q771">
        <v>1000</v>
      </c>
      <c r="X771">
        <v>8.3199999999999993E-3</v>
      </c>
      <c r="Y771">
        <v>6.44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 t="s">
        <v>3</v>
      </c>
      <c r="AG771">
        <v>8.3199999999999993E-3</v>
      </c>
      <c r="AH771">
        <v>3</v>
      </c>
      <c r="AI771">
        <v>-1</v>
      </c>
      <c r="AJ771" t="s">
        <v>3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4" x14ac:dyDescent="0.2">
      <c r="A772">
        <f>ROW(Source!A153)</f>
        <v>153</v>
      </c>
      <c r="B772">
        <v>56617027</v>
      </c>
      <c r="C772">
        <v>56617014</v>
      </c>
      <c r="D772">
        <v>49717618</v>
      </c>
      <c r="E772">
        <v>27786564</v>
      </c>
      <c r="F772">
        <v>1</v>
      </c>
      <c r="G772">
        <v>27786564</v>
      </c>
      <c r="H772">
        <v>3</v>
      </c>
      <c r="I772" t="s">
        <v>554</v>
      </c>
      <c r="J772" t="s">
        <v>3</v>
      </c>
      <c r="K772" t="s">
        <v>555</v>
      </c>
      <c r="L772">
        <v>1303</v>
      </c>
      <c r="N772">
        <v>1003</v>
      </c>
      <c r="O772" t="s">
        <v>556</v>
      </c>
      <c r="P772" t="s">
        <v>556</v>
      </c>
      <c r="Q772">
        <v>1000</v>
      </c>
      <c r="X772">
        <v>0.10199999999999999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 t="s">
        <v>3</v>
      </c>
      <c r="AG772">
        <v>0.10199999999999999</v>
      </c>
      <c r="AH772">
        <v>3</v>
      </c>
      <c r="AI772">
        <v>-1</v>
      </c>
      <c r="AJ772" t="s">
        <v>3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 x14ac:dyDescent="0.2">
      <c r="A773">
        <f>ROW(Source!A153)</f>
        <v>153</v>
      </c>
      <c r="B773">
        <v>56617028</v>
      </c>
      <c r="C773">
        <v>56617014</v>
      </c>
      <c r="D773">
        <v>46556476</v>
      </c>
      <c r="E773">
        <v>27786564</v>
      </c>
      <c r="F773">
        <v>1</v>
      </c>
      <c r="G773">
        <v>27786564</v>
      </c>
      <c r="H773">
        <v>3</v>
      </c>
      <c r="I773" t="s">
        <v>557</v>
      </c>
      <c r="J773" t="s">
        <v>3</v>
      </c>
      <c r="K773" t="s">
        <v>558</v>
      </c>
      <c r="L773">
        <v>1354</v>
      </c>
      <c r="N773">
        <v>1010</v>
      </c>
      <c r="O773" t="s">
        <v>88</v>
      </c>
      <c r="P773" t="s">
        <v>88</v>
      </c>
      <c r="Q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 t="s">
        <v>3</v>
      </c>
      <c r="AG773">
        <v>0</v>
      </c>
      <c r="AH773">
        <v>3</v>
      </c>
      <c r="AI773">
        <v>-1</v>
      </c>
      <c r="AJ773" t="s">
        <v>3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2">
      <c r="A774">
        <f>ROW(Source!A154)</f>
        <v>154</v>
      </c>
      <c r="B774">
        <v>56617016</v>
      </c>
      <c r="C774">
        <v>56617014</v>
      </c>
      <c r="D774">
        <v>47634407</v>
      </c>
      <c r="E774">
        <v>27786564</v>
      </c>
      <c r="F774">
        <v>1</v>
      </c>
      <c r="G774">
        <v>27786564</v>
      </c>
      <c r="H774">
        <v>1</v>
      </c>
      <c r="I774" t="s">
        <v>439</v>
      </c>
      <c r="J774" t="s">
        <v>3</v>
      </c>
      <c r="K774" t="s">
        <v>440</v>
      </c>
      <c r="L774">
        <v>1191</v>
      </c>
      <c r="N774">
        <v>1013</v>
      </c>
      <c r="O774" t="s">
        <v>441</v>
      </c>
      <c r="P774" t="s">
        <v>441</v>
      </c>
      <c r="Q774">
        <v>1</v>
      </c>
      <c r="X774">
        <v>11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1</v>
      </c>
      <c r="AF774" t="s">
        <v>22</v>
      </c>
      <c r="AG774">
        <v>12.100000000000001</v>
      </c>
      <c r="AH774">
        <v>2</v>
      </c>
      <c r="AI774">
        <v>56617015</v>
      </c>
      <c r="AJ774">
        <v>174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x14ac:dyDescent="0.2">
      <c r="A775">
        <f>ROW(Source!A154)</f>
        <v>154</v>
      </c>
      <c r="B775">
        <v>56617017</v>
      </c>
      <c r="C775">
        <v>56617014</v>
      </c>
      <c r="D775">
        <v>47767106</v>
      </c>
      <c r="E775">
        <v>1</v>
      </c>
      <c r="F775">
        <v>1</v>
      </c>
      <c r="G775">
        <v>27786564</v>
      </c>
      <c r="H775">
        <v>2</v>
      </c>
      <c r="I775" t="s">
        <v>487</v>
      </c>
      <c r="J775" t="s">
        <v>488</v>
      </c>
      <c r="K775" t="s">
        <v>489</v>
      </c>
      <c r="L775">
        <v>1368</v>
      </c>
      <c r="N775">
        <v>1011</v>
      </c>
      <c r="O775" t="s">
        <v>445</v>
      </c>
      <c r="P775" t="s">
        <v>445</v>
      </c>
      <c r="Q775">
        <v>1</v>
      </c>
      <c r="X775">
        <v>1.48</v>
      </c>
      <c r="Y775">
        <v>0</v>
      </c>
      <c r="Z775">
        <v>83.1</v>
      </c>
      <c r="AA775">
        <v>12.62</v>
      </c>
      <c r="AB775">
        <v>0</v>
      </c>
      <c r="AC775">
        <v>0</v>
      </c>
      <c r="AD775">
        <v>1</v>
      </c>
      <c r="AE775">
        <v>0</v>
      </c>
      <c r="AF775" t="s">
        <v>22</v>
      </c>
      <c r="AG775">
        <v>1.6280000000000001</v>
      </c>
      <c r="AH775">
        <v>3</v>
      </c>
      <c r="AI775">
        <v>-1</v>
      </c>
      <c r="AJ775" t="s">
        <v>3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 x14ac:dyDescent="0.2">
      <c r="A776">
        <f>ROW(Source!A154)</f>
        <v>154</v>
      </c>
      <c r="B776">
        <v>56617018</v>
      </c>
      <c r="C776">
        <v>56617014</v>
      </c>
      <c r="D776">
        <v>47766545</v>
      </c>
      <c r="E776">
        <v>1</v>
      </c>
      <c r="F776">
        <v>1</v>
      </c>
      <c r="G776">
        <v>27786564</v>
      </c>
      <c r="H776">
        <v>2</v>
      </c>
      <c r="I776" t="s">
        <v>490</v>
      </c>
      <c r="J776" t="s">
        <v>491</v>
      </c>
      <c r="K776" t="s">
        <v>492</v>
      </c>
      <c r="L776">
        <v>1368</v>
      </c>
      <c r="N776">
        <v>1011</v>
      </c>
      <c r="O776" t="s">
        <v>445</v>
      </c>
      <c r="P776" t="s">
        <v>445</v>
      </c>
      <c r="Q776">
        <v>1</v>
      </c>
      <c r="X776">
        <v>2.4</v>
      </c>
      <c r="Y776">
        <v>0</v>
      </c>
      <c r="Z776">
        <v>0.73</v>
      </c>
      <c r="AA776">
        <v>0</v>
      </c>
      <c r="AB776">
        <v>0</v>
      </c>
      <c r="AC776">
        <v>0</v>
      </c>
      <c r="AD776">
        <v>1</v>
      </c>
      <c r="AE776">
        <v>0</v>
      </c>
      <c r="AF776" t="s">
        <v>22</v>
      </c>
      <c r="AG776">
        <v>2.64</v>
      </c>
      <c r="AH776">
        <v>3</v>
      </c>
      <c r="AI776">
        <v>-1</v>
      </c>
      <c r="AJ776" t="s">
        <v>3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 x14ac:dyDescent="0.2">
      <c r="A777">
        <f>ROW(Source!A154)</f>
        <v>154</v>
      </c>
      <c r="B777">
        <v>56617019</v>
      </c>
      <c r="C777">
        <v>56617014</v>
      </c>
      <c r="D777">
        <v>47766581</v>
      </c>
      <c r="E777">
        <v>1</v>
      </c>
      <c r="F777">
        <v>1</v>
      </c>
      <c r="G777">
        <v>27786564</v>
      </c>
      <c r="H777">
        <v>2</v>
      </c>
      <c r="I777" t="s">
        <v>493</v>
      </c>
      <c r="J777" t="s">
        <v>494</v>
      </c>
      <c r="K777" t="s">
        <v>495</v>
      </c>
      <c r="L777">
        <v>1368</v>
      </c>
      <c r="N777">
        <v>1011</v>
      </c>
      <c r="O777" t="s">
        <v>445</v>
      </c>
      <c r="P777" t="s">
        <v>445</v>
      </c>
      <c r="Q777">
        <v>1</v>
      </c>
      <c r="X777">
        <v>2.4</v>
      </c>
      <c r="Y777">
        <v>0</v>
      </c>
      <c r="Z777">
        <v>4</v>
      </c>
      <c r="AA777">
        <v>0</v>
      </c>
      <c r="AB777">
        <v>0</v>
      </c>
      <c r="AC777">
        <v>0</v>
      </c>
      <c r="AD777">
        <v>1</v>
      </c>
      <c r="AE777">
        <v>0</v>
      </c>
      <c r="AF777" t="s">
        <v>22</v>
      </c>
      <c r="AG777">
        <v>2.64</v>
      </c>
      <c r="AH777">
        <v>3</v>
      </c>
      <c r="AI777">
        <v>-1</v>
      </c>
      <c r="AJ777" t="s">
        <v>3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 x14ac:dyDescent="0.2">
      <c r="A778">
        <f>ROW(Source!A154)</f>
        <v>154</v>
      </c>
      <c r="B778">
        <v>56617020</v>
      </c>
      <c r="C778">
        <v>56617014</v>
      </c>
      <c r="D778">
        <v>46723498</v>
      </c>
      <c r="E778">
        <v>1</v>
      </c>
      <c r="F778">
        <v>1</v>
      </c>
      <c r="G778">
        <v>27786564</v>
      </c>
      <c r="H778">
        <v>3</v>
      </c>
      <c r="I778" t="s">
        <v>496</v>
      </c>
      <c r="J778" t="s">
        <v>497</v>
      </c>
      <c r="K778" t="s">
        <v>498</v>
      </c>
      <c r="L778">
        <v>1348</v>
      </c>
      <c r="N778">
        <v>1009</v>
      </c>
      <c r="O778" t="s">
        <v>367</v>
      </c>
      <c r="P778" t="s">
        <v>367</v>
      </c>
      <c r="Q778">
        <v>1000</v>
      </c>
      <c r="X778">
        <v>6.0000000000000002E-5</v>
      </c>
      <c r="Y778">
        <v>11242.42</v>
      </c>
      <c r="Z778">
        <v>0</v>
      </c>
      <c r="AA778">
        <v>0</v>
      </c>
      <c r="AB778">
        <v>0</v>
      </c>
      <c r="AC778">
        <v>0</v>
      </c>
      <c r="AD778">
        <v>1</v>
      </c>
      <c r="AE778">
        <v>0</v>
      </c>
      <c r="AF778" t="s">
        <v>3</v>
      </c>
      <c r="AG778">
        <v>6.0000000000000002E-5</v>
      </c>
      <c r="AH778">
        <v>3</v>
      </c>
      <c r="AI778">
        <v>-1</v>
      </c>
      <c r="AJ778" t="s">
        <v>3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</row>
    <row r="779" spans="1:44" x14ac:dyDescent="0.2">
      <c r="A779">
        <f>ROW(Source!A154)</f>
        <v>154</v>
      </c>
      <c r="B779">
        <v>56617021</v>
      </c>
      <c r="C779">
        <v>56617014</v>
      </c>
      <c r="D779">
        <v>45796980</v>
      </c>
      <c r="E779">
        <v>1</v>
      </c>
      <c r="F779">
        <v>1</v>
      </c>
      <c r="G779">
        <v>27786564</v>
      </c>
      <c r="H779">
        <v>3</v>
      </c>
      <c r="I779" t="s">
        <v>499</v>
      </c>
      <c r="J779" t="s">
        <v>500</v>
      </c>
      <c r="K779" t="s">
        <v>501</v>
      </c>
      <c r="L779">
        <v>1346</v>
      </c>
      <c r="N779">
        <v>1009</v>
      </c>
      <c r="O779" t="s">
        <v>104</v>
      </c>
      <c r="P779" t="s">
        <v>104</v>
      </c>
      <c r="Q779">
        <v>1</v>
      </c>
      <c r="X779">
        <v>0.8</v>
      </c>
      <c r="Y779">
        <v>25.8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 t="s">
        <v>3</v>
      </c>
      <c r="AG779">
        <v>0.8</v>
      </c>
      <c r="AH779">
        <v>3</v>
      </c>
      <c r="AI779">
        <v>-1</v>
      </c>
      <c r="AJ779" t="s">
        <v>3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</row>
    <row r="780" spans="1:44" x14ac:dyDescent="0.2">
      <c r="A780">
        <f>ROW(Source!A154)</f>
        <v>154</v>
      </c>
      <c r="B780">
        <v>56617022</v>
      </c>
      <c r="C780">
        <v>56617014</v>
      </c>
      <c r="D780">
        <v>46723689</v>
      </c>
      <c r="E780">
        <v>1</v>
      </c>
      <c r="F780">
        <v>1</v>
      </c>
      <c r="G780">
        <v>27786564</v>
      </c>
      <c r="H780">
        <v>3</v>
      </c>
      <c r="I780" t="s">
        <v>502</v>
      </c>
      <c r="J780" t="s">
        <v>503</v>
      </c>
      <c r="K780" t="s">
        <v>504</v>
      </c>
      <c r="L780">
        <v>1348</v>
      </c>
      <c r="N780">
        <v>1009</v>
      </c>
      <c r="O780" t="s">
        <v>367</v>
      </c>
      <c r="P780" t="s">
        <v>367</v>
      </c>
      <c r="Q780">
        <v>1000</v>
      </c>
      <c r="X780">
        <v>5.0000000000000001E-4</v>
      </c>
      <c r="Y780">
        <v>60966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 t="s">
        <v>3</v>
      </c>
      <c r="AG780">
        <v>5.0000000000000001E-4</v>
      </c>
      <c r="AH780">
        <v>3</v>
      </c>
      <c r="AI780">
        <v>-1</v>
      </c>
      <c r="AJ780" t="s">
        <v>3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</row>
    <row r="781" spans="1:44" x14ac:dyDescent="0.2">
      <c r="A781">
        <f>ROW(Source!A154)</f>
        <v>154</v>
      </c>
      <c r="B781">
        <v>56617023</v>
      </c>
      <c r="C781">
        <v>56617014</v>
      </c>
      <c r="D781">
        <v>46723704</v>
      </c>
      <c r="E781">
        <v>1</v>
      </c>
      <c r="F781">
        <v>1</v>
      </c>
      <c r="G781">
        <v>27786564</v>
      </c>
      <c r="H781">
        <v>3</v>
      </c>
      <c r="I781" t="s">
        <v>505</v>
      </c>
      <c r="J781" t="s">
        <v>506</v>
      </c>
      <c r="K781" t="s">
        <v>507</v>
      </c>
      <c r="L781">
        <v>1348</v>
      </c>
      <c r="N781">
        <v>1009</v>
      </c>
      <c r="O781" t="s">
        <v>367</v>
      </c>
      <c r="P781" t="s">
        <v>367</v>
      </c>
      <c r="Q781">
        <v>1000</v>
      </c>
      <c r="X781">
        <v>4.0000000000000003E-5</v>
      </c>
      <c r="Y781">
        <v>7982.5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 t="s">
        <v>3</v>
      </c>
      <c r="AG781">
        <v>4.0000000000000003E-5</v>
      </c>
      <c r="AH781">
        <v>3</v>
      </c>
      <c r="AI781">
        <v>-1</v>
      </c>
      <c r="AJ781" t="s">
        <v>3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 x14ac:dyDescent="0.2">
      <c r="A782">
        <f>ROW(Source!A154)</f>
        <v>154</v>
      </c>
      <c r="B782">
        <v>56617024</v>
      </c>
      <c r="C782">
        <v>56617014</v>
      </c>
      <c r="D782">
        <v>46735845</v>
      </c>
      <c r="E782">
        <v>1</v>
      </c>
      <c r="F782">
        <v>1</v>
      </c>
      <c r="G782">
        <v>27786564</v>
      </c>
      <c r="H782">
        <v>3</v>
      </c>
      <c r="I782" t="s">
        <v>508</v>
      </c>
      <c r="J782" t="s">
        <v>553</v>
      </c>
      <c r="K782" t="s">
        <v>510</v>
      </c>
      <c r="L782">
        <v>1356</v>
      </c>
      <c r="N782">
        <v>1010</v>
      </c>
      <c r="O782" t="s">
        <v>511</v>
      </c>
      <c r="P782" t="s">
        <v>511</v>
      </c>
      <c r="Q782">
        <v>1000</v>
      </c>
      <c r="X782">
        <v>4.0000000000000001E-3</v>
      </c>
      <c r="Y782">
        <v>226.68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 t="s">
        <v>3</v>
      </c>
      <c r="AG782">
        <v>4.0000000000000001E-3</v>
      </c>
      <c r="AH782">
        <v>3</v>
      </c>
      <c r="AI782">
        <v>-1</v>
      </c>
      <c r="AJ782" t="s">
        <v>3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 x14ac:dyDescent="0.2">
      <c r="A783">
        <f>ROW(Source!A154)</f>
        <v>154</v>
      </c>
      <c r="B783">
        <v>56617025</v>
      </c>
      <c r="C783">
        <v>56617014</v>
      </c>
      <c r="D783">
        <v>46735506</v>
      </c>
      <c r="E783">
        <v>1</v>
      </c>
      <c r="F783">
        <v>1</v>
      </c>
      <c r="G783">
        <v>27786564</v>
      </c>
      <c r="H783">
        <v>3</v>
      </c>
      <c r="I783" t="s">
        <v>512</v>
      </c>
      <c r="J783" t="s">
        <v>513</v>
      </c>
      <c r="K783" t="s">
        <v>514</v>
      </c>
      <c r="L783">
        <v>1301</v>
      </c>
      <c r="N783">
        <v>1003</v>
      </c>
      <c r="O783" t="s">
        <v>55</v>
      </c>
      <c r="P783" t="s">
        <v>55</v>
      </c>
      <c r="Q783">
        <v>1</v>
      </c>
      <c r="X783">
        <v>0.96</v>
      </c>
      <c r="Y783">
        <v>0.7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 t="s">
        <v>3</v>
      </c>
      <c r="AG783">
        <v>0.96</v>
      </c>
      <c r="AH783">
        <v>3</v>
      </c>
      <c r="AI783">
        <v>-1</v>
      </c>
      <c r="AJ783" t="s">
        <v>3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 x14ac:dyDescent="0.2">
      <c r="A784">
        <f>ROW(Source!A154)</f>
        <v>154</v>
      </c>
      <c r="B784">
        <v>56617026</v>
      </c>
      <c r="C784">
        <v>56617014</v>
      </c>
      <c r="D784">
        <v>46735508</v>
      </c>
      <c r="E784">
        <v>1</v>
      </c>
      <c r="F784">
        <v>1</v>
      </c>
      <c r="G784">
        <v>27786564</v>
      </c>
      <c r="H784">
        <v>3</v>
      </c>
      <c r="I784" t="s">
        <v>515</v>
      </c>
      <c r="J784" t="s">
        <v>516</v>
      </c>
      <c r="K784" t="s">
        <v>517</v>
      </c>
      <c r="L784">
        <v>1356</v>
      </c>
      <c r="N784">
        <v>1010</v>
      </c>
      <c r="O784" t="s">
        <v>511</v>
      </c>
      <c r="P784" t="s">
        <v>511</v>
      </c>
      <c r="Q784">
        <v>1000</v>
      </c>
      <c r="X784">
        <v>8.3199999999999993E-3</v>
      </c>
      <c r="Y784">
        <v>6.44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 t="s">
        <v>3</v>
      </c>
      <c r="AG784">
        <v>8.3199999999999993E-3</v>
      </c>
      <c r="AH784">
        <v>3</v>
      </c>
      <c r="AI784">
        <v>-1</v>
      </c>
      <c r="AJ784" t="s">
        <v>3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 x14ac:dyDescent="0.2">
      <c r="A785">
        <f>ROW(Source!A154)</f>
        <v>154</v>
      </c>
      <c r="B785">
        <v>56617027</v>
      </c>
      <c r="C785">
        <v>56617014</v>
      </c>
      <c r="D785">
        <v>49717618</v>
      </c>
      <c r="E785">
        <v>27786564</v>
      </c>
      <c r="F785">
        <v>1</v>
      </c>
      <c r="G785">
        <v>27786564</v>
      </c>
      <c r="H785">
        <v>3</v>
      </c>
      <c r="I785" t="s">
        <v>554</v>
      </c>
      <c r="J785" t="s">
        <v>3</v>
      </c>
      <c r="K785" t="s">
        <v>555</v>
      </c>
      <c r="L785">
        <v>1303</v>
      </c>
      <c r="N785">
        <v>1003</v>
      </c>
      <c r="O785" t="s">
        <v>556</v>
      </c>
      <c r="P785" t="s">
        <v>556</v>
      </c>
      <c r="Q785">
        <v>1000</v>
      </c>
      <c r="X785">
        <v>0.10199999999999999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3</v>
      </c>
      <c r="AG785">
        <v>0.10199999999999999</v>
      </c>
      <c r="AH785">
        <v>3</v>
      </c>
      <c r="AI785">
        <v>-1</v>
      </c>
      <c r="AJ785" t="s">
        <v>3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44" x14ac:dyDescent="0.2">
      <c r="A786">
        <f>ROW(Source!A154)</f>
        <v>154</v>
      </c>
      <c r="B786">
        <v>56617028</v>
      </c>
      <c r="C786">
        <v>56617014</v>
      </c>
      <c r="D786">
        <v>46556476</v>
      </c>
      <c r="E786">
        <v>27786564</v>
      </c>
      <c r="F786">
        <v>1</v>
      </c>
      <c r="G786">
        <v>27786564</v>
      </c>
      <c r="H786">
        <v>3</v>
      </c>
      <c r="I786" t="s">
        <v>557</v>
      </c>
      <c r="J786" t="s">
        <v>3</v>
      </c>
      <c r="K786" t="s">
        <v>558</v>
      </c>
      <c r="L786">
        <v>1354</v>
      </c>
      <c r="N786">
        <v>1010</v>
      </c>
      <c r="O786" t="s">
        <v>88</v>
      </c>
      <c r="P786" t="s">
        <v>88</v>
      </c>
      <c r="Q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3</v>
      </c>
      <c r="AG786">
        <v>0</v>
      </c>
      <c r="AH786">
        <v>3</v>
      </c>
      <c r="AI786">
        <v>-1</v>
      </c>
      <c r="AJ786" t="s">
        <v>3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 x14ac:dyDescent="0.2">
      <c r="A787">
        <f>ROW(Source!A155)</f>
        <v>155</v>
      </c>
      <c r="B787">
        <v>56617031</v>
      </c>
      <c r="C787">
        <v>56617029</v>
      </c>
      <c r="D787">
        <v>47634407</v>
      </c>
      <c r="E787">
        <v>27786564</v>
      </c>
      <c r="F787">
        <v>1</v>
      </c>
      <c r="G787">
        <v>27786564</v>
      </c>
      <c r="H787">
        <v>1</v>
      </c>
      <c r="I787" t="s">
        <v>439</v>
      </c>
      <c r="J787" t="s">
        <v>3</v>
      </c>
      <c r="K787" t="s">
        <v>440</v>
      </c>
      <c r="L787">
        <v>1191</v>
      </c>
      <c r="N787">
        <v>1013</v>
      </c>
      <c r="O787" t="s">
        <v>441</v>
      </c>
      <c r="P787" t="s">
        <v>441</v>
      </c>
      <c r="Q787">
        <v>1</v>
      </c>
      <c r="X787">
        <v>18.600000000000001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22</v>
      </c>
      <c r="AG787">
        <v>20.460000000000004</v>
      </c>
      <c r="AH787">
        <v>2</v>
      </c>
      <c r="AI787">
        <v>56617030</v>
      </c>
      <c r="AJ787">
        <v>175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x14ac:dyDescent="0.2">
      <c r="A788">
        <f>ROW(Source!A155)</f>
        <v>155</v>
      </c>
      <c r="B788">
        <v>56617032</v>
      </c>
      <c r="C788">
        <v>56617029</v>
      </c>
      <c r="D788">
        <v>47767106</v>
      </c>
      <c r="E788">
        <v>1</v>
      </c>
      <c r="F788">
        <v>1</v>
      </c>
      <c r="G788">
        <v>27786564</v>
      </c>
      <c r="H788">
        <v>2</v>
      </c>
      <c r="I788" t="s">
        <v>487</v>
      </c>
      <c r="J788" t="s">
        <v>488</v>
      </c>
      <c r="K788" t="s">
        <v>489</v>
      </c>
      <c r="L788">
        <v>1368</v>
      </c>
      <c r="N788">
        <v>1011</v>
      </c>
      <c r="O788" t="s">
        <v>445</v>
      </c>
      <c r="P788" t="s">
        <v>445</v>
      </c>
      <c r="Q788">
        <v>1</v>
      </c>
      <c r="X788">
        <v>0.39</v>
      </c>
      <c r="Y788">
        <v>0</v>
      </c>
      <c r="Z788">
        <v>83.1</v>
      </c>
      <c r="AA788">
        <v>12.62</v>
      </c>
      <c r="AB788">
        <v>0</v>
      </c>
      <c r="AC788">
        <v>0</v>
      </c>
      <c r="AD788">
        <v>1</v>
      </c>
      <c r="AE788">
        <v>0</v>
      </c>
      <c r="AF788" t="s">
        <v>22</v>
      </c>
      <c r="AG788">
        <v>0.42900000000000005</v>
      </c>
      <c r="AH788">
        <v>3</v>
      </c>
      <c r="AI788">
        <v>-1</v>
      </c>
      <c r="AJ788" t="s">
        <v>3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 x14ac:dyDescent="0.2">
      <c r="A789">
        <f>ROW(Source!A155)</f>
        <v>155</v>
      </c>
      <c r="B789">
        <v>56617033</v>
      </c>
      <c r="C789">
        <v>56617029</v>
      </c>
      <c r="D789">
        <v>47766535</v>
      </c>
      <c r="E789">
        <v>1</v>
      </c>
      <c r="F789">
        <v>1</v>
      </c>
      <c r="G789">
        <v>27786564</v>
      </c>
      <c r="H789">
        <v>2</v>
      </c>
      <c r="I789" t="s">
        <v>541</v>
      </c>
      <c r="J789" t="s">
        <v>542</v>
      </c>
      <c r="K789" t="s">
        <v>543</v>
      </c>
      <c r="L789">
        <v>1368</v>
      </c>
      <c r="N789">
        <v>1011</v>
      </c>
      <c r="O789" t="s">
        <v>445</v>
      </c>
      <c r="P789" t="s">
        <v>445</v>
      </c>
      <c r="Q789">
        <v>1</v>
      </c>
      <c r="X789">
        <v>4.37</v>
      </c>
      <c r="Y789">
        <v>0</v>
      </c>
      <c r="Z789">
        <v>2.27</v>
      </c>
      <c r="AA789">
        <v>0</v>
      </c>
      <c r="AB789">
        <v>0</v>
      </c>
      <c r="AC789">
        <v>0</v>
      </c>
      <c r="AD789">
        <v>1</v>
      </c>
      <c r="AE789">
        <v>0</v>
      </c>
      <c r="AF789" t="s">
        <v>22</v>
      </c>
      <c r="AG789">
        <v>4.8070000000000004</v>
      </c>
      <c r="AH789">
        <v>3</v>
      </c>
      <c r="AI789">
        <v>-1</v>
      </c>
      <c r="AJ789" t="s">
        <v>3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 x14ac:dyDescent="0.2">
      <c r="A790">
        <f>ROW(Source!A155)</f>
        <v>155</v>
      </c>
      <c r="B790">
        <v>56617034</v>
      </c>
      <c r="C790">
        <v>56617029</v>
      </c>
      <c r="D790">
        <v>47766545</v>
      </c>
      <c r="E790">
        <v>1</v>
      </c>
      <c r="F790">
        <v>1</v>
      </c>
      <c r="G790">
        <v>27786564</v>
      </c>
      <c r="H790">
        <v>2</v>
      </c>
      <c r="I790" t="s">
        <v>490</v>
      </c>
      <c r="J790" t="s">
        <v>491</v>
      </c>
      <c r="K790" t="s">
        <v>492</v>
      </c>
      <c r="L790">
        <v>1368</v>
      </c>
      <c r="N790">
        <v>1011</v>
      </c>
      <c r="O790" t="s">
        <v>445</v>
      </c>
      <c r="P790" t="s">
        <v>445</v>
      </c>
      <c r="Q790">
        <v>1</v>
      </c>
      <c r="X790">
        <v>4.37</v>
      </c>
      <c r="Y790">
        <v>0</v>
      </c>
      <c r="Z790">
        <v>0.73</v>
      </c>
      <c r="AA790">
        <v>0</v>
      </c>
      <c r="AB790">
        <v>0</v>
      </c>
      <c r="AC790">
        <v>0</v>
      </c>
      <c r="AD790">
        <v>1</v>
      </c>
      <c r="AE790">
        <v>0</v>
      </c>
      <c r="AF790" t="s">
        <v>22</v>
      </c>
      <c r="AG790">
        <v>4.8070000000000004</v>
      </c>
      <c r="AH790">
        <v>3</v>
      </c>
      <c r="AI790">
        <v>-1</v>
      </c>
      <c r="AJ790" t="s">
        <v>3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44" x14ac:dyDescent="0.2">
      <c r="A791">
        <f>ROW(Source!A155)</f>
        <v>155</v>
      </c>
      <c r="B791">
        <v>56617035</v>
      </c>
      <c r="C791">
        <v>56617029</v>
      </c>
      <c r="D791">
        <v>30393548</v>
      </c>
      <c r="E791">
        <v>1</v>
      </c>
      <c r="F791">
        <v>1</v>
      </c>
      <c r="G791">
        <v>27786564</v>
      </c>
      <c r="H791">
        <v>3</v>
      </c>
      <c r="I791" t="s">
        <v>559</v>
      </c>
      <c r="J791" t="s">
        <v>560</v>
      </c>
      <c r="K791" t="s">
        <v>561</v>
      </c>
      <c r="L791">
        <v>1348</v>
      </c>
      <c r="N791">
        <v>1009</v>
      </c>
      <c r="O791" t="s">
        <v>367</v>
      </c>
      <c r="P791" t="s">
        <v>367</v>
      </c>
      <c r="Q791">
        <v>1000</v>
      </c>
      <c r="X791">
        <v>6.2E-4</v>
      </c>
      <c r="Y791">
        <v>10651.81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 t="s">
        <v>3</v>
      </c>
      <c r="AG791">
        <v>6.2E-4</v>
      </c>
      <c r="AH791">
        <v>3</v>
      </c>
      <c r="AI791">
        <v>-1</v>
      </c>
      <c r="AJ791" t="s">
        <v>3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 x14ac:dyDescent="0.2">
      <c r="A792">
        <f>ROW(Source!A155)</f>
        <v>155</v>
      </c>
      <c r="B792">
        <v>56617036</v>
      </c>
      <c r="C792">
        <v>56617029</v>
      </c>
      <c r="D792">
        <v>46723498</v>
      </c>
      <c r="E792">
        <v>1</v>
      </c>
      <c r="F792">
        <v>1</v>
      </c>
      <c r="G792">
        <v>27786564</v>
      </c>
      <c r="H792">
        <v>3</v>
      </c>
      <c r="I792" t="s">
        <v>496</v>
      </c>
      <c r="J792" t="s">
        <v>497</v>
      </c>
      <c r="K792" t="s">
        <v>498</v>
      </c>
      <c r="L792">
        <v>1348</v>
      </c>
      <c r="N792">
        <v>1009</v>
      </c>
      <c r="O792" t="s">
        <v>367</v>
      </c>
      <c r="P792" t="s">
        <v>367</v>
      </c>
      <c r="Q792">
        <v>1000</v>
      </c>
      <c r="X792">
        <v>7.2000000000000005E-4</v>
      </c>
      <c r="Y792">
        <v>11242.42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 t="s">
        <v>3</v>
      </c>
      <c r="AG792">
        <v>7.2000000000000005E-4</v>
      </c>
      <c r="AH792">
        <v>3</v>
      </c>
      <c r="AI792">
        <v>-1</v>
      </c>
      <c r="AJ792" t="s">
        <v>3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2">
      <c r="A793">
        <f>ROW(Source!A155)</f>
        <v>155</v>
      </c>
      <c r="B793">
        <v>56617037</v>
      </c>
      <c r="C793">
        <v>56617029</v>
      </c>
      <c r="D793">
        <v>45796980</v>
      </c>
      <c r="E793">
        <v>1</v>
      </c>
      <c r="F793">
        <v>1</v>
      </c>
      <c r="G793">
        <v>27786564</v>
      </c>
      <c r="H793">
        <v>3</v>
      </c>
      <c r="I793" t="s">
        <v>499</v>
      </c>
      <c r="J793" t="s">
        <v>500</v>
      </c>
      <c r="K793" t="s">
        <v>501</v>
      </c>
      <c r="L793">
        <v>1346</v>
      </c>
      <c r="N793">
        <v>1009</v>
      </c>
      <c r="O793" t="s">
        <v>104</v>
      </c>
      <c r="P793" t="s">
        <v>104</v>
      </c>
      <c r="Q793">
        <v>1</v>
      </c>
      <c r="X793">
        <v>0.8</v>
      </c>
      <c r="Y793">
        <v>25.8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 t="s">
        <v>3</v>
      </c>
      <c r="AG793">
        <v>0.8</v>
      </c>
      <c r="AH793">
        <v>3</v>
      </c>
      <c r="AI793">
        <v>-1</v>
      </c>
      <c r="AJ793" t="s">
        <v>3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x14ac:dyDescent="0.2">
      <c r="A794">
        <f>ROW(Source!A155)</f>
        <v>155</v>
      </c>
      <c r="B794">
        <v>56617038</v>
      </c>
      <c r="C794">
        <v>56617029</v>
      </c>
      <c r="D794">
        <v>46723689</v>
      </c>
      <c r="E794">
        <v>1</v>
      </c>
      <c r="F794">
        <v>1</v>
      </c>
      <c r="G794">
        <v>27786564</v>
      </c>
      <c r="H794">
        <v>3</v>
      </c>
      <c r="I794" t="s">
        <v>502</v>
      </c>
      <c r="J794" t="s">
        <v>503</v>
      </c>
      <c r="K794" t="s">
        <v>504</v>
      </c>
      <c r="L794">
        <v>1348</v>
      </c>
      <c r="N794">
        <v>1009</v>
      </c>
      <c r="O794" t="s">
        <v>367</v>
      </c>
      <c r="P794" t="s">
        <v>367</v>
      </c>
      <c r="Q794">
        <v>1000</v>
      </c>
      <c r="X794">
        <v>2.5000000000000001E-4</v>
      </c>
      <c r="Y794">
        <v>60966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0</v>
      </c>
      <c r="AF794" t="s">
        <v>3</v>
      </c>
      <c r="AG794">
        <v>2.5000000000000001E-4</v>
      </c>
      <c r="AH794">
        <v>3</v>
      </c>
      <c r="AI794">
        <v>-1</v>
      </c>
      <c r="AJ794" t="s">
        <v>3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</row>
    <row r="795" spans="1:44" x14ac:dyDescent="0.2">
      <c r="A795">
        <f>ROW(Source!A155)</f>
        <v>155</v>
      </c>
      <c r="B795">
        <v>56617039</v>
      </c>
      <c r="C795">
        <v>56617029</v>
      </c>
      <c r="D795">
        <v>46723704</v>
      </c>
      <c r="E795">
        <v>1</v>
      </c>
      <c r="F795">
        <v>1</v>
      </c>
      <c r="G795">
        <v>27786564</v>
      </c>
      <c r="H795">
        <v>3</v>
      </c>
      <c r="I795" t="s">
        <v>505</v>
      </c>
      <c r="J795" t="s">
        <v>506</v>
      </c>
      <c r="K795" t="s">
        <v>507</v>
      </c>
      <c r="L795">
        <v>1348</v>
      </c>
      <c r="N795">
        <v>1009</v>
      </c>
      <c r="O795" t="s">
        <v>367</v>
      </c>
      <c r="P795" t="s">
        <v>367</v>
      </c>
      <c r="Q795">
        <v>1000</v>
      </c>
      <c r="X795">
        <v>1E-4</v>
      </c>
      <c r="Y795">
        <v>7982.5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  <c r="AF795" t="s">
        <v>3</v>
      </c>
      <c r="AG795">
        <v>1E-4</v>
      </c>
      <c r="AH795">
        <v>3</v>
      </c>
      <c r="AI795">
        <v>-1</v>
      </c>
      <c r="AJ795" t="s">
        <v>3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x14ac:dyDescent="0.2">
      <c r="A796">
        <f>ROW(Source!A155)</f>
        <v>155</v>
      </c>
      <c r="B796">
        <v>56617040</v>
      </c>
      <c r="C796">
        <v>56617029</v>
      </c>
      <c r="D796">
        <v>46735845</v>
      </c>
      <c r="E796">
        <v>1</v>
      </c>
      <c r="F796">
        <v>1</v>
      </c>
      <c r="G796">
        <v>27786564</v>
      </c>
      <c r="H796">
        <v>3</v>
      </c>
      <c r="I796" t="s">
        <v>508</v>
      </c>
      <c r="J796" t="s">
        <v>553</v>
      </c>
      <c r="K796" t="s">
        <v>510</v>
      </c>
      <c r="L796">
        <v>1356</v>
      </c>
      <c r="N796">
        <v>1010</v>
      </c>
      <c r="O796" t="s">
        <v>511</v>
      </c>
      <c r="P796" t="s">
        <v>511</v>
      </c>
      <c r="Q796">
        <v>1000</v>
      </c>
      <c r="X796">
        <v>1E-3</v>
      </c>
      <c r="Y796">
        <v>226.68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 t="s">
        <v>3</v>
      </c>
      <c r="AG796">
        <v>1E-3</v>
      </c>
      <c r="AH796">
        <v>3</v>
      </c>
      <c r="AI796">
        <v>-1</v>
      </c>
      <c r="AJ796" t="s">
        <v>3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2">
      <c r="A797">
        <f>ROW(Source!A155)</f>
        <v>155</v>
      </c>
      <c r="B797">
        <v>56617041</v>
      </c>
      <c r="C797">
        <v>56617029</v>
      </c>
      <c r="D797">
        <v>46735506</v>
      </c>
      <c r="E797">
        <v>1</v>
      </c>
      <c r="F797">
        <v>1</v>
      </c>
      <c r="G797">
        <v>27786564</v>
      </c>
      <c r="H797">
        <v>3</v>
      </c>
      <c r="I797" t="s">
        <v>512</v>
      </c>
      <c r="J797" t="s">
        <v>513</v>
      </c>
      <c r="K797" t="s">
        <v>514</v>
      </c>
      <c r="L797">
        <v>1301</v>
      </c>
      <c r="N797">
        <v>1003</v>
      </c>
      <c r="O797" t="s">
        <v>55</v>
      </c>
      <c r="P797" t="s">
        <v>55</v>
      </c>
      <c r="Q797">
        <v>1</v>
      </c>
      <c r="X797">
        <v>2.4500000000000002</v>
      </c>
      <c r="Y797">
        <v>0.7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 t="s">
        <v>3</v>
      </c>
      <c r="AG797">
        <v>2.4500000000000002</v>
      </c>
      <c r="AH797">
        <v>3</v>
      </c>
      <c r="AI797">
        <v>-1</v>
      </c>
      <c r="AJ797" t="s">
        <v>3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 spans="1:44" x14ac:dyDescent="0.2">
      <c r="A798">
        <f>ROW(Source!A155)</f>
        <v>155</v>
      </c>
      <c r="B798">
        <v>56617042</v>
      </c>
      <c r="C798">
        <v>56617029</v>
      </c>
      <c r="D798">
        <v>46735508</v>
      </c>
      <c r="E798">
        <v>1</v>
      </c>
      <c r="F798">
        <v>1</v>
      </c>
      <c r="G798">
        <v>27786564</v>
      </c>
      <c r="H798">
        <v>3</v>
      </c>
      <c r="I798" t="s">
        <v>515</v>
      </c>
      <c r="J798" t="s">
        <v>516</v>
      </c>
      <c r="K798" t="s">
        <v>517</v>
      </c>
      <c r="L798">
        <v>1356</v>
      </c>
      <c r="N798">
        <v>1010</v>
      </c>
      <c r="O798" t="s">
        <v>511</v>
      </c>
      <c r="P798" t="s">
        <v>511</v>
      </c>
      <c r="Q798">
        <v>1000</v>
      </c>
      <c r="X798">
        <v>2.0799999999999999E-2</v>
      </c>
      <c r="Y798">
        <v>6.44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 t="s">
        <v>3</v>
      </c>
      <c r="AG798">
        <v>2.0799999999999999E-2</v>
      </c>
      <c r="AH798">
        <v>3</v>
      </c>
      <c r="AI798">
        <v>-1</v>
      </c>
      <c r="AJ798" t="s">
        <v>3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2">
      <c r="A799">
        <f>ROW(Source!A155)</f>
        <v>155</v>
      </c>
      <c r="B799">
        <v>56617043</v>
      </c>
      <c r="C799">
        <v>56617029</v>
      </c>
      <c r="D799">
        <v>30369949</v>
      </c>
      <c r="E799">
        <v>27786564</v>
      </c>
      <c r="F799">
        <v>1</v>
      </c>
      <c r="G799">
        <v>27786564</v>
      </c>
      <c r="H799">
        <v>3</v>
      </c>
      <c r="I799" t="s">
        <v>562</v>
      </c>
      <c r="J799" t="s">
        <v>3</v>
      </c>
      <c r="K799" t="s">
        <v>563</v>
      </c>
      <c r="L799">
        <v>1356</v>
      </c>
      <c r="N799">
        <v>1010</v>
      </c>
      <c r="O799" t="s">
        <v>511</v>
      </c>
      <c r="P799" t="s">
        <v>511</v>
      </c>
      <c r="Q799">
        <v>1000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 t="s">
        <v>3</v>
      </c>
      <c r="AG799">
        <v>0</v>
      </c>
      <c r="AH799">
        <v>3</v>
      </c>
      <c r="AI799">
        <v>-1</v>
      </c>
      <c r="AJ799" t="s">
        <v>3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</row>
    <row r="800" spans="1:44" x14ac:dyDescent="0.2">
      <c r="A800">
        <f>ROW(Source!A155)</f>
        <v>155</v>
      </c>
      <c r="B800">
        <v>56617044</v>
      </c>
      <c r="C800">
        <v>56617029</v>
      </c>
      <c r="D800">
        <v>49717618</v>
      </c>
      <c r="E800">
        <v>27786564</v>
      </c>
      <c r="F800">
        <v>1</v>
      </c>
      <c r="G800">
        <v>27786564</v>
      </c>
      <c r="H800">
        <v>3</v>
      </c>
      <c r="I800" t="s">
        <v>554</v>
      </c>
      <c r="J800" t="s">
        <v>3</v>
      </c>
      <c r="K800" t="s">
        <v>555</v>
      </c>
      <c r="L800">
        <v>1303</v>
      </c>
      <c r="N800">
        <v>1003</v>
      </c>
      <c r="O800" t="s">
        <v>556</v>
      </c>
      <c r="P800" t="s">
        <v>556</v>
      </c>
      <c r="Q800">
        <v>1000</v>
      </c>
      <c r="X800">
        <v>0.10199999999999999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 t="s">
        <v>3</v>
      </c>
      <c r="AG800">
        <v>0.10199999999999999</v>
      </c>
      <c r="AH800">
        <v>3</v>
      </c>
      <c r="AI800">
        <v>-1</v>
      </c>
      <c r="AJ800" t="s">
        <v>3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 x14ac:dyDescent="0.2">
      <c r="A801">
        <f>ROW(Source!A155)</f>
        <v>155</v>
      </c>
      <c r="B801">
        <v>56617045</v>
      </c>
      <c r="C801">
        <v>56617029</v>
      </c>
      <c r="D801">
        <v>46556476</v>
      </c>
      <c r="E801">
        <v>27786564</v>
      </c>
      <c r="F801">
        <v>1</v>
      </c>
      <c r="G801">
        <v>27786564</v>
      </c>
      <c r="H801">
        <v>3</v>
      </c>
      <c r="I801" t="s">
        <v>557</v>
      </c>
      <c r="J801" t="s">
        <v>3</v>
      </c>
      <c r="K801" t="s">
        <v>558</v>
      </c>
      <c r="L801">
        <v>1354</v>
      </c>
      <c r="N801">
        <v>1010</v>
      </c>
      <c r="O801" t="s">
        <v>88</v>
      </c>
      <c r="P801" t="s">
        <v>88</v>
      </c>
      <c r="Q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 t="s">
        <v>3</v>
      </c>
      <c r="AG801">
        <v>0</v>
      </c>
      <c r="AH801">
        <v>3</v>
      </c>
      <c r="AI801">
        <v>-1</v>
      </c>
      <c r="AJ801" t="s">
        <v>3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 spans="1:44" x14ac:dyDescent="0.2">
      <c r="A802">
        <f>ROW(Source!A156)</f>
        <v>156</v>
      </c>
      <c r="B802">
        <v>56617031</v>
      </c>
      <c r="C802">
        <v>56617029</v>
      </c>
      <c r="D802">
        <v>47634407</v>
      </c>
      <c r="E802">
        <v>27786564</v>
      </c>
      <c r="F802">
        <v>1</v>
      </c>
      <c r="G802">
        <v>27786564</v>
      </c>
      <c r="H802">
        <v>1</v>
      </c>
      <c r="I802" t="s">
        <v>439</v>
      </c>
      <c r="J802" t="s">
        <v>3</v>
      </c>
      <c r="K802" t="s">
        <v>440</v>
      </c>
      <c r="L802">
        <v>1191</v>
      </c>
      <c r="N802">
        <v>1013</v>
      </c>
      <c r="O802" t="s">
        <v>441</v>
      </c>
      <c r="P802" t="s">
        <v>441</v>
      </c>
      <c r="Q802">
        <v>1</v>
      </c>
      <c r="X802">
        <v>18.600000000000001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1</v>
      </c>
      <c r="AF802" t="s">
        <v>22</v>
      </c>
      <c r="AG802">
        <v>20.460000000000004</v>
      </c>
      <c r="AH802">
        <v>2</v>
      </c>
      <c r="AI802">
        <v>56617030</v>
      </c>
      <c r="AJ802">
        <v>176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</row>
    <row r="803" spans="1:44" x14ac:dyDescent="0.2">
      <c r="A803">
        <f>ROW(Source!A156)</f>
        <v>156</v>
      </c>
      <c r="B803">
        <v>56617032</v>
      </c>
      <c r="C803">
        <v>56617029</v>
      </c>
      <c r="D803">
        <v>47767106</v>
      </c>
      <c r="E803">
        <v>1</v>
      </c>
      <c r="F803">
        <v>1</v>
      </c>
      <c r="G803">
        <v>27786564</v>
      </c>
      <c r="H803">
        <v>2</v>
      </c>
      <c r="I803" t="s">
        <v>487</v>
      </c>
      <c r="J803" t="s">
        <v>488</v>
      </c>
      <c r="K803" t="s">
        <v>489</v>
      </c>
      <c r="L803">
        <v>1368</v>
      </c>
      <c r="N803">
        <v>1011</v>
      </c>
      <c r="O803" t="s">
        <v>445</v>
      </c>
      <c r="P803" t="s">
        <v>445</v>
      </c>
      <c r="Q803">
        <v>1</v>
      </c>
      <c r="X803">
        <v>0.39</v>
      </c>
      <c r="Y803">
        <v>0</v>
      </c>
      <c r="Z803">
        <v>83.1</v>
      </c>
      <c r="AA803">
        <v>12.62</v>
      </c>
      <c r="AB803">
        <v>0</v>
      </c>
      <c r="AC803">
        <v>0</v>
      </c>
      <c r="AD803">
        <v>1</v>
      </c>
      <c r="AE803">
        <v>0</v>
      </c>
      <c r="AF803" t="s">
        <v>22</v>
      </c>
      <c r="AG803">
        <v>0.42900000000000005</v>
      </c>
      <c r="AH803">
        <v>3</v>
      </c>
      <c r="AI803">
        <v>-1</v>
      </c>
      <c r="AJ803" t="s">
        <v>3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x14ac:dyDescent="0.2">
      <c r="A804">
        <f>ROW(Source!A156)</f>
        <v>156</v>
      </c>
      <c r="B804">
        <v>56617033</v>
      </c>
      <c r="C804">
        <v>56617029</v>
      </c>
      <c r="D804">
        <v>47766535</v>
      </c>
      <c r="E804">
        <v>1</v>
      </c>
      <c r="F804">
        <v>1</v>
      </c>
      <c r="G804">
        <v>27786564</v>
      </c>
      <c r="H804">
        <v>2</v>
      </c>
      <c r="I804" t="s">
        <v>541</v>
      </c>
      <c r="J804" t="s">
        <v>542</v>
      </c>
      <c r="K804" t="s">
        <v>543</v>
      </c>
      <c r="L804">
        <v>1368</v>
      </c>
      <c r="N804">
        <v>1011</v>
      </c>
      <c r="O804" t="s">
        <v>445</v>
      </c>
      <c r="P804" t="s">
        <v>445</v>
      </c>
      <c r="Q804">
        <v>1</v>
      </c>
      <c r="X804">
        <v>4.37</v>
      </c>
      <c r="Y804">
        <v>0</v>
      </c>
      <c r="Z804">
        <v>2.27</v>
      </c>
      <c r="AA804">
        <v>0</v>
      </c>
      <c r="AB804">
        <v>0</v>
      </c>
      <c r="AC804">
        <v>0</v>
      </c>
      <c r="AD804">
        <v>1</v>
      </c>
      <c r="AE804">
        <v>0</v>
      </c>
      <c r="AF804" t="s">
        <v>22</v>
      </c>
      <c r="AG804">
        <v>4.8070000000000004</v>
      </c>
      <c r="AH804">
        <v>3</v>
      </c>
      <c r="AI804">
        <v>-1</v>
      </c>
      <c r="AJ804" t="s">
        <v>3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</row>
    <row r="805" spans="1:44" x14ac:dyDescent="0.2">
      <c r="A805">
        <f>ROW(Source!A156)</f>
        <v>156</v>
      </c>
      <c r="B805">
        <v>56617034</v>
      </c>
      <c r="C805">
        <v>56617029</v>
      </c>
      <c r="D805">
        <v>47766545</v>
      </c>
      <c r="E805">
        <v>1</v>
      </c>
      <c r="F805">
        <v>1</v>
      </c>
      <c r="G805">
        <v>27786564</v>
      </c>
      <c r="H805">
        <v>2</v>
      </c>
      <c r="I805" t="s">
        <v>490</v>
      </c>
      <c r="J805" t="s">
        <v>491</v>
      </c>
      <c r="K805" t="s">
        <v>492</v>
      </c>
      <c r="L805">
        <v>1368</v>
      </c>
      <c r="N805">
        <v>1011</v>
      </c>
      <c r="O805" t="s">
        <v>445</v>
      </c>
      <c r="P805" t="s">
        <v>445</v>
      </c>
      <c r="Q805">
        <v>1</v>
      </c>
      <c r="X805">
        <v>4.37</v>
      </c>
      <c r="Y805">
        <v>0</v>
      </c>
      <c r="Z805">
        <v>0.73</v>
      </c>
      <c r="AA805">
        <v>0</v>
      </c>
      <c r="AB805">
        <v>0</v>
      </c>
      <c r="AC805">
        <v>0</v>
      </c>
      <c r="AD805">
        <v>1</v>
      </c>
      <c r="AE805">
        <v>0</v>
      </c>
      <c r="AF805" t="s">
        <v>22</v>
      </c>
      <c r="AG805">
        <v>4.8070000000000004</v>
      </c>
      <c r="AH805">
        <v>3</v>
      </c>
      <c r="AI805">
        <v>-1</v>
      </c>
      <c r="AJ805" t="s">
        <v>3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x14ac:dyDescent="0.2">
      <c r="A806">
        <f>ROW(Source!A156)</f>
        <v>156</v>
      </c>
      <c r="B806">
        <v>56617035</v>
      </c>
      <c r="C806">
        <v>56617029</v>
      </c>
      <c r="D806">
        <v>30393548</v>
      </c>
      <c r="E806">
        <v>1</v>
      </c>
      <c r="F806">
        <v>1</v>
      </c>
      <c r="G806">
        <v>27786564</v>
      </c>
      <c r="H806">
        <v>3</v>
      </c>
      <c r="I806" t="s">
        <v>559</v>
      </c>
      <c r="J806" t="s">
        <v>560</v>
      </c>
      <c r="K806" t="s">
        <v>561</v>
      </c>
      <c r="L806">
        <v>1348</v>
      </c>
      <c r="N806">
        <v>1009</v>
      </c>
      <c r="O806" t="s">
        <v>367</v>
      </c>
      <c r="P806" t="s">
        <v>367</v>
      </c>
      <c r="Q806">
        <v>1000</v>
      </c>
      <c r="X806">
        <v>6.2E-4</v>
      </c>
      <c r="Y806">
        <v>10651.81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 t="s">
        <v>3</v>
      </c>
      <c r="AG806">
        <v>6.2E-4</v>
      </c>
      <c r="AH806">
        <v>3</v>
      </c>
      <c r="AI806">
        <v>-1</v>
      </c>
      <c r="AJ806" t="s">
        <v>3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 x14ac:dyDescent="0.2">
      <c r="A807">
        <f>ROW(Source!A156)</f>
        <v>156</v>
      </c>
      <c r="B807">
        <v>56617036</v>
      </c>
      <c r="C807">
        <v>56617029</v>
      </c>
      <c r="D807">
        <v>46723498</v>
      </c>
      <c r="E807">
        <v>1</v>
      </c>
      <c r="F807">
        <v>1</v>
      </c>
      <c r="G807">
        <v>27786564</v>
      </c>
      <c r="H807">
        <v>3</v>
      </c>
      <c r="I807" t="s">
        <v>496</v>
      </c>
      <c r="J807" t="s">
        <v>497</v>
      </c>
      <c r="K807" t="s">
        <v>498</v>
      </c>
      <c r="L807">
        <v>1348</v>
      </c>
      <c r="N807">
        <v>1009</v>
      </c>
      <c r="O807" t="s">
        <v>367</v>
      </c>
      <c r="P807" t="s">
        <v>367</v>
      </c>
      <c r="Q807">
        <v>1000</v>
      </c>
      <c r="X807">
        <v>7.2000000000000005E-4</v>
      </c>
      <c r="Y807">
        <v>11242.42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 t="s">
        <v>3</v>
      </c>
      <c r="AG807">
        <v>7.2000000000000005E-4</v>
      </c>
      <c r="AH807">
        <v>3</v>
      </c>
      <c r="AI807">
        <v>-1</v>
      </c>
      <c r="AJ807" t="s">
        <v>3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x14ac:dyDescent="0.2">
      <c r="A808">
        <f>ROW(Source!A156)</f>
        <v>156</v>
      </c>
      <c r="B808">
        <v>56617037</v>
      </c>
      <c r="C808">
        <v>56617029</v>
      </c>
      <c r="D808">
        <v>45796980</v>
      </c>
      <c r="E808">
        <v>1</v>
      </c>
      <c r="F808">
        <v>1</v>
      </c>
      <c r="G808">
        <v>27786564</v>
      </c>
      <c r="H808">
        <v>3</v>
      </c>
      <c r="I808" t="s">
        <v>499</v>
      </c>
      <c r="J808" t="s">
        <v>500</v>
      </c>
      <c r="K808" t="s">
        <v>501</v>
      </c>
      <c r="L808">
        <v>1346</v>
      </c>
      <c r="N808">
        <v>1009</v>
      </c>
      <c r="O808" t="s">
        <v>104</v>
      </c>
      <c r="P808" t="s">
        <v>104</v>
      </c>
      <c r="Q808">
        <v>1</v>
      </c>
      <c r="X808">
        <v>0.8</v>
      </c>
      <c r="Y808">
        <v>25.8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 t="s">
        <v>3</v>
      </c>
      <c r="AG808">
        <v>0.8</v>
      </c>
      <c r="AH808">
        <v>3</v>
      </c>
      <c r="AI808">
        <v>-1</v>
      </c>
      <c r="AJ808" t="s">
        <v>3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x14ac:dyDescent="0.2">
      <c r="A809">
        <f>ROW(Source!A156)</f>
        <v>156</v>
      </c>
      <c r="B809">
        <v>56617038</v>
      </c>
      <c r="C809">
        <v>56617029</v>
      </c>
      <c r="D809">
        <v>46723689</v>
      </c>
      <c r="E809">
        <v>1</v>
      </c>
      <c r="F809">
        <v>1</v>
      </c>
      <c r="G809">
        <v>27786564</v>
      </c>
      <c r="H809">
        <v>3</v>
      </c>
      <c r="I809" t="s">
        <v>502</v>
      </c>
      <c r="J809" t="s">
        <v>503</v>
      </c>
      <c r="K809" t="s">
        <v>504</v>
      </c>
      <c r="L809">
        <v>1348</v>
      </c>
      <c r="N809">
        <v>1009</v>
      </c>
      <c r="O809" t="s">
        <v>367</v>
      </c>
      <c r="P809" t="s">
        <v>367</v>
      </c>
      <c r="Q809">
        <v>1000</v>
      </c>
      <c r="X809">
        <v>2.5000000000000001E-4</v>
      </c>
      <c r="Y809">
        <v>60966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 t="s">
        <v>3</v>
      </c>
      <c r="AG809">
        <v>2.5000000000000001E-4</v>
      </c>
      <c r="AH809">
        <v>3</v>
      </c>
      <c r="AI809">
        <v>-1</v>
      </c>
      <c r="AJ809" t="s">
        <v>3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 x14ac:dyDescent="0.2">
      <c r="A810">
        <f>ROW(Source!A156)</f>
        <v>156</v>
      </c>
      <c r="B810">
        <v>56617039</v>
      </c>
      <c r="C810">
        <v>56617029</v>
      </c>
      <c r="D810">
        <v>46723704</v>
      </c>
      <c r="E810">
        <v>1</v>
      </c>
      <c r="F810">
        <v>1</v>
      </c>
      <c r="G810">
        <v>27786564</v>
      </c>
      <c r="H810">
        <v>3</v>
      </c>
      <c r="I810" t="s">
        <v>505</v>
      </c>
      <c r="J810" t="s">
        <v>506</v>
      </c>
      <c r="K810" t="s">
        <v>507</v>
      </c>
      <c r="L810">
        <v>1348</v>
      </c>
      <c r="N810">
        <v>1009</v>
      </c>
      <c r="O810" t="s">
        <v>367</v>
      </c>
      <c r="P810" t="s">
        <v>367</v>
      </c>
      <c r="Q810">
        <v>1000</v>
      </c>
      <c r="X810">
        <v>1E-4</v>
      </c>
      <c r="Y810">
        <v>7982.5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 t="s">
        <v>3</v>
      </c>
      <c r="AG810">
        <v>1E-4</v>
      </c>
      <c r="AH810">
        <v>3</v>
      </c>
      <c r="AI810">
        <v>-1</v>
      </c>
      <c r="AJ810" t="s">
        <v>3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 spans="1:44" x14ac:dyDescent="0.2">
      <c r="A811">
        <f>ROW(Source!A156)</f>
        <v>156</v>
      </c>
      <c r="B811">
        <v>56617040</v>
      </c>
      <c r="C811">
        <v>56617029</v>
      </c>
      <c r="D811">
        <v>46735845</v>
      </c>
      <c r="E811">
        <v>1</v>
      </c>
      <c r="F811">
        <v>1</v>
      </c>
      <c r="G811">
        <v>27786564</v>
      </c>
      <c r="H811">
        <v>3</v>
      </c>
      <c r="I811" t="s">
        <v>508</v>
      </c>
      <c r="J811" t="s">
        <v>553</v>
      </c>
      <c r="K811" t="s">
        <v>510</v>
      </c>
      <c r="L811">
        <v>1356</v>
      </c>
      <c r="N811">
        <v>1010</v>
      </c>
      <c r="O811" t="s">
        <v>511</v>
      </c>
      <c r="P811" t="s">
        <v>511</v>
      </c>
      <c r="Q811">
        <v>1000</v>
      </c>
      <c r="X811">
        <v>1E-3</v>
      </c>
      <c r="Y811">
        <v>226.68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 t="s">
        <v>3</v>
      </c>
      <c r="AG811">
        <v>1E-3</v>
      </c>
      <c r="AH811">
        <v>3</v>
      </c>
      <c r="AI811">
        <v>-1</v>
      </c>
      <c r="AJ811" t="s">
        <v>3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 x14ac:dyDescent="0.2">
      <c r="A812">
        <f>ROW(Source!A156)</f>
        <v>156</v>
      </c>
      <c r="B812">
        <v>56617041</v>
      </c>
      <c r="C812">
        <v>56617029</v>
      </c>
      <c r="D812">
        <v>46735506</v>
      </c>
      <c r="E812">
        <v>1</v>
      </c>
      <c r="F812">
        <v>1</v>
      </c>
      <c r="G812">
        <v>27786564</v>
      </c>
      <c r="H812">
        <v>3</v>
      </c>
      <c r="I812" t="s">
        <v>512</v>
      </c>
      <c r="J812" t="s">
        <v>513</v>
      </c>
      <c r="K812" t="s">
        <v>514</v>
      </c>
      <c r="L812">
        <v>1301</v>
      </c>
      <c r="N812">
        <v>1003</v>
      </c>
      <c r="O812" t="s">
        <v>55</v>
      </c>
      <c r="P812" t="s">
        <v>55</v>
      </c>
      <c r="Q812">
        <v>1</v>
      </c>
      <c r="X812">
        <v>2.4500000000000002</v>
      </c>
      <c r="Y812">
        <v>0.7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 t="s">
        <v>3</v>
      </c>
      <c r="AG812">
        <v>2.4500000000000002</v>
      </c>
      <c r="AH812">
        <v>3</v>
      </c>
      <c r="AI812">
        <v>-1</v>
      </c>
      <c r="AJ812" t="s">
        <v>3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</row>
    <row r="813" spans="1:44" x14ac:dyDescent="0.2">
      <c r="A813">
        <f>ROW(Source!A156)</f>
        <v>156</v>
      </c>
      <c r="B813">
        <v>56617042</v>
      </c>
      <c r="C813">
        <v>56617029</v>
      </c>
      <c r="D813">
        <v>46735508</v>
      </c>
      <c r="E813">
        <v>1</v>
      </c>
      <c r="F813">
        <v>1</v>
      </c>
      <c r="G813">
        <v>27786564</v>
      </c>
      <c r="H813">
        <v>3</v>
      </c>
      <c r="I813" t="s">
        <v>515</v>
      </c>
      <c r="J813" t="s">
        <v>516</v>
      </c>
      <c r="K813" t="s">
        <v>517</v>
      </c>
      <c r="L813">
        <v>1356</v>
      </c>
      <c r="N813">
        <v>1010</v>
      </c>
      <c r="O813" t="s">
        <v>511</v>
      </c>
      <c r="P813" t="s">
        <v>511</v>
      </c>
      <c r="Q813">
        <v>1000</v>
      </c>
      <c r="X813">
        <v>2.0799999999999999E-2</v>
      </c>
      <c r="Y813">
        <v>6.44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0</v>
      </c>
      <c r="AF813" t="s">
        <v>3</v>
      </c>
      <c r="AG813">
        <v>2.0799999999999999E-2</v>
      </c>
      <c r="AH813">
        <v>3</v>
      </c>
      <c r="AI813">
        <v>-1</v>
      </c>
      <c r="AJ813" t="s">
        <v>3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x14ac:dyDescent="0.2">
      <c r="A814">
        <f>ROW(Source!A156)</f>
        <v>156</v>
      </c>
      <c r="B814">
        <v>56617043</v>
      </c>
      <c r="C814">
        <v>56617029</v>
      </c>
      <c r="D814">
        <v>30369949</v>
      </c>
      <c r="E814">
        <v>27786564</v>
      </c>
      <c r="F814">
        <v>1</v>
      </c>
      <c r="G814">
        <v>27786564</v>
      </c>
      <c r="H814">
        <v>3</v>
      </c>
      <c r="I814" t="s">
        <v>562</v>
      </c>
      <c r="J814" t="s">
        <v>3</v>
      </c>
      <c r="K814" t="s">
        <v>563</v>
      </c>
      <c r="L814">
        <v>1356</v>
      </c>
      <c r="N814">
        <v>1010</v>
      </c>
      <c r="O814" t="s">
        <v>511</v>
      </c>
      <c r="P814" t="s">
        <v>511</v>
      </c>
      <c r="Q814">
        <v>1000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3</v>
      </c>
      <c r="AG814">
        <v>0</v>
      </c>
      <c r="AH814">
        <v>3</v>
      </c>
      <c r="AI814">
        <v>-1</v>
      </c>
      <c r="AJ814" t="s">
        <v>3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</row>
    <row r="815" spans="1:44" x14ac:dyDescent="0.2">
      <c r="A815">
        <f>ROW(Source!A156)</f>
        <v>156</v>
      </c>
      <c r="B815">
        <v>56617044</v>
      </c>
      <c r="C815">
        <v>56617029</v>
      </c>
      <c r="D815">
        <v>49717618</v>
      </c>
      <c r="E815">
        <v>27786564</v>
      </c>
      <c r="F815">
        <v>1</v>
      </c>
      <c r="G815">
        <v>27786564</v>
      </c>
      <c r="H815">
        <v>3</v>
      </c>
      <c r="I815" t="s">
        <v>554</v>
      </c>
      <c r="J815" t="s">
        <v>3</v>
      </c>
      <c r="K815" t="s">
        <v>555</v>
      </c>
      <c r="L815">
        <v>1303</v>
      </c>
      <c r="N815">
        <v>1003</v>
      </c>
      <c r="O815" t="s">
        <v>556</v>
      </c>
      <c r="P815" t="s">
        <v>556</v>
      </c>
      <c r="Q815">
        <v>1000</v>
      </c>
      <c r="X815">
        <v>0.10199999999999999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3</v>
      </c>
      <c r="AG815">
        <v>0.10199999999999999</v>
      </c>
      <c r="AH815">
        <v>3</v>
      </c>
      <c r="AI815">
        <v>-1</v>
      </c>
      <c r="AJ815" t="s">
        <v>3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</row>
    <row r="816" spans="1:44" x14ac:dyDescent="0.2">
      <c r="A816">
        <f>ROW(Source!A156)</f>
        <v>156</v>
      </c>
      <c r="B816">
        <v>56617045</v>
      </c>
      <c r="C816">
        <v>56617029</v>
      </c>
      <c r="D816">
        <v>46556476</v>
      </c>
      <c r="E816">
        <v>27786564</v>
      </c>
      <c r="F816">
        <v>1</v>
      </c>
      <c r="G816">
        <v>27786564</v>
      </c>
      <c r="H816">
        <v>3</v>
      </c>
      <c r="I816" t="s">
        <v>557</v>
      </c>
      <c r="J816" t="s">
        <v>3</v>
      </c>
      <c r="K816" t="s">
        <v>558</v>
      </c>
      <c r="L816">
        <v>1354</v>
      </c>
      <c r="N816">
        <v>1010</v>
      </c>
      <c r="O816" t="s">
        <v>88</v>
      </c>
      <c r="P816" t="s">
        <v>88</v>
      </c>
      <c r="Q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3</v>
      </c>
      <c r="AG816">
        <v>0</v>
      </c>
      <c r="AH816">
        <v>3</v>
      </c>
      <c r="AI816">
        <v>-1</v>
      </c>
      <c r="AJ816" t="s">
        <v>3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 x14ac:dyDescent="0.2">
      <c r="A817">
        <f>ROW(Source!A157)</f>
        <v>157</v>
      </c>
      <c r="B817">
        <v>56617048</v>
      </c>
      <c r="C817">
        <v>56617046</v>
      </c>
      <c r="D817">
        <v>47634407</v>
      </c>
      <c r="E817">
        <v>27786564</v>
      </c>
      <c r="F817">
        <v>1</v>
      </c>
      <c r="G817">
        <v>27786564</v>
      </c>
      <c r="H817">
        <v>1</v>
      </c>
      <c r="I817" t="s">
        <v>439</v>
      </c>
      <c r="J817" t="s">
        <v>3</v>
      </c>
      <c r="K817" t="s">
        <v>440</v>
      </c>
      <c r="L817">
        <v>1191</v>
      </c>
      <c r="N817">
        <v>1013</v>
      </c>
      <c r="O817" t="s">
        <v>441</v>
      </c>
      <c r="P817" t="s">
        <v>441</v>
      </c>
      <c r="Q817">
        <v>1</v>
      </c>
      <c r="X817">
        <v>22.4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1</v>
      </c>
      <c r="AF817" t="s">
        <v>22</v>
      </c>
      <c r="AG817">
        <v>24.64</v>
      </c>
      <c r="AH817">
        <v>2</v>
      </c>
      <c r="AI817">
        <v>56617047</v>
      </c>
      <c r="AJ817">
        <v>177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</row>
    <row r="818" spans="1:44" x14ac:dyDescent="0.2">
      <c r="A818">
        <f>ROW(Source!A157)</f>
        <v>157</v>
      </c>
      <c r="B818">
        <v>56617049</v>
      </c>
      <c r="C818">
        <v>56617046</v>
      </c>
      <c r="D818">
        <v>47767106</v>
      </c>
      <c r="E818">
        <v>1</v>
      </c>
      <c r="F818">
        <v>1</v>
      </c>
      <c r="G818">
        <v>27786564</v>
      </c>
      <c r="H818">
        <v>2</v>
      </c>
      <c r="I818" t="s">
        <v>487</v>
      </c>
      <c r="J818" t="s">
        <v>488</v>
      </c>
      <c r="K818" t="s">
        <v>489</v>
      </c>
      <c r="L818">
        <v>1368</v>
      </c>
      <c r="N818">
        <v>1011</v>
      </c>
      <c r="O818" t="s">
        <v>445</v>
      </c>
      <c r="P818" t="s">
        <v>445</v>
      </c>
      <c r="Q818">
        <v>1</v>
      </c>
      <c r="X818">
        <v>0.55000000000000004</v>
      </c>
      <c r="Y818">
        <v>0</v>
      </c>
      <c r="Z818">
        <v>83.1</v>
      </c>
      <c r="AA818">
        <v>12.62</v>
      </c>
      <c r="AB818">
        <v>0</v>
      </c>
      <c r="AC818">
        <v>0</v>
      </c>
      <c r="AD818">
        <v>1</v>
      </c>
      <c r="AE818">
        <v>0</v>
      </c>
      <c r="AF818" t="s">
        <v>22</v>
      </c>
      <c r="AG818">
        <v>0.60500000000000009</v>
      </c>
      <c r="AH818">
        <v>3</v>
      </c>
      <c r="AI818">
        <v>-1</v>
      </c>
      <c r="AJ818" t="s">
        <v>3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x14ac:dyDescent="0.2">
      <c r="A819">
        <f>ROW(Source!A157)</f>
        <v>157</v>
      </c>
      <c r="B819">
        <v>56617050</v>
      </c>
      <c r="C819">
        <v>56617046</v>
      </c>
      <c r="D819">
        <v>47766535</v>
      </c>
      <c r="E819">
        <v>1</v>
      </c>
      <c r="F819">
        <v>1</v>
      </c>
      <c r="G819">
        <v>27786564</v>
      </c>
      <c r="H819">
        <v>2</v>
      </c>
      <c r="I819" t="s">
        <v>541</v>
      </c>
      <c r="J819" t="s">
        <v>542</v>
      </c>
      <c r="K819" t="s">
        <v>543</v>
      </c>
      <c r="L819">
        <v>1368</v>
      </c>
      <c r="N819">
        <v>1011</v>
      </c>
      <c r="O819" t="s">
        <v>445</v>
      </c>
      <c r="P819" t="s">
        <v>445</v>
      </c>
      <c r="Q819">
        <v>1</v>
      </c>
      <c r="X819">
        <v>5.27</v>
      </c>
      <c r="Y819">
        <v>0</v>
      </c>
      <c r="Z819">
        <v>2.27</v>
      </c>
      <c r="AA819">
        <v>0</v>
      </c>
      <c r="AB819">
        <v>0</v>
      </c>
      <c r="AC819">
        <v>0</v>
      </c>
      <c r="AD819">
        <v>1</v>
      </c>
      <c r="AE819">
        <v>0</v>
      </c>
      <c r="AF819" t="s">
        <v>22</v>
      </c>
      <c r="AG819">
        <v>5.7969999999999997</v>
      </c>
      <c r="AH819">
        <v>3</v>
      </c>
      <c r="AI819">
        <v>-1</v>
      </c>
      <c r="AJ819" t="s">
        <v>3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</row>
    <row r="820" spans="1:44" x14ac:dyDescent="0.2">
      <c r="A820">
        <f>ROW(Source!A157)</f>
        <v>157</v>
      </c>
      <c r="B820">
        <v>56617051</v>
      </c>
      <c r="C820">
        <v>56617046</v>
      </c>
      <c r="D820">
        <v>47766545</v>
      </c>
      <c r="E820">
        <v>1</v>
      </c>
      <c r="F820">
        <v>1</v>
      </c>
      <c r="G820">
        <v>27786564</v>
      </c>
      <c r="H820">
        <v>2</v>
      </c>
      <c r="I820" t="s">
        <v>490</v>
      </c>
      <c r="J820" t="s">
        <v>491</v>
      </c>
      <c r="K820" t="s">
        <v>492</v>
      </c>
      <c r="L820">
        <v>1368</v>
      </c>
      <c r="N820">
        <v>1011</v>
      </c>
      <c r="O820" t="s">
        <v>445</v>
      </c>
      <c r="P820" t="s">
        <v>445</v>
      </c>
      <c r="Q820">
        <v>1</v>
      </c>
      <c r="X820">
        <v>5.27</v>
      </c>
      <c r="Y820">
        <v>0</v>
      </c>
      <c r="Z820">
        <v>0.73</v>
      </c>
      <c r="AA820">
        <v>0</v>
      </c>
      <c r="AB820">
        <v>0</v>
      </c>
      <c r="AC820">
        <v>0</v>
      </c>
      <c r="AD820">
        <v>1</v>
      </c>
      <c r="AE820">
        <v>0</v>
      </c>
      <c r="AF820" t="s">
        <v>22</v>
      </c>
      <c r="AG820">
        <v>5.7969999999999997</v>
      </c>
      <c r="AH820">
        <v>3</v>
      </c>
      <c r="AI820">
        <v>-1</v>
      </c>
      <c r="AJ820" t="s">
        <v>3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</row>
    <row r="821" spans="1:44" x14ac:dyDescent="0.2">
      <c r="A821">
        <f>ROW(Source!A157)</f>
        <v>157</v>
      </c>
      <c r="B821">
        <v>56617052</v>
      </c>
      <c r="C821">
        <v>56617046</v>
      </c>
      <c r="D821">
        <v>49108250</v>
      </c>
      <c r="E821">
        <v>1</v>
      </c>
      <c r="F821">
        <v>1</v>
      </c>
      <c r="G821">
        <v>27786564</v>
      </c>
      <c r="H821">
        <v>3</v>
      </c>
      <c r="I821" t="s">
        <v>559</v>
      </c>
      <c r="J821" t="s">
        <v>564</v>
      </c>
      <c r="K821" t="s">
        <v>561</v>
      </c>
      <c r="L821">
        <v>1348</v>
      </c>
      <c r="N821">
        <v>1009</v>
      </c>
      <c r="O821" t="s">
        <v>367</v>
      </c>
      <c r="P821" t="s">
        <v>367</v>
      </c>
      <c r="Q821">
        <v>1000</v>
      </c>
      <c r="X821">
        <v>6.2E-4</v>
      </c>
      <c r="Y821">
        <v>10651.81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 t="s">
        <v>3</v>
      </c>
      <c r="AG821">
        <v>6.2E-4</v>
      </c>
      <c r="AH821">
        <v>3</v>
      </c>
      <c r="AI821">
        <v>-1</v>
      </c>
      <c r="AJ821" t="s">
        <v>3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 spans="1:44" x14ac:dyDescent="0.2">
      <c r="A822">
        <f>ROW(Source!A157)</f>
        <v>157</v>
      </c>
      <c r="B822">
        <v>56617053</v>
      </c>
      <c r="C822">
        <v>56617046</v>
      </c>
      <c r="D822">
        <v>46723498</v>
      </c>
      <c r="E822">
        <v>1</v>
      </c>
      <c r="F822">
        <v>1</v>
      </c>
      <c r="G822">
        <v>27786564</v>
      </c>
      <c r="H822">
        <v>3</v>
      </c>
      <c r="I822" t="s">
        <v>496</v>
      </c>
      <c r="J822" t="s">
        <v>497</v>
      </c>
      <c r="K822" t="s">
        <v>498</v>
      </c>
      <c r="L822">
        <v>1348</v>
      </c>
      <c r="N822">
        <v>1009</v>
      </c>
      <c r="O822" t="s">
        <v>367</v>
      </c>
      <c r="P822" t="s">
        <v>367</v>
      </c>
      <c r="Q822">
        <v>1000</v>
      </c>
      <c r="X822">
        <v>7.2000000000000005E-4</v>
      </c>
      <c r="Y822">
        <v>11242.42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 t="s">
        <v>3</v>
      </c>
      <c r="AG822">
        <v>7.2000000000000005E-4</v>
      </c>
      <c r="AH822">
        <v>3</v>
      </c>
      <c r="AI822">
        <v>-1</v>
      </c>
      <c r="AJ822" t="s">
        <v>3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 spans="1:44" x14ac:dyDescent="0.2">
      <c r="A823">
        <f>ROW(Source!A157)</f>
        <v>157</v>
      </c>
      <c r="B823">
        <v>56617054</v>
      </c>
      <c r="C823">
        <v>56617046</v>
      </c>
      <c r="D823">
        <v>45796980</v>
      </c>
      <c r="E823">
        <v>1</v>
      </c>
      <c r="F823">
        <v>1</v>
      </c>
      <c r="G823">
        <v>27786564</v>
      </c>
      <c r="H823">
        <v>3</v>
      </c>
      <c r="I823" t="s">
        <v>499</v>
      </c>
      <c r="J823" t="s">
        <v>500</v>
      </c>
      <c r="K823" t="s">
        <v>501</v>
      </c>
      <c r="L823">
        <v>1346</v>
      </c>
      <c r="N823">
        <v>1009</v>
      </c>
      <c r="O823" t="s">
        <v>104</v>
      </c>
      <c r="P823" t="s">
        <v>104</v>
      </c>
      <c r="Q823">
        <v>1</v>
      </c>
      <c r="X823">
        <v>0.8</v>
      </c>
      <c r="Y823">
        <v>25.8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0</v>
      </c>
      <c r="AF823" t="s">
        <v>3</v>
      </c>
      <c r="AG823">
        <v>0.8</v>
      </c>
      <c r="AH823">
        <v>3</v>
      </c>
      <c r="AI823">
        <v>-1</v>
      </c>
      <c r="AJ823" t="s">
        <v>3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</row>
    <row r="824" spans="1:44" x14ac:dyDescent="0.2">
      <c r="A824">
        <f>ROW(Source!A157)</f>
        <v>157</v>
      </c>
      <c r="B824">
        <v>56617055</v>
      </c>
      <c r="C824">
        <v>56617046</v>
      </c>
      <c r="D824">
        <v>46723689</v>
      </c>
      <c r="E824">
        <v>1</v>
      </c>
      <c r="F824">
        <v>1</v>
      </c>
      <c r="G824">
        <v>27786564</v>
      </c>
      <c r="H824">
        <v>3</v>
      </c>
      <c r="I824" t="s">
        <v>502</v>
      </c>
      <c r="J824" t="s">
        <v>503</v>
      </c>
      <c r="K824" t="s">
        <v>504</v>
      </c>
      <c r="L824">
        <v>1348</v>
      </c>
      <c r="N824">
        <v>1009</v>
      </c>
      <c r="O824" t="s">
        <v>367</v>
      </c>
      <c r="P824" t="s">
        <v>367</v>
      </c>
      <c r="Q824">
        <v>1000</v>
      </c>
      <c r="X824">
        <v>2.5000000000000001E-4</v>
      </c>
      <c r="Y824">
        <v>60966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 t="s">
        <v>3</v>
      </c>
      <c r="AG824">
        <v>2.5000000000000001E-4</v>
      </c>
      <c r="AH824">
        <v>3</v>
      </c>
      <c r="AI824">
        <v>-1</v>
      </c>
      <c r="AJ824" t="s">
        <v>3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4" x14ac:dyDescent="0.2">
      <c r="A825">
        <f>ROW(Source!A157)</f>
        <v>157</v>
      </c>
      <c r="B825">
        <v>56617056</v>
      </c>
      <c r="C825">
        <v>56617046</v>
      </c>
      <c r="D825">
        <v>46723704</v>
      </c>
      <c r="E825">
        <v>1</v>
      </c>
      <c r="F825">
        <v>1</v>
      </c>
      <c r="G825">
        <v>27786564</v>
      </c>
      <c r="H825">
        <v>3</v>
      </c>
      <c r="I825" t="s">
        <v>505</v>
      </c>
      <c r="J825" t="s">
        <v>506</v>
      </c>
      <c r="K825" t="s">
        <v>507</v>
      </c>
      <c r="L825">
        <v>1348</v>
      </c>
      <c r="N825">
        <v>1009</v>
      </c>
      <c r="O825" t="s">
        <v>367</v>
      </c>
      <c r="P825" t="s">
        <v>367</v>
      </c>
      <c r="Q825">
        <v>1000</v>
      </c>
      <c r="X825">
        <v>1E-4</v>
      </c>
      <c r="Y825">
        <v>7982.5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0</v>
      </c>
      <c r="AF825" t="s">
        <v>3</v>
      </c>
      <c r="AG825">
        <v>1E-4</v>
      </c>
      <c r="AH825">
        <v>3</v>
      </c>
      <c r="AI825">
        <v>-1</v>
      </c>
      <c r="AJ825" t="s">
        <v>3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 x14ac:dyDescent="0.2">
      <c r="A826">
        <f>ROW(Source!A157)</f>
        <v>157</v>
      </c>
      <c r="B826">
        <v>56617057</v>
      </c>
      <c r="C826">
        <v>56617046</v>
      </c>
      <c r="D826">
        <v>46735845</v>
      </c>
      <c r="E826">
        <v>1</v>
      </c>
      <c r="F826">
        <v>1</v>
      </c>
      <c r="G826">
        <v>27786564</v>
      </c>
      <c r="H826">
        <v>3</v>
      </c>
      <c r="I826" t="s">
        <v>508</v>
      </c>
      <c r="J826" t="s">
        <v>553</v>
      </c>
      <c r="K826" t="s">
        <v>510</v>
      </c>
      <c r="L826">
        <v>1356</v>
      </c>
      <c r="N826">
        <v>1010</v>
      </c>
      <c r="O826" t="s">
        <v>511</v>
      </c>
      <c r="P826" t="s">
        <v>511</v>
      </c>
      <c r="Q826">
        <v>1000</v>
      </c>
      <c r="X826">
        <v>1E-3</v>
      </c>
      <c r="Y826">
        <v>226.68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  <c r="AF826" t="s">
        <v>3</v>
      </c>
      <c r="AG826">
        <v>1E-3</v>
      </c>
      <c r="AH826">
        <v>3</v>
      </c>
      <c r="AI826">
        <v>-1</v>
      </c>
      <c r="AJ826" t="s">
        <v>3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</row>
    <row r="827" spans="1:44" x14ac:dyDescent="0.2">
      <c r="A827">
        <f>ROW(Source!A157)</f>
        <v>157</v>
      </c>
      <c r="B827">
        <v>56617058</v>
      </c>
      <c r="C827">
        <v>56617046</v>
      </c>
      <c r="D827">
        <v>46735506</v>
      </c>
      <c r="E827">
        <v>1</v>
      </c>
      <c r="F827">
        <v>1</v>
      </c>
      <c r="G827">
        <v>27786564</v>
      </c>
      <c r="H827">
        <v>3</v>
      </c>
      <c r="I827" t="s">
        <v>512</v>
      </c>
      <c r="J827" t="s">
        <v>513</v>
      </c>
      <c r="K827" t="s">
        <v>514</v>
      </c>
      <c r="L827">
        <v>1301</v>
      </c>
      <c r="N827">
        <v>1003</v>
      </c>
      <c r="O827" t="s">
        <v>55</v>
      </c>
      <c r="P827" t="s">
        <v>55</v>
      </c>
      <c r="Q827">
        <v>1</v>
      </c>
      <c r="X827">
        <v>2.4500000000000002</v>
      </c>
      <c r="Y827">
        <v>0.7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0</v>
      </c>
      <c r="AF827" t="s">
        <v>3</v>
      </c>
      <c r="AG827">
        <v>2.4500000000000002</v>
      </c>
      <c r="AH827">
        <v>3</v>
      </c>
      <c r="AI827">
        <v>-1</v>
      </c>
      <c r="AJ827" t="s">
        <v>3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 x14ac:dyDescent="0.2">
      <c r="A828">
        <f>ROW(Source!A157)</f>
        <v>157</v>
      </c>
      <c r="B828">
        <v>56617059</v>
      </c>
      <c r="C828">
        <v>56617046</v>
      </c>
      <c r="D828">
        <v>46735508</v>
      </c>
      <c r="E828">
        <v>1</v>
      </c>
      <c r="F828">
        <v>1</v>
      </c>
      <c r="G828">
        <v>27786564</v>
      </c>
      <c r="H828">
        <v>3</v>
      </c>
      <c r="I828" t="s">
        <v>515</v>
      </c>
      <c r="J828" t="s">
        <v>516</v>
      </c>
      <c r="K828" t="s">
        <v>517</v>
      </c>
      <c r="L828">
        <v>1356</v>
      </c>
      <c r="N828">
        <v>1010</v>
      </c>
      <c r="O828" t="s">
        <v>511</v>
      </c>
      <c r="P828" t="s">
        <v>511</v>
      </c>
      <c r="Q828">
        <v>1000</v>
      </c>
      <c r="X828">
        <v>2.0799999999999999E-2</v>
      </c>
      <c r="Y828">
        <v>6.44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 t="s">
        <v>3</v>
      </c>
      <c r="AG828">
        <v>2.0799999999999999E-2</v>
      </c>
      <c r="AH828">
        <v>3</v>
      </c>
      <c r="AI828">
        <v>-1</v>
      </c>
      <c r="AJ828" t="s">
        <v>3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 x14ac:dyDescent="0.2">
      <c r="A829">
        <f>ROW(Source!A157)</f>
        <v>157</v>
      </c>
      <c r="B829">
        <v>56617060</v>
      </c>
      <c r="C829">
        <v>56617046</v>
      </c>
      <c r="D829">
        <v>30369949</v>
      </c>
      <c r="E829">
        <v>27786564</v>
      </c>
      <c r="F829">
        <v>1</v>
      </c>
      <c r="G829">
        <v>27786564</v>
      </c>
      <c r="H829">
        <v>3</v>
      </c>
      <c r="I829" t="s">
        <v>562</v>
      </c>
      <c r="J829" t="s">
        <v>3</v>
      </c>
      <c r="K829" t="s">
        <v>563</v>
      </c>
      <c r="L829">
        <v>1356</v>
      </c>
      <c r="N829">
        <v>1010</v>
      </c>
      <c r="O829" t="s">
        <v>511</v>
      </c>
      <c r="P829" t="s">
        <v>511</v>
      </c>
      <c r="Q829">
        <v>1000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 t="s">
        <v>3</v>
      </c>
      <c r="AG829">
        <v>0</v>
      </c>
      <c r="AH829">
        <v>3</v>
      </c>
      <c r="AI829">
        <v>-1</v>
      </c>
      <c r="AJ829" t="s">
        <v>3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 x14ac:dyDescent="0.2">
      <c r="A830">
        <f>ROW(Source!A157)</f>
        <v>157</v>
      </c>
      <c r="B830">
        <v>56617061</v>
      </c>
      <c r="C830">
        <v>56617046</v>
      </c>
      <c r="D830">
        <v>49717618</v>
      </c>
      <c r="E830">
        <v>27786564</v>
      </c>
      <c r="F830">
        <v>1</v>
      </c>
      <c r="G830">
        <v>27786564</v>
      </c>
      <c r="H830">
        <v>3</v>
      </c>
      <c r="I830" t="s">
        <v>554</v>
      </c>
      <c r="J830" t="s">
        <v>3</v>
      </c>
      <c r="K830" t="s">
        <v>555</v>
      </c>
      <c r="L830">
        <v>1303</v>
      </c>
      <c r="N830">
        <v>1003</v>
      </c>
      <c r="O830" t="s">
        <v>556</v>
      </c>
      <c r="P830" t="s">
        <v>556</v>
      </c>
      <c r="Q830">
        <v>1000</v>
      </c>
      <c r="X830">
        <v>0.10199999999999999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3</v>
      </c>
      <c r="AG830">
        <v>0.10199999999999999</v>
      </c>
      <c r="AH830">
        <v>3</v>
      </c>
      <c r="AI830">
        <v>-1</v>
      </c>
      <c r="AJ830" t="s">
        <v>3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 x14ac:dyDescent="0.2">
      <c r="A831">
        <f>ROW(Source!A157)</f>
        <v>157</v>
      </c>
      <c r="B831">
        <v>56617062</v>
      </c>
      <c r="C831">
        <v>56617046</v>
      </c>
      <c r="D831">
        <v>46556476</v>
      </c>
      <c r="E831">
        <v>27786564</v>
      </c>
      <c r="F831">
        <v>1</v>
      </c>
      <c r="G831">
        <v>27786564</v>
      </c>
      <c r="H831">
        <v>3</v>
      </c>
      <c r="I831" t="s">
        <v>557</v>
      </c>
      <c r="J831" t="s">
        <v>3</v>
      </c>
      <c r="K831" t="s">
        <v>558</v>
      </c>
      <c r="L831">
        <v>1354</v>
      </c>
      <c r="N831">
        <v>1010</v>
      </c>
      <c r="O831" t="s">
        <v>88</v>
      </c>
      <c r="P831" t="s">
        <v>88</v>
      </c>
      <c r="Q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 t="s">
        <v>3</v>
      </c>
      <c r="AG831">
        <v>0</v>
      </c>
      <c r="AH831">
        <v>3</v>
      </c>
      <c r="AI831">
        <v>-1</v>
      </c>
      <c r="AJ831" t="s">
        <v>3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</row>
    <row r="832" spans="1:44" x14ac:dyDescent="0.2">
      <c r="A832">
        <f>ROW(Source!A158)</f>
        <v>158</v>
      </c>
      <c r="B832">
        <v>56617048</v>
      </c>
      <c r="C832">
        <v>56617046</v>
      </c>
      <c r="D832">
        <v>47634407</v>
      </c>
      <c r="E832">
        <v>27786564</v>
      </c>
      <c r="F832">
        <v>1</v>
      </c>
      <c r="G832">
        <v>27786564</v>
      </c>
      <c r="H832">
        <v>1</v>
      </c>
      <c r="I832" t="s">
        <v>439</v>
      </c>
      <c r="J832" t="s">
        <v>3</v>
      </c>
      <c r="K832" t="s">
        <v>440</v>
      </c>
      <c r="L832">
        <v>1191</v>
      </c>
      <c r="N832">
        <v>1013</v>
      </c>
      <c r="O832" t="s">
        <v>441</v>
      </c>
      <c r="P832" t="s">
        <v>441</v>
      </c>
      <c r="Q832">
        <v>1</v>
      </c>
      <c r="X832">
        <v>22.4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1</v>
      </c>
      <c r="AF832" t="s">
        <v>22</v>
      </c>
      <c r="AG832">
        <v>24.64</v>
      </c>
      <c r="AH832">
        <v>2</v>
      </c>
      <c r="AI832">
        <v>56617047</v>
      </c>
      <c r="AJ832">
        <v>178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4" x14ac:dyDescent="0.2">
      <c r="A833">
        <f>ROW(Source!A158)</f>
        <v>158</v>
      </c>
      <c r="B833">
        <v>56617049</v>
      </c>
      <c r="C833">
        <v>56617046</v>
      </c>
      <c r="D833">
        <v>47767106</v>
      </c>
      <c r="E833">
        <v>1</v>
      </c>
      <c r="F833">
        <v>1</v>
      </c>
      <c r="G833">
        <v>27786564</v>
      </c>
      <c r="H833">
        <v>2</v>
      </c>
      <c r="I833" t="s">
        <v>487</v>
      </c>
      <c r="J833" t="s">
        <v>488</v>
      </c>
      <c r="K833" t="s">
        <v>489</v>
      </c>
      <c r="L833">
        <v>1368</v>
      </c>
      <c r="N833">
        <v>1011</v>
      </c>
      <c r="O833" t="s">
        <v>445</v>
      </c>
      <c r="P833" t="s">
        <v>445</v>
      </c>
      <c r="Q833">
        <v>1</v>
      </c>
      <c r="X833">
        <v>0.55000000000000004</v>
      </c>
      <c r="Y833">
        <v>0</v>
      </c>
      <c r="Z833">
        <v>83.1</v>
      </c>
      <c r="AA833">
        <v>12.62</v>
      </c>
      <c r="AB833">
        <v>0</v>
      </c>
      <c r="AC833">
        <v>0</v>
      </c>
      <c r="AD833">
        <v>1</v>
      </c>
      <c r="AE833">
        <v>0</v>
      </c>
      <c r="AF833" t="s">
        <v>22</v>
      </c>
      <c r="AG833">
        <v>0.60500000000000009</v>
      </c>
      <c r="AH833">
        <v>3</v>
      </c>
      <c r="AI833">
        <v>-1</v>
      </c>
      <c r="AJ833" t="s">
        <v>3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 x14ac:dyDescent="0.2">
      <c r="A834">
        <f>ROW(Source!A158)</f>
        <v>158</v>
      </c>
      <c r="B834">
        <v>56617050</v>
      </c>
      <c r="C834">
        <v>56617046</v>
      </c>
      <c r="D834">
        <v>47766535</v>
      </c>
      <c r="E834">
        <v>1</v>
      </c>
      <c r="F834">
        <v>1</v>
      </c>
      <c r="G834">
        <v>27786564</v>
      </c>
      <c r="H834">
        <v>2</v>
      </c>
      <c r="I834" t="s">
        <v>541</v>
      </c>
      <c r="J834" t="s">
        <v>542</v>
      </c>
      <c r="K834" t="s">
        <v>543</v>
      </c>
      <c r="L834">
        <v>1368</v>
      </c>
      <c r="N834">
        <v>1011</v>
      </c>
      <c r="O834" t="s">
        <v>445</v>
      </c>
      <c r="P834" t="s">
        <v>445</v>
      </c>
      <c r="Q834">
        <v>1</v>
      </c>
      <c r="X834">
        <v>5.27</v>
      </c>
      <c r="Y834">
        <v>0</v>
      </c>
      <c r="Z834">
        <v>2.27</v>
      </c>
      <c r="AA834">
        <v>0</v>
      </c>
      <c r="AB834">
        <v>0</v>
      </c>
      <c r="AC834">
        <v>0</v>
      </c>
      <c r="AD834">
        <v>1</v>
      </c>
      <c r="AE834">
        <v>0</v>
      </c>
      <c r="AF834" t="s">
        <v>22</v>
      </c>
      <c r="AG834">
        <v>5.7969999999999997</v>
      </c>
      <c r="AH834">
        <v>3</v>
      </c>
      <c r="AI834">
        <v>-1</v>
      </c>
      <c r="AJ834" t="s">
        <v>3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</row>
    <row r="835" spans="1:44" x14ac:dyDescent="0.2">
      <c r="A835">
        <f>ROW(Source!A158)</f>
        <v>158</v>
      </c>
      <c r="B835">
        <v>56617051</v>
      </c>
      <c r="C835">
        <v>56617046</v>
      </c>
      <c r="D835">
        <v>47766545</v>
      </c>
      <c r="E835">
        <v>1</v>
      </c>
      <c r="F835">
        <v>1</v>
      </c>
      <c r="G835">
        <v>27786564</v>
      </c>
      <c r="H835">
        <v>2</v>
      </c>
      <c r="I835" t="s">
        <v>490</v>
      </c>
      <c r="J835" t="s">
        <v>491</v>
      </c>
      <c r="K835" t="s">
        <v>492</v>
      </c>
      <c r="L835">
        <v>1368</v>
      </c>
      <c r="N835">
        <v>1011</v>
      </c>
      <c r="O835" t="s">
        <v>445</v>
      </c>
      <c r="P835" t="s">
        <v>445</v>
      </c>
      <c r="Q835">
        <v>1</v>
      </c>
      <c r="X835">
        <v>5.27</v>
      </c>
      <c r="Y835">
        <v>0</v>
      </c>
      <c r="Z835">
        <v>0.73</v>
      </c>
      <c r="AA835">
        <v>0</v>
      </c>
      <c r="AB835">
        <v>0</v>
      </c>
      <c r="AC835">
        <v>0</v>
      </c>
      <c r="AD835">
        <v>1</v>
      </c>
      <c r="AE835">
        <v>0</v>
      </c>
      <c r="AF835" t="s">
        <v>22</v>
      </c>
      <c r="AG835">
        <v>5.7969999999999997</v>
      </c>
      <c r="AH835">
        <v>3</v>
      </c>
      <c r="AI835">
        <v>-1</v>
      </c>
      <c r="AJ835" t="s">
        <v>3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44" x14ac:dyDescent="0.2">
      <c r="A836">
        <f>ROW(Source!A158)</f>
        <v>158</v>
      </c>
      <c r="B836">
        <v>56617052</v>
      </c>
      <c r="C836">
        <v>56617046</v>
      </c>
      <c r="D836">
        <v>49108250</v>
      </c>
      <c r="E836">
        <v>1</v>
      </c>
      <c r="F836">
        <v>1</v>
      </c>
      <c r="G836">
        <v>27786564</v>
      </c>
      <c r="H836">
        <v>3</v>
      </c>
      <c r="I836" t="s">
        <v>559</v>
      </c>
      <c r="J836" t="s">
        <v>564</v>
      </c>
      <c r="K836" t="s">
        <v>561</v>
      </c>
      <c r="L836">
        <v>1348</v>
      </c>
      <c r="N836">
        <v>1009</v>
      </c>
      <c r="O836" t="s">
        <v>367</v>
      </c>
      <c r="P836" t="s">
        <v>367</v>
      </c>
      <c r="Q836">
        <v>1000</v>
      </c>
      <c r="X836">
        <v>6.2E-4</v>
      </c>
      <c r="Y836">
        <v>10651.81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 t="s">
        <v>3</v>
      </c>
      <c r="AG836">
        <v>6.2E-4</v>
      </c>
      <c r="AH836">
        <v>3</v>
      </c>
      <c r="AI836">
        <v>-1</v>
      </c>
      <c r="AJ836" t="s">
        <v>3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44" x14ac:dyDescent="0.2">
      <c r="A837">
        <f>ROW(Source!A158)</f>
        <v>158</v>
      </c>
      <c r="B837">
        <v>56617053</v>
      </c>
      <c r="C837">
        <v>56617046</v>
      </c>
      <c r="D837">
        <v>46723498</v>
      </c>
      <c r="E837">
        <v>1</v>
      </c>
      <c r="F837">
        <v>1</v>
      </c>
      <c r="G837">
        <v>27786564</v>
      </c>
      <c r="H837">
        <v>3</v>
      </c>
      <c r="I837" t="s">
        <v>496</v>
      </c>
      <c r="J837" t="s">
        <v>497</v>
      </c>
      <c r="K837" t="s">
        <v>498</v>
      </c>
      <c r="L837">
        <v>1348</v>
      </c>
      <c r="N837">
        <v>1009</v>
      </c>
      <c r="O837" t="s">
        <v>367</v>
      </c>
      <c r="P837" t="s">
        <v>367</v>
      </c>
      <c r="Q837">
        <v>1000</v>
      </c>
      <c r="X837">
        <v>7.2000000000000005E-4</v>
      </c>
      <c r="Y837">
        <v>11242.42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0</v>
      </c>
      <c r="AF837" t="s">
        <v>3</v>
      </c>
      <c r="AG837">
        <v>7.2000000000000005E-4</v>
      </c>
      <c r="AH837">
        <v>3</v>
      </c>
      <c r="AI837">
        <v>-1</v>
      </c>
      <c r="AJ837" t="s">
        <v>3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44" x14ac:dyDescent="0.2">
      <c r="A838">
        <f>ROW(Source!A158)</f>
        <v>158</v>
      </c>
      <c r="B838">
        <v>56617054</v>
      </c>
      <c r="C838">
        <v>56617046</v>
      </c>
      <c r="D838">
        <v>45796980</v>
      </c>
      <c r="E838">
        <v>1</v>
      </c>
      <c r="F838">
        <v>1</v>
      </c>
      <c r="G838">
        <v>27786564</v>
      </c>
      <c r="H838">
        <v>3</v>
      </c>
      <c r="I838" t="s">
        <v>499</v>
      </c>
      <c r="J838" t="s">
        <v>500</v>
      </c>
      <c r="K838" t="s">
        <v>501</v>
      </c>
      <c r="L838">
        <v>1346</v>
      </c>
      <c r="N838">
        <v>1009</v>
      </c>
      <c r="O838" t="s">
        <v>104</v>
      </c>
      <c r="P838" t="s">
        <v>104</v>
      </c>
      <c r="Q838">
        <v>1</v>
      </c>
      <c r="X838">
        <v>0.8</v>
      </c>
      <c r="Y838">
        <v>25.8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 t="s">
        <v>3</v>
      </c>
      <c r="AG838">
        <v>0.8</v>
      </c>
      <c r="AH838">
        <v>3</v>
      </c>
      <c r="AI838">
        <v>-1</v>
      </c>
      <c r="AJ838" t="s">
        <v>3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 x14ac:dyDescent="0.2">
      <c r="A839">
        <f>ROW(Source!A158)</f>
        <v>158</v>
      </c>
      <c r="B839">
        <v>56617055</v>
      </c>
      <c r="C839">
        <v>56617046</v>
      </c>
      <c r="D839">
        <v>46723689</v>
      </c>
      <c r="E839">
        <v>1</v>
      </c>
      <c r="F839">
        <v>1</v>
      </c>
      <c r="G839">
        <v>27786564</v>
      </c>
      <c r="H839">
        <v>3</v>
      </c>
      <c r="I839" t="s">
        <v>502</v>
      </c>
      <c r="J839" t="s">
        <v>503</v>
      </c>
      <c r="K839" t="s">
        <v>504</v>
      </c>
      <c r="L839">
        <v>1348</v>
      </c>
      <c r="N839">
        <v>1009</v>
      </c>
      <c r="O839" t="s">
        <v>367</v>
      </c>
      <c r="P839" t="s">
        <v>367</v>
      </c>
      <c r="Q839">
        <v>1000</v>
      </c>
      <c r="X839">
        <v>2.5000000000000001E-4</v>
      </c>
      <c r="Y839">
        <v>60966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 t="s">
        <v>3</v>
      </c>
      <c r="AG839">
        <v>2.5000000000000001E-4</v>
      </c>
      <c r="AH839">
        <v>3</v>
      </c>
      <c r="AI839">
        <v>-1</v>
      </c>
      <c r="AJ839" t="s">
        <v>3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</row>
    <row r="840" spans="1:44" x14ac:dyDescent="0.2">
      <c r="A840">
        <f>ROW(Source!A158)</f>
        <v>158</v>
      </c>
      <c r="B840">
        <v>56617056</v>
      </c>
      <c r="C840">
        <v>56617046</v>
      </c>
      <c r="D840">
        <v>46723704</v>
      </c>
      <c r="E840">
        <v>1</v>
      </c>
      <c r="F840">
        <v>1</v>
      </c>
      <c r="G840">
        <v>27786564</v>
      </c>
      <c r="H840">
        <v>3</v>
      </c>
      <c r="I840" t="s">
        <v>505</v>
      </c>
      <c r="J840" t="s">
        <v>506</v>
      </c>
      <c r="K840" t="s">
        <v>507</v>
      </c>
      <c r="L840">
        <v>1348</v>
      </c>
      <c r="N840">
        <v>1009</v>
      </c>
      <c r="O840" t="s">
        <v>367</v>
      </c>
      <c r="P840" t="s">
        <v>367</v>
      </c>
      <c r="Q840">
        <v>1000</v>
      </c>
      <c r="X840">
        <v>1E-4</v>
      </c>
      <c r="Y840">
        <v>7982.5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 t="s">
        <v>3</v>
      </c>
      <c r="AG840">
        <v>1E-4</v>
      </c>
      <c r="AH840">
        <v>3</v>
      </c>
      <c r="AI840">
        <v>-1</v>
      </c>
      <c r="AJ840" t="s">
        <v>3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 x14ac:dyDescent="0.2">
      <c r="A841">
        <f>ROW(Source!A158)</f>
        <v>158</v>
      </c>
      <c r="B841">
        <v>56617057</v>
      </c>
      <c r="C841">
        <v>56617046</v>
      </c>
      <c r="D841">
        <v>46735845</v>
      </c>
      <c r="E841">
        <v>1</v>
      </c>
      <c r="F841">
        <v>1</v>
      </c>
      <c r="G841">
        <v>27786564</v>
      </c>
      <c r="H841">
        <v>3</v>
      </c>
      <c r="I841" t="s">
        <v>508</v>
      </c>
      <c r="J841" t="s">
        <v>553</v>
      </c>
      <c r="K841" t="s">
        <v>510</v>
      </c>
      <c r="L841">
        <v>1356</v>
      </c>
      <c r="N841">
        <v>1010</v>
      </c>
      <c r="O841" t="s">
        <v>511</v>
      </c>
      <c r="P841" t="s">
        <v>511</v>
      </c>
      <c r="Q841">
        <v>1000</v>
      </c>
      <c r="X841">
        <v>1E-3</v>
      </c>
      <c r="Y841">
        <v>226.68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 t="s">
        <v>3</v>
      </c>
      <c r="AG841">
        <v>1E-3</v>
      </c>
      <c r="AH841">
        <v>3</v>
      </c>
      <c r="AI841">
        <v>-1</v>
      </c>
      <c r="AJ841" t="s">
        <v>3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4" x14ac:dyDescent="0.2">
      <c r="A842">
        <f>ROW(Source!A158)</f>
        <v>158</v>
      </c>
      <c r="B842">
        <v>56617058</v>
      </c>
      <c r="C842">
        <v>56617046</v>
      </c>
      <c r="D842">
        <v>46735506</v>
      </c>
      <c r="E842">
        <v>1</v>
      </c>
      <c r="F842">
        <v>1</v>
      </c>
      <c r="G842">
        <v>27786564</v>
      </c>
      <c r="H842">
        <v>3</v>
      </c>
      <c r="I842" t="s">
        <v>512</v>
      </c>
      <c r="J842" t="s">
        <v>513</v>
      </c>
      <c r="K842" t="s">
        <v>514</v>
      </c>
      <c r="L842">
        <v>1301</v>
      </c>
      <c r="N842">
        <v>1003</v>
      </c>
      <c r="O842" t="s">
        <v>55</v>
      </c>
      <c r="P842" t="s">
        <v>55</v>
      </c>
      <c r="Q842">
        <v>1</v>
      </c>
      <c r="X842">
        <v>2.4500000000000002</v>
      </c>
      <c r="Y842">
        <v>0.7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0</v>
      </c>
      <c r="AF842" t="s">
        <v>3</v>
      </c>
      <c r="AG842">
        <v>2.4500000000000002</v>
      </c>
      <c r="AH842">
        <v>3</v>
      </c>
      <c r="AI842">
        <v>-1</v>
      </c>
      <c r="AJ842" t="s">
        <v>3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 spans="1:44" x14ac:dyDescent="0.2">
      <c r="A843">
        <f>ROW(Source!A158)</f>
        <v>158</v>
      </c>
      <c r="B843">
        <v>56617059</v>
      </c>
      <c r="C843">
        <v>56617046</v>
      </c>
      <c r="D843">
        <v>46735508</v>
      </c>
      <c r="E843">
        <v>1</v>
      </c>
      <c r="F843">
        <v>1</v>
      </c>
      <c r="G843">
        <v>27786564</v>
      </c>
      <c r="H843">
        <v>3</v>
      </c>
      <c r="I843" t="s">
        <v>515</v>
      </c>
      <c r="J843" t="s">
        <v>516</v>
      </c>
      <c r="K843" t="s">
        <v>517</v>
      </c>
      <c r="L843">
        <v>1356</v>
      </c>
      <c r="N843">
        <v>1010</v>
      </c>
      <c r="O843" t="s">
        <v>511</v>
      </c>
      <c r="P843" t="s">
        <v>511</v>
      </c>
      <c r="Q843">
        <v>1000</v>
      </c>
      <c r="X843">
        <v>2.0799999999999999E-2</v>
      </c>
      <c r="Y843">
        <v>6.44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0</v>
      </c>
      <c r="AF843" t="s">
        <v>3</v>
      </c>
      <c r="AG843">
        <v>2.0799999999999999E-2</v>
      </c>
      <c r="AH843">
        <v>3</v>
      </c>
      <c r="AI843">
        <v>-1</v>
      </c>
      <c r="AJ843" t="s">
        <v>3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 x14ac:dyDescent="0.2">
      <c r="A844">
        <f>ROW(Source!A158)</f>
        <v>158</v>
      </c>
      <c r="B844">
        <v>56617060</v>
      </c>
      <c r="C844">
        <v>56617046</v>
      </c>
      <c r="D844">
        <v>30369949</v>
      </c>
      <c r="E844">
        <v>27786564</v>
      </c>
      <c r="F844">
        <v>1</v>
      </c>
      <c r="G844">
        <v>27786564</v>
      </c>
      <c r="H844">
        <v>3</v>
      </c>
      <c r="I844" t="s">
        <v>562</v>
      </c>
      <c r="J844" t="s">
        <v>3</v>
      </c>
      <c r="K844" t="s">
        <v>563</v>
      </c>
      <c r="L844">
        <v>1356</v>
      </c>
      <c r="N844">
        <v>1010</v>
      </c>
      <c r="O844" t="s">
        <v>511</v>
      </c>
      <c r="P844" t="s">
        <v>511</v>
      </c>
      <c r="Q844">
        <v>1000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 t="s">
        <v>3</v>
      </c>
      <c r="AG844">
        <v>0</v>
      </c>
      <c r="AH844">
        <v>3</v>
      </c>
      <c r="AI844">
        <v>-1</v>
      </c>
      <c r="AJ844" t="s">
        <v>3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x14ac:dyDescent="0.2">
      <c r="A845">
        <f>ROW(Source!A158)</f>
        <v>158</v>
      </c>
      <c r="B845">
        <v>56617061</v>
      </c>
      <c r="C845">
        <v>56617046</v>
      </c>
      <c r="D845">
        <v>49717618</v>
      </c>
      <c r="E845">
        <v>27786564</v>
      </c>
      <c r="F845">
        <v>1</v>
      </c>
      <c r="G845">
        <v>27786564</v>
      </c>
      <c r="H845">
        <v>3</v>
      </c>
      <c r="I845" t="s">
        <v>554</v>
      </c>
      <c r="J845" t="s">
        <v>3</v>
      </c>
      <c r="K845" t="s">
        <v>555</v>
      </c>
      <c r="L845">
        <v>1303</v>
      </c>
      <c r="N845">
        <v>1003</v>
      </c>
      <c r="O845" t="s">
        <v>556</v>
      </c>
      <c r="P845" t="s">
        <v>556</v>
      </c>
      <c r="Q845">
        <v>1000</v>
      </c>
      <c r="X845">
        <v>0.10199999999999999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 t="s">
        <v>3</v>
      </c>
      <c r="AG845">
        <v>0.10199999999999999</v>
      </c>
      <c r="AH845">
        <v>3</v>
      </c>
      <c r="AI845">
        <v>-1</v>
      </c>
      <c r="AJ845" t="s">
        <v>3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</row>
    <row r="846" spans="1:44" x14ac:dyDescent="0.2">
      <c r="A846">
        <f>ROW(Source!A158)</f>
        <v>158</v>
      </c>
      <c r="B846">
        <v>56617062</v>
      </c>
      <c r="C846">
        <v>56617046</v>
      </c>
      <c r="D846">
        <v>46556476</v>
      </c>
      <c r="E846">
        <v>27786564</v>
      </c>
      <c r="F846">
        <v>1</v>
      </c>
      <c r="G846">
        <v>27786564</v>
      </c>
      <c r="H846">
        <v>3</v>
      </c>
      <c r="I846" t="s">
        <v>557</v>
      </c>
      <c r="J846" t="s">
        <v>3</v>
      </c>
      <c r="K846" t="s">
        <v>558</v>
      </c>
      <c r="L846">
        <v>1354</v>
      </c>
      <c r="N846">
        <v>1010</v>
      </c>
      <c r="O846" t="s">
        <v>88</v>
      </c>
      <c r="P846" t="s">
        <v>88</v>
      </c>
      <c r="Q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 t="s">
        <v>3</v>
      </c>
      <c r="AG846">
        <v>0</v>
      </c>
      <c r="AH846">
        <v>3</v>
      </c>
      <c r="AI846">
        <v>-1</v>
      </c>
      <c r="AJ846" t="s">
        <v>3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 x14ac:dyDescent="0.2">
      <c r="A847">
        <f>ROW(Source!A159)</f>
        <v>159</v>
      </c>
      <c r="B847">
        <v>56617065</v>
      </c>
      <c r="C847">
        <v>56617063</v>
      </c>
      <c r="D847">
        <v>47634407</v>
      </c>
      <c r="E847">
        <v>27786564</v>
      </c>
      <c r="F847">
        <v>1</v>
      </c>
      <c r="G847">
        <v>27786564</v>
      </c>
      <c r="H847">
        <v>1</v>
      </c>
      <c r="I847" t="s">
        <v>439</v>
      </c>
      <c r="J847" t="s">
        <v>3</v>
      </c>
      <c r="K847" t="s">
        <v>440</v>
      </c>
      <c r="L847">
        <v>1191</v>
      </c>
      <c r="N847">
        <v>1013</v>
      </c>
      <c r="O847" t="s">
        <v>441</v>
      </c>
      <c r="P847" t="s">
        <v>441</v>
      </c>
      <c r="Q847">
        <v>1</v>
      </c>
      <c r="X847">
        <v>32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1</v>
      </c>
      <c r="AF847" t="s">
        <v>22</v>
      </c>
      <c r="AG847">
        <v>35.200000000000003</v>
      </c>
      <c r="AH847">
        <v>2</v>
      </c>
      <c r="AI847">
        <v>56617064</v>
      </c>
      <c r="AJ847">
        <v>179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</row>
    <row r="848" spans="1:44" x14ac:dyDescent="0.2">
      <c r="A848">
        <f>ROW(Source!A159)</f>
        <v>159</v>
      </c>
      <c r="B848">
        <v>56617066</v>
      </c>
      <c r="C848">
        <v>56617063</v>
      </c>
      <c r="D848">
        <v>47767106</v>
      </c>
      <c r="E848">
        <v>1</v>
      </c>
      <c r="F848">
        <v>1</v>
      </c>
      <c r="G848">
        <v>27786564</v>
      </c>
      <c r="H848">
        <v>2</v>
      </c>
      <c r="I848" t="s">
        <v>487</v>
      </c>
      <c r="J848" t="s">
        <v>488</v>
      </c>
      <c r="K848" t="s">
        <v>489</v>
      </c>
      <c r="L848">
        <v>1368</v>
      </c>
      <c r="N848">
        <v>1011</v>
      </c>
      <c r="O848" t="s">
        <v>445</v>
      </c>
      <c r="P848" t="s">
        <v>445</v>
      </c>
      <c r="Q848">
        <v>1</v>
      </c>
      <c r="X848">
        <v>1.1299999999999999</v>
      </c>
      <c r="Y848">
        <v>0</v>
      </c>
      <c r="Z848">
        <v>83.1</v>
      </c>
      <c r="AA848">
        <v>12.62</v>
      </c>
      <c r="AB848">
        <v>0</v>
      </c>
      <c r="AC848">
        <v>0</v>
      </c>
      <c r="AD848">
        <v>1</v>
      </c>
      <c r="AE848">
        <v>0</v>
      </c>
      <c r="AF848" t="s">
        <v>22</v>
      </c>
      <c r="AG848">
        <v>1.2429999999999999</v>
      </c>
      <c r="AH848">
        <v>3</v>
      </c>
      <c r="AI848">
        <v>-1</v>
      </c>
      <c r="AJ848" t="s">
        <v>3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</row>
    <row r="849" spans="1:44" x14ac:dyDescent="0.2">
      <c r="A849">
        <f>ROW(Source!A159)</f>
        <v>159</v>
      </c>
      <c r="B849">
        <v>56617067</v>
      </c>
      <c r="C849">
        <v>56617063</v>
      </c>
      <c r="D849">
        <v>47766545</v>
      </c>
      <c r="E849">
        <v>1</v>
      </c>
      <c r="F849">
        <v>1</v>
      </c>
      <c r="G849">
        <v>27786564</v>
      </c>
      <c r="H849">
        <v>2</v>
      </c>
      <c r="I849" t="s">
        <v>490</v>
      </c>
      <c r="J849" t="s">
        <v>491</v>
      </c>
      <c r="K849" t="s">
        <v>492</v>
      </c>
      <c r="L849">
        <v>1368</v>
      </c>
      <c r="N849">
        <v>1011</v>
      </c>
      <c r="O849" t="s">
        <v>445</v>
      </c>
      <c r="P849" t="s">
        <v>445</v>
      </c>
      <c r="Q849">
        <v>1</v>
      </c>
      <c r="X849">
        <v>7.43</v>
      </c>
      <c r="Y849">
        <v>0</v>
      </c>
      <c r="Z849">
        <v>0.73</v>
      </c>
      <c r="AA849">
        <v>0</v>
      </c>
      <c r="AB849">
        <v>0</v>
      </c>
      <c r="AC849">
        <v>0</v>
      </c>
      <c r="AD849">
        <v>1</v>
      </c>
      <c r="AE849">
        <v>0</v>
      </c>
      <c r="AF849" t="s">
        <v>22</v>
      </c>
      <c r="AG849">
        <v>8.173</v>
      </c>
      <c r="AH849">
        <v>3</v>
      </c>
      <c r="AI849">
        <v>-1</v>
      </c>
      <c r="AJ849" t="s">
        <v>3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x14ac:dyDescent="0.2">
      <c r="A850">
        <f>ROW(Source!A159)</f>
        <v>159</v>
      </c>
      <c r="B850">
        <v>56617068</v>
      </c>
      <c r="C850">
        <v>56617063</v>
      </c>
      <c r="D850">
        <v>47766581</v>
      </c>
      <c r="E850">
        <v>1</v>
      </c>
      <c r="F850">
        <v>1</v>
      </c>
      <c r="G850">
        <v>27786564</v>
      </c>
      <c r="H850">
        <v>2</v>
      </c>
      <c r="I850" t="s">
        <v>493</v>
      </c>
      <c r="J850" t="s">
        <v>494</v>
      </c>
      <c r="K850" t="s">
        <v>495</v>
      </c>
      <c r="L850">
        <v>1368</v>
      </c>
      <c r="N850">
        <v>1011</v>
      </c>
      <c r="O850" t="s">
        <v>445</v>
      </c>
      <c r="P850" t="s">
        <v>445</v>
      </c>
      <c r="Q850">
        <v>1</v>
      </c>
      <c r="X850">
        <v>7.43</v>
      </c>
      <c r="Y850">
        <v>0</v>
      </c>
      <c r="Z850">
        <v>4</v>
      </c>
      <c r="AA850">
        <v>0</v>
      </c>
      <c r="AB850">
        <v>0</v>
      </c>
      <c r="AC850">
        <v>0</v>
      </c>
      <c r="AD850">
        <v>1</v>
      </c>
      <c r="AE850">
        <v>0</v>
      </c>
      <c r="AF850" t="s">
        <v>22</v>
      </c>
      <c r="AG850">
        <v>8.173</v>
      </c>
      <c r="AH850">
        <v>3</v>
      </c>
      <c r="AI850">
        <v>-1</v>
      </c>
      <c r="AJ850" t="s">
        <v>3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 x14ac:dyDescent="0.2">
      <c r="A851">
        <f>ROW(Source!A159)</f>
        <v>159</v>
      </c>
      <c r="B851">
        <v>56617069</v>
      </c>
      <c r="C851">
        <v>56617063</v>
      </c>
      <c r="D851">
        <v>49108250</v>
      </c>
      <c r="E851">
        <v>1</v>
      </c>
      <c r="F851">
        <v>1</v>
      </c>
      <c r="G851">
        <v>27786564</v>
      </c>
      <c r="H851">
        <v>3</v>
      </c>
      <c r="I851" t="s">
        <v>559</v>
      </c>
      <c r="J851" t="s">
        <v>564</v>
      </c>
      <c r="K851" t="s">
        <v>561</v>
      </c>
      <c r="L851">
        <v>1348</v>
      </c>
      <c r="N851">
        <v>1009</v>
      </c>
      <c r="O851" t="s">
        <v>367</v>
      </c>
      <c r="P851" t="s">
        <v>367</v>
      </c>
      <c r="Q851">
        <v>1000</v>
      </c>
      <c r="X851">
        <v>6.2E-4</v>
      </c>
      <c r="Y851">
        <v>10651.81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 t="s">
        <v>3</v>
      </c>
      <c r="AG851">
        <v>6.2E-4</v>
      </c>
      <c r="AH851">
        <v>3</v>
      </c>
      <c r="AI851">
        <v>-1</v>
      </c>
      <c r="AJ851" t="s">
        <v>3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 x14ac:dyDescent="0.2">
      <c r="A852">
        <f>ROW(Source!A159)</f>
        <v>159</v>
      </c>
      <c r="B852">
        <v>56617070</v>
      </c>
      <c r="C852">
        <v>56617063</v>
      </c>
      <c r="D852">
        <v>46723498</v>
      </c>
      <c r="E852">
        <v>1</v>
      </c>
      <c r="F852">
        <v>1</v>
      </c>
      <c r="G852">
        <v>27786564</v>
      </c>
      <c r="H852">
        <v>3</v>
      </c>
      <c r="I852" t="s">
        <v>496</v>
      </c>
      <c r="J852" t="s">
        <v>497</v>
      </c>
      <c r="K852" t="s">
        <v>498</v>
      </c>
      <c r="L852">
        <v>1348</v>
      </c>
      <c r="N852">
        <v>1009</v>
      </c>
      <c r="O852" t="s">
        <v>367</v>
      </c>
      <c r="P852" t="s">
        <v>367</v>
      </c>
      <c r="Q852">
        <v>1000</v>
      </c>
      <c r="X852">
        <v>7.2000000000000005E-4</v>
      </c>
      <c r="Y852">
        <v>11242.42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 t="s">
        <v>3</v>
      </c>
      <c r="AG852">
        <v>7.2000000000000005E-4</v>
      </c>
      <c r="AH852">
        <v>3</v>
      </c>
      <c r="AI852">
        <v>-1</v>
      </c>
      <c r="AJ852" t="s">
        <v>3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</row>
    <row r="853" spans="1:44" x14ac:dyDescent="0.2">
      <c r="A853">
        <f>ROW(Source!A159)</f>
        <v>159</v>
      </c>
      <c r="B853">
        <v>56617071</v>
      </c>
      <c r="C853">
        <v>56617063</v>
      </c>
      <c r="D853">
        <v>45796980</v>
      </c>
      <c r="E853">
        <v>1</v>
      </c>
      <c r="F853">
        <v>1</v>
      </c>
      <c r="G853">
        <v>27786564</v>
      </c>
      <c r="H853">
        <v>3</v>
      </c>
      <c r="I853" t="s">
        <v>499</v>
      </c>
      <c r="J853" t="s">
        <v>500</v>
      </c>
      <c r="K853" t="s">
        <v>501</v>
      </c>
      <c r="L853">
        <v>1346</v>
      </c>
      <c r="N853">
        <v>1009</v>
      </c>
      <c r="O853" t="s">
        <v>104</v>
      </c>
      <c r="P853" t="s">
        <v>104</v>
      </c>
      <c r="Q853">
        <v>1</v>
      </c>
      <c r="X853">
        <v>0.62</v>
      </c>
      <c r="Y853">
        <v>25.8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0</v>
      </c>
      <c r="AF853" t="s">
        <v>3</v>
      </c>
      <c r="AG853">
        <v>0.62</v>
      </c>
      <c r="AH853">
        <v>3</v>
      </c>
      <c r="AI853">
        <v>-1</v>
      </c>
      <c r="AJ853" t="s">
        <v>3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</row>
    <row r="854" spans="1:44" x14ac:dyDescent="0.2">
      <c r="A854">
        <f>ROW(Source!A159)</f>
        <v>159</v>
      </c>
      <c r="B854">
        <v>56617072</v>
      </c>
      <c r="C854">
        <v>56617063</v>
      </c>
      <c r="D854">
        <v>46723689</v>
      </c>
      <c r="E854">
        <v>1</v>
      </c>
      <c r="F854">
        <v>1</v>
      </c>
      <c r="G854">
        <v>27786564</v>
      </c>
      <c r="H854">
        <v>3</v>
      </c>
      <c r="I854" t="s">
        <v>502</v>
      </c>
      <c r="J854" t="s">
        <v>503</v>
      </c>
      <c r="K854" t="s">
        <v>504</v>
      </c>
      <c r="L854">
        <v>1348</v>
      </c>
      <c r="N854">
        <v>1009</v>
      </c>
      <c r="O854" t="s">
        <v>367</v>
      </c>
      <c r="P854" t="s">
        <v>367</v>
      </c>
      <c r="Q854">
        <v>1000</v>
      </c>
      <c r="X854">
        <v>2.5000000000000001E-4</v>
      </c>
      <c r="Y854">
        <v>60966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0</v>
      </c>
      <c r="AF854" t="s">
        <v>3</v>
      </c>
      <c r="AG854">
        <v>2.5000000000000001E-4</v>
      </c>
      <c r="AH854">
        <v>3</v>
      </c>
      <c r="AI854">
        <v>-1</v>
      </c>
      <c r="AJ854" t="s">
        <v>3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</row>
    <row r="855" spans="1:44" x14ac:dyDescent="0.2">
      <c r="A855">
        <f>ROW(Source!A159)</f>
        <v>159</v>
      </c>
      <c r="B855">
        <v>56617073</v>
      </c>
      <c r="C855">
        <v>56617063</v>
      </c>
      <c r="D855">
        <v>46723704</v>
      </c>
      <c r="E855">
        <v>1</v>
      </c>
      <c r="F855">
        <v>1</v>
      </c>
      <c r="G855">
        <v>27786564</v>
      </c>
      <c r="H855">
        <v>3</v>
      </c>
      <c r="I855" t="s">
        <v>505</v>
      </c>
      <c r="J855" t="s">
        <v>506</v>
      </c>
      <c r="K855" t="s">
        <v>507</v>
      </c>
      <c r="L855">
        <v>1348</v>
      </c>
      <c r="N855">
        <v>1009</v>
      </c>
      <c r="O855" t="s">
        <v>367</v>
      </c>
      <c r="P855" t="s">
        <v>367</v>
      </c>
      <c r="Q855">
        <v>1000</v>
      </c>
      <c r="X855">
        <v>1E-4</v>
      </c>
      <c r="Y855">
        <v>7982.5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 t="s">
        <v>3</v>
      </c>
      <c r="AG855">
        <v>1E-4</v>
      </c>
      <c r="AH855">
        <v>3</v>
      </c>
      <c r="AI855">
        <v>-1</v>
      </c>
      <c r="AJ855" t="s">
        <v>3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</row>
    <row r="856" spans="1:44" x14ac:dyDescent="0.2">
      <c r="A856">
        <f>ROW(Source!A159)</f>
        <v>159</v>
      </c>
      <c r="B856">
        <v>56617074</v>
      </c>
      <c r="C856">
        <v>56617063</v>
      </c>
      <c r="D856">
        <v>46735845</v>
      </c>
      <c r="E856">
        <v>1</v>
      </c>
      <c r="F856">
        <v>1</v>
      </c>
      <c r="G856">
        <v>27786564</v>
      </c>
      <c r="H856">
        <v>3</v>
      </c>
      <c r="I856" t="s">
        <v>508</v>
      </c>
      <c r="J856" t="s">
        <v>553</v>
      </c>
      <c r="K856" t="s">
        <v>510</v>
      </c>
      <c r="L856">
        <v>1356</v>
      </c>
      <c r="N856">
        <v>1010</v>
      </c>
      <c r="O856" t="s">
        <v>511</v>
      </c>
      <c r="P856" t="s">
        <v>511</v>
      </c>
      <c r="Q856">
        <v>1000</v>
      </c>
      <c r="X856">
        <v>1E-3</v>
      </c>
      <c r="Y856">
        <v>226.68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 t="s">
        <v>3</v>
      </c>
      <c r="AG856">
        <v>1E-3</v>
      </c>
      <c r="AH856">
        <v>3</v>
      </c>
      <c r="AI856">
        <v>-1</v>
      </c>
      <c r="AJ856" t="s">
        <v>3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 x14ac:dyDescent="0.2">
      <c r="A857">
        <f>ROW(Source!A159)</f>
        <v>159</v>
      </c>
      <c r="B857">
        <v>56617075</v>
      </c>
      <c r="C857">
        <v>56617063</v>
      </c>
      <c r="D857">
        <v>46735506</v>
      </c>
      <c r="E857">
        <v>1</v>
      </c>
      <c r="F857">
        <v>1</v>
      </c>
      <c r="G857">
        <v>27786564</v>
      </c>
      <c r="H857">
        <v>3</v>
      </c>
      <c r="I857" t="s">
        <v>512</v>
      </c>
      <c r="J857" t="s">
        <v>513</v>
      </c>
      <c r="K857" t="s">
        <v>514</v>
      </c>
      <c r="L857">
        <v>1301</v>
      </c>
      <c r="N857">
        <v>1003</v>
      </c>
      <c r="O857" t="s">
        <v>55</v>
      </c>
      <c r="P857" t="s">
        <v>55</v>
      </c>
      <c r="Q857">
        <v>1</v>
      </c>
      <c r="X857">
        <v>2.4500000000000002</v>
      </c>
      <c r="Y857">
        <v>0.7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 t="s">
        <v>3</v>
      </c>
      <c r="AG857">
        <v>2.4500000000000002</v>
      </c>
      <c r="AH857">
        <v>3</v>
      </c>
      <c r="AI857">
        <v>-1</v>
      </c>
      <c r="AJ857" t="s">
        <v>3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 x14ac:dyDescent="0.2">
      <c r="A858">
        <f>ROW(Source!A159)</f>
        <v>159</v>
      </c>
      <c r="B858">
        <v>56617076</v>
      </c>
      <c r="C858">
        <v>56617063</v>
      </c>
      <c r="D858">
        <v>46735508</v>
      </c>
      <c r="E858">
        <v>1</v>
      </c>
      <c r="F858">
        <v>1</v>
      </c>
      <c r="G858">
        <v>27786564</v>
      </c>
      <c r="H858">
        <v>3</v>
      </c>
      <c r="I858" t="s">
        <v>515</v>
      </c>
      <c r="J858" t="s">
        <v>516</v>
      </c>
      <c r="K858" t="s">
        <v>517</v>
      </c>
      <c r="L858">
        <v>1356</v>
      </c>
      <c r="N858">
        <v>1010</v>
      </c>
      <c r="O858" t="s">
        <v>511</v>
      </c>
      <c r="P858" t="s">
        <v>511</v>
      </c>
      <c r="Q858">
        <v>1000</v>
      </c>
      <c r="X858">
        <v>2.0799999999999999E-2</v>
      </c>
      <c r="Y858">
        <v>6.44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 t="s">
        <v>3</v>
      </c>
      <c r="AG858">
        <v>2.0799999999999999E-2</v>
      </c>
      <c r="AH858">
        <v>3</v>
      </c>
      <c r="AI858">
        <v>-1</v>
      </c>
      <c r="AJ858" t="s">
        <v>3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44" x14ac:dyDescent="0.2">
      <c r="A859">
        <f>ROW(Source!A159)</f>
        <v>159</v>
      </c>
      <c r="B859">
        <v>56617077</v>
      </c>
      <c r="C859">
        <v>56617063</v>
      </c>
      <c r="D859">
        <v>30369949</v>
      </c>
      <c r="E859">
        <v>27786564</v>
      </c>
      <c r="F859">
        <v>1</v>
      </c>
      <c r="G859">
        <v>27786564</v>
      </c>
      <c r="H859">
        <v>3</v>
      </c>
      <c r="I859" t="s">
        <v>562</v>
      </c>
      <c r="J859" t="s">
        <v>3</v>
      </c>
      <c r="K859" t="s">
        <v>563</v>
      </c>
      <c r="L859">
        <v>1356</v>
      </c>
      <c r="N859">
        <v>1010</v>
      </c>
      <c r="O859" t="s">
        <v>511</v>
      </c>
      <c r="P859" t="s">
        <v>511</v>
      </c>
      <c r="Q859">
        <v>1000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 t="s">
        <v>3</v>
      </c>
      <c r="AG859">
        <v>0</v>
      </c>
      <c r="AH859">
        <v>3</v>
      </c>
      <c r="AI859">
        <v>-1</v>
      </c>
      <c r="AJ859" t="s">
        <v>3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 x14ac:dyDescent="0.2">
      <c r="A860">
        <f>ROW(Source!A159)</f>
        <v>159</v>
      </c>
      <c r="B860">
        <v>56617078</v>
      </c>
      <c r="C860">
        <v>56617063</v>
      </c>
      <c r="D860">
        <v>49717618</v>
      </c>
      <c r="E860">
        <v>27786564</v>
      </c>
      <c r="F860">
        <v>1</v>
      </c>
      <c r="G860">
        <v>27786564</v>
      </c>
      <c r="H860">
        <v>3</v>
      </c>
      <c r="I860" t="s">
        <v>554</v>
      </c>
      <c r="J860" t="s">
        <v>3</v>
      </c>
      <c r="K860" t="s">
        <v>555</v>
      </c>
      <c r="L860">
        <v>1303</v>
      </c>
      <c r="N860">
        <v>1003</v>
      </c>
      <c r="O860" t="s">
        <v>556</v>
      </c>
      <c r="P860" t="s">
        <v>556</v>
      </c>
      <c r="Q860">
        <v>1000</v>
      </c>
      <c r="X860">
        <v>0.10199999999999999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 t="s">
        <v>3</v>
      </c>
      <c r="AG860">
        <v>0.10199999999999999</v>
      </c>
      <c r="AH860">
        <v>3</v>
      </c>
      <c r="AI860">
        <v>-1</v>
      </c>
      <c r="AJ860" t="s">
        <v>3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4" x14ac:dyDescent="0.2">
      <c r="A861">
        <f>ROW(Source!A159)</f>
        <v>159</v>
      </c>
      <c r="B861">
        <v>56617079</v>
      </c>
      <c r="C861">
        <v>56617063</v>
      </c>
      <c r="D861">
        <v>46556476</v>
      </c>
      <c r="E861">
        <v>27786564</v>
      </c>
      <c r="F861">
        <v>1</v>
      </c>
      <c r="G861">
        <v>27786564</v>
      </c>
      <c r="H861">
        <v>3</v>
      </c>
      <c r="I861" t="s">
        <v>557</v>
      </c>
      <c r="J861" t="s">
        <v>3</v>
      </c>
      <c r="K861" t="s">
        <v>558</v>
      </c>
      <c r="L861">
        <v>1354</v>
      </c>
      <c r="N861">
        <v>1010</v>
      </c>
      <c r="O861" t="s">
        <v>88</v>
      </c>
      <c r="P861" t="s">
        <v>88</v>
      </c>
      <c r="Q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 t="s">
        <v>3</v>
      </c>
      <c r="AG861">
        <v>0</v>
      </c>
      <c r="AH861">
        <v>3</v>
      </c>
      <c r="AI861">
        <v>-1</v>
      </c>
      <c r="AJ861" t="s">
        <v>3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 x14ac:dyDescent="0.2">
      <c r="A862">
        <f>ROW(Source!A160)</f>
        <v>160</v>
      </c>
      <c r="B862">
        <v>56617065</v>
      </c>
      <c r="C862">
        <v>56617063</v>
      </c>
      <c r="D862">
        <v>47634407</v>
      </c>
      <c r="E862">
        <v>27786564</v>
      </c>
      <c r="F862">
        <v>1</v>
      </c>
      <c r="G862">
        <v>27786564</v>
      </c>
      <c r="H862">
        <v>1</v>
      </c>
      <c r="I862" t="s">
        <v>439</v>
      </c>
      <c r="J862" t="s">
        <v>3</v>
      </c>
      <c r="K862" t="s">
        <v>440</v>
      </c>
      <c r="L862">
        <v>1191</v>
      </c>
      <c r="N862">
        <v>1013</v>
      </c>
      <c r="O862" t="s">
        <v>441</v>
      </c>
      <c r="P862" t="s">
        <v>441</v>
      </c>
      <c r="Q862">
        <v>1</v>
      </c>
      <c r="X862">
        <v>32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1</v>
      </c>
      <c r="AF862" t="s">
        <v>22</v>
      </c>
      <c r="AG862">
        <v>35.200000000000003</v>
      </c>
      <c r="AH862">
        <v>2</v>
      </c>
      <c r="AI862">
        <v>56617064</v>
      </c>
      <c r="AJ862">
        <v>180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 x14ac:dyDescent="0.2">
      <c r="A863">
        <f>ROW(Source!A160)</f>
        <v>160</v>
      </c>
      <c r="B863">
        <v>56617066</v>
      </c>
      <c r="C863">
        <v>56617063</v>
      </c>
      <c r="D863">
        <v>47767106</v>
      </c>
      <c r="E863">
        <v>1</v>
      </c>
      <c r="F863">
        <v>1</v>
      </c>
      <c r="G863">
        <v>27786564</v>
      </c>
      <c r="H863">
        <v>2</v>
      </c>
      <c r="I863" t="s">
        <v>487</v>
      </c>
      <c r="J863" t="s">
        <v>488</v>
      </c>
      <c r="K863" t="s">
        <v>489</v>
      </c>
      <c r="L863">
        <v>1368</v>
      </c>
      <c r="N863">
        <v>1011</v>
      </c>
      <c r="O863" t="s">
        <v>445</v>
      </c>
      <c r="P863" t="s">
        <v>445</v>
      </c>
      <c r="Q863">
        <v>1</v>
      </c>
      <c r="X863">
        <v>1.1299999999999999</v>
      </c>
      <c r="Y863">
        <v>0</v>
      </c>
      <c r="Z863">
        <v>83.1</v>
      </c>
      <c r="AA863">
        <v>12.62</v>
      </c>
      <c r="AB863">
        <v>0</v>
      </c>
      <c r="AC863">
        <v>0</v>
      </c>
      <c r="AD863">
        <v>1</v>
      </c>
      <c r="AE863">
        <v>0</v>
      </c>
      <c r="AF863" t="s">
        <v>22</v>
      </c>
      <c r="AG863">
        <v>1.2429999999999999</v>
      </c>
      <c r="AH863">
        <v>3</v>
      </c>
      <c r="AI863">
        <v>-1</v>
      </c>
      <c r="AJ863" t="s">
        <v>3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</row>
    <row r="864" spans="1:44" x14ac:dyDescent="0.2">
      <c r="A864">
        <f>ROW(Source!A160)</f>
        <v>160</v>
      </c>
      <c r="B864">
        <v>56617067</v>
      </c>
      <c r="C864">
        <v>56617063</v>
      </c>
      <c r="D864">
        <v>47766545</v>
      </c>
      <c r="E864">
        <v>1</v>
      </c>
      <c r="F864">
        <v>1</v>
      </c>
      <c r="G864">
        <v>27786564</v>
      </c>
      <c r="H864">
        <v>2</v>
      </c>
      <c r="I864" t="s">
        <v>490</v>
      </c>
      <c r="J864" t="s">
        <v>491</v>
      </c>
      <c r="K864" t="s">
        <v>492</v>
      </c>
      <c r="L864">
        <v>1368</v>
      </c>
      <c r="N864">
        <v>1011</v>
      </c>
      <c r="O864" t="s">
        <v>445</v>
      </c>
      <c r="P864" t="s">
        <v>445</v>
      </c>
      <c r="Q864">
        <v>1</v>
      </c>
      <c r="X864">
        <v>7.43</v>
      </c>
      <c r="Y864">
        <v>0</v>
      </c>
      <c r="Z864">
        <v>0.73</v>
      </c>
      <c r="AA864">
        <v>0</v>
      </c>
      <c r="AB864">
        <v>0</v>
      </c>
      <c r="AC864">
        <v>0</v>
      </c>
      <c r="AD864">
        <v>1</v>
      </c>
      <c r="AE864">
        <v>0</v>
      </c>
      <c r="AF864" t="s">
        <v>22</v>
      </c>
      <c r="AG864">
        <v>8.173</v>
      </c>
      <c r="AH864">
        <v>3</v>
      </c>
      <c r="AI864">
        <v>-1</v>
      </c>
      <c r="AJ864" t="s">
        <v>3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x14ac:dyDescent="0.2">
      <c r="A865">
        <f>ROW(Source!A160)</f>
        <v>160</v>
      </c>
      <c r="B865">
        <v>56617068</v>
      </c>
      <c r="C865">
        <v>56617063</v>
      </c>
      <c r="D865">
        <v>47766581</v>
      </c>
      <c r="E865">
        <v>1</v>
      </c>
      <c r="F865">
        <v>1</v>
      </c>
      <c r="G865">
        <v>27786564</v>
      </c>
      <c r="H865">
        <v>2</v>
      </c>
      <c r="I865" t="s">
        <v>493</v>
      </c>
      <c r="J865" t="s">
        <v>494</v>
      </c>
      <c r="K865" t="s">
        <v>495</v>
      </c>
      <c r="L865">
        <v>1368</v>
      </c>
      <c r="N865">
        <v>1011</v>
      </c>
      <c r="O865" t="s">
        <v>445</v>
      </c>
      <c r="P865" t="s">
        <v>445</v>
      </c>
      <c r="Q865">
        <v>1</v>
      </c>
      <c r="X865">
        <v>7.43</v>
      </c>
      <c r="Y865">
        <v>0</v>
      </c>
      <c r="Z865">
        <v>4</v>
      </c>
      <c r="AA865">
        <v>0</v>
      </c>
      <c r="AB865">
        <v>0</v>
      </c>
      <c r="AC865">
        <v>0</v>
      </c>
      <c r="AD865">
        <v>1</v>
      </c>
      <c r="AE865">
        <v>0</v>
      </c>
      <c r="AF865" t="s">
        <v>22</v>
      </c>
      <c r="AG865">
        <v>8.173</v>
      </c>
      <c r="AH865">
        <v>3</v>
      </c>
      <c r="AI865">
        <v>-1</v>
      </c>
      <c r="AJ865" t="s">
        <v>3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</row>
    <row r="866" spans="1:44" x14ac:dyDescent="0.2">
      <c r="A866">
        <f>ROW(Source!A160)</f>
        <v>160</v>
      </c>
      <c r="B866">
        <v>56617069</v>
      </c>
      <c r="C866">
        <v>56617063</v>
      </c>
      <c r="D866">
        <v>49108250</v>
      </c>
      <c r="E866">
        <v>1</v>
      </c>
      <c r="F866">
        <v>1</v>
      </c>
      <c r="G866">
        <v>27786564</v>
      </c>
      <c r="H866">
        <v>3</v>
      </c>
      <c r="I866" t="s">
        <v>559</v>
      </c>
      <c r="J866" t="s">
        <v>564</v>
      </c>
      <c r="K866" t="s">
        <v>561</v>
      </c>
      <c r="L866">
        <v>1348</v>
      </c>
      <c r="N866">
        <v>1009</v>
      </c>
      <c r="O866" t="s">
        <v>367</v>
      </c>
      <c r="P866" t="s">
        <v>367</v>
      </c>
      <c r="Q866">
        <v>1000</v>
      </c>
      <c r="X866">
        <v>6.2E-4</v>
      </c>
      <c r="Y866">
        <v>10651.81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0</v>
      </c>
      <c r="AF866" t="s">
        <v>3</v>
      </c>
      <c r="AG866">
        <v>6.2E-4</v>
      </c>
      <c r="AH866">
        <v>3</v>
      </c>
      <c r="AI866">
        <v>-1</v>
      </c>
      <c r="AJ866" t="s">
        <v>3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</row>
    <row r="867" spans="1:44" x14ac:dyDescent="0.2">
      <c r="A867">
        <f>ROW(Source!A160)</f>
        <v>160</v>
      </c>
      <c r="B867">
        <v>56617070</v>
      </c>
      <c r="C867">
        <v>56617063</v>
      </c>
      <c r="D867">
        <v>46723498</v>
      </c>
      <c r="E867">
        <v>1</v>
      </c>
      <c r="F867">
        <v>1</v>
      </c>
      <c r="G867">
        <v>27786564</v>
      </c>
      <c r="H867">
        <v>3</v>
      </c>
      <c r="I867" t="s">
        <v>496</v>
      </c>
      <c r="J867" t="s">
        <v>497</v>
      </c>
      <c r="K867" t="s">
        <v>498</v>
      </c>
      <c r="L867">
        <v>1348</v>
      </c>
      <c r="N867">
        <v>1009</v>
      </c>
      <c r="O867" t="s">
        <v>367</v>
      </c>
      <c r="P867" t="s">
        <v>367</v>
      </c>
      <c r="Q867">
        <v>1000</v>
      </c>
      <c r="X867">
        <v>7.2000000000000005E-4</v>
      </c>
      <c r="Y867">
        <v>11242.42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0</v>
      </c>
      <c r="AF867" t="s">
        <v>3</v>
      </c>
      <c r="AG867">
        <v>7.2000000000000005E-4</v>
      </c>
      <c r="AH867">
        <v>3</v>
      </c>
      <c r="AI867">
        <v>-1</v>
      </c>
      <c r="AJ867" t="s">
        <v>3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4" x14ac:dyDescent="0.2">
      <c r="A868">
        <f>ROW(Source!A160)</f>
        <v>160</v>
      </c>
      <c r="B868">
        <v>56617071</v>
      </c>
      <c r="C868">
        <v>56617063</v>
      </c>
      <c r="D868">
        <v>45796980</v>
      </c>
      <c r="E868">
        <v>1</v>
      </c>
      <c r="F868">
        <v>1</v>
      </c>
      <c r="G868">
        <v>27786564</v>
      </c>
      <c r="H868">
        <v>3</v>
      </c>
      <c r="I868" t="s">
        <v>499</v>
      </c>
      <c r="J868" t="s">
        <v>500</v>
      </c>
      <c r="K868" t="s">
        <v>501</v>
      </c>
      <c r="L868">
        <v>1346</v>
      </c>
      <c r="N868">
        <v>1009</v>
      </c>
      <c r="O868" t="s">
        <v>104</v>
      </c>
      <c r="P868" t="s">
        <v>104</v>
      </c>
      <c r="Q868">
        <v>1</v>
      </c>
      <c r="X868">
        <v>0.62</v>
      </c>
      <c r="Y868">
        <v>25.8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0</v>
      </c>
      <c r="AF868" t="s">
        <v>3</v>
      </c>
      <c r="AG868">
        <v>0.62</v>
      </c>
      <c r="AH868">
        <v>3</v>
      </c>
      <c r="AI868">
        <v>-1</v>
      </c>
      <c r="AJ868" t="s">
        <v>3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</row>
    <row r="869" spans="1:44" x14ac:dyDescent="0.2">
      <c r="A869">
        <f>ROW(Source!A160)</f>
        <v>160</v>
      </c>
      <c r="B869">
        <v>56617072</v>
      </c>
      <c r="C869">
        <v>56617063</v>
      </c>
      <c r="D869">
        <v>46723689</v>
      </c>
      <c r="E869">
        <v>1</v>
      </c>
      <c r="F869">
        <v>1</v>
      </c>
      <c r="G869">
        <v>27786564</v>
      </c>
      <c r="H869">
        <v>3</v>
      </c>
      <c r="I869" t="s">
        <v>502</v>
      </c>
      <c r="J869" t="s">
        <v>503</v>
      </c>
      <c r="K869" t="s">
        <v>504</v>
      </c>
      <c r="L869">
        <v>1348</v>
      </c>
      <c r="N869">
        <v>1009</v>
      </c>
      <c r="O869" t="s">
        <v>367</v>
      </c>
      <c r="P869" t="s">
        <v>367</v>
      </c>
      <c r="Q869">
        <v>1000</v>
      </c>
      <c r="X869">
        <v>2.5000000000000001E-4</v>
      </c>
      <c r="Y869">
        <v>60966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0</v>
      </c>
      <c r="AF869" t="s">
        <v>3</v>
      </c>
      <c r="AG869">
        <v>2.5000000000000001E-4</v>
      </c>
      <c r="AH869">
        <v>3</v>
      </c>
      <c r="AI869">
        <v>-1</v>
      </c>
      <c r="AJ869" t="s">
        <v>3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x14ac:dyDescent="0.2">
      <c r="A870">
        <f>ROW(Source!A160)</f>
        <v>160</v>
      </c>
      <c r="B870">
        <v>56617073</v>
      </c>
      <c r="C870">
        <v>56617063</v>
      </c>
      <c r="D870">
        <v>46723704</v>
      </c>
      <c r="E870">
        <v>1</v>
      </c>
      <c r="F870">
        <v>1</v>
      </c>
      <c r="G870">
        <v>27786564</v>
      </c>
      <c r="H870">
        <v>3</v>
      </c>
      <c r="I870" t="s">
        <v>505</v>
      </c>
      <c r="J870" t="s">
        <v>506</v>
      </c>
      <c r="K870" t="s">
        <v>507</v>
      </c>
      <c r="L870">
        <v>1348</v>
      </c>
      <c r="N870">
        <v>1009</v>
      </c>
      <c r="O870" t="s">
        <v>367</v>
      </c>
      <c r="P870" t="s">
        <v>367</v>
      </c>
      <c r="Q870">
        <v>1000</v>
      </c>
      <c r="X870">
        <v>1E-4</v>
      </c>
      <c r="Y870">
        <v>7982.5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0</v>
      </c>
      <c r="AF870" t="s">
        <v>3</v>
      </c>
      <c r="AG870">
        <v>1E-4</v>
      </c>
      <c r="AH870">
        <v>3</v>
      </c>
      <c r="AI870">
        <v>-1</v>
      </c>
      <c r="AJ870" t="s">
        <v>3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</row>
    <row r="871" spans="1:44" x14ac:dyDescent="0.2">
      <c r="A871">
        <f>ROW(Source!A160)</f>
        <v>160</v>
      </c>
      <c r="B871">
        <v>56617074</v>
      </c>
      <c r="C871">
        <v>56617063</v>
      </c>
      <c r="D871">
        <v>46735845</v>
      </c>
      <c r="E871">
        <v>1</v>
      </c>
      <c r="F871">
        <v>1</v>
      </c>
      <c r="G871">
        <v>27786564</v>
      </c>
      <c r="H871">
        <v>3</v>
      </c>
      <c r="I871" t="s">
        <v>508</v>
      </c>
      <c r="J871" t="s">
        <v>553</v>
      </c>
      <c r="K871" t="s">
        <v>510</v>
      </c>
      <c r="L871">
        <v>1356</v>
      </c>
      <c r="N871">
        <v>1010</v>
      </c>
      <c r="O871" t="s">
        <v>511</v>
      </c>
      <c r="P871" t="s">
        <v>511</v>
      </c>
      <c r="Q871">
        <v>1000</v>
      </c>
      <c r="X871">
        <v>1E-3</v>
      </c>
      <c r="Y871">
        <v>226.68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0</v>
      </c>
      <c r="AF871" t="s">
        <v>3</v>
      </c>
      <c r="AG871">
        <v>1E-3</v>
      </c>
      <c r="AH871">
        <v>3</v>
      </c>
      <c r="AI871">
        <v>-1</v>
      </c>
      <c r="AJ871" t="s">
        <v>3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4" x14ac:dyDescent="0.2">
      <c r="A872">
        <f>ROW(Source!A160)</f>
        <v>160</v>
      </c>
      <c r="B872">
        <v>56617075</v>
      </c>
      <c r="C872">
        <v>56617063</v>
      </c>
      <c r="D872">
        <v>46735506</v>
      </c>
      <c r="E872">
        <v>1</v>
      </c>
      <c r="F872">
        <v>1</v>
      </c>
      <c r="G872">
        <v>27786564</v>
      </c>
      <c r="H872">
        <v>3</v>
      </c>
      <c r="I872" t="s">
        <v>512</v>
      </c>
      <c r="J872" t="s">
        <v>513</v>
      </c>
      <c r="K872" t="s">
        <v>514</v>
      </c>
      <c r="L872">
        <v>1301</v>
      </c>
      <c r="N872">
        <v>1003</v>
      </c>
      <c r="O872" t="s">
        <v>55</v>
      </c>
      <c r="P872" t="s">
        <v>55</v>
      </c>
      <c r="Q872">
        <v>1</v>
      </c>
      <c r="X872">
        <v>2.4500000000000002</v>
      </c>
      <c r="Y872">
        <v>0.7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 t="s">
        <v>3</v>
      </c>
      <c r="AG872">
        <v>2.4500000000000002</v>
      </c>
      <c r="AH872">
        <v>3</v>
      </c>
      <c r="AI872">
        <v>-1</v>
      </c>
      <c r="AJ872" t="s">
        <v>3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</row>
    <row r="873" spans="1:44" x14ac:dyDescent="0.2">
      <c r="A873">
        <f>ROW(Source!A160)</f>
        <v>160</v>
      </c>
      <c r="B873">
        <v>56617076</v>
      </c>
      <c r="C873">
        <v>56617063</v>
      </c>
      <c r="D873">
        <v>46735508</v>
      </c>
      <c r="E873">
        <v>1</v>
      </c>
      <c r="F873">
        <v>1</v>
      </c>
      <c r="G873">
        <v>27786564</v>
      </c>
      <c r="H873">
        <v>3</v>
      </c>
      <c r="I873" t="s">
        <v>515</v>
      </c>
      <c r="J873" t="s">
        <v>516</v>
      </c>
      <c r="K873" t="s">
        <v>517</v>
      </c>
      <c r="L873">
        <v>1356</v>
      </c>
      <c r="N873">
        <v>1010</v>
      </c>
      <c r="O873" t="s">
        <v>511</v>
      </c>
      <c r="P873" t="s">
        <v>511</v>
      </c>
      <c r="Q873">
        <v>1000</v>
      </c>
      <c r="X873">
        <v>2.0799999999999999E-2</v>
      </c>
      <c r="Y873">
        <v>6.44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 t="s">
        <v>3</v>
      </c>
      <c r="AG873">
        <v>2.0799999999999999E-2</v>
      </c>
      <c r="AH873">
        <v>3</v>
      </c>
      <c r="AI873">
        <v>-1</v>
      </c>
      <c r="AJ873" t="s">
        <v>3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</row>
    <row r="874" spans="1:44" x14ac:dyDescent="0.2">
      <c r="A874">
        <f>ROW(Source!A160)</f>
        <v>160</v>
      </c>
      <c r="B874">
        <v>56617077</v>
      </c>
      <c r="C874">
        <v>56617063</v>
      </c>
      <c r="D874">
        <v>30369949</v>
      </c>
      <c r="E874">
        <v>27786564</v>
      </c>
      <c r="F874">
        <v>1</v>
      </c>
      <c r="G874">
        <v>27786564</v>
      </c>
      <c r="H874">
        <v>3</v>
      </c>
      <c r="I874" t="s">
        <v>562</v>
      </c>
      <c r="J874" t="s">
        <v>3</v>
      </c>
      <c r="K874" t="s">
        <v>563</v>
      </c>
      <c r="L874">
        <v>1356</v>
      </c>
      <c r="N874">
        <v>1010</v>
      </c>
      <c r="O874" t="s">
        <v>511</v>
      </c>
      <c r="P874" t="s">
        <v>511</v>
      </c>
      <c r="Q874">
        <v>1000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 t="s">
        <v>3</v>
      </c>
      <c r="AG874">
        <v>0</v>
      </c>
      <c r="AH874">
        <v>3</v>
      </c>
      <c r="AI874">
        <v>-1</v>
      </c>
      <c r="AJ874" t="s">
        <v>3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x14ac:dyDescent="0.2">
      <c r="A875">
        <f>ROW(Source!A160)</f>
        <v>160</v>
      </c>
      <c r="B875">
        <v>56617078</v>
      </c>
      <c r="C875">
        <v>56617063</v>
      </c>
      <c r="D875">
        <v>49717618</v>
      </c>
      <c r="E875">
        <v>27786564</v>
      </c>
      <c r="F875">
        <v>1</v>
      </c>
      <c r="G875">
        <v>27786564</v>
      </c>
      <c r="H875">
        <v>3</v>
      </c>
      <c r="I875" t="s">
        <v>554</v>
      </c>
      <c r="J875" t="s">
        <v>3</v>
      </c>
      <c r="K875" t="s">
        <v>555</v>
      </c>
      <c r="L875">
        <v>1303</v>
      </c>
      <c r="N875">
        <v>1003</v>
      </c>
      <c r="O875" t="s">
        <v>556</v>
      </c>
      <c r="P875" t="s">
        <v>556</v>
      </c>
      <c r="Q875">
        <v>1000</v>
      </c>
      <c r="X875">
        <v>0.10199999999999999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 t="s">
        <v>3</v>
      </c>
      <c r="AG875">
        <v>0.10199999999999999</v>
      </c>
      <c r="AH875">
        <v>3</v>
      </c>
      <c r="AI875">
        <v>-1</v>
      </c>
      <c r="AJ875" t="s">
        <v>3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</row>
    <row r="876" spans="1:44" x14ac:dyDescent="0.2">
      <c r="A876">
        <f>ROW(Source!A160)</f>
        <v>160</v>
      </c>
      <c r="B876">
        <v>56617079</v>
      </c>
      <c r="C876">
        <v>56617063</v>
      </c>
      <c r="D876">
        <v>46556476</v>
      </c>
      <c r="E876">
        <v>27786564</v>
      </c>
      <c r="F876">
        <v>1</v>
      </c>
      <c r="G876">
        <v>27786564</v>
      </c>
      <c r="H876">
        <v>3</v>
      </c>
      <c r="I876" t="s">
        <v>557</v>
      </c>
      <c r="J876" t="s">
        <v>3</v>
      </c>
      <c r="K876" t="s">
        <v>558</v>
      </c>
      <c r="L876">
        <v>1354</v>
      </c>
      <c r="N876">
        <v>1010</v>
      </c>
      <c r="O876" t="s">
        <v>88</v>
      </c>
      <c r="P876" t="s">
        <v>88</v>
      </c>
      <c r="Q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 t="s">
        <v>3</v>
      </c>
      <c r="AG876">
        <v>0</v>
      </c>
      <c r="AH876">
        <v>3</v>
      </c>
      <c r="AI876">
        <v>-1</v>
      </c>
      <c r="AJ876" t="s">
        <v>3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x14ac:dyDescent="0.2">
      <c r="A877">
        <f>ROW(Source!A161)</f>
        <v>161</v>
      </c>
      <c r="B877">
        <v>56617082</v>
      </c>
      <c r="C877">
        <v>56617080</v>
      </c>
      <c r="D877">
        <v>47634407</v>
      </c>
      <c r="E877">
        <v>27786564</v>
      </c>
      <c r="F877">
        <v>1</v>
      </c>
      <c r="G877">
        <v>27786564</v>
      </c>
      <c r="H877">
        <v>1</v>
      </c>
      <c r="I877" t="s">
        <v>439</v>
      </c>
      <c r="J877" t="s">
        <v>3</v>
      </c>
      <c r="K877" t="s">
        <v>440</v>
      </c>
      <c r="L877">
        <v>1191</v>
      </c>
      <c r="N877">
        <v>1013</v>
      </c>
      <c r="O877" t="s">
        <v>441</v>
      </c>
      <c r="P877" t="s">
        <v>441</v>
      </c>
      <c r="Q877">
        <v>1</v>
      </c>
      <c r="X877">
        <v>32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1</v>
      </c>
      <c r="AF877" t="s">
        <v>22</v>
      </c>
      <c r="AG877">
        <v>35.200000000000003</v>
      </c>
      <c r="AH877">
        <v>2</v>
      </c>
      <c r="AI877">
        <v>56617081</v>
      </c>
      <c r="AJ877">
        <v>181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</row>
    <row r="878" spans="1:44" x14ac:dyDescent="0.2">
      <c r="A878">
        <f>ROW(Source!A161)</f>
        <v>161</v>
      </c>
      <c r="B878">
        <v>56617083</v>
      </c>
      <c r="C878">
        <v>56617080</v>
      </c>
      <c r="D878">
        <v>47767106</v>
      </c>
      <c r="E878">
        <v>1</v>
      </c>
      <c r="F878">
        <v>1</v>
      </c>
      <c r="G878">
        <v>27786564</v>
      </c>
      <c r="H878">
        <v>2</v>
      </c>
      <c r="I878" t="s">
        <v>487</v>
      </c>
      <c r="J878" t="s">
        <v>488</v>
      </c>
      <c r="K878" t="s">
        <v>489</v>
      </c>
      <c r="L878">
        <v>1368</v>
      </c>
      <c r="N878">
        <v>1011</v>
      </c>
      <c r="O878" t="s">
        <v>445</v>
      </c>
      <c r="P878" t="s">
        <v>445</v>
      </c>
      <c r="Q878">
        <v>1</v>
      </c>
      <c r="X878">
        <v>1.1299999999999999</v>
      </c>
      <c r="Y878">
        <v>0</v>
      </c>
      <c r="Z878">
        <v>83.1</v>
      </c>
      <c r="AA878">
        <v>12.62</v>
      </c>
      <c r="AB878">
        <v>0</v>
      </c>
      <c r="AC878">
        <v>0</v>
      </c>
      <c r="AD878">
        <v>1</v>
      </c>
      <c r="AE878">
        <v>0</v>
      </c>
      <c r="AF878" t="s">
        <v>22</v>
      </c>
      <c r="AG878">
        <v>1.2429999999999999</v>
      </c>
      <c r="AH878">
        <v>3</v>
      </c>
      <c r="AI878">
        <v>-1</v>
      </c>
      <c r="AJ878" t="s">
        <v>3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</row>
    <row r="879" spans="1:44" x14ac:dyDescent="0.2">
      <c r="A879">
        <f>ROW(Source!A161)</f>
        <v>161</v>
      </c>
      <c r="B879">
        <v>56617084</v>
      </c>
      <c r="C879">
        <v>56617080</v>
      </c>
      <c r="D879">
        <v>47766545</v>
      </c>
      <c r="E879">
        <v>1</v>
      </c>
      <c r="F879">
        <v>1</v>
      </c>
      <c r="G879">
        <v>27786564</v>
      </c>
      <c r="H879">
        <v>2</v>
      </c>
      <c r="I879" t="s">
        <v>490</v>
      </c>
      <c r="J879" t="s">
        <v>491</v>
      </c>
      <c r="K879" t="s">
        <v>492</v>
      </c>
      <c r="L879">
        <v>1368</v>
      </c>
      <c r="N879">
        <v>1011</v>
      </c>
      <c r="O879" t="s">
        <v>445</v>
      </c>
      <c r="P879" t="s">
        <v>445</v>
      </c>
      <c r="Q879">
        <v>1</v>
      </c>
      <c r="X879">
        <v>7.43</v>
      </c>
      <c r="Y879">
        <v>0</v>
      </c>
      <c r="Z879">
        <v>0.73</v>
      </c>
      <c r="AA879">
        <v>0</v>
      </c>
      <c r="AB879">
        <v>0</v>
      </c>
      <c r="AC879">
        <v>0</v>
      </c>
      <c r="AD879">
        <v>1</v>
      </c>
      <c r="AE879">
        <v>0</v>
      </c>
      <c r="AF879" t="s">
        <v>22</v>
      </c>
      <c r="AG879">
        <v>8.173</v>
      </c>
      <c r="AH879">
        <v>3</v>
      </c>
      <c r="AI879">
        <v>-1</v>
      </c>
      <c r="AJ879" t="s">
        <v>3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</row>
    <row r="880" spans="1:44" x14ac:dyDescent="0.2">
      <c r="A880">
        <f>ROW(Source!A161)</f>
        <v>161</v>
      </c>
      <c r="B880">
        <v>56617085</v>
      </c>
      <c r="C880">
        <v>56617080</v>
      </c>
      <c r="D880">
        <v>47766581</v>
      </c>
      <c r="E880">
        <v>1</v>
      </c>
      <c r="F880">
        <v>1</v>
      </c>
      <c r="G880">
        <v>27786564</v>
      </c>
      <c r="H880">
        <v>2</v>
      </c>
      <c r="I880" t="s">
        <v>493</v>
      </c>
      <c r="J880" t="s">
        <v>494</v>
      </c>
      <c r="K880" t="s">
        <v>495</v>
      </c>
      <c r="L880">
        <v>1368</v>
      </c>
      <c r="N880">
        <v>1011</v>
      </c>
      <c r="O880" t="s">
        <v>445</v>
      </c>
      <c r="P880" t="s">
        <v>445</v>
      </c>
      <c r="Q880">
        <v>1</v>
      </c>
      <c r="X880">
        <v>7.43</v>
      </c>
      <c r="Y880">
        <v>0</v>
      </c>
      <c r="Z880">
        <v>4</v>
      </c>
      <c r="AA880">
        <v>0</v>
      </c>
      <c r="AB880">
        <v>0</v>
      </c>
      <c r="AC880">
        <v>0</v>
      </c>
      <c r="AD880">
        <v>1</v>
      </c>
      <c r="AE880">
        <v>0</v>
      </c>
      <c r="AF880" t="s">
        <v>22</v>
      </c>
      <c r="AG880">
        <v>8.173</v>
      </c>
      <c r="AH880">
        <v>3</v>
      </c>
      <c r="AI880">
        <v>-1</v>
      </c>
      <c r="AJ880" t="s">
        <v>3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 x14ac:dyDescent="0.2">
      <c r="A881">
        <f>ROW(Source!A161)</f>
        <v>161</v>
      </c>
      <c r="B881">
        <v>56617086</v>
      </c>
      <c r="C881">
        <v>56617080</v>
      </c>
      <c r="D881">
        <v>49108250</v>
      </c>
      <c r="E881">
        <v>1</v>
      </c>
      <c r="F881">
        <v>1</v>
      </c>
      <c r="G881">
        <v>27786564</v>
      </c>
      <c r="H881">
        <v>3</v>
      </c>
      <c r="I881" t="s">
        <v>559</v>
      </c>
      <c r="J881" t="s">
        <v>564</v>
      </c>
      <c r="K881" t="s">
        <v>561</v>
      </c>
      <c r="L881">
        <v>1348</v>
      </c>
      <c r="N881">
        <v>1009</v>
      </c>
      <c r="O881" t="s">
        <v>367</v>
      </c>
      <c r="P881" t="s">
        <v>367</v>
      </c>
      <c r="Q881">
        <v>1000</v>
      </c>
      <c r="X881">
        <v>6.2E-4</v>
      </c>
      <c r="Y881">
        <v>10651.81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 t="s">
        <v>3</v>
      </c>
      <c r="AG881">
        <v>6.2E-4</v>
      </c>
      <c r="AH881">
        <v>3</v>
      </c>
      <c r="AI881">
        <v>-1</v>
      </c>
      <c r="AJ881" t="s">
        <v>3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 x14ac:dyDescent="0.2">
      <c r="A882">
        <f>ROW(Source!A161)</f>
        <v>161</v>
      </c>
      <c r="B882">
        <v>56617087</v>
      </c>
      <c r="C882">
        <v>56617080</v>
      </c>
      <c r="D882">
        <v>46723498</v>
      </c>
      <c r="E882">
        <v>1</v>
      </c>
      <c r="F882">
        <v>1</v>
      </c>
      <c r="G882">
        <v>27786564</v>
      </c>
      <c r="H882">
        <v>3</v>
      </c>
      <c r="I882" t="s">
        <v>496</v>
      </c>
      <c r="J882" t="s">
        <v>497</v>
      </c>
      <c r="K882" t="s">
        <v>498</v>
      </c>
      <c r="L882">
        <v>1348</v>
      </c>
      <c r="N882">
        <v>1009</v>
      </c>
      <c r="O882" t="s">
        <v>367</v>
      </c>
      <c r="P882" t="s">
        <v>367</v>
      </c>
      <c r="Q882">
        <v>1000</v>
      </c>
      <c r="X882">
        <v>7.2000000000000005E-4</v>
      </c>
      <c r="Y882">
        <v>11242.42</v>
      </c>
      <c r="Z882">
        <v>0</v>
      </c>
      <c r="AA882">
        <v>0</v>
      </c>
      <c r="AB882">
        <v>0</v>
      </c>
      <c r="AC882">
        <v>0</v>
      </c>
      <c r="AD882">
        <v>1</v>
      </c>
      <c r="AE882">
        <v>0</v>
      </c>
      <c r="AF882" t="s">
        <v>3</v>
      </c>
      <c r="AG882">
        <v>7.2000000000000005E-4</v>
      </c>
      <c r="AH882">
        <v>3</v>
      </c>
      <c r="AI882">
        <v>-1</v>
      </c>
      <c r="AJ882" t="s">
        <v>3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</row>
    <row r="883" spans="1:44" x14ac:dyDescent="0.2">
      <c r="A883">
        <f>ROW(Source!A161)</f>
        <v>161</v>
      </c>
      <c r="B883">
        <v>56617088</v>
      </c>
      <c r="C883">
        <v>56617080</v>
      </c>
      <c r="D883">
        <v>45796980</v>
      </c>
      <c r="E883">
        <v>1</v>
      </c>
      <c r="F883">
        <v>1</v>
      </c>
      <c r="G883">
        <v>27786564</v>
      </c>
      <c r="H883">
        <v>3</v>
      </c>
      <c r="I883" t="s">
        <v>499</v>
      </c>
      <c r="J883" t="s">
        <v>500</v>
      </c>
      <c r="K883" t="s">
        <v>501</v>
      </c>
      <c r="L883">
        <v>1346</v>
      </c>
      <c r="N883">
        <v>1009</v>
      </c>
      <c r="O883" t="s">
        <v>104</v>
      </c>
      <c r="P883" t="s">
        <v>104</v>
      </c>
      <c r="Q883">
        <v>1</v>
      </c>
      <c r="X883">
        <v>0.62</v>
      </c>
      <c r="Y883">
        <v>25.8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0</v>
      </c>
      <c r="AF883" t="s">
        <v>3</v>
      </c>
      <c r="AG883">
        <v>0.62</v>
      </c>
      <c r="AH883">
        <v>3</v>
      </c>
      <c r="AI883">
        <v>-1</v>
      </c>
      <c r="AJ883" t="s">
        <v>3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</row>
    <row r="884" spans="1:44" x14ac:dyDescent="0.2">
      <c r="A884">
        <f>ROW(Source!A161)</f>
        <v>161</v>
      </c>
      <c r="B884">
        <v>56617089</v>
      </c>
      <c r="C884">
        <v>56617080</v>
      </c>
      <c r="D884">
        <v>46723689</v>
      </c>
      <c r="E884">
        <v>1</v>
      </c>
      <c r="F884">
        <v>1</v>
      </c>
      <c r="G884">
        <v>27786564</v>
      </c>
      <c r="H884">
        <v>3</v>
      </c>
      <c r="I884" t="s">
        <v>502</v>
      </c>
      <c r="J884" t="s">
        <v>503</v>
      </c>
      <c r="K884" t="s">
        <v>504</v>
      </c>
      <c r="L884">
        <v>1348</v>
      </c>
      <c r="N884">
        <v>1009</v>
      </c>
      <c r="O884" t="s">
        <v>367</v>
      </c>
      <c r="P884" t="s">
        <v>367</v>
      </c>
      <c r="Q884">
        <v>1000</v>
      </c>
      <c r="X884">
        <v>2.5000000000000001E-4</v>
      </c>
      <c r="Y884">
        <v>60966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  <c r="AF884" t="s">
        <v>3</v>
      </c>
      <c r="AG884">
        <v>2.5000000000000001E-4</v>
      </c>
      <c r="AH884">
        <v>3</v>
      </c>
      <c r="AI884">
        <v>-1</v>
      </c>
      <c r="AJ884" t="s">
        <v>3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</row>
    <row r="885" spans="1:44" x14ac:dyDescent="0.2">
      <c r="A885">
        <f>ROW(Source!A161)</f>
        <v>161</v>
      </c>
      <c r="B885">
        <v>56617090</v>
      </c>
      <c r="C885">
        <v>56617080</v>
      </c>
      <c r="D885">
        <v>46723704</v>
      </c>
      <c r="E885">
        <v>1</v>
      </c>
      <c r="F885">
        <v>1</v>
      </c>
      <c r="G885">
        <v>27786564</v>
      </c>
      <c r="H885">
        <v>3</v>
      </c>
      <c r="I885" t="s">
        <v>505</v>
      </c>
      <c r="J885" t="s">
        <v>506</v>
      </c>
      <c r="K885" t="s">
        <v>507</v>
      </c>
      <c r="L885">
        <v>1348</v>
      </c>
      <c r="N885">
        <v>1009</v>
      </c>
      <c r="O885" t="s">
        <v>367</v>
      </c>
      <c r="P885" t="s">
        <v>367</v>
      </c>
      <c r="Q885">
        <v>1000</v>
      </c>
      <c r="X885">
        <v>1E-4</v>
      </c>
      <c r="Y885">
        <v>7982.5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 t="s">
        <v>3</v>
      </c>
      <c r="AG885">
        <v>1E-4</v>
      </c>
      <c r="AH885">
        <v>3</v>
      </c>
      <c r="AI885">
        <v>-1</v>
      </c>
      <c r="AJ885" t="s">
        <v>3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</row>
    <row r="886" spans="1:44" x14ac:dyDescent="0.2">
      <c r="A886">
        <f>ROW(Source!A161)</f>
        <v>161</v>
      </c>
      <c r="B886">
        <v>56617091</v>
      </c>
      <c r="C886">
        <v>56617080</v>
      </c>
      <c r="D886">
        <v>46735845</v>
      </c>
      <c r="E886">
        <v>1</v>
      </c>
      <c r="F886">
        <v>1</v>
      </c>
      <c r="G886">
        <v>27786564</v>
      </c>
      <c r="H886">
        <v>3</v>
      </c>
      <c r="I886" t="s">
        <v>508</v>
      </c>
      <c r="J886" t="s">
        <v>553</v>
      </c>
      <c r="K886" t="s">
        <v>510</v>
      </c>
      <c r="L886">
        <v>1356</v>
      </c>
      <c r="N886">
        <v>1010</v>
      </c>
      <c r="O886" t="s">
        <v>511</v>
      </c>
      <c r="P886" t="s">
        <v>511</v>
      </c>
      <c r="Q886">
        <v>1000</v>
      </c>
      <c r="X886">
        <v>1E-3</v>
      </c>
      <c r="Y886">
        <v>226.68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 t="s">
        <v>3</v>
      </c>
      <c r="AG886">
        <v>1E-3</v>
      </c>
      <c r="AH886">
        <v>3</v>
      </c>
      <c r="AI886">
        <v>-1</v>
      </c>
      <c r="AJ886" t="s">
        <v>3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</row>
    <row r="887" spans="1:44" x14ac:dyDescent="0.2">
      <c r="A887">
        <f>ROW(Source!A161)</f>
        <v>161</v>
      </c>
      <c r="B887">
        <v>56617092</v>
      </c>
      <c r="C887">
        <v>56617080</v>
      </c>
      <c r="D887">
        <v>46735506</v>
      </c>
      <c r="E887">
        <v>1</v>
      </c>
      <c r="F887">
        <v>1</v>
      </c>
      <c r="G887">
        <v>27786564</v>
      </c>
      <c r="H887">
        <v>3</v>
      </c>
      <c r="I887" t="s">
        <v>512</v>
      </c>
      <c r="J887" t="s">
        <v>513</v>
      </c>
      <c r="K887" t="s">
        <v>514</v>
      </c>
      <c r="L887">
        <v>1301</v>
      </c>
      <c r="N887">
        <v>1003</v>
      </c>
      <c r="O887" t="s">
        <v>55</v>
      </c>
      <c r="P887" t="s">
        <v>55</v>
      </c>
      <c r="Q887">
        <v>1</v>
      </c>
      <c r="X887">
        <v>2.4500000000000002</v>
      </c>
      <c r="Y887">
        <v>0.7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 t="s">
        <v>3</v>
      </c>
      <c r="AG887">
        <v>2.4500000000000002</v>
      </c>
      <c r="AH887">
        <v>3</v>
      </c>
      <c r="AI887">
        <v>-1</v>
      </c>
      <c r="AJ887" t="s">
        <v>3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</row>
    <row r="888" spans="1:44" x14ac:dyDescent="0.2">
      <c r="A888">
        <f>ROW(Source!A161)</f>
        <v>161</v>
      </c>
      <c r="B888">
        <v>56617093</v>
      </c>
      <c r="C888">
        <v>56617080</v>
      </c>
      <c r="D888">
        <v>46735508</v>
      </c>
      <c r="E888">
        <v>1</v>
      </c>
      <c r="F888">
        <v>1</v>
      </c>
      <c r="G888">
        <v>27786564</v>
      </c>
      <c r="H888">
        <v>3</v>
      </c>
      <c r="I888" t="s">
        <v>515</v>
      </c>
      <c r="J888" t="s">
        <v>516</v>
      </c>
      <c r="K888" t="s">
        <v>517</v>
      </c>
      <c r="L888">
        <v>1356</v>
      </c>
      <c r="N888">
        <v>1010</v>
      </c>
      <c r="O888" t="s">
        <v>511</v>
      </c>
      <c r="P888" t="s">
        <v>511</v>
      </c>
      <c r="Q888">
        <v>1000</v>
      </c>
      <c r="X888">
        <v>2.0799999999999999E-2</v>
      </c>
      <c r="Y888">
        <v>6.44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 t="s">
        <v>3</v>
      </c>
      <c r="AG888">
        <v>2.0799999999999999E-2</v>
      </c>
      <c r="AH888">
        <v>3</v>
      </c>
      <c r="AI888">
        <v>-1</v>
      </c>
      <c r="AJ888" t="s">
        <v>3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 x14ac:dyDescent="0.2">
      <c r="A889">
        <f>ROW(Source!A161)</f>
        <v>161</v>
      </c>
      <c r="B889">
        <v>56617094</v>
      </c>
      <c r="C889">
        <v>56617080</v>
      </c>
      <c r="D889">
        <v>30369949</v>
      </c>
      <c r="E889">
        <v>27786564</v>
      </c>
      <c r="F889">
        <v>1</v>
      </c>
      <c r="G889">
        <v>27786564</v>
      </c>
      <c r="H889">
        <v>3</v>
      </c>
      <c r="I889" t="s">
        <v>562</v>
      </c>
      <c r="J889" t="s">
        <v>3</v>
      </c>
      <c r="K889" t="s">
        <v>563</v>
      </c>
      <c r="L889">
        <v>1356</v>
      </c>
      <c r="N889">
        <v>1010</v>
      </c>
      <c r="O889" t="s">
        <v>511</v>
      </c>
      <c r="P889" t="s">
        <v>511</v>
      </c>
      <c r="Q889">
        <v>1000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3</v>
      </c>
      <c r="AG889">
        <v>0</v>
      </c>
      <c r="AH889">
        <v>3</v>
      </c>
      <c r="AI889">
        <v>-1</v>
      </c>
      <c r="AJ889" t="s">
        <v>3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</row>
    <row r="890" spans="1:44" x14ac:dyDescent="0.2">
      <c r="A890">
        <f>ROW(Source!A161)</f>
        <v>161</v>
      </c>
      <c r="B890">
        <v>56617095</v>
      </c>
      <c r="C890">
        <v>56617080</v>
      </c>
      <c r="D890">
        <v>49717618</v>
      </c>
      <c r="E890">
        <v>27786564</v>
      </c>
      <c r="F890">
        <v>1</v>
      </c>
      <c r="G890">
        <v>27786564</v>
      </c>
      <c r="H890">
        <v>3</v>
      </c>
      <c r="I890" t="s">
        <v>554</v>
      </c>
      <c r="J890" t="s">
        <v>3</v>
      </c>
      <c r="K890" t="s">
        <v>555</v>
      </c>
      <c r="L890">
        <v>1303</v>
      </c>
      <c r="N890">
        <v>1003</v>
      </c>
      <c r="O890" t="s">
        <v>556</v>
      </c>
      <c r="P890" t="s">
        <v>556</v>
      </c>
      <c r="Q890">
        <v>1000</v>
      </c>
      <c r="X890">
        <v>0.10199999999999999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t="s">
        <v>3</v>
      </c>
      <c r="AG890">
        <v>0.10199999999999999</v>
      </c>
      <c r="AH890">
        <v>3</v>
      </c>
      <c r="AI890">
        <v>-1</v>
      </c>
      <c r="AJ890" t="s">
        <v>3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</row>
    <row r="891" spans="1:44" x14ac:dyDescent="0.2">
      <c r="A891">
        <f>ROW(Source!A161)</f>
        <v>161</v>
      </c>
      <c r="B891">
        <v>56617096</v>
      </c>
      <c r="C891">
        <v>56617080</v>
      </c>
      <c r="D891">
        <v>46556476</v>
      </c>
      <c r="E891">
        <v>27786564</v>
      </c>
      <c r="F891">
        <v>1</v>
      </c>
      <c r="G891">
        <v>27786564</v>
      </c>
      <c r="H891">
        <v>3</v>
      </c>
      <c r="I891" t="s">
        <v>557</v>
      </c>
      <c r="J891" t="s">
        <v>3</v>
      </c>
      <c r="K891" t="s">
        <v>558</v>
      </c>
      <c r="L891">
        <v>1354</v>
      </c>
      <c r="N891">
        <v>1010</v>
      </c>
      <c r="O891" t="s">
        <v>88</v>
      </c>
      <c r="P891" t="s">
        <v>88</v>
      </c>
      <c r="Q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 t="s">
        <v>3</v>
      </c>
      <c r="AG891">
        <v>0</v>
      </c>
      <c r="AH891">
        <v>3</v>
      </c>
      <c r="AI891">
        <v>-1</v>
      </c>
      <c r="AJ891" t="s">
        <v>3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4" x14ac:dyDescent="0.2">
      <c r="A892">
        <f>ROW(Source!A162)</f>
        <v>162</v>
      </c>
      <c r="B892">
        <v>56617082</v>
      </c>
      <c r="C892">
        <v>56617080</v>
      </c>
      <c r="D892">
        <v>47634407</v>
      </c>
      <c r="E892">
        <v>27786564</v>
      </c>
      <c r="F892">
        <v>1</v>
      </c>
      <c r="G892">
        <v>27786564</v>
      </c>
      <c r="H892">
        <v>1</v>
      </c>
      <c r="I892" t="s">
        <v>439</v>
      </c>
      <c r="J892" t="s">
        <v>3</v>
      </c>
      <c r="K892" t="s">
        <v>440</v>
      </c>
      <c r="L892">
        <v>1191</v>
      </c>
      <c r="N892">
        <v>1013</v>
      </c>
      <c r="O892" t="s">
        <v>441</v>
      </c>
      <c r="P892" t="s">
        <v>441</v>
      </c>
      <c r="Q892">
        <v>1</v>
      </c>
      <c r="X892">
        <v>32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1</v>
      </c>
      <c r="AF892" t="s">
        <v>22</v>
      </c>
      <c r="AG892">
        <v>35.200000000000003</v>
      </c>
      <c r="AH892">
        <v>2</v>
      </c>
      <c r="AI892">
        <v>56617081</v>
      </c>
      <c r="AJ892">
        <v>182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</row>
    <row r="893" spans="1:44" x14ac:dyDescent="0.2">
      <c r="A893">
        <f>ROW(Source!A162)</f>
        <v>162</v>
      </c>
      <c r="B893">
        <v>56617083</v>
      </c>
      <c r="C893">
        <v>56617080</v>
      </c>
      <c r="D893">
        <v>47767106</v>
      </c>
      <c r="E893">
        <v>1</v>
      </c>
      <c r="F893">
        <v>1</v>
      </c>
      <c r="G893">
        <v>27786564</v>
      </c>
      <c r="H893">
        <v>2</v>
      </c>
      <c r="I893" t="s">
        <v>487</v>
      </c>
      <c r="J893" t="s">
        <v>488</v>
      </c>
      <c r="K893" t="s">
        <v>489</v>
      </c>
      <c r="L893">
        <v>1368</v>
      </c>
      <c r="N893">
        <v>1011</v>
      </c>
      <c r="O893" t="s">
        <v>445</v>
      </c>
      <c r="P893" t="s">
        <v>445</v>
      </c>
      <c r="Q893">
        <v>1</v>
      </c>
      <c r="X893">
        <v>1.1299999999999999</v>
      </c>
      <c r="Y893">
        <v>0</v>
      </c>
      <c r="Z893">
        <v>83.1</v>
      </c>
      <c r="AA893">
        <v>12.62</v>
      </c>
      <c r="AB893">
        <v>0</v>
      </c>
      <c r="AC893">
        <v>0</v>
      </c>
      <c r="AD893">
        <v>1</v>
      </c>
      <c r="AE893">
        <v>0</v>
      </c>
      <c r="AF893" t="s">
        <v>22</v>
      </c>
      <c r="AG893">
        <v>1.2429999999999999</v>
      </c>
      <c r="AH893">
        <v>3</v>
      </c>
      <c r="AI893">
        <v>-1</v>
      </c>
      <c r="AJ893" t="s">
        <v>3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</row>
    <row r="894" spans="1:44" x14ac:dyDescent="0.2">
      <c r="A894">
        <f>ROW(Source!A162)</f>
        <v>162</v>
      </c>
      <c r="B894">
        <v>56617084</v>
      </c>
      <c r="C894">
        <v>56617080</v>
      </c>
      <c r="D894">
        <v>47766545</v>
      </c>
      <c r="E894">
        <v>1</v>
      </c>
      <c r="F894">
        <v>1</v>
      </c>
      <c r="G894">
        <v>27786564</v>
      </c>
      <c r="H894">
        <v>2</v>
      </c>
      <c r="I894" t="s">
        <v>490</v>
      </c>
      <c r="J894" t="s">
        <v>491</v>
      </c>
      <c r="K894" t="s">
        <v>492</v>
      </c>
      <c r="L894">
        <v>1368</v>
      </c>
      <c r="N894">
        <v>1011</v>
      </c>
      <c r="O894" t="s">
        <v>445</v>
      </c>
      <c r="P894" t="s">
        <v>445</v>
      </c>
      <c r="Q894">
        <v>1</v>
      </c>
      <c r="X894">
        <v>7.43</v>
      </c>
      <c r="Y894">
        <v>0</v>
      </c>
      <c r="Z894">
        <v>0.73</v>
      </c>
      <c r="AA894">
        <v>0</v>
      </c>
      <c r="AB894">
        <v>0</v>
      </c>
      <c r="AC894">
        <v>0</v>
      </c>
      <c r="AD894">
        <v>1</v>
      </c>
      <c r="AE894">
        <v>0</v>
      </c>
      <c r="AF894" t="s">
        <v>22</v>
      </c>
      <c r="AG894">
        <v>8.173</v>
      </c>
      <c r="AH894">
        <v>3</v>
      </c>
      <c r="AI894">
        <v>-1</v>
      </c>
      <c r="AJ894" t="s">
        <v>3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 x14ac:dyDescent="0.2">
      <c r="A895">
        <f>ROW(Source!A162)</f>
        <v>162</v>
      </c>
      <c r="B895">
        <v>56617085</v>
      </c>
      <c r="C895">
        <v>56617080</v>
      </c>
      <c r="D895">
        <v>47766581</v>
      </c>
      <c r="E895">
        <v>1</v>
      </c>
      <c r="F895">
        <v>1</v>
      </c>
      <c r="G895">
        <v>27786564</v>
      </c>
      <c r="H895">
        <v>2</v>
      </c>
      <c r="I895" t="s">
        <v>493</v>
      </c>
      <c r="J895" t="s">
        <v>494</v>
      </c>
      <c r="K895" t="s">
        <v>495</v>
      </c>
      <c r="L895">
        <v>1368</v>
      </c>
      <c r="N895">
        <v>1011</v>
      </c>
      <c r="O895" t="s">
        <v>445</v>
      </c>
      <c r="P895" t="s">
        <v>445</v>
      </c>
      <c r="Q895">
        <v>1</v>
      </c>
      <c r="X895">
        <v>7.43</v>
      </c>
      <c r="Y895">
        <v>0</v>
      </c>
      <c r="Z895">
        <v>4</v>
      </c>
      <c r="AA895">
        <v>0</v>
      </c>
      <c r="AB895">
        <v>0</v>
      </c>
      <c r="AC895">
        <v>0</v>
      </c>
      <c r="AD895">
        <v>1</v>
      </c>
      <c r="AE895">
        <v>0</v>
      </c>
      <c r="AF895" t="s">
        <v>22</v>
      </c>
      <c r="AG895">
        <v>8.173</v>
      </c>
      <c r="AH895">
        <v>3</v>
      </c>
      <c r="AI895">
        <v>-1</v>
      </c>
      <c r="AJ895" t="s">
        <v>3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 x14ac:dyDescent="0.2">
      <c r="A896">
        <f>ROW(Source!A162)</f>
        <v>162</v>
      </c>
      <c r="B896">
        <v>56617086</v>
      </c>
      <c r="C896">
        <v>56617080</v>
      </c>
      <c r="D896">
        <v>49108250</v>
      </c>
      <c r="E896">
        <v>1</v>
      </c>
      <c r="F896">
        <v>1</v>
      </c>
      <c r="G896">
        <v>27786564</v>
      </c>
      <c r="H896">
        <v>3</v>
      </c>
      <c r="I896" t="s">
        <v>559</v>
      </c>
      <c r="J896" t="s">
        <v>564</v>
      </c>
      <c r="K896" t="s">
        <v>561</v>
      </c>
      <c r="L896">
        <v>1348</v>
      </c>
      <c r="N896">
        <v>1009</v>
      </c>
      <c r="O896" t="s">
        <v>367</v>
      </c>
      <c r="P896" t="s">
        <v>367</v>
      </c>
      <c r="Q896">
        <v>1000</v>
      </c>
      <c r="X896">
        <v>6.2E-4</v>
      </c>
      <c r="Y896">
        <v>10651.81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 t="s">
        <v>3</v>
      </c>
      <c r="AG896">
        <v>6.2E-4</v>
      </c>
      <c r="AH896">
        <v>3</v>
      </c>
      <c r="AI896">
        <v>-1</v>
      </c>
      <c r="AJ896" t="s">
        <v>3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 x14ac:dyDescent="0.2">
      <c r="A897">
        <f>ROW(Source!A162)</f>
        <v>162</v>
      </c>
      <c r="B897">
        <v>56617087</v>
      </c>
      <c r="C897">
        <v>56617080</v>
      </c>
      <c r="D897">
        <v>46723498</v>
      </c>
      <c r="E897">
        <v>1</v>
      </c>
      <c r="F897">
        <v>1</v>
      </c>
      <c r="G897">
        <v>27786564</v>
      </c>
      <c r="H897">
        <v>3</v>
      </c>
      <c r="I897" t="s">
        <v>496</v>
      </c>
      <c r="J897" t="s">
        <v>497</v>
      </c>
      <c r="K897" t="s">
        <v>498</v>
      </c>
      <c r="L897">
        <v>1348</v>
      </c>
      <c r="N897">
        <v>1009</v>
      </c>
      <c r="O897" t="s">
        <v>367</v>
      </c>
      <c r="P897" t="s">
        <v>367</v>
      </c>
      <c r="Q897">
        <v>1000</v>
      </c>
      <c r="X897">
        <v>7.2000000000000005E-4</v>
      </c>
      <c r="Y897">
        <v>11242.42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 t="s">
        <v>3</v>
      </c>
      <c r="AG897">
        <v>7.2000000000000005E-4</v>
      </c>
      <c r="AH897">
        <v>3</v>
      </c>
      <c r="AI897">
        <v>-1</v>
      </c>
      <c r="AJ897" t="s">
        <v>3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4" x14ac:dyDescent="0.2">
      <c r="A898">
        <f>ROW(Source!A162)</f>
        <v>162</v>
      </c>
      <c r="B898">
        <v>56617088</v>
      </c>
      <c r="C898">
        <v>56617080</v>
      </c>
      <c r="D898">
        <v>45796980</v>
      </c>
      <c r="E898">
        <v>1</v>
      </c>
      <c r="F898">
        <v>1</v>
      </c>
      <c r="G898">
        <v>27786564</v>
      </c>
      <c r="H898">
        <v>3</v>
      </c>
      <c r="I898" t="s">
        <v>499</v>
      </c>
      <c r="J898" t="s">
        <v>500</v>
      </c>
      <c r="K898" t="s">
        <v>501</v>
      </c>
      <c r="L898">
        <v>1346</v>
      </c>
      <c r="N898">
        <v>1009</v>
      </c>
      <c r="O898" t="s">
        <v>104</v>
      </c>
      <c r="P898" t="s">
        <v>104</v>
      </c>
      <c r="Q898">
        <v>1</v>
      </c>
      <c r="X898">
        <v>0.62</v>
      </c>
      <c r="Y898">
        <v>25.8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 t="s">
        <v>3</v>
      </c>
      <c r="AG898">
        <v>0.62</v>
      </c>
      <c r="AH898">
        <v>3</v>
      </c>
      <c r="AI898">
        <v>-1</v>
      </c>
      <c r="AJ898" t="s">
        <v>3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 x14ac:dyDescent="0.2">
      <c r="A899">
        <f>ROW(Source!A162)</f>
        <v>162</v>
      </c>
      <c r="B899">
        <v>56617089</v>
      </c>
      <c r="C899">
        <v>56617080</v>
      </c>
      <c r="D899">
        <v>46723689</v>
      </c>
      <c r="E899">
        <v>1</v>
      </c>
      <c r="F899">
        <v>1</v>
      </c>
      <c r="G899">
        <v>27786564</v>
      </c>
      <c r="H899">
        <v>3</v>
      </c>
      <c r="I899" t="s">
        <v>502</v>
      </c>
      <c r="J899" t="s">
        <v>503</v>
      </c>
      <c r="K899" t="s">
        <v>504</v>
      </c>
      <c r="L899">
        <v>1348</v>
      </c>
      <c r="N899">
        <v>1009</v>
      </c>
      <c r="O899" t="s">
        <v>367</v>
      </c>
      <c r="P899" t="s">
        <v>367</v>
      </c>
      <c r="Q899">
        <v>1000</v>
      </c>
      <c r="X899">
        <v>2.5000000000000001E-4</v>
      </c>
      <c r="Y899">
        <v>60966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  <c r="AF899" t="s">
        <v>3</v>
      </c>
      <c r="AG899">
        <v>2.5000000000000001E-4</v>
      </c>
      <c r="AH899">
        <v>3</v>
      </c>
      <c r="AI899">
        <v>-1</v>
      </c>
      <c r="AJ899" t="s">
        <v>3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4" x14ac:dyDescent="0.2">
      <c r="A900">
        <f>ROW(Source!A162)</f>
        <v>162</v>
      </c>
      <c r="B900">
        <v>56617090</v>
      </c>
      <c r="C900">
        <v>56617080</v>
      </c>
      <c r="D900">
        <v>46723704</v>
      </c>
      <c r="E900">
        <v>1</v>
      </c>
      <c r="F900">
        <v>1</v>
      </c>
      <c r="G900">
        <v>27786564</v>
      </c>
      <c r="H900">
        <v>3</v>
      </c>
      <c r="I900" t="s">
        <v>505</v>
      </c>
      <c r="J900" t="s">
        <v>506</v>
      </c>
      <c r="K900" t="s">
        <v>507</v>
      </c>
      <c r="L900">
        <v>1348</v>
      </c>
      <c r="N900">
        <v>1009</v>
      </c>
      <c r="O900" t="s">
        <v>367</v>
      </c>
      <c r="P900" t="s">
        <v>367</v>
      </c>
      <c r="Q900">
        <v>1000</v>
      </c>
      <c r="X900">
        <v>1E-4</v>
      </c>
      <c r="Y900">
        <v>7982.5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0</v>
      </c>
      <c r="AF900" t="s">
        <v>3</v>
      </c>
      <c r="AG900">
        <v>1E-4</v>
      </c>
      <c r="AH900">
        <v>3</v>
      </c>
      <c r="AI900">
        <v>-1</v>
      </c>
      <c r="AJ900" t="s">
        <v>3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 x14ac:dyDescent="0.2">
      <c r="A901">
        <f>ROW(Source!A162)</f>
        <v>162</v>
      </c>
      <c r="B901">
        <v>56617091</v>
      </c>
      <c r="C901">
        <v>56617080</v>
      </c>
      <c r="D901">
        <v>46735845</v>
      </c>
      <c r="E901">
        <v>1</v>
      </c>
      <c r="F901">
        <v>1</v>
      </c>
      <c r="G901">
        <v>27786564</v>
      </c>
      <c r="H901">
        <v>3</v>
      </c>
      <c r="I901" t="s">
        <v>508</v>
      </c>
      <c r="J901" t="s">
        <v>553</v>
      </c>
      <c r="K901" t="s">
        <v>510</v>
      </c>
      <c r="L901">
        <v>1356</v>
      </c>
      <c r="N901">
        <v>1010</v>
      </c>
      <c r="O901" t="s">
        <v>511</v>
      </c>
      <c r="P901" t="s">
        <v>511</v>
      </c>
      <c r="Q901">
        <v>1000</v>
      </c>
      <c r="X901">
        <v>1E-3</v>
      </c>
      <c r="Y901">
        <v>226.68</v>
      </c>
      <c r="Z901">
        <v>0</v>
      </c>
      <c r="AA901">
        <v>0</v>
      </c>
      <c r="AB901">
        <v>0</v>
      </c>
      <c r="AC901">
        <v>0</v>
      </c>
      <c r="AD901">
        <v>1</v>
      </c>
      <c r="AE901">
        <v>0</v>
      </c>
      <c r="AF901" t="s">
        <v>3</v>
      </c>
      <c r="AG901">
        <v>1E-3</v>
      </c>
      <c r="AH901">
        <v>3</v>
      </c>
      <c r="AI901">
        <v>-1</v>
      </c>
      <c r="AJ901" t="s">
        <v>3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</row>
    <row r="902" spans="1:44" x14ac:dyDescent="0.2">
      <c r="A902">
        <f>ROW(Source!A162)</f>
        <v>162</v>
      </c>
      <c r="B902">
        <v>56617092</v>
      </c>
      <c r="C902">
        <v>56617080</v>
      </c>
      <c r="D902">
        <v>46735506</v>
      </c>
      <c r="E902">
        <v>1</v>
      </c>
      <c r="F902">
        <v>1</v>
      </c>
      <c r="G902">
        <v>27786564</v>
      </c>
      <c r="H902">
        <v>3</v>
      </c>
      <c r="I902" t="s">
        <v>512</v>
      </c>
      <c r="J902" t="s">
        <v>513</v>
      </c>
      <c r="K902" t="s">
        <v>514</v>
      </c>
      <c r="L902">
        <v>1301</v>
      </c>
      <c r="N902">
        <v>1003</v>
      </c>
      <c r="O902" t="s">
        <v>55</v>
      </c>
      <c r="P902" t="s">
        <v>55</v>
      </c>
      <c r="Q902">
        <v>1</v>
      </c>
      <c r="X902">
        <v>2.4500000000000002</v>
      </c>
      <c r="Y902">
        <v>0.7</v>
      </c>
      <c r="Z902">
        <v>0</v>
      </c>
      <c r="AA902">
        <v>0</v>
      </c>
      <c r="AB902">
        <v>0</v>
      </c>
      <c r="AC902">
        <v>0</v>
      </c>
      <c r="AD902">
        <v>1</v>
      </c>
      <c r="AE902">
        <v>0</v>
      </c>
      <c r="AF902" t="s">
        <v>3</v>
      </c>
      <c r="AG902">
        <v>2.4500000000000002</v>
      </c>
      <c r="AH902">
        <v>3</v>
      </c>
      <c r="AI902">
        <v>-1</v>
      </c>
      <c r="AJ902" t="s">
        <v>3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 x14ac:dyDescent="0.2">
      <c r="A903">
        <f>ROW(Source!A162)</f>
        <v>162</v>
      </c>
      <c r="B903">
        <v>56617093</v>
      </c>
      <c r="C903">
        <v>56617080</v>
      </c>
      <c r="D903">
        <v>46735508</v>
      </c>
      <c r="E903">
        <v>1</v>
      </c>
      <c r="F903">
        <v>1</v>
      </c>
      <c r="G903">
        <v>27786564</v>
      </c>
      <c r="H903">
        <v>3</v>
      </c>
      <c r="I903" t="s">
        <v>515</v>
      </c>
      <c r="J903" t="s">
        <v>516</v>
      </c>
      <c r="K903" t="s">
        <v>517</v>
      </c>
      <c r="L903">
        <v>1356</v>
      </c>
      <c r="N903">
        <v>1010</v>
      </c>
      <c r="O903" t="s">
        <v>511</v>
      </c>
      <c r="P903" t="s">
        <v>511</v>
      </c>
      <c r="Q903">
        <v>1000</v>
      </c>
      <c r="X903">
        <v>2.0799999999999999E-2</v>
      </c>
      <c r="Y903">
        <v>6.44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 t="s">
        <v>3</v>
      </c>
      <c r="AG903">
        <v>2.0799999999999999E-2</v>
      </c>
      <c r="AH903">
        <v>3</v>
      </c>
      <c r="AI903">
        <v>-1</v>
      </c>
      <c r="AJ903" t="s">
        <v>3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 x14ac:dyDescent="0.2">
      <c r="A904">
        <f>ROW(Source!A162)</f>
        <v>162</v>
      </c>
      <c r="B904">
        <v>56617094</v>
      </c>
      <c r="C904">
        <v>56617080</v>
      </c>
      <c r="D904">
        <v>30369949</v>
      </c>
      <c r="E904">
        <v>27786564</v>
      </c>
      <c r="F904">
        <v>1</v>
      </c>
      <c r="G904">
        <v>27786564</v>
      </c>
      <c r="H904">
        <v>3</v>
      </c>
      <c r="I904" t="s">
        <v>562</v>
      </c>
      <c r="J904" t="s">
        <v>3</v>
      </c>
      <c r="K904" t="s">
        <v>563</v>
      </c>
      <c r="L904">
        <v>1356</v>
      </c>
      <c r="N904">
        <v>1010</v>
      </c>
      <c r="O904" t="s">
        <v>511</v>
      </c>
      <c r="P904" t="s">
        <v>511</v>
      </c>
      <c r="Q904">
        <v>1000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 t="s">
        <v>3</v>
      </c>
      <c r="AG904">
        <v>0</v>
      </c>
      <c r="AH904">
        <v>3</v>
      </c>
      <c r="AI904">
        <v>-1</v>
      </c>
      <c r="AJ904" t="s">
        <v>3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</row>
    <row r="905" spans="1:44" x14ac:dyDescent="0.2">
      <c r="A905">
        <f>ROW(Source!A162)</f>
        <v>162</v>
      </c>
      <c r="B905">
        <v>56617095</v>
      </c>
      <c r="C905">
        <v>56617080</v>
      </c>
      <c r="D905">
        <v>49717618</v>
      </c>
      <c r="E905">
        <v>27786564</v>
      </c>
      <c r="F905">
        <v>1</v>
      </c>
      <c r="G905">
        <v>27786564</v>
      </c>
      <c r="H905">
        <v>3</v>
      </c>
      <c r="I905" t="s">
        <v>554</v>
      </c>
      <c r="J905" t="s">
        <v>3</v>
      </c>
      <c r="K905" t="s">
        <v>555</v>
      </c>
      <c r="L905">
        <v>1303</v>
      </c>
      <c r="N905">
        <v>1003</v>
      </c>
      <c r="O905" t="s">
        <v>556</v>
      </c>
      <c r="P905" t="s">
        <v>556</v>
      </c>
      <c r="Q905">
        <v>1000</v>
      </c>
      <c r="X905">
        <v>0.10199999999999999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 t="s">
        <v>3</v>
      </c>
      <c r="AG905">
        <v>0.10199999999999999</v>
      </c>
      <c r="AH905">
        <v>3</v>
      </c>
      <c r="AI905">
        <v>-1</v>
      </c>
      <c r="AJ905" t="s">
        <v>3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 x14ac:dyDescent="0.2">
      <c r="A906">
        <f>ROW(Source!A162)</f>
        <v>162</v>
      </c>
      <c r="B906">
        <v>56617096</v>
      </c>
      <c r="C906">
        <v>56617080</v>
      </c>
      <c r="D906">
        <v>46556476</v>
      </c>
      <c r="E906">
        <v>27786564</v>
      </c>
      <c r="F906">
        <v>1</v>
      </c>
      <c r="G906">
        <v>27786564</v>
      </c>
      <c r="H906">
        <v>3</v>
      </c>
      <c r="I906" t="s">
        <v>557</v>
      </c>
      <c r="J906" t="s">
        <v>3</v>
      </c>
      <c r="K906" t="s">
        <v>558</v>
      </c>
      <c r="L906">
        <v>1354</v>
      </c>
      <c r="N906">
        <v>1010</v>
      </c>
      <c r="O906" t="s">
        <v>88</v>
      </c>
      <c r="P906" t="s">
        <v>88</v>
      </c>
      <c r="Q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3</v>
      </c>
      <c r="AG906">
        <v>0</v>
      </c>
      <c r="AH906">
        <v>3</v>
      </c>
      <c r="AI906">
        <v>-1</v>
      </c>
      <c r="AJ906" t="s">
        <v>3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4" x14ac:dyDescent="0.2">
      <c r="A907">
        <f>ROW(Source!A163)</f>
        <v>163</v>
      </c>
      <c r="B907">
        <v>56617098</v>
      </c>
      <c r="C907">
        <v>56617097</v>
      </c>
      <c r="D907">
        <v>47634407</v>
      </c>
      <c r="E907">
        <v>27786564</v>
      </c>
      <c r="F907">
        <v>1</v>
      </c>
      <c r="G907">
        <v>27786564</v>
      </c>
      <c r="H907">
        <v>1</v>
      </c>
      <c r="I907" t="s">
        <v>439</v>
      </c>
      <c r="J907" t="s">
        <v>3</v>
      </c>
      <c r="K907" t="s">
        <v>440</v>
      </c>
      <c r="L907">
        <v>1191</v>
      </c>
      <c r="N907">
        <v>1013</v>
      </c>
      <c r="O907" t="s">
        <v>441</v>
      </c>
      <c r="P907" t="s">
        <v>441</v>
      </c>
      <c r="Q907">
        <v>1</v>
      </c>
      <c r="X907">
        <v>155.88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1</v>
      </c>
      <c r="AF907" t="s">
        <v>22</v>
      </c>
      <c r="AG907">
        <v>171.46800000000002</v>
      </c>
      <c r="AH907">
        <v>3</v>
      </c>
      <c r="AI907">
        <v>-1</v>
      </c>
      <c r="AJ907" t="s">
        <v>3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</row>
    <row r="908" spans="1:44" x14ac:dyDescent="0.2">
      <c r="A908">
        <f>ROW(Source!A163)</f>
        <v>163</v>
      </c>
      <c r="B908">
        <v>56617099</v>
      </c>
      <c r="C908">
        <v>56617097</v>
      </c>
      <c r="D908">
        <v>30415180</v>
      </c>
      <c r="E908">
        <v>1</v>
      </c>
      <c r="F908">
        <v>1</v>
      </c>
      <c r="G908">
        <v>27786564</v>
      </c>
      <c r="H908">
        <v>2</v>
      </c>
      <c r="I908" t="s">
        <v>565</v>
      </c>
      <c r="J908" t="s">
        <v>566</v>
      </c>
      <c r="K908" t="s">
        <v>567</v>
      </c>
      <c r="L908">
        <v>1367</v>
      </c>
      <c r="N908">
        <v>1011</v>
      </c>
      <c r="O908" t="s">
        <v>479</v>
      </c>
      <c r="P908" t="s">
        <v>479</v>
      </c>
      <c r="Q908">
        <v>1</v>
      </c>
      <c r="X908">
        <v>19.72</v>
      </c>
      <c r="Y908">
        <v>0</v>
      </c>
      <c r="Z908">
        <v>36.08</v>
      </c>
      <c r="AA908">
        <v>3.1</v>
      </c>
      <c r="AB908">
        <v>0</v>
      </c>
      <c r="AC908">
        <v>0</v>
      </c>
      <c r="AD908">
        <v>1</v>
      </c>
      <c r="AE908">
        <v>0</v>
      </c>
      <c r="AF908" t="s">
        <v>22</v>
      </c>
      <c r="AG908">
        <v>21.692</v>
      </c>
      <c r="AH908">
        <v>3</v>
      </c>
      <c r="AI908">
        <v>-1</v>
      </c>
      <c r="AJ908" t="s">
        <v>3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</row>
    <row r="909" spans="1:44" x14ac:dyDescent="0.2">
      <c r="A909">
        <f>ROW(Source!A163)</f>
        <v>163</v>
      </c>
      <c r="B909">
        <v>56617100</v>
      </c>
      <c r="C909">
        <v>56617097</v>
      </c>
      <c r="D909">
        <v>47767106</v>
      </c>
      <c r="E909">
        <v>1</v>
      </c>
      <c r="F909">
        <v>1</v>
      </c>
      <c r="G909">
        <v>27786564</v>
      </c>
      <c r="H909">
        <v>2</v>
      </c>
      <c r="I909" t="s">
        <v>487</v>
      </c>
      <c r="J909" t="s">
        <v>488</v>
      </c>
      <c r="K909" t="s">
        <v>489</v>
      </c>
      <c r="L909">
        <v>1368</v>
      </c>
      <c r="N909">
        <v>1011</v>
      </c>
      <c r="O909" t="s">
        <v>445</v>
      </c>
      <c r="P909" t="s">
        <v>445</v>
      </c>
      <c r="Q909">
        <v>1</v>
      </c>
      <c r="X909">
        <v>0.05</v>
      </c>
      <c r="Y909">
        <v>0</v>
      </c>
      <c r="Z909">
        <v>83.1</v>
      </c>
      <c r="AA909">
        <v>12.62</v>
      </c>
      <c r="AB909">
        <v>0</v>
      </c>
      <c r="AC909">
        <v>0</v>
      </c>
      <c r="AD909">
        <v>1</v>
      </c>
      <c r="AE909">
        <v>0</v>
      </c>
      <c r="AF909" t="s">
        <v>22</v>
      </c>
      <c r="AG909">
        <v>5.5000000000000007E-2</v>
      </c>
      <c r="AH909">
        <v>3</v>
      </c>
      <c r="AI909">
        <v>-1</v>
      </c>
      <c r="AJ909" t="s">
        <v>3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</row>
    <row r="910" spans="1:44" x14ac:dyDescent="0.2">
      <c r="A910">
        <f>ROW(Source!A163)</f>
        <v>163</v>
      </c>
      <c r="B910">
        <v>56617101</v>
      </c>
      <c r="C910">
        <v>56617097</v>
      </c>
      <c r="D910">
        <v>30390462</v>
      </c>
      <c r="E910">
        <v>1</v>
      </c>
      <c r="F910">
        <v>1</v>
      </c>
      <c r="G910">
        <v>27786564</v>
      </c>
      <c r="H910">
        <v>3</v>
      </c>
      <c r="I910" t="s">
        <v>534</v>
      </c>
      <c r="J910" t="s">
        <v>535</v>
      </c>
      <c r="K910" t="s">
        <v>536</v>
      </c>
      <c r="L910">
        <v>1346</v>
      </c>
      <c r="N910">
        <v>1009</v>
      </c>
      <c r="O910" t="s">
        <v>104</v>
      </c>
      <c r="P910" t="s">
        <v>104</v>
      </c>
      <c r="Q910">
        <v>1</v>
      </c>
      <c r="X910">
        <v>10</v>
      </c>
      <c r="Y910">
        <v>1.61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 t="s">
        <v>3</v>
      </c>
      <c r="AG910">
        <v>10</v>
      </c>
      <c r="AH910">
        <v>3</v>
      </c>
      <c r="AI910">
        <v>-1</v>
      </c>
      <c r="AJ910" t="s">
        <v>3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 x14ac:dyDescent="0.2">
      <c r="A911">
        <f>ROW(Source!A163)</f>
        <v>163</v>
      </c>
      <c r="B911">
        <v>56617102</v>
      </c>
      <c r="C911">
        <v>56617097</v>
      </c>
      <c r="D911">
        <v>46724002</v>
      </c>
      <c r="E911">
        <v>1</v>
      </c>
      <c r="F911">
        <v>1</v>
      </c>
      <c r="G911">
        <v>27786564</v>
      </c>
      <c r="H911">
        <v>3</v>
      </c>
      <c r="I911" t="s">
        <v>568</v>
      </c>
      <c r="J911" t="s">
        <v>569</v>
      </c>
      <c r="K911" t="s">
        <v>570</v>
      </c>
      <c r="L911">
        <v>1327</v>
      </c>
      <c r="N911">
        <v>1005</v>
      </c>
      <c r="O911" t="s">
        <v>483</v>
      </c>
      <c r="P911" t="s">
        <v>483</v>
      </c>
      <c r="Q911">
        <v>1</v>
      </c>
      <c r="X911">
        <v>1</v>
      </c>
      <c r="Y911">
        <v>127.33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0</v>
      </c>
      <c r="AF911" t="s">
        <v>3</v>
      </c>
      <c r="AG911">
        <v>1</v>
      </c>
      <c r="AH911">
        <v>3</v>
      </c>
      <c r="AI911">
        <v>-1</v>
      </c>
      <c r="AJ911" t="s">
        <v>3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</row>
    <row r="912" spans="1:44" x14ac:dyDescent="0.2">
      <c r="A912">
        <f>ROW(Source!A163)</f>
        <v>163</v>
      </c>
      <c r="B912">
        <v>56617103</v>
      </c>
      <c r="C912">
        <v>56617097</v>
      </c>
      <c r="D912">
        <v>37620224</v>
      </c>
      <c r="E912">
        <v>1</v>
      </c>
      <c r="F912">
        <v>1</v>
      </c>
      <c r="G912">
        <v>27786564</v>
      </c>
      <c r="H912">
        <v>3</v>
      </c>
      <c r="I912" t="s">
        <v>521</v>
      </c>
      <c r="J912" t="s">
        <v>522</v>
      </c>
      <c r="K912" t="s">
        <v>523</v>
      </c>
      <c r="L912">
        <v>1346</v>
      </c>
      <c r="N912">
        <v>1009</v>
      </c>
      <c r="O912" t="s">
        <v>104</v>
      </c>
      <c r="P912" t="s">
        <v>104</v>
      </c>
      <c r="Q912">
        <v>1</v>
      </c>
      <c r="X912">
        <v>30.6</v>
      </c>
      <c r="Y912">
        <v>6.27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0</v>
      </c>
      <c r="AF912" t="s">
        <v>3</v>
      </c>
      <c r="AG912">
        <v>30.6</v>
      </c>
      <c r="AH912">
        <v>3</v>
      </c>
      <c r="AI912">
        <v>-1</v>
      </c>
      <c r="AJ912" t="s">
        <v>3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</row>
    <row r="913" spans="1:44" x14ac:dyDescent="0.2">
      <c r="A913">
        <f>ROW(Source!A163)</f>
        <v>163</v>
      </c>
      <c r="B913">
        <v>56617104</v>
      </c>
      <c r="C913">
        <v>56617097</v>
      </c>
      <c r="D913">
        <v>30394098</v>
      </c>
      <c r="E913">
        <v>1</v>
      </c>
      <c r="F913">
        <v>1</v>
      </c>
      <c r="G913">
        <v>27786564</v>
      </c>
      <c r="H913">
        <v>3</v>
      </c>
      <c r="I913" t="s">
        <v>571</v>
      </c>
      <c r="J913" t="s">
        <v>572</v>
      </c>
      <c r="K913" t="s">
        <v>573</v>
      </c>
      <c r="L913">
        <v>1296</v>
      </c>
      <c r="N913">
        <v>1013</v>
      </c>
      <c r="O913" t="s">
        <v>574</v>
      </c>
      <c r="P913" t="s">
        <v>574</v>
      </c>
      <c r="Q913">
        <v>1</v>
      </c>
      <c r="X913">
        <v>5</v>
      </c>
      <c r="Y913">
        <v>16.260000000000002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 t="s">
        <v>3</v>
      </c>
      <c r="AG913">
        <v>5</v>
      </c>
      <c r="AH913">
        <v>3</v>
      </c>
      <c r="AI913">
        <v>-1</v>
      </c>
      <c r="AJ913" t="s">
        <v>3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</row>
    <row r="914" spans="1:44" x14ac:dyDescent="0.2">
      <c r="A914">
        <f>ROW(Source!A163)</f>
        <v>163</v>
      </c>
      <c r="B914">
        <v>56617105</v>
      </c>
      <c r="C914">
        <v>56617097</v>
      </c>
      <c r="D914">
        <v>46735801</v>
      </c>
      <c r="E914">
        <v>1</v>
      </c>
      <c r="F914">
        <v>1</v>
      </c>
      <c r="G914">
        <v>27786564</v>
      </c>
      <c r="H914">
        <v>3</v>
      </c>
      <c r="I914" t="s">
        <v>575</v>
      </c>
      <c r="J914" t="s">
        <v>576</v>
      </c>
      <c r="K914" t="s">
        <v>577</v>
      </c>
      <c r="L914">
        <v>1355</v>
      </c>
      <c r="N914">
        <v>1010</v>
      </c>
      <c r="O914" t="s">
        <v>578</v>
      </c>
      <c r="P914" t="s">
        <v>578</v>
      </c>
      <c r="Q914">
        <v>100</v>
      </c>
      <c r="X914">
        <v>2</v>
      </c>
      <c r="Y914">
        <v>59.47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0</v>
      </c>
      <c r="AF914" t="s">
        <v>3</v>
      </c>
      <c r="AG914">
        <v>2</v>
      </c>
      <c r="AH914">
        <v>3</v>
      </c>
      <c r="AI914">
        <v>-1</v>
      </c>
      <c r="AJ914" t="s">
        <v>3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</row>
    <row r="915" spans="1:44" x14ac:dyDescent="0.2">
      <c r="A915">
        <f>ROW(Source!A163)</f>
        <v>163</v>
      </c>
      <c r="B915">
        <v>56617106</v>
      </c>
      <c r="C915">
        <v>56617097</v>
      </c>
      <c r="D915">
        <v>30382931</v>
      </c>
      <c r="E915">
        <v>27786564</v>
      </c>
      <c r="F915">
        <v>1</v>
      </c>
      <c r="G915">
        <v>27786564</v>
      </c>
      <c r="H915">
        <v>3</v>
      </c>
      <c r="I915" t="s">
        <v>579</v>
      </c>
      <c r="J915" t="s">
        <v>3</v>
      </c>
      <c r="K915" t="s">
        <v>580</v>
      </c>
      <c r="L915">
        <v>1391</v>
      </c>
      <c r="N915">
        <v>1013</v>
      </c>
      <c r="O915" t="s">
        <v>290</v>
      </c>
      <c r="P915" t="s">
        <v>290</v>
      </c>
      <c r="Q915">
        <v>1</v>
      </c>
      <c r="X915">
        <v>100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 t="s">
        <v>3</v>
      </c>
      <c r="AG915">
        <v>100</v>
      </c>
      <c r="AH915">
        <v>3</v>
      </c>
      <c r="AI915">
        <v>-1</v>
      </c>
      <c r="AJ915" t="s">
        <v>3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 x14ac:dyDescent="0.2">
      <c r="A916">
        <f>ROW(Source!A164)</f>
        <v>164</v>
      </c>
      <c r="B916">
        <v>56617098</v>
      </c>
      <c r="C916">
        <v>56617097</v>
      </c>
      <c r="D916">
        <v>47634407</v>
      </c>
      <c r="E916">
        <v>27786564</v>
      </c>
      <c r="F916">
        <v>1</v>
      </c>
      <c r="G916">
        <v>27786564</v>
      </c>
      <c r="H916">
        <v>1</v>
      </c>
      <c r="I916" t="s">
        <v>439</v>
      </c>
      <c r="J916" t="s">
        <v>3</v>
      </c>
      <c r="K916" t="s">
        <v>440</v>
      </c>
      <c r="L916">
        <v>1191</v>
      </c>
      <c r="N916">
        <v>1013</v>
      </c>
      <c r="O916" t="s">
        <v>441</v>
      </c>
      <c r="P916" t="s">
        <v>441</v>
      </c>
      <c r="Q916">
        <v>1</v>
      </c>
      <c r="X916">
        <v>155.88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1</v>
      </c>
      <c r="AF916" t="s">
        <v>22</v>
      </c>
      <c r="AG916">
        <v>171.46800000000002</v>
      </c>
      <c r="AH916">
        <v>3</v>
      </c>
      <c r="AI916">
        <v>-1</v>
      </c>
      <c r="AJ916" t="s">
        <v>3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 x14ac:dyDescent="0.2">
      <c r="A917">
        <f>ROW(Source!A164)</f>
        <v>164</v>
      </c>
      <c r="B917">
        <v>56617099</v>
      </c>
      <c r="C917">
        <v>56617097</v>
      </c>
      <c r="D917">
        <v>30415180</v>
      </c>
      <c r="E917">
        <v>1</v>
      </c>
      <c r="F917">
        <v>1</v>
      </c>
      <c r="G917">
        <v>27786564</v>
      </c>
      <c r="H917">
        <v>2</v>
      </c>
      <c r="I917" t="s">
        <v>565</v>
      </c>
      <c r="J917" t="s">
        <v>566</v>
      </c>
      <c r="K917" t="s">
        <v>567</v>
      </c>
      <c r="L917">
        <v>1367</v>
      </c>
      <c r="N917">
        <v>1011</v>
      </c>
      <c r="O917" t="s">
        <v>479</v>
      </c>
      <c r="P917" t="s">
        <v>479</v>
      </c>
      <c r="Q917">
        <v>1</v>
      </c>
      <c r="X917">
        <v>19.72</v>
      </c>
      <c r="Y917">
        <v>0</v>
      </c>
      <c r="Z917">
        <v>36.08</v>
      </c>
      <c r="AA917">
        <v>3.1</v>
      </c>
      <c r="AB917">
        <v>0</v>
      </c>
      <c r="AC917">
        <v>0</v>
      </c>
      <c r="AD917">
        <v>1</v>
      </c>
      <c r="AE917">
        <v>0</v>
      </c>
      <c r="AF917" t="s">
        <v>22</v>
      </c>
      <c r="AG917">
        <v>21.692</v>
      </c>
      <c r="AH917">
        <v>3</v>
      </c>
      <c r="AI917">
        <v>-1</v>
      </c>
      <c r="AJ917" t="s">
        <v>3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</row>
    <row r="918" spans="1:44" x14ac:dyDescent="0.2">
      <c r="A918">
        <f>ROW(Source!A164)</f>
        <v>164</v>
      </c>
      <c r="B918">
        <v>56617100</v>
      </c>
      <c r="C918">
        <v>56617097</v>
      </c>
      <c r="D918">
        <v>47767106</v>
      </c>
      <c r="E918">
        <v>1</v>
      </c>
      <c r="F918">
        <v>1</v>
      </c>
      <c r="G918">
        <v>27786564</v>
      </c>
      <c r="H918">
        <v>2</v>
      </c>
      <c r="I918" t="s">
        <v>487</v>
      </c>
      <c r="J918" t="s">
        <v>488</v>
      </c>
      <c r="K918" t="s">
        <v>489</v>
      </c>
      <c r="L918">
        <v>1368</v>
      </c>
      <c r="N918">
        <v>1011</v>
      </c>
      <c r="O918" t="s">
        <v>445</v>
      </c>
      <c r="P918" t="s">
        <v>445</v>
      </c>
      <c r="Q918">
        <v>1</v>
      </c>
      <c r="X918">
        <v>0.05</v>
      </c>
      <c r="Y918">
        <v>0</v>
      </c>
      <c r="Z918">
        <v>83.1</v>
      </c>
      <c r="AA918">
        <v>12.62</v>
      </c>
      <c r="AB918">
        <v>0</v>
      </c>
      <c r="AC918">
        <v>0</v>
      </c>
      <c r="AD918">
        <v>1</v>
      </c>
      <c r="AE918">
        <v>0</v>
      </c>
      <c r="AF918" t="s">
        <v>22</v>
      </c>
      <c r="AG918">
        <v>5.5000000000000007E-2</v>
      </c>
      <c r="AH918">
        <v>3</v>
      </c>
      <c r="AI918">
        <v>-1</v>
      </c>
      <c r="AJ918" t="s">
        <v>3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</row>
    <row r="919" spans="1:44" x14ac:dyDescent="0.2">
      <c r="A919">
        <f>ROW(Source!A164)</f>
        <v>164</v>
      </c>
      <c r="B919">
        <v>56617101</v>
      </c>
      <c r="C919">
        <v>56617097</v>
      </c>
      <c r="D919">
        <v>30390462</v>
      </c>
      <c r="E919">
        <v>1</v>
      </c>
      <c r="F919">
        <v>1</v>
      </c>
      <c r="G919">
        <v>27786564</v>
      </c>
      <c r="H919">
        <v>3</v>
      </c>
      <c r="I919" t="s">
        <v>534</v>
      </c>
      <c r="J919" t="s">
        <v>535</v>
      </c>
      <c r="K919" t="s">
        <v>536</v>
      </c>
      <c r="L919">
        <v>1346</v>
      </c>
      <c r="N919">
        <v>1009</v>
      </c>
      <c r="O919" t="s">
        <v>104</v>
      </c>
      <c r="P919" t="s">
        <v>104</v>
      </c>
      <c r="Q919">
        <v>1</v>
      </c>
      <c r="X919">
        <v>10</v>
      </c>
      <c r="Y919">
        <v>1.61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 t="s">
        <v>3</v>
      </c>
      <c r="AG919">
        <v>10</v>
      </c>
      <c r="AH919">
        <v>3</v>
      </c>
      <c r="AI919">
        <v>-1</v>
      </c>
      <c r="AJ919" t="s">
        <v>3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</row>
    <row r="920" spans="1:44" x14ac:dyDescent="0.2">
      <c r="A920">
        <f>ROW(Source!A164)</f>
        <v>164</v>
      </c>
      <c r="B920">
        <v>56617102</v>
      </c>
      <c r="C920">
        <v>56617097</v>
      </c>
      <c r="D920">
        <v>46724002</v>
      </c>
      <c r="E920">
        <v>1</v>
      </c>
      <c r="F920">
        <v>1</v>
      </c>
      <c r="G920">
        <v>27786564</v>
      </c>
      <c r="H920">
        <v>3</v>
      </c>
      <c r="I920" t="s">
        <v>568</v>
      </c>
      <c r="J920" t="s">
        <v>569</v>
      </c>
      <c r="K920" t="s">
        <v>570</v>
      </c>
      <c r="L920">
        <v>1327</v>
      </c>
      <c r="N920">
        <v>1005</v>
      </c>
      <c r="O920" t="s">
        <v>483</v>
      </c>
      <c r="P920" t="s">
        <v>483</v>
      </c>
      <c r="Q920">
        <v>1</v>
      </c>
      <c r="X920">
        <v>1</v>
      </c>
      <c r="Y920">
        <v>127.33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 t="s">
        <v>3</v>
      </c>
      <c r="AG920">
        <v>1</v>
      </c>
      <c r="AH920">
        <v>3</v>
      </c>
      <c r="AI920">
        <v>-1</v>
      </c>
      <c r="AJ920" t="s">
        <v>3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 x14ac:dyDescent="0.2">
      <c r="A921">
        <f>ROW(Source!A164)</f>
        <v>164</v>
      </c>
      <c r="B921">
        <v>56617103</v>
      </c>
      <c r="C921">
        <v>56617097</v>
      </c>
      <c r="D921">
        <v>37620224</v>
      </c>
      <c r="E921">
        <v>1</v>
      </c>
      <c r="F921">
        <v>1</v>
      </c>
      <c r="G921">
        <v>27786564</v>
      </c>
      <c r="H921">
        <v>3</v>
      </c>
      <c r="I921" t="s">
        <v>521</v>
      </c>
      <c r="J921" t="s">
        <v>522</v>
      </c>
      <c r="K921" t="s">
        <v>523</v>
      </c>
      <c r="L921">
        <v>1346</v>
      </c>
      <c r="N921">
        <v>1009</v>
      </c>
      <c r="O921" t="s">
        <v>104</v>
      </c>
      <c r="P921" t="s">
        <v>104</v>
      </c>
      <c r="Q921">
        <v>1</v>
      </c>
      <c r="X921">
        <v>30.6</v>
      </c>
      <c r="Y921">
        <v>6.27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 t="s">
        <v>3</v>
      </c>
      <c r="AG921">
        <v>30.6</v>
      </c>
      <c r="AH921">
        <v>3</v>
      </c>
      <c r="AI921">
        <v>-1</v>
      </c>
      <c r="AJ921" t="s">
        <v>3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</row>
    <row r="922" spans="1:44" x14ac:dyDescent="0.2">
      <c r="A922">
        <f>ROW(Source!A164)</f>
        <v>164</v>
      </c>
      <c r="B922">
        <v>56617104</v>
      </c>
      <c r="C922">
        <v>56617097</v>
      </c>
      <c r="D922">
        <v>30394098</v>
      </c>
      <c r="E922">
        <v>1</v>
      </c>
      <c r="F922">
        <v>1</v>
      </c>
      <c r="G922">
        <v>27786564</v>
      </c>
      <c r="H922">
        <v>3</v>
      </c>
      <c r="I922" t="s">
        <v>571</v>
      </c>
      <c r="J922" t="s">
        <v>572</v>
      </c>
      <c r="K922" t="s">
        <v>573</v>
      </c>
      <c r="L922">
        <v>1296</v>
      </c>
      <c r="N922">
        <v>1013</v>
      </c>
      <c r="O922" t="s">
        <v>574</v>
      </c>
      <c r="P922" t="s">
        <v>574</v>
      </c>
      <c r="Q922">
        <v>1</v>
      </c>
      <c r="X922">
        <v>5</v>
      </c>
      <c r="Y922">
        <v>16.260000000000002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 t="s">
        <v>3</v>
      </c>
      <c r="AG922">
        <v>5</v>
      </c>
      <c r="AH922">
        <v>3</v>
      </c>
      <c r="AI922">
        <v>-1</v>
      </c>
      <c r="AJ922" t="s">
        <v>3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 x14ac:dyDescent="0.2">
      <c r="A923">
        <f>ROW(Source!A164)</f>
        <v>164</v>
      </c>
      <c r="B923">
        <v>56617105</v>
      </c>
      <c r="C923">
        <v>56617097</v>
      </c>
      <c r="D923">
        <v>46735801</v>
      </c>
      <c r="E923">
        <v>1</v>
      </c>
      <c r="F923">
        <v>1</v>
      </c>
      <c r="G923">
        <v>27786564</v>
      </c>
      <c r="H923">
        <v>3</v>
      </c>
      <c r="I923" t="s">
        <v>575</v>
      </c>
      <c r="J923" t="s">
        <v>576</v>
      </c>
      <c r="K923" t="s">
        <v>577</v>
      </c>
      <c r="L923">
        <v>1355</v>
      </c>
      <c r="N923">
        <v>1010</v>
      </c>
      <c r="O923" t="s">
        <v>578</v>
      </c>
      <c r="P923" t="s">
        <v>578</v>
      </c>
      <c r="Q923">
        <v>100</v>
      </c>
      <c r="X923">
        <v>2</v>
      </c>
      <c r="Y923">
        <v>59.47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0</v>
      </c>
      <c r="AF923" t="s">
        <v>3</v>
      </c>
      <c r="AG923">
        <v>2</v>
      </c>
      <c r="AH923">
        <v>3</v>
      </c>
      <c r="AI923">
        <v>-1</v>
      </c>
      <c r="AJ923" t="s">
        <v>3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 x14ac:dyDescent="0.2">
      <c r="A924">
        <f>ROW(Source!A164)</f>
        <v>164</v>
      </c>
      <c r="B924">
        <v>56617106</v>
      </c>
      <c r="C924">
        <v>56617097</v>
      </c>
      <c r="D924">
        <v>30382931</v>
      </c>
      <c r="E924">
        <v>27786564</v>
      </c>
      <c r="F924">
        <v>1</v>
      </c>
      <c r="G924">
        <v>27786564</v>
      </c>
      <c r="H924">
        <v>3</v>
      </c>
      <c r="I924" t="s">
        <v>579</v>
      </c>
      <c r="J924" t="s">
        <v>3</v>
      </c>
      <c r="K924" t="s">
        <v>580</v>
      </c>
      <c r="L924">
        <v>1391</v>
      </c>
      <c r="N924">
        <v>1013</v>
      </c>
      <c r="O924" t="s">
        <v>290</v>
      </c>
      <c r="P924" t="s">
        <v>290</v>
      </c>
      <c r="Q924">
        <v>1</v>
      </c>
      <c r="X924">
        <v>100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 t="s">
        <v>3</v>
      </c>
      <c r="AG924">
        <v>100</v>
      </c>
      <c r="AH924">
        <v>3</v>
      </c>
      <c r="AI924">
        <v>-1</v>
      </c>
      <c r="AJ924" t="s">
        <v>3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</row>
    <row r="925" spans="1:44" x14ac:dyDescent="0.2">
      <c r="A925">
        <f>ROW(Source!A165)</f>
        <v>165</v>
      </c>
      <c r="B925">
        <v>56617108</v>
      </c>
      <c r="C925">
        <v>56617107</v>
      </c>
      <c r="D925">
        <v>47634407</v>
      </c>
      <c r="E925">
        <v>27786564</v>
      </c>
      <c r="F925">
        <v>1</v>
      </c>
      <c r="G925">
        <v>27786564</v>
      </c>
      <c r="H925">
        <v>1</v>
      </c>
      <c r="I925" t="s">
        <v>439</v>
      </c>
      <c r="J925" t="s">
        <v>3</v>
      </c>
      <c r="K925" t="s">
        <v>440</v>
      </c>
      <c r="L925">
        <v>1191</v>
      </c>
      <c r="N925">
        <v>1013</v>
      </c>
      <c r="O925" t="s">
        <v>441</v>
      </c>
      <c r="P925" t="s">
        <v>441</v>
      </c>
      <c r="Q925">
        <v>1</v>
      </c>
      <c r="X925">
        <v>155.88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1</v>
      </c>
      <c r="AF925" t="s">
        <v>22</v>
      </c>
      <c r="AG925">
        <v>171.46800000000002</v>
      </c>
      <c r="AH925">
        <v>3</v>
      </c>
      <c r="AI925">
        <v>-1</v>
      </c>
      <c r="AJ925" t="s">
        <v>3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 x14ac:dyDescent="0.2">
      <c r="A926">
        <f>ROW(Source!A165)</f>
        <v>165</v>
      </c>
      <c r="B926">
        <v>56617109</v>
      </c>
      <c r="C926">
        <v>56617107</v>
      </c>
      <c r="D926">
        <v>30415180</v>
      </c>
      <c r="E926">
        <v>1</v>
      </c>
      <c r="F926">
        <v>1</v>
      </c>
      <c r="G926">
        <v>27786564</v>
      </c>
      <c r="H926">
        <v>2</v>
      </c>
      <c r="I926" t="s">
        <v>565</v>
      </c>
      <c r="J926" t="s">
        <v>566</v>
      </c>
      <c r="K926" t="s">
        <v>567</v>
      </c>
      <c r="L926">
        <v>1367</v>
      </c>
      <c r="N926">
        <v>1011</v>
      </c>
      <c r="O926" t="s">
        <v>479</v>
      </c>
      <c r="P926" t="s">
        <v>479</v>
      </c>
      <c r="Q926">
        <v>1</v>
      </c>
      <c r="X926">
        <v>19.72</v>
      </c>
      <c r="Y926">
        <v>0</v>
      </c>
      <c r="Z926">
        <v>36.08</v>
      </c>
      <c r="AA926">
        <v>3.1</v>
      </c>
      <c r="AB926">
        <v>0</v>
      </c>
      <c r="AC926">
        <v>0</v>
      </c>
      <c r="AD926">
        <v>1</v>
      </c>
      <c r="AE926">
        <v>0</v>
      </c>
      <c r="AF926" t="s">
        <v>22</v>
      </c>
      <c r="AG926">
        <v>21.692</v>
      </c>
      <c r="AH926">
        <v>3</v>
      </c>
      <c r="AI926">
        <v>-1</v>
      </c>
      <c r="AJ926" t="s">
        <v>3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</row>
    <row r="927" spans="1:44" x14ac:dyDescent="0.2">
      <c r="A927">
        <f>ROW(Source!A165)</f>
        <v>165</v>
      </c>
      <c r="B927">
        <v>56617110</v>
      </c>
      <c r="C927">
        <v>56617107</v>
      </c>
      <c r="D927">
        <v>47767106</v>
      </c>
      <c r="E927">
        <v>1</v>
      </c>
      <c r="F927">
        <v>1</v>
      </c>
      <c r="G927">
        <v>27786564</v>
      </c>
      <c r="H927">
        <v>2</v>
      </c>
      <c r="I927" t="s">
        <v>487</v>
      </c>
      <c r="J927" t="s">
        <v>488</v>
      </c>
      <c r="K927" t="s">
        <v>489</v>
      </c>
      <c r="L927">
        <v>1368</v>
      </c>
      <c r="N927">
        <v>1011</v>
      </c>
      <c r="O927" t="s">
        <v>445</v>
      </c>
      <c r="P927" t="s">
        <v>445</v>
      </c>
      <c r="Q927">
        <v>1</v>
      </c>
      <c r="X927">
        <v>0.05</v>
      </c>
      <c r="Y927">
        <v>0</v>
      </c>
      <c r="Z927">
        <v>83.1</v>
      </c>
      <c r="AA927">
        <v>12.62</v>
      </c>
      <c r="AB927">
        <v>0</v>
      </c>
      <c r="AC927">
        <v>0</v>
      </c>
      <c r="AD927">
        <v>1</v>
      </c>
      <c r="AE927">
        <v>0</v>
      </c>
      <c r="AF927" t="s">
        <v>22</v>
      </c>
      <c r="AG927">
        <v>5.5000000000000007E-2</v>
      </c>
      <c r="AH927">
        <v>3</v>
      </c>
      <c r="AI927">
        <v>-1</v>
      </c>
      <c r="AJ927" t="s">
        <v>3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 x14ac:dyDescent="0.2">
      <c r="A928">
        <f>ROW(Source!A165)</f>
        <v>165</v>
      </c>
      <c r="B928">
        <v>56617111</v>
      </c>
      <c r="C928">
        <v>56617107</v>
      </c>
      <c r="D928">
        <v>30390462</v>
      </c>
      <c r="E928">
        <v>1</v>
      </c>
      <c r="F928">
        <v>1</v>
      </c>
      <c r="G928">
        <v>27786564</v>
      </c>
      <c r="H928">
        <v>3</v>
      </c>
      <c r="I928" t="s">
        <v>534</v>
      </c>
      <c r="J928" t="s">
        <v>535</v>
      </c>
      <c r="K928" t="s">
        <v>536</v>
      </c>
      <c r="L928">
        <v>1346</v>
      </c>
      <c r="N928">
        <v>1009</v>
      </c>
      <c r="O928" t="s">
        <v>104</v>
      </c>
      <c r="P928" t="s">
        <v>104</v>
      </c>
      <c r="Q928">
        <v>1</v>
      </c>
      <c r="X928">
        <v>10</v>
      </c>
      <c r="Y928">
        <v>1.61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0</v>
      </c>
      <c r="AF928" t="s">
        <v>3</v>
      </c>
      <c r="AG928">
        <v>10</v>
      </c>
      <c r="AH928">
        <v>3</v>
      </c>
      <c r="AI928">
        <v>-1</v>
      </c>
      <c r="AJ928" t="s">
        <v>3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 x14ac:dyDescent="0.2">
      <c r="A929">
        <f>ROW(Source!A165)</f>
        <v>165</v>
      </c>
      <c r="B929">
        <v>56617112</v>
      </c>
      <c r="C929">
        <v>56617107</v>
      </c>
      <c r="D929">
        <v>46724002</v>
      </c>
      <c r="E929">
        <v>1</v>
      </c>
      <c r="F929">
        <v>1</v>
      </c>
      <c r="G929">
        <v>27786564</v>
      </c>
      <c r="H929">
        <v>3</v>
      </c>
      <c r="I929" t="s">
        <v>568</v>
      </c>
      <c r="J929" t="s">
        <v>569</v>
      </c>
      <c r="K929" t="s">
        <v>570</v>
      </c>
      <c r="L929">
        <v>1327</v>
      </c>
      <c r="N929">
        <v>1005</v>
      </c>
      <c r="O929" t="s">
        <v>483</v>
      </c>
      <c r="P929" t="s">
        <v>483</v>
      </c>
      <c r="Q929">
        <v>1</v>
      </c>
      <c r="X929">
        <v>1</v>
      </c>
      <c r="Y929">
        <v>127.33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 t="s">
        <v>3</v>
      </c>
      <c r="AG929">
        <v>1</v>
      </c>
      <c r="AH929">
        <v>3</v>
      </c>
      <c r="AI929">
        <v>-1</v>
      </c>
      <c r="AJ929" t="s">
        <v>3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</row>
    <row r="930" spans="1:44" x14ac:dyDescent="0.2">
      <c r="A930">
        <f>ROW(Source!A165)</f>
        <v>165</v>
      </c>
      <c r="B930">
        <v>56617113</v>
      </c>
      <c r="C930">
        <v>56617107</v>
      </c>
      <c r="D930">
        <v>37620224</v>
      </c>
      <c r="E930">
        <v>1</v>
      </c>
      <c r="F930">
        <v>1</v>
      </c>
      <c r="G930">
        <v>27786564</v>
      </c>
      <c r="H930">
        <v>3</v>
      </c>
      <c r="I930" t="s">
        <v>521</v>
      </c>
      <c r="J930" t="s">
        <v>522</v>
      </c>
      <c r="K930" t="s">
        <v>523</v>
      </c>
      <c r="L930">
        <v>1346</v>
      </c>
      <c r="N930">
        <v>1009</v>
      </c>
      <c r="O930" t="s">
        <v>104</v>
      </c>
      <c r="P930" t="s">
        <v>104</v>
      </c>
      <c r="Q930">
        <v>1</v>
      </c>
      <c r="X930">
        <v>30.6</v>
      </c>
      <c r="Y930">
        <v>6.27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  <c r="AF930" t="s">
        <v>3</v>
      </c>
      <c r="AG930">
        <v>30.6</v>
      </c>
      <c r="AH930">
        <v>3</v>
      </c>
      <c r="AI930">
        <v>-1</v>
      </c>
      <c r="AJ930" t="s">
        <v>3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 x14ac:dyDescent="0.2">
      <c r="A931">
        <f>ROW(Source!A165)</f>
        <v>165</v>
      </c>
      <c r="B931">
        <v>56617114</v>
      </c>
      <c r="C931">
        <v>56617107</v>
      </c>
      <c r="D931">
        <v>30394098</v>
      </c>
      <c r="E931">
        <v>1</v>
      </c>
      <c r="F931">
        <v>1</v>
      </c>
      <c r="G931">
        <v>27786564</v>
      </c>
      <c r="H931">
        <v>3</v>
      </c>
      <c r="I931" t="s">
        <v>571</v>
      </c>
      <c r="J931" t="s">
        <v>572</v>
      </c>
      <c r="K931" t="s">
        <v>573</v>
      </c>
      <c r="L931">
        <v>1296</v>
      </c>
      <c r="N931">
        <v>1013</v>
      </c>
      <c r="O931" t="s">
        <v>574</v>
      </c>
      <c r="P931" t="s">
        <v>574</v>
      </c>
      <c r="Q931">
        <v>1</v>
      </c>
      <c r="X931">
        <v>5</v>
      </c>
      <c r="Y931">
        <v>16.260000000000002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 t="s">
        <v>3</v>
      </c>
      <c r="AG931">
        <v>5</v>
      </c>
      <c r="AH931">
        <v>3</v>
      </c>
      <c r="AI931">
        <v>-1</v>
      </c>
      <c r="AJ931" t="s">
        <v>3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</row>
    <row r="932" spans="1:44" x14ac:dyDescent="0.2">
      <c r="A932">
        <f>ROW(Source!A165)</f>
        <v>165</v>
      </c>
      <c r="B932">
        <v>56617115</v>
      </c>
      <c r="C932">
        <v>56617107</v>
      </c>
      <c r="D932">
        <v>46735801</v>
      </c>
      <c r="E932">
        <v>1</v>
      </c>
      <c r="F932">
        <v>1</v>
      </c>
      <c r="G932">
        <v>27786564</v>
      </c>
      <c r="H932">
        <v>3</v>
      </c>
      <c r="I932" t="s">
        <v>575</v>
      </c>
      <c r="J932" t="s">
        <v>576</v>
      </c>
      <c r="K932" t="s">
        <v>577</v>
      </c>
      <c r="L932">
        <v>1355</v>
      </c>
      <c r="N932">
        <v>1010</v>
      </c>
      <c r="O932" t="s">
        <v>578</v>
      </c>
      <c r="P932" t="s">
        <v>578</v>
      </c>
      <c r="Q932">
        <v>100</v>
      </c>
      <c r="X932">
        <v>2</v>
      </c>
      <c r="Y932">
        <v>59.47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0</v>
      </c>
      <c r="AF932" t="s">
        <v>3</v>
      </c>
      <c r="AG932">
        <v>2</v>
      </c>
      <c r="AH932">
        <v>3</v>
      </c>
      <c r="AI932">
        <v>-1</v>
      </c>
      <c r="AJ932" t="s">
        <v>3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 x14ac:dyDescent="0.2">
      <c r="A933">
        <f>ROW(Source!A165)</f>
        <v>165</v>
      </c>
      <c r="B933">
        <v>56617116</v>
      </c>
      <c r="C933">
        <v>56617107</v>
      </c>
      <c r="D933">
        <v>30382931</v>
      </c>
      <c r="E933">
        <v>27786564</v>
      </c>
      <c r="F933">
        <v>1</v>
      </c>
      <c r="G933">
        <v>27786564</v>
      </c>
      <c r="H933">
        <v>3</v>
      </c>
      <c r="I933" t="s">
        <v>579</v>
      </c>
      <c r="J933" t="s">
        <v>3</v>
      </c>
      <c r="K933" t="s">
        <v>580</v>
      </c>
      <c r="L933">
        <v>1391</v>
      </c>
      <c r="N933">
        <v>1013</v>
      </c>
      <c r="O933" t="s">
        <v>290</v>
      </c>
      <c r="P933" t="s">
        <v>290</v>
      </c>
      <c r="Q933">
        <v>1</v>
      </c>
      <c r="X933">
        <v>100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 t="s">
        <v>3</v>
      </c>
      <c r="AG933">
        <v>100</v>
      </c>
      <c r="AH933">
        <v>3</v>
      </c>
      <c r="AI933">
        <v>-1</v>
      </c>
      <c r="AJ933" t="s">
        <v>3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 x14ac:dyDescent="0.2">
      <c r="A934">
        <f>ROW(Source!A166)</f>
        <v>166</v>
      </c>
      <c r="B934">
        <v>56617108</v>
      </c>
      <c r="C934">
        <v>56617107</v>
      </c>
      <c r="D934">
        <v>47634407</v>
      </c>
      <c r="E934">
        <v>27786564</v>
      </c>
      <c r="F934">
        <v>1</v>
      </c>
      <c r="G934">
        <v>27786564</v>
      </c>
      <c r="H934">
        <v>1</v>
      </c>
      <c r="I934" t="s">
        <v>439</v>
      </c>
      <c r="J934" t="s">
        <v>3</v>
      </c>
      <c r="K934" t="s">
        <v>440</v>
      </c>
      <c r="L934">
        <v>1191</v>
      </c>
      <c r="N934">
        <v>1013</v>
      </c>
      <c r="O934" t="s">
        <v>441</v>
      </c>
      <c r="P934" t="s">
        <v>441</v>
      </c>
      <c r="Q934">
        <v>1</v>
      </c>
      <c r="X934">
        <v>155.88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1</v>
      </c>
      <c r="AF934" t="s">
        <v>22</v>
      </c>
      <c r="AG934">
        <v>171.46800000000002</v>
      </c>
      <c r="AH934">
        <v>3</v>
      </c>
      <c r="AI934">
        <v>-1</v>
      </c>
      <c r="AJ934" t="s">
        <v>3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</row>
    <row r="935" spans="1:44" x14ac:dyDescent="0.2">
      <c r="A935">
        <f>ROW(Source!A166)</f>
        <v>166</v>
      </c>
      <c r="B935">
        <v>56617109</v>
      </c>
      <c r="C935">
        <v>56617107</v>
      </c>
      <c r="D935">
        <v>30415180</v>
      </c>
      <c r="E935">
        <v>1</v>
      </c>
      <c r="F935">
        <v>1</v>
      </c>
      <c r="G935">
        <v>27786564</v>
      </c>
      <c r="H935">
        <v>2</v>
      </c>
      <c r="I935" t="s">
        <v>565</v>
      </c>
      <c r="J935" t="s">
        <v>566</v>
      </c>
      <c r="K935" t="s">
        <v>567</v>
      </c>
      <c r="L935">
        <v>1367</v>
      </c>
      <c r="N935">
        <v>1011</v>
      </c>
      <c r="O935" t="s">
        <v>479</v>
      </c>
      <c r="P935" t="s">
        <v>479</v>
      </c>
      <c r="Q935">
        <v>1</v>
      </c>
      <c r="X935">
        <v>19.72</v>
      </c>
      <c r="Y935">
        <v>0</v>
      </c>
      <c r="Z935">
        <v>36.08</v>
      </c>
      <c r="AA935">
        <v>3.1</v>
      </c>
      <c r="AB935">
        <v>0</v>
      </c>
      <c r="AC935">
        <v>0</v>
      </c>
      <c r="AD935">
        <v>1</v>
      </c>
      <c r="AE935">
        <v>0</v>
      </c>
      <c r="AF935" t="s">
        <v>22</v>
      </c>
      <c r="AG935">
        <v>21.692</v>
      </c>
      <c r="AH935">
        <v>3</v>
      </c>
      <c r="AI935">
        <v>-1</v>
      </c>
      <c r="AJ935" t="s">
        <v>3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</row>
    <row r="936" spans="1:44" x14ac:dyDescent="0.2">
      <c r="A936">
        <f>ROW(Source!A166)</f>
        <v>166</v>
      </c>
      <c r="B936">
        <v>56617110</v>
      </c>
      <c r="C936">
        <v>56617107</v>
      </c>
      <c r="D936">
        <v>47767106</v>
      </c>
      <c r="E936">
        <v>1</v>
      </c>
      <c r="F936">
        <v>1</v>
      </c>
      <c r="G936">
        <v>27786564</v>
      </c>
      <c r="H936">
        <v>2</v>
      </c>
      <c r="I936" t="s">
        <v>487</v>
      </c>
      <c r="J936" t="s">
        <v>488</v>
      </c>
      <c r="K936" t="s">
        <v>489</v>
      </c>
      <c r="L936">
        <v>1368</v>
      </c>
      <c r="N936">
        <v>1011</v>
      </c>
      <c r="O936" t="s">
        <v>445</v>
      </c>
      <c r="P936" t="s">
        <v>445</v>
      </c>
      <c r="Q936">
        <v>1</v>
      </c>
      <c r="X936">
        <v>0.05</v>
      </c>
      <c r="Y936">
        <v>0</v>
      </c>
      <c r="Z936">
        <v>83.1</v>
      </c>
      <c r="AA936">
        <v>12.62</v>
      </c>
      <c r="AB936">
        <v>0</v>
      </c>
      <c r="AC936">
        <v>0</v>
      </c>
      <c r="AD936">
        <v>1</v>
      </c>
      <c r="AE936">
        <v>0</v>
      </c>
      <c r="AF936" t="s">
        <v>22</v>
      </c>
      <c r="AG936">
        <v>5.5000000000000007E-2</v>
      </c>
      <c r="AH936">
        <v>3</v>
      </c>
      <c r="AI936">
        <v>-1</v>
      </c>
      <c r="AJ936" t="s">
        <v>3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</row>
    <row r="937" spans="1:44" x14ac:dyDescent="0.2">
      <c r="A937">
        <f>ROW(Source!A166)</f>
        <v>166</v>
      </c>
      <c r="B937">
        <v>56617111</v>
      </c>
      <c r="C937">
        <v>56617107</v>
      </c>
      <c r="D937">
        <v>30390462</v>
      </c>
      <c r="E937">
        <v>1</v>
      </c>
      <c r="F937">
        <v>1</v>
      </c>
      <c r="G937">
        <v>27786564</v>
      </c>
      <c r="H937">
        <v>3</v>
      </c>
      <c r="I937" t="s">
        <v>534</v>
      </c>
      <c r="J937" t="s">
        <v>535</v>
      </c>
      <c r="K937" t="s">
        <v>536</v>
      </c>
      <c r="L937">
        <v>1346</v>
      </c>
      <c r="N937">
        <v>1009</v>
      </c>
      <c r="O937" t="s">
        <v>104</v>
      </c>
      <c r="P937" t="s">
        <v>104</v>
      </c>
      <c r="Q937">
        <v>1</v>
      </c>
      <c r="X937">
        <v>10</v>
      </c>
      <c r="Y937">
        <v>1.61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 t="s">
        <v>3</v>
      </c>
      <c r="AG937">
        <v>10</v>
      </c>
      <c r="AH937">
        <v>3</v>
      </c>
      <c r="AI937">
        <v>-1</v>
      </c>
      <c r="AJ937" t="s">
        <v>3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</row>
    <row r="938" spans="1:44" x14ac:dyDescent="0.2">
      <c r="A938">
        <f>ROW(Source!A166)</f>
        <v>166</v>
      </c>
      <c r="B938">
        <v>56617112</v>
      </c>
      <c r="C938">
        <v>56617107</v>
      </c>
      <c r="D938">
        <v>46724002</v>
      </c>
      <c r="E938">
        <v>1</v>
      </c>
      <c r="F938">
        <v>1</v>
      </c>
      <c r="G938">
        <v>27786564</v>
      </c>
      <c r="H938">
        <v>3</v>
      </c>
      <c r="I938" t="s">
        <v>568</v>
      </c>
      <c r="J938" t="s">
        <v>569</v>
      </c>
      <c r="K938" t="s">
        <v>570</v>
      </c>
      <c r="L938">
        <v>1327</v>
      </c>
      <c r="N938">
        <v>1005</v>
      </c>
      <c r="O938" t="s">
        <v>483</v>
      </c>
      <c r="P938" t="s">
        <v>483</v>
      </c>
      <c r="Q938">
        <v>1</v>
      </c>
      <c r="X938">
        <v>1</v>
      </c>
      <c r="Y938">
        <v>127.33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0</v>
      </c>
      <c r="AF938" t="s">
        <v>3</v>
      </c>
      <c r="AG938">
        <v>1</v>
      </c>
      <c r="AH938">
        <v>3</v>
      </c>
      <c r="AI938">
        <v>-1</v>
      </c>
      <c r="AJ938" t="s">
        <v>3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</row>
    <row r="939" spans="1:44" x14ac:dyDescent="0.2">
      <c r="A939">
        <f>ROW(Source!A166)</f>
        <v>166</v>
      </c>
      <c r="B939">
        <v>56617113</v>
      </c>
      <c r="C939">
        <v>56617107</v>
      </c>
      <c r="D939">
        <v>37620224</v>
      </c>
      <c r="E939">
        <v>1</v>
      </c>
      <c r="F939">
        <v>1</v>
      </c>
      <c r="G939">
        <v>27786564</v>
      </c>
      <c r="H939">
        <v>3</v>
      </c>
      <c r="I939" t="s">
        <v>521</v>
      </c>
      <c r="J939" t="s">
        <v>522</v>
      </c>
      <c r="K939" t="s">
        <v>523</v>
      </c>
      <c r="L939">
        <v>1346</v>
      </c>
      <c r="N939">
        <v>1009</v>
      </c>
      <c r="O939" t="s">
        <v>104</v>
      </c>
      <c r="P939" t="s">
        <v>104</v>
      </c>
      <c r="Q939">
        <v>1</v>
      </c>
      <c r="X939">
        <v>30.6</v>
      </c>
      <c r="Y939">
        <v>6.27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0</v>
      </c>
      <c r="AF939" t="s">
        <v>3</v>
      </c>
      <c r="AG939">
        <v>30.6</v>
      </c>
      <c r="AH939">
        <v>3</v>
      </c>
      <c r="AI939">
        <v>-1</v>
      </c>
      <c r="AJ939" t="s">
        <v>3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</row>
    <row r="940" spans="1:44" x14ac:dyDescent="0.2">
      <c r="A940">
        <f>ROW(Source!A166)</f>
        <v>166</v>
      </c>
      <c r="B940">
        <v>56617114</v>
      </c>
      <c r="C940">
        <v>56617107</v>
      </c>
      <c r="D940">
        <v>30394098</v>
      </c>
      <c r="E940">
        <v>1</v>
      </c>
      <c r="F940">
        <v>1</v>
      </c>
      <c r="G940">
        <v>27786564</v>
      </c>
      <c r="H940">
        <v>3</v>
      </c>
      <c r="I940" t="s">
        <v>571</v>
      </c>
      <c r="J940" t="s">
        <v>572</v>
      </c>
      <c r="K940" t="s">
        <v>573</v>
      </c>
      <c r="L940">
        <v>1296</v>
      </c>
      <c r="N940">
        <v>1013</v>
      </c>
      <c r="O940" t="s">
        <v>574</v>
      </c>
      <c r="P940" t="s">
        <v>574</v>
      </c>
      <c r="Q940">
        <v>1</v>
      </c>
      <c r="X940">
        <v>5</v>
      </c>
      <c r="Y940">
        <v>16.260000000000002</v>
      </c>
      <c r="Z940">
        <v>0</v>
      </c>
      <c r="AA940">
        <v>0</v>
      </c>
      <c r="AB940">
        <v>0</v>
      </c>
      <c r="AC940">
        <v>0</v>
      </c>
      <c r="AD940">
        <v>1</v>
      </c>
      <c r="AE940">
        <v>0</v>
      </c>
      <c r="AF940" t="s">
        <v>3</v>
      </c>
      <c r="AG940">
        <v>5</v>
      </c>
      <c r="AH940">
        <v>3</v>
      </c>
      <c r="AI940">
        <v>-1</v>
      </c>
      <c r="AJ940" t="s">
        <v>3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</row>
    <row r="941" spans="1:44" x14ac:dyDescent="0.2">
      <c r="A941">
        <f>ROW(Source!A166)</f>
        <v>166</v>
      </c>
      <c r="B941">
        <v>56617115</v>
      </c>
      <c r="C941">
        <v>56617107</v>
      </c>
      <c r="D941">
        <v>46735801</v>
      </c>
      <c r="E941">
        <v>1</v>
      </c>
      <c r="F941">
        <v>1</v>
      </c>
      <c r="G941">
        <v>27786564</v>
      </c>
      <c r="H941">
        <v>3</v>
      </c>
      <c r="I941" t="s">
        <v>575</v>
      </c>
      <c r="J941" t="s">
        <v>576</v>
      </c>
      <c r="K941" t="s">
        <v>577</v>
      </c>
      <c r="L941">
        <v>1355</v>
      </c>
      <c r="N941">
        <v>1010</v>
      </c>
      <c r="O941" t="s">
        <v>578</v>
      </c>
      <c r="P941" t="s">
        <v>578</v>
      </c>
      <c r="Q941">
        <v>100</v>
      </c>
      <c r="X941">
        <v>2</v>
      </c>
      <c r="Y941">
        <v>59.47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0</v>
      </c>
      <c r="AF941" t="s">
        <v>3</v>
      </c>
      <c r="AG941">
        <v>2</v>
      </c>
      <c r="AH941">
        <v>3</v>
      </c>
      <c r="AI941">
        <v>-1</v>
      </c>
      <c r="AJ941" t="s">
        <v>3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</row>
    <row r="942" spans="1:44" x14ac:dyDescent="0.2">
      <c r="A942">
        <f>ROW(Source!A166)</f>
        <v>166</v>
      </c>
      <c r="B942">
        <v>56617116</v>
      </c>
      <c r="C942">
        <v>56617107</v>
      </c>
      <c r="D942">
        <v>30382931</v>
      </c>
      <c r="E942">
        <v>27786564</v>
      </c>
      <c r="F942">
        <v>1</v>
      </c>
      <c r="G942">
        <v>27786564</v>
      </c>
      <c r="H942">
        <v>3</v>
      </c>
      <c r="I942" t="s">
        <v>579</v>
      </c>
      <c r="J942" t="s">
        <v>3</v>
      </c>
      <c r="K942" t="s">
        <v>580</v>
      </c>
      <c r="L942">
        <v>1391</v>
      </c>
      <c r="N942">
        <v>1013</v>
      </c>
      <c r="O942" t="s">
        <v>290</v>
      </c>
      <c r="P942" t="s">
        <v>290</v>
      </c>
      <c r="Q942">
        <v>1</v>
      </c>
      <c r="X942">
        <v>100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 t="s">
        <v>3</v>
      </c>
      <c r="AG942">
        <v>100</v>
      </c>
      <c r="AH942">
        <v>3</v>
      </c>
      <c r="AI942">
        <v>-1</v>
      </c>
      <c r="AJ942" t="s">
        <v>3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</row>
    <row r="943" spans="1:44" x14ac:dyDescent="0.2">
      <c r="A943">
        <f>ROW(Source!A167)</f>
        <v>167</v>
      </c>
      <c r="B943">
        <v>56617118</v>
      </c>
      <c r="C943">
        <v>56617117</v>
      </c>
      <c r="D943">
        <v>27731869</v>
      </c>
      <c r="E943">
        <v>27731863</v>
      </c>
      <c r="F943">
        <v>1</v>
      </c>
      <c r="G943">
        <v>27786564</v>
      </c>
      <c r="H943">
        <v>1</v>
      </c>
      <c r="I943" t="s">
        <v>439</v>
      </c>
      <c r="J943" t="s">
        <v>3</v>
      </c>
      <c r="K943" t="s">
        <v>440</v>
      </c>
      <c r="L943">
        <v>1191</v>
      </c>
      <c r="N943">
        <v>1013</v>
      </c>
      <c r="O943" t="s">
        <v>441</v>
      </c>
      <c r="P943" t="s">
        <v>441</v>
      </c>
      <c r="Q943">
        <v>1</v>
      </c>
      <c r="X943">
        <v>2.78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1</v>
      </c>
      <c r="AF943" t="s">
        <v>22</v>
      </c>
      <c r="AG943">
        <v>3.0579999999999998</v>
      </c>
      <c r="AH943">
        <v>3</v>
      </c>
      <c r="AI943">
        <v>-1</v>
      </c>
      <c r="AJ943" t="s">
        <v>3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</row>
    <row r="944" spans="1:44" x14ac:dyDescent="0.2">
      <c r="A944">
        <f>ROW(Source!A167)</f>
        <v>167</v>
      </c>
      <c r="B944">
        <v>56617119</v>
      </c>
      <c r="C944">
        <v>56617117</v>
      </c>
      <c r="D944">
        <v>27811501</v>
      </c>
      <c r="E944">
        <v>1</v>
      </c>
      <c r="F944">
        <v>1</v>
      </c>
      <c r="G944">
        <v>27786564</v>
      </c>
      <c r="H944">
        <v>2</v>
      </c>
      <c r="I944" t="s">
        <v>518</v>
      </c>
      <c r="J944" t="s">
        <v>519</v>
      </c>
      <c r="K944" t="s">
        <v>520</v>
      </c>
      <c r="L944">
        <v>1368</v>
      </c>
      <c r="N944">
        <v>1011</v>
      </c>
      <c r="O944" t="s">
        <v>445</v>
      </c>
      <c r="P944" t="s">
        <v>445</v>
      </c>
      <c r="Q944">
        <v>1</v>
      </c>
      <c r="X944">
        <v>0.53</v>
      </c>
      <c r="Y944">
        <v>0</v>
      </c>
      <c r="Z944">
        <v>0.12</v>
      </c>
      <c r="AA944">
        <v>0</v>
      </c>
      <c r="AB944">
        <v>0</v>
      </c>
      <c r="AC944">
        <v>0</v>
      </c>
      <c r="AD944">
        <v>1</v>
      </c>
      <c r="AE944">
        <v>0</v>
      </c>
      <c r="AF944" t="s">
        <v>22</v>
      </c>
      <c r="AG944">
        <v>0.58300000000000007</v>
      </c>
      <c r="AH944">
        <v>3</v>
      </c>
      <c r="AI944">
        <v>-1</v>
      </c>
      <c r="AJ944" t="s">
        <v>3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</row>
    <row r="945" spans="1:44" x14ac:dyDescent="0.2">
      <c r="A945">
        <f>ROW(Source!A167)</f>
        <v>167</v>
      </c>
      <c r="B945">
        <v>56617120</v>
      </c>
      <c r="C945">
        <v>56617117</v>
      </c>
      <c r="D945">
        <v>27811655</v>
      </c>
      <c r="E945">
        <v>1</v>
      </c>
      <c r="F945">
        <v>1</v>
      </c>
      <c r="G945">
        <v>27786564</v>
      </c>
      <c r="H945">
        <v>2</v>
      </c>
      <c r="I945" t="s">
        <v>487</v>
      </c>
      <c r="J945" t="s">
        <v>488</v>
      </c>
      <c r="K945" t="s">
        <v>489</v>
      </c>
      <c r="L945">
        <v>1368</v>
      </c>
      <c r="N945">
        <v>1011</v>
      </c>
      <c r="O945" t="s">
        <v>445</v>
      </c>
      <c r="P945" t="s">
        <v>445</v>
      </c>
      <c r="Q945">
        <v>1</v>
      </c>
      <c r="X945">
        <v>0.01</v>
      </c>
      <c r="Y945">
        <v>0</v>
      </c>
      <c r="Z945">
        <v>83.1</v>
      </c>
      <c r="AA945">
        <v>12.62</v>
      </c>
      <c r="AB945">
        <v>0</v>
      </c>
      <c r="AC945">
        <v>0</v>
      </c>
      <c r="AD945">
        <v>1</v>
      </c>
      <c r="AE945">
        <v>0</v>
      </c>
      <c r="AF945" t="s">
        <v>22</v>
      </c>
      <c r="AG945">
        <v>1.1000000000000001E-2</v>
      </c>
      <c r="AH945">
        <v>3</v>
      </c>
      <c r="AI945">
        <v>-1</v>
      </c>
      <c r="AJ945" t="s">
        <v>3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</row>
    <row r="946" spans="1:44" x14ac:dyDescent="0.2">
      <c r="A946">
        <f>ROW(Source!A167)</f>
        <v>167</v>
      </c>
      <c r="B946">
        <v>56617121</v>
      </c>
      <c r="C946">
        <v>56617117</v>
      </c>
      <c r="D946">
        <v>27788996</v>
      </c>
      <c r="E946">
        <v>1</v>
      </c>
      <c r="F946">
        <v>1</v>
      </c>
      <c r="G946">
        <v>27786564</v>
      </c>
      <c r="H946">
        <v>3</v>
      </c>
      <c r="I946" t="s">
        <v>521</v>
      </c>
      <c r="J946" t="s">
        <v>522</v>
      </c>
      <c r="K946" t="s">
        <v>523</v>
      </c>
      <c r="L946">
        <v>1346</v>
      </c>
      <c r="N946">
        <v>1009</v>
      </c>
      <c r="O946" t="s">
        <v>104</v>
      </c>
      <c r="P946" t="s">
        <v>104</v>
      </c>
      <c r="Q946">
        <v>1</v>
      </c>
      <c r="X946">
        <v>1.6465000000000001</v>
      </c>
      <c r="Y946">
        <v>6.27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 t="s">
        <v>3</v>
      </c>
      <c r="AG946">
        <v>1.6465000000000001</v>
      </c>
      <c r="AH946">
        <v>3</v>
      </c>
      <c r="AI946">
        <v>-1</v>
      </c>
      <c r="AJ946" t="s">
        <v>3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</row>
    <row r="947" spans="1:44" x14ac:dyDescent="0.2">
      <c r="A947">
        <f>ROW(Source!A167)</f>
        <v>167</v>
      </c>
      <c r="B947">
        <v>56617122</v>
      </c>
      <c r="C947">
        <v>56617117</v>
      </c>
      <c r="D947">
        <v>46529254</v>
      </c>
      <c r="E947">
        <v>27731863</v>
      </c>
      <c r="F947">
        <v>1</v>
      </c>
      <c r="G947">
        <v>27786564</v>
      </c>
      <c r="H947">
        <v>3</v>
      </c>
      <c r="I947" t="s">
        <v>581</v>
      </c>
      <c r="J947" t="s">
        <v>3</v>
      </c>
      <c r="K947" t="s">
        <v>582</v>
      </c>
      <c r="L947">
        <v>1391</v>
      </c>
      <c r="N947">
        <v>1013</v>
      </c>
      <c r="O947" t="s">
        <v>290</v>
      </c>
      <c r="P947" t="s">
        <v>290</v>
      </c>
      <c r="Q947">
        <v>1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 t="s">
        <v>3</v>
      </c>
      <c r="AG947">
        <v>1</v>
      </c>
      <c r="AH947">
        <v>3</v>
      </c>
      <c r="AI947">
        <v>-1</v>
      </c>
      <c r="AJ947" t="s">
        <v>3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</row>
    <row r="948" spans="1:44" x14ac:dyDescent="0.2">
      <c r="A948">
        <f>ROW(Source!A168)</f>
        <v>168</v>
      </c>
      <c r="B948">
        <v>56617118</v>
      </c>
      <c r="C948">
        <v>56617117</v>
      </c>
      <c r="D948">
        <v>27731869</v>
      </c>
      <c r="E948">
        <v>27731863</v>
      </c>
      <c r="F948">
        <v>1</v>
      </c>
      <c r="G948">
        <v>27786564</v>
      </c>
      <c r="H948">
        <v>1</v>
      </c>
      <c r="I948" t="s">
        <v>439</v>
      </c>
      <c r="J948" t="s">
        <v>3</v>
      </c>
      <c r="K948" t="s">
        <v>440</v>
      </c>
      <c r="L948">
        <v>1191</v>
      </c>
      <c r="N948">
        <v>1013</v>
      </c>
      <c r="O948" t="s">
        <v>441</v>
      </c>
      <c r="P948" t="s">
        <v>441</v>
      </c>
      <c r="Q948">
        <v>1</v>
      </c>
      <c r="X948">
        <v>2.78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1</v>
      </c>
      <c r="AF948" t="s">
        <v>22</v>
      </c>
      <c r="AG948">
        <v>3.0579999999999998</v>
      </c>
      <c r="AH948">
        <v>3</v>
      </c>
      <c r="AI948">
        <v>-1</v>
      </c>
      <c r="AJ948" t="s">
        <v>3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</row>
    <row r="949" spans="1:44" x14ac:dyDescent="0.2">
      <c r="A949">
        <f>ROW(Source!A168)</f>
        <v>168</v>
      </c>
      <c r="B949">
        <v>56617119</v>
      </c>
      <c r="C949">
        <v>56617117</v>
      </c>
      <c r="D949">
        <v>27811501</v>
      </c>
      <c r="E949">
        <v>1</v>
      </c>
      <c r="F949">
        <v>1</v>
      </c>
      <c r="G949">
        <v>27786564</v>
      </c>
      <c r="H949">
        <v>2</v>
      </c>
      <c r="I949" t="s">
        <v>518</v>
      </c>
      <c r="J949" t="s">
        <v>519</v>
      </c>
      <c r="K949" t="s">
        <v>520</v>
      </c>
      <c r="L949">
        <v>1368</v>
      </c>
      <c r="N949">
        <v>1011</v>
      </c>
      <c r="O949" t="s">
        <v>445</v>
      </c>
      <c r="P949" t="s">
        <v>445</v>
      </c>
      <c r="Q949">
        <v>1</v>
      </c>
      <c r="X949">
        <v>0.53</v>
      </c>
      <c r="Y949">
        <v>0</v>
      </c>
      <c r="Z949">
        <v>0.12</v>
      </c>
      <c r="AA949">
        <v>0</v>
      </c>
      <c r="AB949">
        <v>0</v>
      </c>
      <c r="AC949">
        <v>0</v>
      </c>
      <c r="AD949">
        <v>1</v>
      </c>
      <c r="AE949">
        <v>0</v>
      </c>
      <c r="AF949" t="s">
        <v>22</v>
      </c>
      <c r="AG949">
        <v>0.58300000000000007</v>
      </c>
      <c r="AH949">
        <v>3</v>
      </c>
      <c r="AI949">
        <v>-1</v>
      </c>
      <c r="AJ949" t="s">
        <v>3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</row>
    <row r="950" spans="1:44" x14ac:dyDescent="0.2">
      <c r="A950">
        <f>ROW(Source!A168)</f>
        <v>168</v>
      </c>
      <c r="B950">
        <v>56617120</v>
      </c>
      <c r="C950">
        <v>56617117</v>
      </c>
      <c r="D950">
        <v>27811655</v>
      </c>
      <c r="E950">
        <v>1</v>
      </c>
      <c r="F950">
        <v>1</v>
      </c>
      <c r="G950">
        <v>27786564</v>
      </c>
      <c r="H950">
        <v>2</v>
      </c>
      <c r="I950" t="s">
        <v>487</v>
      </c>
      <c r="J950" t="s">
        <v>488</v>
      </c>
      <c r="K950" t="s">
        <v>489</v>
      </c>
      <c r="L950">
        <v>1368</v>
      </c>
      <c r="N950">
        <v>1011</v>
      </c>
      <c r="O950" t="s">
        <v>445</v>
      </c>
      <c r="P950" t="s">
        <v>445</v>
      </c>
      <c r="Q950">
        <v>1</v>
      </c>
      <c r="X950">
        <v>0.01</v>
      </c>
      <c r="Y950">
        <v>0</v>
      </c>
      <c r="Z950">
        <v>83.1</v>
      </c>
      <c r="AA950">
        <v>12.62</v>
      </c>
      <c r="AB950">
        <v>0</v>
      </c>
      <c r="AC950">
        <v>0</v>
      </c>
      <c r="AD950">
        <v>1</v>
      </c>
      <c r="AE950">
        <v>0</v>
      </c>
      <c r="AF950" t="s">
        <v>22</v>
      </c>
      <c r="AG950">
        <v>1.1000000000000001E-2</v>
      </c>
      <c r="AH950">
        <v>3</v>
      </c>
      <c r="AI950">
        <v>-1</v>
      </c>
      <c r="AJ950" t="s">
        <v>3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</row>
    <row r="951" spans="1:44" x14ac:dyDescent="0.2">
      <c r="A951">
        <f>ROW(Source!A168)</f>
        <v>168</v>
      </c>
      <c r="B951">
        <v>56617121</v>
      </c>
      <c r="C951">
        <v>56617117</v>
      </c>
      <c r="D951">
        <v>27788996</v>
      </c>
      <c r="E951">
        <v>1</v>
      </c>
      <c r="F951">
        <v>1</v>
      </c>
      <c r="G951">
        <v>27786564</v>
      </c>
      <c r="H951">
        <v>3</v>
      </c>
      <c r="I951" t="s">
        <v>521</v>
      </c>
      <c r="J951" t="s">
        <v>522</v>
      </c>
      <c r="K951" t="s">
        <v>523</v>
      </c>
      <c r="L951">
        <v>1346</v>
      </c>
      <c r="N951">
        <v>1009</v>
      </c>
      <c r="O951" t="s">
        <v>104</v>
      </c>
      <c r="P951" t="s">
        <v>104</v>
      </c>
      <c r="Q951">
        <v>1</v>
      </c>
      <c r="X951">
        <v>1.6465000000000001</v>
      </c>
      <c r="Y951">
        <v>6.27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0</v>
      </c>
      <c r="AF951" t="s">
        <v>3</v>
      </c>
      <c r="AG951">
        <v>1.6465000000000001</v>
      </c>
      <c r="AH951">
        <v>3</v>
      </c>
      <c r="AI951">
        <v>-1</v>
      </c>
      <c r="AJ951" t="s">
        <v>3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</row>
    <row r="952" spans="1:44" x14ac:dyDescent="0.2">
      <c r="A952">
        <f>ROW(Source!A168)</f>
        <v>168</v>
      </c>
      <c r="B952">
        <v>56617122</v>
      </c>
      <c r="C952">
        <v>56617117</v>
      </c>
      <c r="D952">
        <v>46529254</v>
      </c>
      <c r="E952">
        <v>27731863</v>
      </c>
      <c r="F952">
        <v>1</v>
      </c>
      <c r="G952">
        <v>27786564</v>
      </c>
      <c r="H952">
        <v>3</v>
      </c>
      <c r="I952" t="s">
        <v>581</v>
      </c>
      <c r="J952" t="s">
        <v>3</v>
      </c>
      <c r="K952" t="s">
        <v>582</v>
      </c>
      <c r="L952">
        <v>1391</v>
      </c>
      <c r="N952">
        <v>1013</v>
      </c>
      <c r="O952" t="s">
        <v>290</v>
      </c>
      <c r="P952" t="s">
        <v>290</v>
      </c>
      <c r="Q952">
        <v>1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 t="s">
        <v>3</v>
      </c>
      <c r="AG952">
        <v>1</v>
      </c>
      <c r="AH952">
        <v>3</v>
      </c>
      <c r="AI952">
        <v>-1</v>
      </c>
      <c r="AJ952" t="s">
        <v>3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</row>
    <row r="953" spans="1:44" x14ac:dyDescent="0.2">
      <c r="A953">
        <f>ROW(Source!A169)</f>
        <v>169</v>
      </c>
      <c r="B953">
        <v>56617124</v>
      </c>
      <c r="C953">
        <v>56617123</v>
      </c>
      <c r="D953">
        <v>27731869</v>
      </c>
      <c r="E953">
        <v>27731863</v>
      </c>
      <c r="F953">
        <v>1</v>
      </c>
      <c r="G953">
        <v>27786564</v>
      </c>
      <c r="H953">
        <v>1</v>
      </c>
      <c r="I953" t="s">
        <v>439</v>
      </c>
      <c r="J953" t="s">
        <v>3</v>
      </c>
      <c r="K953" t="s">
        <v>440</v>
      </c>
      <c r="L953">
        <v>1191</v>
      </c>
      <c r="N953">
        <v>1013</v>
      </c>
      <c r="O953" t="s">
        <v>441</v>
      </c>
      <c r="P953" t="s">
        <v>441</v>
      </c>
      <c r="Q953">
        <v>1</v>
      </c>
      <c r="X953">
        <v>3.19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1</v>
      </c>
      <c r="AF953" t="s">
        <v>22</v>
      </c>
      <c r="AG953">
        <v>3.5090000000000003</v>
      </c>
      <c r="AH953">
        <v>3</v>
      </c>
      <c r="AI953">
        <v>-1</v>
      </c>
      <c r="AJ953" t="s">
        <v>3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</row>
    <row r="954" spans="1:44" x14ac:dyDescent="0.2">
      <c r="A954">
        <f>ROW(Source!A169)</f>
        <v>169</v>
      </c>
      <c r="B954">
        <v>56617125</v>
      </c>
      <c r="C954">
        <v>56617123</v>
      </c>
      <c r="D954">
        <v>27811501</v>
      </c>
      <c r="E954">
        <v>1</v>
      </c>
      <c r="F954">
        <v>1</v>
      </c>
      <c r="G954">
        <v>27786564</v>
      </c>
      <c r="H954">
        <v>2</v>
      </c>
      <c r="I954" t="s">
        <v>518</v>
      </c>
      <c r="J954" t="s">
        <v>519</v>
      </c>
      <c r="K954" t="s">
        <v>520</v>
      </c>
      <c r="L954">
        <v>1368</v>
      </c>
      <c r="N954">
        <v>1011</v>
      </c>
      <c r="O954" t="s">
        <v>445</v>
      </c>
      <c r="P954" t="s">
        <v>445</v>
      </c>
      <c r="Q954">
        <v>1</v>
      </c>
      <c r="X954">
        <v>0.55000000000000004</v>
      </c>
      <c r="Y954">
        <v>0</v>
      </c>
      <c r="Z954">
        <v>0.12</v>
      </c>
      <c r="AA954">
        <v>0</v>
      </c>
      <c r="AB954">
        <v>0</v>
      </c>
      <c r="AC954">
        <v>0</v>
      </c>
      <c r="AD954">
        <v>1</v>
      </c>
      <c r="AE954">
        <v>0</v>
      </c>
      <c r="AF954" t="s">
        <v>22</v>
      </c>
      <c r="AG954">
        <v>0.60500000000000009</v>
      </c>
      <c r="AH954">
        <v>3</v>
      </c>
      <c r="AI954">
        <v>-1</v>
      </c>
      <c r="AJ954" t="s">
        <v>3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</row>
    <row r="955" spans="1:44" x14ac:dyDescent="0.2">
      <c r="A955">
        <f>ROW(Source!A169)</f>
        <v>169</v>
      </c>
      <c r="B955">
        <v>56617126</v>
      </c>
      <c r="C955">
        <v>56617123</v>
      </c>
      <c r="D955">
        <v>27811655</v>
      </c>
      <c r="E955">
        <v>1</v>
      </c>
      <c r="F955">
        <v>1</v>
      </c>
      <c r="G955">
        <v>27786564</v>
      </c>
      <c r="H955">
        <v>2</v>
      </c>
      <c r="I955" t="s">
        <v>487</v>
      </c>
      <c r="J955" t="s">
        <v>488</v>
      </c>
      <c r="K955" t="s">
        <v>489</v>
      </c>
      <c r="L955">
        <v>1368</v>
      </c>
      <c r="N955">
        <v>1011</v>
      </c>
      <c r="O955" t="s">
        <v>445</v>
      </c>
      <c r="P955" t="s">
        <v>445</v>
      </c>
      <c r="Q955">
        <v>1</v>
      </c>
      <c r="X955">
        <v>0.01</v>
      </c>
      <c r="Y955">
        <v>0</v>
      </c>
      <c r="Z955">
        <v>83.1</v>
      </c>
      <c r="AA955">
        <v>12.62</v>
      </c>
      <c r="AB955">
        <v>0</v>
      </c>
      <c r="AC955">
        <v>0</v>
      </c>
      <c r="AD955">
        <v>1</v>
      </c>
      <c r="AE955">
        <v>0</v>
      </c>
      <c r="AF955" t="s">
        <v>22</v>
      </c>
      <c r="AG955">
        <v>1.1000000000000001E-2</v>
      </c>
      <c r="AH955">
        <v>3</v>
      </c>
      <c r="AI955">
        <v>-1</v>
      </c>
      <c r="AJ955" t="s">
        <v>3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4" x14ac:dyDescent="0.2">
      <c r="A956">
        <f>ROW(Source!A169)</f>
        <v>169</v>
      </c>
      <c r="B956">
        <v>56617127</v>
      </c>
      <c r="C956">
        <v>56617123</v>
      </c>
      <c r="D956">
        <v>27788996</v>
      </c>
      <c r="E956">
        <v>1</v>
      </c>
      <c r="F956">
        <v>1</v>
      </c>
      <c r="G956">
        <v>27786564</v>
      </c>
      <c r="H956">
        <v>3</v>
      </c>
      <c r="I956" t="s">
        <v>521</v>
      </c>
      <c r="J956" t="s">
        <v>522</v>
      </c>
      <c r="K956" t="s">
        <v>523</v>
      </c>
      <c r="L956">
        <v>1346</v>
      </c>
      <c r="N956">
        <v>1009</v>
      </c>
      <c r="O956" t="s">
        <v>104</v>
      </c>
      <c r="P956" t="s">
        <v>104</v>
      </c>
      <c r="Q956">
        <v>1</v>
      </c>
      <c r="X956">
        <v>1.7092000000000001</v>
      </c>
      <c r="Y956">
        <v>6.27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 t="s">
        <v>3</v>
      </c>
      <c r="AG956">
        <v>1.7092000000000001</v>
      </c>
      <c r="AH956">
        <v>3</v>
      </c>
      <c r="AI956">
        <v>-1</v>
      </c>
      <c r="AJ956" t="s">
        <v>3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</row>
    <row r="957" spans="1:44" x14ac:dyDescent="0.2">
      <c r="A957">
        <f>ROW(Source!A169)</f>
        <v>169</v>
      </c>
      <c r="B957">
        <v>56617128</v>
      </c>
      <c r="C957">
        <v>56617123</v>
      </c>
      <c r="D957">
        <v>46529254</v>
      </c>
      <c r="E957">
        <v>27731863</v>
      </c>
      <c r="F957">
        <v>1</v>
      </c>
      <c r="G957">
        <v>27786564</v>
      </c>
      <c r="H957">
        <v>3</v>
      </c>
      <c r="I957" t="s">
        <v>581</v>
      </c>
      <c r="J957" t="s">
        <v>3</v>
      </c>
      <c r="K957" t="s">
        <v>582</v>
      </c>
      <c r="L957">
        <v>1391</v>
      </c>
      <c r="N957">
        <v>1013</v>
      </c>
      <c r="O957" t="s">
        <v>290</v>
      </c>
      <c r="P957" t="s">
        <v>290</v>
      </c>
      <c r="Q957">
        <v>1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 t="s">
        <v>3</v>
      </c>
      <c r="AG957">
        <v>1</v>
      </c>
      <c r="AH957">
        <v>3</v>
      </c>
      <c r="AI957">
        <v>-1</v>
      </c>
      <c r="AJ957" t="s">
        <v>3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</row>
    <row r="958" spans="1:44" x14ac:dyDescent="0.2">
      <c r="A958">
        <f>ROW(Source!A170)</f>
        <v>170</v>
      </c>
      <c r="B958">
        <v>56617124</v>
      </c>
      <c r="C958">
        <v>56617123</v>
      </c>
      <c r="D958">
        <v>27731869</v>
      </c>
      <c r="E958">
        <v>27731863</v>
      </c>
      <c r="F958">
        <v>1</v>
      </c>
      <c r="G958">
        <v>27786564</v>
      </c>
      <c r="H958">
        <v>1</v>
      </c>
      <c r="I958" t="s">
        <v>439</v>
      </c>
      <c r="J958" t="s">
        <v>3</v>
      </c>
      <c r="K958" t="s">
        <v>440</v>
      </c>
      <c r="L958">
        <v>1191</v>
      </c>
      <c r="N958">
        <v>1013</v>
      </c>
      <c r="O958" t="s">
        <v>441</v>
      </c>
      <c r="P958" t="s">
        <v>441</v>
      </c>
      <c r="Q958">
        <v>1</v>
      </c>
      <c r="X958">
        <v>3.19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1</v>
      </c>
      <c r="AF958" t="s">
        <v>22</v>
      </c>
      <c r="AG958">
        <v>3.5090000000000003</v>
      </c>
      <c r="AH958">
        <v>3</v>
      </c>
      <c r="AI958">
        <v>-1</v>
      </c>
      <c r="AJ958" t="s">
        <v>3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</row>
    <row r="959" spans="1:44" x14ac:dyDescent="0.2">
      <c r="A959">
        <f>ROW(Source!A170)</f>
        <v>170</v>
      </c>
      <c r="B959">
        <v>56617125</v>
      </c>
      <c r="C959">
        <v>56617123</v>
      </c>
      <c r="D959">
        <v>27811501</v>
      </c>
      <c r="E959">
        <v>1</v>
      </c>
      <c r="F959">
        <v>1</v>
      </c>
      <c r="G959">
        <v>27786564</v>
      </c>
      <c r="H959">
        <v>2</v>
      </c>
      <c r="I959" t="s">
        <v>518</v>
      </c>
      <c r="J959" t="s">
        <v>519</v>
      </c>
      <c r="K959" t="s">
        <v>520</v>
      </c>
      <c r="L959">
        <v>1368</v>
      </c>
      <c r="N959">
        <v>1011</v>
      </c>
      <c r="O959" t="s">
        <v>445</v>
      </c>
      <c r="P959" t="s">
        <v>445</v>
      </c>
      <c r="Q959">
        <v>1</v>
      </c>
      <c r="X959">
        <v>0.55000000000000004</v>
      </c>
      <c r="Y959">
        <v>0</v>
      </c>
      <c r="Z959">
        <v>0.12</v>
      </c>
      <c r="AA959">
        <v>0</v>
      </c>
      <c r="AB959">
        <v>0</v>
      </c>
      <c r="AC959">
        <v>0</v>
      </c>
      <c r="AD959">
        <v>1</v>
      </c>
      <c r="AE959">
        <v>0</v>
      </c>
      <c r="AF959" t="s">
        <v>22</v>
      </c>
      <c r="AG959">
        <v>0.60500000000000009</v>
      </c>
      <c r="AH959">
        <v>3</v>
      </c>
      <c r="AI959">
        <v>-1</v>
      </c>
      <c r="AJ959" t="s">
        <v>3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</row>
    <row r="960" spans="1:44" x14ac:dyDescent="0.2">
      <c r="A960">
        <f>ROW(Source!A170)</f>
        <v>170</v>
      </c>
      <c r="B960">
        <v>56617126</v>
      </c>
      <c r="C960">
        <v>56617123</v>
      </c>
      <c r="D960">
        <v>27811655</v>
      </c>
      <c r="E960">
        <v>1</v>
      </c>
      <c r="F960">
        <v>1</v>
      </c>
      <c r="G960">
        <v>27786564</v>
      </c>
      <c r="H960">
        <v>2</v>
      </c>
      <c r="I960" t="s">
        <v>487</v>
      </c>
      <c r="J960" t="s">
        <v>488</v>
      </c>
      <c r="K960" t="s">
        <v>489</v>
      </c>
      <c r="L960">
        <v>1368</v>
      </c>
      <c r="N960">
        <v>1011</v>
      </c>
      <c r="O960" t="s">
        <v>445</v>
      </c>
      <c r="P960" t="s">
        <v>445</v>
      </c>
      <c r="Q960">
        <v>1</v>
      </c>
      <c r="X960">
        <v>0.01</v>
      </c>
      <c r="Y960">
        <v>0</v>
      </c>
      <c r="Z960">
        <v>83.1</v>
      </c>
      <c r="AA960">
        <v>12.62</v>
      </c>
      <c r="AB960">
        <v>0</v>
      </c>
      <c r="AC960">
        <v>0</v>
      </c>
      <c r="AD960">
        <v>1</v>
      </c>
      <c r="AE960">
        <v>0</v>
      </c>
      <c r="AF960" t="s">
        <v>22</v>
      </c>
      <c r="AG960">
        <v>1.1000000000000001E-2</v>
      </c>
      <c r="AH960">
        <v>3</v>
      </c>
      <c r="AI960">
        <v>-1</v>
      </c>
      <c r="AJ960" t="s">
        <v>3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</row>
    <row r="961" spans="1:44" x14ac:dyDescent="0.2">
      <c r="A961">
        <f>ROW(Source!A170)</f>
        <v>170</v>
      </c>
      <c r="B961">
        <v>56617127</v>
      </c>
      <c r="C961">
        <v>56617123</v>
      </c>
      <c r="D961">
        <v>27788996</v>
      </c>
      <c r="E961">
        <v>1</v>
      </c>
      <c r="F961">
        <v>1</v>
      </c>
      <c r="G961">
        <v>27786564</v>
      </c>
      <c r="H961">
        <v>3</v>
      </c>
      <c r="I961" t="s">
        <v>521</v>
      </c>
      <c r="J961" t="s">
        <v>522</v>
      </c>
      <c r="K961" t="s">
        <v>523</v>
      </c>
      <c r="L961">
        <v>1346</v>
      </c>
      <c r="N961">
        <v>1009</v>
      </c>
      <c r="O961" t="s">
        <v>104</v>
      </c>
      <c r="P961" t="s">
        <v>104</v>
      </c>
      <c r="Q961">
        <v>1</v>
      </c>
      <c r="X961">
        <v>1.7092000000000001</v>
      </c>
      <c r="Y961">
        <v>6.27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0</v>
      </c>
      <c r="AF961" t="s">
        <v>3</v>
      </c>
      <c r="AG961">
        <v>1.7092000000000001</v>
      </c>
      <c r="AH961">
        <v>3</v>
      </c>
      <c r="AI961">
        <v>-1</v>
      </c>
      <c r="AJ961" t="s">
        <v>3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</row>
    <row r="962" spans="1:44" x14ac:dyDescent="0.2">
      <c r="A962">
        <f>ROW(Source!A170)</f>
        <v>170</v>
      </c>
      <c r="B962">
        <v>56617128</v>
      </c>
      <c r="C962">
        <v>56617123</v>
      </c>
      <c r="D962">
        <v>46529254</v>
      </c>
      <c r="E962">
        <v>27731863</v>
      </c>
      <c r="F962">
        <v>1</v>
      </c>
      <c r="G962">
        <v>27786564</v>
      </c>
      <c r="H962">
        <v>3</v>
      </c>
      <c r="I962" t="s">
        <v>581</v>
      </c>
      <c r="J962" t="s">
        <v>3</v>
      </c>
      <c r="K962" t="s">
        <v>582</v>
      </c>
      <c r="L962">
        <v>1391</v>
      </c>
      <c r="N962">
        <v>1013</v>
      </c>
      <c r="O962" t="s">
        <v>290</v>
      </c>
      <c r="P962" t="s">
        <v>290</v>
      </c>
      <c r="Q962">
        <v>1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 t="s">
        <v>3</v>
      </c>
      <c r="AG962">
        <v>1</v>
      </c>
      <c r="AH962">
        <v>3</v>
      </c>
      <c r="AI962">
        <v>-1</v>
      </c>
      <c r="AJ962" t="s">
        <v>3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</row>
    <row r="963" spans="1:44" x14ac:dyDescent="0.2">
      <c r="A963">
        <f>ROW(Source!A171)</f>
        <v>171</v>
      </c>
      <c r="B963">
        <v>56617134</v>
      </c>
      <c r="C963">
        <v>56617129</v>
      </c>
      <c r="D963">
        <v>47634407</v>
      </c>
      <c r="E963">
        <v>27786564</v>
      </c>
      <c r="F963">
        <v>1</v>
      </c>
      <c r="G963">
        <v>27786564</v>
      </c>
      <c r="H963">
        <v>1</v>
      </c>
      <c r="I963" t="s">
        <v>439</v>
      </c>
      <c r="J963" t="s">
        <v>3</v>
      </c>
      <c r="K963" t="s">
        <v>440</v>
      </c>
      <c r="L963">
        <v>1191</v>
      </c>
      <c r="N963">
        <v>1013</v>
      </c>
      <c r="O963" t="s">
        <v>441</v>
      </c>
      <c r="P963" t="s">
        <v>441</v>
      </c>
      <c r="Q963">
        <v>1</v>
      </c>
      <c r="X963">
        <v>6.71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1</v>
      </c>
      <c r="AF963" t="s">
        <v>22</v>
      </c>
      <c r="AG963">
        <v>7.3810000000000002</v>
      </c>
      <c r="AH963">
        <v>2</v>
      </c>
      <c r="AI963">
        <v>56617130</v>
      </c>
      <c r="AJ963">
        <v>183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</row>
    <row r="964" spans="1:44" x14ac:dyDescent="0.2">
      <c r="A964">
        <f>ROW(Source!A171)</f>
        <v>171</v>
      </c>
      <c r="B964">
        <v>56617135</v>
      </c>
      <c r="C964">
        <v>56617129</v>
      </c>
      <c r="D964">
        <v>47766965</v>
      </c>
      <c r="E964">
        <v>1</v>
      </c>
      <c r="F964">
        <v>1</v>
      </c>
      <c r="G964">
        <v>27786564</v>
      </c>
      <c r="H964">
        <v>2</v>
      </c>
      <c r="I964" t="s">
        <v>518</v>
      </c>
      <c r="J964" t="s">
        <v>519</v>
      </c>
      <c r="K964" t="s">
        <v>520</v>
      </c>
      <c r="L964">
        <v>1368</v>
      </c>
      <c r="N964">
        <v>1011</v>
      </c>
      <c r="O964" t="s">
        <v>445</v>
      </c>
      <c r="P964" t="s">
        <v>445</v>
      </c>
      <c r="Q964">
        <v>1</v>
      </c>
      <c r="X964">
        <v>0.72</v>
      </c>
      <c r="Y964">
        <v>0</v>
      </c>
      <c r="Z964">
        <v>0.12</v>
      </c>
      <c r="AA964">
        <v>0</v>
      </c>
      <c r="AB964">
        <v>0</v>
      </c>
      <c r="AC964">
        <v>0</v>
      </c>
      <c r="AD964">
        <v>1</v>
      </c>
      <c r="AE964">
        <v>0</v>
      </c>
      <c r="AF964" t="s">
        <v>22</v>
      </c>
      <c r="AG964">
        <v>0.79200000000000004</v>
      </c>
      <c r="AH964">
        <v>2</v>
      </c>
      <c r="AI964">
        <v>56617131</v>
      </c>
      <c r="AJ964">
        <v>184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</row>
    <row r="965" spans="1:44" x14ac:dyDescent="0.2">
      <c r="A965">
        <f>ROW(Source!A171)</f>
        <v>171</v>
      </c>
      <c r="B965">
        <v>56617136</v>
      </c>
      <c r="C965">
        <v>56617129</v>
      </c>
      <c r="D965">
        <v>47767106</v>
      </c>
      <c r="E965">
        <v>1</v>
      </c>
      <c r="F965">
        <v>1</v>
      </c>
      <c r="G965">
        <v>27786564</v>
      </c>
      <c r="H965">
        <v>2</v>
      </c>
      <c r="I965" t="s">
        <v>487</v>
      </c>
      <c r="J965" t="s">
        <v>488</v>
      </c>
      <c r="K965" t="s">
        <v>489</v>
      </c>
      <c r="L965">
        <v>1368</v>
      </c>
      <c r="N965">
        <v>1011</v>
      </c>
      <c r="O965" t="s">
        <v>445</v>
      </c>
      <c r="P965" t="s">
        <v>445</v>
      </c>
      <c r="Q965">
        <v>1</v>
      </c>
      <c r="X965">
        <v>0.01</v>
      </c>
      <c r="Y965">
        <v>0</v>
      </c>
      <c r="Z965">
        <v>83.1</v>
      </c>
      <c r="AA965">
        <v>12.62</v>
      </c>
      <c r="AB965">
        <v>0</v>
      </c>
      <c r="AC965">
        <v>0</v>
      </c>
      <c r="AD965">
        <v>1</v>
      </c>
      <c r="AE965">
        <v>0</v>
      </c>
      <c r="AF965" t="s">
        <v>22</v>
      </c>
      <c r="AG965">
        <v>1.1000000000000001E-2</v>
      </c>
      <c r="AH965">
        <v>2</v>
      </c>
      <c r="AI965">
        <v>56617132</v>
      </c>
      <c r="AJ965">
        <v>185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</row>
    <row r="966" spans="1:44" x14ac:dyDescent="0.2">
      <c r="A966">
        <f>ROW(Source!A171)</f>
        <v>171</v>
      </c>
      <c r="B966">
        <v>56617137</v>
      </c>
      <c r="C966">
        <v>56617129</v>
      </c>
      <c r="D966">
        <v>37620224</v>
      </c>
      <c r="E966">
        <v>1</v>
      </c>
      <c r="F966">
        <v>1</v>
      </c>
      <c r="G966">
        <v>27786564</v>
      </c>
      <c r="H966">
        <v>3</v>
      </c>
      <c r="I966" t="s">
        <v>521</v>
      </c>
      <c r="J966" t="s">
        <v>522</v>
      </c>
      <c r="K966" t="s">
        <v>523</v>
      </c>
      <c r="L966">
        <v>1346</v>
      </c>
      <c r="N966">
        <v>1009</v>
      </c>
      <c r="O966" t="s">
        <v>104</v>
      </c>
      <c r="P966" t="s">
        <v>104</v>
      </c>
      <c r="Q966">
        <v>1</v>
      </c>
      <c r="X966">
        <v>2.2578</v>
      </c>
      <c r="Y966">
        <v>6.27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 t="s">
        <v>3</v>
      </c>
      <c r="AG966">
        <v>2.2578</v>
      </c>
      <c r="AH966">
        <v>2</v>
      </c>
      <c r="AI966">
        <v>56617133</v>
      </c>
      <c r="AJ966">
        <v>186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</row>
    <row r="967" spans="1:44" x14ac:dyDescent="0.2">
      <c r="A967">
        <f>ROW(Source!A171)</f>
        <v>171</v>
      </c>
      <c r="B967">
        <v>56617138</v>
      </c>
      <c r="C967">
        <v>56617129</v>
      </c>
      <c r="D967">
        <v>46551387</v>
      </c>
      <c r="E967">
        <v>27786564</v>
      </c>
      <c r="F967">
        <v>1</v>
      </c>
      <c r="G967">
        <v>27786564</v>
      </c>
      <c r="H967">
        <v>3</v>
      </c>
      <c r="I967" t="s">
        <v>583</v>
      </c>
      <c r="J967" t="s">
        <v>3</v>
      </c>
      <c r="K967" t="s">
        <v>584</v>
      </c>
      <c r="L967">
        <v>1391</v>
      </c>
      <c r="N967">
        <v>1013</v>
      </c>
      <c r="O967" t="s">
        <v>290</v>
      </c>
      <c r="P967" t="s">
        <v>290</v>
      </c>
      <c r="Q967">
        <v>1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 t="s">
        <v>3</v>
      </c>
      <c r="AG967">
        <v>1</v>
      </c>
      <c r="AH967">
        <v>3</v>
      </c>
      <c r="AI967">
        <v>-1</v>
      </c>
      <c r="AJ967" t="s">
        <v>3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</row>
    <row r="968" spans="1:44" x14ac:dyDescent="0.2">
      <c r="A968">
        <f>ROW(Source!A172)</f>
        <v>172</v>
      </c>
      <c r="B968">
        <v>56617134</v>
      </c>
      <c r="C968">
        <v>56617129</v>
      </c>
      <c r="D968">
        <v>47634407</v>
      </c>
      <c r="E968">
        <v>27786564</v>
      </c>
      <c r="F968">
        <v>1</v>
      </c>
      <c r="G968">
        <v>27786564</v>
      </c>
      <c r="H968">
        <v>1</v>
      </c>
      <c r="I968" t="s">
        <v>439</v>
      </c>
      <c r="J968" t="s">
        <v>3</v>
      </c>
      <c r="K968" t="s">
        <v>440</v>
      </c>
      <c r="L968">
        <v>1191</v>
      </c>
      <c r="N968">
        <v>1013</v>
      </c>
      <c r="O968" t="s">
        <v>441</v>
      </c>
      <c r="P968" t="s">
        <v>441</v>
      </c>
      <c r="Q968">
        <v>1</v>
      </c>
      <c r="X968">
        <v>6.71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1</v>
      </c>
      <c r="AF968" t="s">
        <v>22</v>
      </c>
      <c r="AG968">
        <v>7.3810000000000002</v>
      </c>
      <c r="AH968">
        <v>2</v>
      </c>
      <c r="AI968">
        <v>56617130</v>
      </c>
      <c r="AJ968">
        <v>187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</row>
    <row r="969" spans="1:44" x14ac:dyDescent="0.2">
      <c r="A969">
        <f>ROW(Source!A172)</f>
        <v>172</v>
      </c>
      <c r="B969">
        <v>56617135</v>
      </c>
      <c r="C969">
        <v>56617129</v>
      </c>
      <c r="D969">
        <v>47766965</v>
      </c>
      <c r="E969">
        <v>1</v>
      </c>
      <c r="F969">
        <v>1</v>
      </c>
      <c r="G969">
        <v>27786564</v>
      </c>
      <c r="H969">
        <v>2</v>
      </c>
      <c r="I969" t="s">
        <v>518</v>
      </c>
      <c r="J969" t="s">
        <v>519</v>
      </c>
      <c r="K969" t="s">
        <v>520</v>
      </c>
      <c r="L969">
        <v>1368</v>
      </c>
      <c r="N969">
        <v>1011</v>
      </c>
      <c r="O969" t="s">
        <v>445</v>
      </c>
      <c r="P969" t="s">
        <v>445</v>
      </c>
      <c r="Q969">
        <v>1</v>
      </c>
      <c r="X969">
        <v>0.72</v>
      </c>
      <c r="Y969">
        <v>0</v>
      </c>
      <c r="Z969">
        <v>0.12</v>
      </c>
      <c r="AA969">
        <v>0</v>
      </c>
      <c r="AB969">
        <v>0</v>
      </c>
      <c r="AC969">
        <v>0</v>
      </c>
      <c r="AD969">
        <v>1</v>
      </c>
      <c r="AE969">
        <v>0</v>
      </c>
      <c r="AF969" t="s">
        <v>22</v>
      </c>
      <c r="AG969">
        <v>0.79200000000000004</v>
      </c>
      <c r="AH969">
        <v>2</v>
      </c>
      <c r="AI969">
        <v>56617131</v>
      </c>
      <c r="AJ969">
        <v>188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</row>
    <row r="970" spans="1:44" x14ac:dyDescent="0.2">
      <c r="A970">
        <f>ROW(Source!A172)</f>
        <v>172</v>
      </c>
      <c r="B970">
        <v>56617136</v>
      </c>
      <c r="C970">
        <v>56617129</v>
      </c>
      <c r="D970">
        <v>47767106</v>
      </c>
      <c r="E970">
        <v>1</v>
      </c>
      <c r="F970">
        <v>1</v>
      </c>
      <c r="G970">
        <v>27786564</v>
      </c>
      <c r="H970">
        <v>2</v>
      </c>
      <c r="I970" t="s">
        <v>487</v>
      </c>
      <c r="J970" t="s">
        <v>488</v>
      </c>
      <c r="K970" t="s">
        <v>489</v>
      </c>
      <c r="L970">
        <v>1368</v>
      </c>
      <c r="N970">
        <v>1011</v>
      </c>
      <c r="O970" t="s">
        <v>445</v>
      </c>
      <c r="P970" t="s">
        <v>445</v>
      </c>
      <c r="Q970">
        <v>1</v>
      </c>
      <c r="X970">
        <v>0.01</v>
      </c>
      <c r="Y970">
        <v>0</v>
      </c>
      <c r="Z970">
        <v>83.1</v>
      </c>
      <c r="AA970">
        <v>12.62</v>
      </c>
      <c r="AB970">
        <v>0</v>
      </c>
      <c r="AC970">
        <v>0</v>
      </c>
      <c r="AD970">
        <v>1</v>
      </c>
      <c r="AE970">
        <v>0</v>
      </c>
      <c r="AF970" t="s">
        <v>22</v>
      </c>
      <c r="AG970">
        <v>1.1000000000000001E-2</v>
      </c>
      <c r="AH970">
        <v>2</v>
      </c>
      <c r="AI970">
        <v>56617132</v>
      </c>
      <c r="AJ970">
        <v>189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</row>
    <row r="971" spans="1:44" x14ac:dyDescent="0.2">
      <c r="A971">
        <f>ROW(Source!A172)</f>
        <v>172</v>
      </c>
      <c r="B971">
        <v>56617137</v>
      </c>
      <c r="C971">
        <v>56617129</v>
      </c>
      <c r="D971">
        <v>37620224</v>
      </c>
      <c r="E971">
        <v>1</v>
      </c>
      <c r="F971">
        <v>1</v>
      </c>
      <c r="G971">
        <v>27786564</v>
      </c>
      <c r="H971">
        <v>3</v>
      </c>
      <c r="I971" t="s">
        <v>521</v>
      </c>
      <c r="J971" t="s">
        <v>522</v>
      </c>
      <c r="K971" t="s">
        <v>523</v>
      </c>
      <c r="L971">
        <v>1346</v>
      </c>
      <c r="N971">
        <v>1009</v>
      </c>
      <c r="O971" t="s">
        <v>104</v>
      </c>
      <c r="P971" t="s">
        <v>104</v>
      </c>
      <c r="Q971">
        <v>1</v>
      </c>
      <c r="X971">
        <v>2.2578</v>
      </c>
      <c r="Y971">
        <v>6.27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  <c r="AF971" t="s">
        <v>3</v>
      </c>
      <c r="AG971">
        <v>2.2578</v>
      </c>
      <c r="AH971">
        <v>2</v>
      </c>
      <c r="AI971">
        <v>56617133</v>
      </c>
      <c r="AJ971">
        <v>190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</row>
    <row r="972" spans="1:44" x14ac:dyDescent="0.2">
      <c r="A972">
        <f>ROW(Source!A172)</f>
        <v>172</v>
      </c>
      <c r="B972">
        <v>56617138</v>
      </c>
      <c r="C972">
        <v>56617129</v>
      </c>
      <c r="D972">
        <v>46551387</v>
      </c>
      <c r="E972">
        <v>27786564</v>
      </c>
      <c r="F972">
        <v>1</v>
      </c>
      <c r="G972">
        <v>27786564</v>
      </c>
      <c r="H972">
        <v>3</v>
      </c>
      <c r="I972" t="s">
        <v>583</v>
      </c>
      <c r="J972" t="s">
        <v>3</v>
      </c>
      <c r="K972" t="s">
        <v>584</v>
      </c>
      <c r="L972">
        <v>1391</v>
      </c>
      <c r="N972">
        <v>1013</v>
      </c>
      <c r="O972" t="s">
        <v>290</v>
      </c>
      <c r="P972" t="s">
        <v>290</v>
      </c>
      <c r="Q972">
        <v>1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 t="s">
        <v>3</v>
      </c>
      <c r="AG972">
        <v>1</v>
      </c>
      <c r="AH972">
        <v>3</v>
      </c>
      <c r="AI972">
        <v>-1</v>
      </c>
      <c r="AJ972" t="s">
        <v>3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</row>
    <row r="973" spans="1:44" x14ac:dyDescent="0.2">
      <c r="A973">
        <f>ROW(Source!A267)</f>
        <v>267</v>
      </c>
      <c r="B973">
        <v>56617150</v>
      </c>
      <c r="C973">
        <v>56617149</v>
      </c>
      <c r="D973">
        <v>47634407</v>
      </c>
      <c r="E973">
        <v>27786564</v>
      </c>
      <c r="F973">
        <v>1</v>
      </c>
      <c r="G973">
        <v>27786564</v>
      </c>
      <c r="H973">
        <v>1</v>
      </c>
      <c r="I973" t="s">
        <v>439</v>
      </c>
      <c r="J973" t="s">
        <v>3</v>
      </c>
      <c r="K973" t="s">
        <v>440</v>
      </c>
      <c r="L973">
        <v>1191</v>
      </c>
      <c r="N973">
        <v>1013</v>
      </c>
      <c r="O973" t="s">
        <v>441</v>
      </c>
      <c r="P973" t="s">
        <v>441</v>
      </c>
      <c r="Q973">
        <v>1</v>
      </c>
      <c r="X973">
        <v>155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1</v>
      </c>
      <c r="AF973" t="s">
        <v>22</v>
      </c>
      <c r="AG973">
        <v>170.5</v>
      </c>
      <c r="AH973">
        <v>3</v>
      </c>
      <c r="AI973">
        <v>-1</v>
      </c>
      <c r="AJ973" t="s">
        <v>3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</row>
    <row r="974" spans="1:44" x14ac:dyDescent="0.2">
      <c r="A974">
        <f>ROW(Source!A267)</f>
        <v>267</v>
      </c>
      <c r="B974">
        <v>56617151</v>
      </c>
      <c r="C974">
        <v>56617149</v>
      </c>
      <c r="D974">
        <v>47766768</v>
      </c>
      <c r="E974">
        <v>1</v>
      </c>
      <c r="F974">
        <v>1</v>
      </c>
      <c r="G974">
        <v>27786564</v>
      </c>
      <c r="H974">
        <v>2</v>
      </c>
      <c r="I974" t="s">
        <v>585</v>
      </c>
      <c r="J974" t="s">
        <v>586</v>
      </c>
      <c r="K974" t="s">
        <v>587</v>
      </c>
      <c r="L974">
        <v>1368</v>
      </c>
      <c r="N974">
        <v>1011</v>
      </c>
      <c r="O974" t="s">
        <v>445</v>
      </c>
      <c r="P974" t="s">
        <v>445</v>
      </c>
      <c r="Q974">
        <v>1</v>
      </c>
      <c r="X974">
        <v>37.5</v>
      </c>
      <c r="Y974">
        <v>0</v>
      </c>
      <c r="Z974">
        <v>41.45</v>
      </c>
      <c r="AA974">
        <v>12.62</v>
      </c>
      <c r="AB974">
        <v>0</v>
      </c>
      <c r="AC974">
        <v>0</v>
      </c>
      <c r="AD974">
        <v>1</v>
      </c>
      <c r="AE974">
        <v>0</v>
      </c>
      <c r="AF974" t="s">
        <v>22</v>
      </c>
      <c r="AG974">
        <v>41.25</v>
      </c>
      <c r="AH974">
        <v>3</v>
      </c>
      <c r="AI974">
        <v>-1</v>
      </c>
      <c r="AJ974" t="s">
        <v>3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</row>
    <row r="975" spans="1:44" x14ac:dyDescent="0.2">
      <c r="A975">
        <f>ROW(Source!A267)</f>
        <v>267</v>
      </c>
      <c r="B975">
        <v>56617152</v>
      </c>
      <c r="C975">
        <v>56617149</v>
      </c>
      <c r="D975">
        <v>47767181</v>
      </c>
      <c r="E975">
        <v>1</v>
      </c>
      <c r="F975">
        <v>1</v>
      </c>
      <c r="G975">
        <v>27786564</v>
      </c>
      <c r="H975">
        <v>2</v>
      </c>
      <c r="I975" t="s">
        <v>588</v>
      </c>
      <c r="J975" t="s">
        <v>589</v>
      </c>
      <c r="K975" t="s">
        <v>590</v>
      </c>
      <c r="L975">
        <v>1368</v>
      </c>
      <c r="N975">
        <v>1011</v>
      </c>
      <c r="O975" t="s">
        <v>445</v>
      </c>
      <c r="P975" t="s">
        <v>445</v>
      </c>
      <c r="Q975">
        <v>1</v>
      </c>
      <c r="X975">
        <v>75</v>
      </c>
      <c r="Y975">
        <v>0</v>
      </c>
      <c r="Z975">
        <v>0.5</v>
      </c>
      <c r="AA975">
        <v>0</v>
      </c>
      <c r="AB975">
        <v>0</v>
      </c>
      <c r="AC975">
        <v>0</v>
      </c>
      <c r="AD975">
        <v>1</v>
      </c>
      <c r="AE975">
        <v>0</v>
      </c>
      <c r="AF975" t="s">
        <v>22</v>
      </c>
      <c r="AG975">
        <v>82.5</v>
      </c>
      <c r="AH975">
        <v>3</v>
      </c>
      <c r="AI975">
        <v>-1</v>
      </c>
      <c r="AJ975" t="s">
        <v>3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</row>
    <row r="976" spans="1:44" x14ac:dyDescent="0.2">
      <c r="A976">
        <f>ROW(Source!A267)</f>
        <v>267</v>
      </c>
      <c r="B976">
        <v>56617153</v>
      </c>
      <c r="C976">
        <v>56617149</v>
      </c>
      <c r="D976">
        <v>47766620</v>
      </c>
      <c r="E976">
        <v>1</v>
      </c>
      <c r="F976">
        <v>1</v>
      </c>
      <c r="G976">
        <v>27786564</v>
      </c>
      <c r="H976">
        <v>2</v>
      </c>
      <c r="I976" t="s">
        <v>591</v>
      </c>
      <c r="J976" t="s">
        <v>592</v>
      </c>
      <c r="K976" t="s">
        <v>593</v>
      </c>
      <c r="L976">
        <v>1368</v>
      </c>
      <c r="N976">
        <v>1011</v>
      </c>
      <c r="O976" t="s">
        <v>445</v>
      </c>
      <c r="P976" t="s">
        <v>445</v>
      </c>
      <c r="Q976">
        <v>1</v>
      </c>
      <c r="X976">
        <v>1.55</v>
      </c>
      <c r="Y976">
        <v>0</v>
      </c>
      <c r="Z976">
        <v>219.56</v>
      </c>
      <c r="AA976">
        <v>18.62</v>
      </c>
      <c r="AB976">
        <v>0</v>
      </c>
      <c r="AC976">
        <v>0</v>
      </c>
      <c r="AD976">
        <v>1</v>
      </c>
      <c r="AE976">
        <v>0</v>
      </c>
      <c r="AF976" t="s">
        <v>22</v>
      </c>
      <c r="AG976">
        <v>1.7050000000000003</v>
      </c>
      <c r="AH976">
        <v>3</v>
      </c>
      <c r="AI976">
        <v>-1</v>
      </c>
      <c r="AJ976" t="s">
        <v>3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</row>
    <row r="977" spans="1:44" x14ac:dyDescent="0.2">
      <c r="A977">
        <f>ROW(Source!A267)</f>
        <v>267</v>
      </c>
      <c r="B977">
        <v>56617154</v>
      </c>
      <c r="C977">
        <v>56617149</v>
      </c>
      <c r="D977">
        <v>47634960</v>
      </c>
      <c r="E977">
        <v>27786564</v>
      </c>
      <c r="F977">
        <v>1</v>
      </c>
      <c r="G977">
        <v>27786564</v>
      </c>
      <c r="H977">
        <v>2</v>
      </c>
      <c r="I977" t="s">
        <v>449</v>
      </c>
      <c r="J977" t="s">
        <v>3</v>
      </c>
      <c r="K977" t="s">
        <v>450</v>
      </c>
      <c r="L977">
        <v>1344</v>
      </c>
      <c r="N977">
        <v>1008</v>
      </c>
      <c r="O977" t="s">
        <v>451</v>
      </c>
      <c r="P977" t="s">
        <v>451</v>
      </c>
      <c r="Q977">
        <v>1</v>
      </c>
      <c r="X977">
        <v>3.74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1</v>
      </c>
      <c r="AE977">
        <v>0</v>
      </c>
      <c r="AF977" t="s">
        <v>22</v>
      </c>
      <c r="AG977">
        <v>4.1140000000000008</v>
      </c>
      <c r="AH977">
        <v>3</v>
      </c>
      <c r="AI977">
        <v>-1</v>
      </c>
      <c r="AJ977" t="s">
        <v>3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</row>
    <row r="978" spans="1:44" x14ac:dyDescent="0.2">
      <c r="A978">
        <f>ROW(Source!A268)</f>
        <v>268</v>
      </c>
      <c r="B978">
        <v>56617150</v>
      </c>
      <c r="C978">
        <v>56617149</v>
      </c>
      <c r="D978">
        <v>47634407</v>
      </c>
      <c r="E978">
        <v>27786564</v>
      </c>
      <c r="F978">
        <v>1</v>
      </c>
      <c r="G978">
        <v>27786564</v>
      </c>
      <c r="H978">
        <v>1</v>
      </c>
      <c r="I978" t="s">
        <v>439</v>
      </c>
      <c r="J978" t="s">
        <v>3</v>
      </c>
      <c r="K978" t="s">
        <v>440</v>
      </c>
      <c r="L978">
        <v>1191</v>
      </c>
      <c r="N978">
        <v>1013</v>
      </c>
      <c r="O978" t="s">
        <v>441</v>
      </c>
      <c r="P978" t="s">
        <v>441</v>
      </c>
      <c r="Q978">
        <v>1</v>
      </c>
      <c r="X978">
        <v>155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1</v>
      </c>
      <c r="AF978" t="s">
        <v>22</v>
      </c>
      <c r="AG978">
        <v>170.5</v>
      </c>
      <c r="AH978">
        <v>3</v>
      </c>
      <c r="AI978">
        <v>-1</v>
      </c>
      <c r="AJ978" t="s">
        <v>3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</row>
    <row r="979" spans="1:44" x14ac:dyDescent="0.2">
      <c r="A979">
        <f>ROW(Source!A268)</f>
        <v>268</v>
      </c>
      <c r="B979">
        <v>56617151</v>
      </c>
      <c r="C979">
        <v>56617149</v>
      </c>
      <c r="D979">
        <v>47766768</v>
      </c>
      <c r="E979">
        <v>1</v>
      </c>
      <c r="F979">
        <v>1</v>
      </c>
      <c r="G979">
        <v>27786564</v>
      </c>
      <c r="H979">
        <v>2</v>
      </c>
      <c r="I979" t="s">
        <v>585</v>
      </c>
      <c r="J979" t="s">
        <v>586</v>
      </c>
      <c r="K979" t="s">
        <v>587</v>
      </c>
      <c r="L979">
        <v>1368</v>
      </c>
      <c r="N979">
        <v>1011</v>
      </c>
      <c r="O979" t="s">
        <v>445</v>
      </c>
      <c r="P979" t="s">
        <v>445</v>
      </c>
      <c r="Q979">
        <v>1</v>
      </c>
      <c r="X979">
        <v>37.5</v>
      </c>
      <c r="Y979">
        <v>0</v>
      </c>
      <c r="Z979">
        <v>41.45</v>
      </c>
      <c r="AA979">
        <v>12.62</v>
      </c>
      <c r="AB979">
        <v>0</v>
      </c>
      <c r="AC979">
        <v>0</v>
      </c>
      <c r="AD979">
        <v>1</v>
      </c>
      <c r="AE979">
        <v>0</v>
      </c>
      <c r="AF979" t="s">
        <v>22</v>
      </c>
      <c r="AG979">
        <v>41.25</v>
      </c>
      <c r="AH979">
        <v>3</v>
      </c>
      <c r="AI979">
        <v>-1</v>
      </c>
      <c r="AJ979" t="s">
        <v>3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</row>
    <row r="980" spans="1:44" x14ac:dyDescent="0.2">
      <c r="A980">
        <f>ROW(Source!A268)</f>
        <v>268</v>
      </c>
      <c r="B980">
        <v>56617152</v>
      </c>
      <c r="C980">
        <v>56617149</v>
      </c>
      <c r="D980">
        <v>47767181</v>
      </c>
      <c r="E980">
        <v>1</v>
      </c>
      <c r="F980">
        <v>1</v>
      </c>
      <c r="G980">
        <v>27786564</v>
      </c>
      <c r="H980">
        <v>2</v>
      </c>
      <c r="I980" t="s">
        <v>588</v>
      </c>
      <c r="J980" t="s">
        <v>589</v>
      </c>
      <c r="K980" t="s">
        <v>590</v>
      </c>
      <c r="L980">
        <v>1368</v>
      </c>
      <c r="N980">
        <v>1011</v>
      </c>
      <c r="O980" t="s">
        <v>445</v>
      </c>
      <c r="P980" t="s">
        <v>445</v>
      </c>
      <c r="Q980">
        <v>1</v>
      </c>
      <c r="X980">
        <v>75</v>
      </c>
      <c r="Y980">
        <v>0</v>
      </c>
      <c r="Z980">
        <v>0.5</v>
      </c>
      <c r="AA980">
        <v>0</v>
      </c>
      <c r="AB980">
        <v>0</v>
      </c>
      <c r="AC980">
        <v>0</v>
      </c>
      <c r="AD980">
        <v>1</v>
      </c>
      <c r="AE980">
        <v>0</v>
      </c>
      <c r="AF980" t="s">
        <v>22</v>
      </c>
      <c r="AG980">
        <v>82.5</v>
      </c>
      <c r="AH980">
        <v>3</v>
      </c>
      <c r="AI980">
        <v>-1</v>
      </c>
      <c r="AJ980" t="s">
        <v>3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</row>
    <row r="981" spans="1:44" x14ac:dyDescent="0.2">
      <c r="A981">
        <f>ROW(Source!A268)</f>
        <v>268</v>
      </c>
      <c r="B981">
        <v>56617153</v>
      </c>
      <c r="C981">
        <v>56617149</v>
      </c>
      <c r="D981">
        <v>47766620</v>
      </c>
      <c r="E981">
        <v>1</v>
      </c>
      <c r="F981">
        <v>1</v>
      </c>
      <c r="G981">
        <v>27786564</v>
      </c>
      <c r="H981">
        <v>2</v>
      </c>
      <c r="I981" t="s">
        <v>591</v>
      </c>
      <c r="J981" t="s">
        <v>592</v>
      </c>
      <c r="K981" t="s">
        <v>593</v>
      </c>
      <c r="L981">
        <v>1368</v>
      </c>
      <c r="N981">
        <v>1011</v>
      </c>
      <c r="O981" t="s">
        <v>445</v>
      </c>
      <c r="P981" t="s">
        <v>445</v>
      </c>
      <c r="Q981">
        <v>1</v>
      </c>
      <c r="X981">
        <v>1.55</v>
      </c>
      <c r="Y981">
        <v>0</v>
      </c>
      <c r="Z981">
        <v>219.56</v>
      </c>
      <c r="AA981">
        <v>18.62</v>
      </c>
      <c r="AB981">
        <v>0</v>
      </c>
      <c r="AC981">
        <v>0</v>
      </c>
      <c r="AD981">
        <v>1</v>
      </c>
      <c r="AE981">
        <v>0</v>
      </c>
      <c r="AF981" t="s">
        <v>22</v>
      </c>
      <c r="AG981">
        <v>1.7050000000000003</v>
      </c>
      <c r="AH981">
        <v>3</v>
      </c>
      <c r="AI981">
        <v>-1</v>
      </c>
      <c r="AJ981" t="s">
        <v>3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</row>
    <row r="982" spans="1:44" x14ac:dyDescent="0.2">
      <c r="A982">
        <f>ROW(Source!A268)</f>
        <v>268</v>
      </c>
      <c r="B982">
        <v>56617154</v>
      </c>
      <c r="C982">
        <v>56617149</v>
      </c>
      <c r="D982">
        <v>47634960</v>
      </c>
      <c r="E982">
        <v>27786564</v>
      </c>
      <c r="F982">
        <v>1</v>
      </c>
      <c r="G982">
        <v>27786564</v>
      </c>
      <c r="H982">
        <v>2</v>
      </c>
      <c r="I982" t="s">
        <v>449</v>
      </c>
      <c r="J982" t="s">
        <v>3</v>
      </c>
      <c r="K982" t="s">
        <v>450</v>
      </c>
      <c r="L982">
        <v>1344</v>
      </c>
      <c r="N982">
        <v>1008</v>
      </c>
      <c r="O982" t="s">
        <v>451</v>
      </c>
      <c r="P982" t="s">
        <v>451</v>
      </c>
      <c r="Q982">
        <v>1</v>
      </c>
      <c r="X982">
        <v>3.74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1</v>
      </c>
      <c r="AE982">
        <v>0</v>
      </c>
      <c r="AF982" t="s">
        <v>22</v>
      </c>
      <c r="AG982">
        <v>4.1140000000000008</v>
      </c>
      <c r="AH982">
        <v>3</v>
      </c>
      <c r="AI982">
        <v>-1</v>
      </c>
      <c r="AJ982" t="s">
        <v>3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</row>
    <row r="983" spans="1:44" x14ac:dyDescent="0.2">
      <c r="A983">
        <f>ROW(Source!A269)</f>
        <v>269</v>
      </c>
      <c r="B983">
        <v>56617156</v>
      </c>
      <c r="C983">
        <v>56617155</v>
      </c>
      <c r="D983">
        <v>47634407</v>
      </c>
      <c r="E983">
        <v>27786564</v>
      </c>
      <c r="F983">
        <v>1</v>
      </c>
      <c r="G983">
        <v>27786564</v>
      </c>
      <c r="H983">
        <v>1</v>
      </c>
      <c r="I983" t="s">
        <v>439</v>
      </c>
      <c r="J983" t="s">
        <v>3</v>
      </c>
      <c r="K983" t="s">
        <v>440</v>
      </c>
      <c r="L983">
        <v>1191</v>
      </c>
      <c r="N983">
        <v>1013</v>
      </c>
      <c r="O983" t="s">
        <v>441</v>
      </c>
      <c r="P983" t="s">
        <v>441</v>
      </c>
      <c r="Q983">
        <v>1</v>
      </c>
      <c r="X983">
        <v>49.5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1</v>
      </c>
      <c r="AF983" t="s">
        <v>22</v>
      </c>
      <c r="AG983">
        <v>54.45</v>
      </c>
      <c r="AH983">
        <v>3</v>
      </c>
      <c r="AI983">
        <v>-1</v>
      </c>
      <c r="AJ983" t="s">
        <v>3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</row>
    <row r="984" spans="1:44" x14ac:dyDescent="0.2">
      <c r="A984">
        <f>ROW(Source!A269)</f>
        <v>269</v>
      </c>
      <c r="B984">
        <v>56617157</v>
      </c>
      <c r="C984">
        <v>56617155</v>
      </c>
      <c r="D984">
        <v>47766400</v>
      </c>
      <c r="E984">
        <v>1</v>
      </c>
      <c r="F984">
        <v>1</v>
      </c>
      <c r="G984">
        <v>27786564</v>
      </c>
      <c r="H984">
        <v>2</v>
      </c>
      <c r="I984" t="s">
        <v>446</v>
      </c>
      <c r="J984" t="s">
        <v>447</v>
      </c>
      <c r="K984" t="s">
        <v>448</v>
      </c>
      <c r="L984">
        <v>1368</v>
      </c>
      <c r="N984">
        <v>1011</v>
      </c>
      <c r="O984" t="s">
        <v>445</v>
      </c>
      <c r="P984" t="s">
        <v>445</v>
      </c>
      <c r="Q984">
        <v>1</v>
      </c>
      <c r="X984">
        <v>2.87</v>
      </c>
      <c r="Y984">
        <v>0</v>
      </c>
      <c r="Z984">
        <v>145.59</v>
      </c>
      <c r="AA984">
        <v>14.54</v>
      </c>
      <c r="AB984">
        <v>0</v>
      </c>
      <c r="AC984">
        <v>0</v>
      </c>
      <c r="AD984">
        <v>1</v>
      </c>
      <c r="AE984">
        <v>0</v>
      </c>
      <c r="AF984" t="s">
        <v>22</v>
      </c>
      <c r="AG984">
        <v>3.1570000000000005</v>
      </c>
      <c r="AH984">
        <v>3</v>
      </c>
      <c r="AI984">
        <v>-1</v>
      </c>
      <c r="AJ984" t="s">
        <v>3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</row>
    <row r="985" spans="1:44" x14ac:dyDescent="0.2">
      <c r="A985">
        <f>ROW(Source!A269)</f>
        <v>269</v>
      </c>
      <c r="B985">
        <v>56617158</v>
      </c>
      <c r="C985">
        <v>56617155</v>
      </c>
      <c r="D985">
        <v>47766383</v>
      </c>
      <c r="E985">
        <v>1</v>
      </c>
      <c r="F985">
        <v>1</v>
      </c>
      <c r="G985">
        <v>27786564</v>
      </c>
      <c r="H985">
        <v>2</v>
      </c>
      <c r="I985" t="s">
        <v>594</v>
      </c>
      <c r="J985" t="s">
        <v>595</v>
      </c>
      <c r="K985" t="s">
        <v>596</v>
      </c>
      <c r="L985">
        <v>1368</v>
      </c>
      <c r="N985">
        <v>1011</v>
      </c>
      <c r="O985" t="s">
        <v>445</v>
      </c>
      <c r="P985" t="s">
        <v>445</v>
      </c>
      <c r="Q985">
        <v>1</v>
      </c>
      <c r="X985">
        <v>7.86</v>
      </c>
      <c r="Y985">
        <v>0</v>
      </c>
      <c r="Z985">
        <v>245.8</v>
      </c>
      <c r="AA985">
        <v>16.93</v>
      </c>
      <c r="AB985">
        <v>0</v>
      </c>
      <c r="AC985">
        <v>0</v>
      </c>
      <c r="AD985">
        <v>1</v>
      </c>
      <c r="AE985">
        <v>0</v>
      </c>
      <c r="AF985" t="s">
        <v>22</v>
      </c>
      <c r="AG985">
        <v>8.6460000000000008</v>
      </c>
      <c r="AH985">
        <v>3</v>
      </c>
      <c r="AI985">
        <v>-1</v>
      </c>
      <c r="AJ985" t="s">
        <v>3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</row>
    <row r="986" spans="1:44" x14ac:dyDescent="0.2">
      <c r="A986">
        <f>ROW(Source!A269)</f>
        <v>269</v>
      </c>
      <c r="B986">
        <v>56617159</v>
      </c>
      <c r="C986">
        <v>56617155</v>
      </c>
      <c r="D986">
        <v>47634960</v>
      </c>
      <c r="E986">
        <v>27786564</v>
      </c>
      <c r="F986">
        <v>1</v>
      </c>
      <c r="G986">
        <v>27786564</v>
      </c>
      <c r="H986">
        <v>2</v>
      </c>
      <c r="I986" t="s">
        <v>449</v>
      </c>
      <c r="J986" t="s">
        <v>3</v>
      </c>
      <c r="K986" t="s">
        <v>450</v>
      </c>
      <c r="L986">
        <v>1344</v>
      </c>
      <c r="N986">
        <v>1008</v>
      </c>
      <c r="O986" t="s">
        <v>451</v>
      </c>
      <c r="P986" t="s">
        <v>451</v>
      </c>
      <c r="Q986">
        <v>1</v>
      </c>
      <c r="X986">
        <v>5.21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1</v>
      </c>
      <c r="AE986">
        <v>0</v>
      </c>
      <c r="AF986" t="s">
        <v>22</v>
      </c>
      <c r="AG986">
        <v>5.7310000000000008</v>
      </c>
      <c r="AH986">
        <v>3</v>
      </c>
      <c r="AI986">
        <v>-1</v>
      </c>
      <c r="AJ986" t="s">
        <v>3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</row>
    <row r="987" spans="1:44" x14ac:dyDescent="0.2">
      <c r="A987">
        <f>ROW(Source!A270)</f>
        <v>270</v>
      </c>
      <c r="B987">
        <v>56617156</v>
      </c>
      <c r="C987">
        <v>56617155</v>
      </c>
      <c r="D987">
        <v>47634407</v>
      </c>
      <c r="E987">
        <v>27786564</v>
      </c>
      <c r="F987">
        <v>1</v>
      </c>
      <c r="G987">
        <v>27786564</v>
      </c>
      <c r="H987">
        <v>1</v>
      </c>
      <c r="I987" t="s">
        <v>439</v>
      </c>
      <c r="J987" t="s">
        <v>3</v>
      </c>
      <c r="K987" t="s">
        <v>440</v>
      </c>
      <c r="L987">
        <v>1191</v>
      </c>
      <c r="N987">
        <v>1013</v>
      </c>
      <c r="O987" t="s">
        <v>441</v>
      </c>
      <c r="P987" t="s">
        <v>441</v>
      </c>
      <c r="Q987">
        <v>1</v>
      </c>
      <c r="X987">
        <v>49.5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1</v>
      </c>
      <c r="AF987" t="s">
        <v>22</v>
      </c>
      <c r="AG987">
        <v>54.45</v>
      </c>
      <c r="AH987">
        <v>3</v>
      </c>
      <c r="AI987">
        <v>-1</v>
      </c>
      <c r="AJ987" t="s">
        <v>3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</row>
    <row r="988" spans="1:44" x14ac:dyDescent="0.2">
      <c r="A988">
        <f>ROW(Source!A270)</f>
        <v>270</v>
      </c>
      <c r="B988">
        <v>56617157</v>
      </c>
      <c r="C988">
        <v>56617155</v>
      </c>
      <c r="D988">
        <v>47766400</v>
      </c>
      <c r="E988">
        <v>1</v>
      </c>
      <c r="F988">
        <v>1</v>
      </c>
      <c r="G988">
        <v>27786564</v>
      </c>
      <c r="H988">
        <v>2</v>
      </c>
      <c r="I988" t="s">
        <v>446</v>
      </c>
      <c r="J988" t="s">
        <v>447</v>
      </c>
      <c r="K988" t="s">
        <v>448</v>
      </c>
      <c r="L988">
        <v>1368</v>
      </c>
      <c r="N988">
        <v>1011</v>
      </c>
      <c r="O988" t="s">
        <v>445</v>
      </c>
      <c r="P988" t="s">
        <v>445</v>
      </c>
      <c r="Q988">
        <v>1</v>
      </c>
      <c r="X988">
        <v>2.87</v>
      </c>
      <c r="Y988">
        <v>0</v>
      </c>
      <c r="Z988">
        <v>145.59</v>
      </c>
      <c r="AA988">
        <v>14.54</v>
      </c>
      <c r="AB988">
        <v>0</v>
      </c>
      <c r="AC988">
        <v>0</v>
      </c>
      <c r="AD988">
        <v>1</v>
      </c>
      <c r="AE988">
        <v>0</v>
      </c>
      <c r="AF988" t="s">
        <v>22</v>
      </c>
      <c r="AG988">
        <v>3.1570000000000005</v>
      </c>
      <c r="AH988">
        <v>3</v>
      </c>
      <c r="AI988">
        <v>-1</v>
      </c>
      <c r="AJ988" t="s">
        <v>3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</row>
    <row r="989" spans="1:44" x14ac:dyDescent="0.2">
      <c r="A989">
        <f>ROW(Source!A270)</f>
        <v>270</v>
      </c>
      <c r="B989">
        <v>56617158</v>
      </c>
      <c r="C989">
        <v>56617155</v>
      </c>
      <c r="D989">
        <v>47766383</v>
      </c>
      <c r="E989">
        <v>1</v>
      </c>
      <c r="F989">
        <v>1</v>
      </c>
      <c r="G989">
        <v>27786564</v>
      </c>
      <c r="H989">
        <v>2</v>
      </c>
      <c r="I989" t="s">
        <v>594</v>
      </c>
      <c r="J989" t="s">
        <v>595</v>
      </c>
      <c r="K989" t="s">
        <v>596</v>
      </c>
      <c r="L989">
        <v>1368</v>
      </c>
      <c r="N989">
        <v>1011</v>
      </c>
      <c r="O989" t="s">
        <v>445</v>
      </c>
      <c r="P989" t="s">
        <v>445</v>
      </c>
      <c r="Q989">
        <v>1</v>
      </c>
      <c r="X989">
        <v>7.86</v>
      </c>
      <c r="Y989">
        <v>0</v>
      </c>
      <c r="Z989">
        <v>245.8</v>
      </c>
      <c r="AA989">
        <v>16.93</v>
      </c>
      <c r="AB989">
        <v>0</v>
      </c>
      <c r="AC989">
        <v>0</v>
      </c>
      <c r="AD989">
        <v>1</v>
      </c>
      <c r="AE989">
        <v>0</v>
      </c>
      <c r="AF989" t="s">
        <v>22</v>
      </c>
      <c r="AG989">
        <v>8.6460000000000008</v>
      </c>
      <c r="AH989">
        <v>3</v>
      </c>
      <c r="AI989">
        <v>-1</v>
      </c>
      <c r="AJ989" t="s">
        <v>3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</row>
    <row r="990" spans="1:44" x14ac:dyDescent="0.2">
      <c r="A990">
        <f>ROW(Source!A270)</f>
        <v>270</v>
      </c>
      <c r="B990">
        <v>56617159</v>
      </c>
      <c r="C990">
        <v>56617155</v>
      </c>
      <c r="D990">
        <v>47634960</v>
      </c>
      <c r="E990">
        <v>27786564</v>
      </c>
      <c r="F990">
        <v>1</v>
      </c>
      <c r="G990">
        <v>27786564</v>
      </c>
      <c r="H990">
        <v>2</v>
      </c>
      <c r="I990" t="s">
        <v>449</v>
      </c>
      <c r="J990" t="s">
        <v>3</v>
      </c>
      <c r="K990" t="s">
        <v>450</v>
      </c>
      <c r="L990">
        <v>1344</v>
      </c>
      <c r="N990">
        <v>1008</v>
      </c>
      <c r="O990" t="s">
        <v>451</v>
      </c>
      <c r="P990" t="s">
        <v>451</v>
      </c>
      <c r="Q990">
        <v>1</v>
      </c>
      <c r="X990">
        <v>5.21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1</v>
      </c>
      <c r="AE990">
        <v>0</v>
      </c>
      <c r="AF990" t="s">
        <v>22</v>
      </c>
      <c r="AG990">
        <v>5.7310000000000008</v>
      </c>
      <c r="AH990">
        <v>3</v>
      </c>
      <c r="AI990">
        <v>-1</v>
      </c>
      <c r="AJ990" t="s">
        <v>3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</row>
    <row r="991" spans="1:44" x14ac:dyDescent="0.2">
      <c r="A991">
        <f>ROW(Source!A271)</f>
        <v>271</v>
      </c>
      <c r="B991">
        <v>56617161</v>
      </c>
      <c r="C991">
        <v>56617160</v>
      </c>
      <c r="D991">
        <v>47634960</v>
      </c>
      <c r="E991">
        <v>27786564</v>
      </c>
      <c r="F991">
        <v>1</v>
      </c>
      <c r="G991">
        <v>27786564</v>
      </c>
      <c r="H991">
        <v>2</v>
      </c>
      <c r="I991" t="s">
        <v>449</v>
      </c>
      <c r="J991" t="s">
        <v>3</v>
      </c>
      <c r="K991" t="s">
        <v>450</v>
      </c>
      <c r="L991">
        <v>1344</v>
      </c>
      <c r="N991">
        <v>1008</v>
      </c>
      <c r="O991" t="s">
        <v>451</v>
      </c>
      <c r="P991" t="s">
        <v>451</v>
      </c>
      <c r="Q991">
        <v>1</v>
      </c>
      <c r="X991">
        <v>8.86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1</v>
      </c>
      <c r="AE991">
        <v>0</v>
      </c>
      <c r="AF991" t="s">
        <v>22</v>
      </c>
      <c r="AG991">
        <v>9.7460000000000004</v>
      </c>
      <c r="AH991">
        <v>3</v>
      </c>
      <c r="AI991">
        <v>-1</v>
      </c>
      <c r="AJ991" t="s">
        <v>3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</row>
    <row r="992" spans="1:44" x14ac:dyDescent="0.2">
      <c r="A992">
        <f>ROW(Source!A272)</f>
        <v>272</v>
      </c>
      <c r="B992">
        <v>56617161</v>
      </c>
      <c r="C992">
        <v>56617160</v>
      </c>
      <c r="D992">
        <v>47634960</v>
      </c>
      <c r="E992">
        <v>27786564</v>
      </c>
      <c r="F992">
        <v>1</v>
      </c>
      <c r="G992">
        <v>27786564</v>
      </c>
      <c r="H992">
        <v>2</v>
      </c>
      <c r="I992" t="s">
        <v>449</v>
      </c>
      <c r="J992" t="s">
        <v>3</v>
      </c>
      <c r="K992" t="s">
        <v>450</v>
      </c>
      <c r="L992">
        <v>1344</v>
      </c>
      <c r="N992">
        <v>1008</v>
      </c>
      <c r="O992" t="s">
        <v>451</v>
      </c>
      <c r="P992" t="s">
        <v>451</v>
      </c>
      <c r="Q992">
        <v>1</v>
      </c>
      <c r="X992">
        <v>8.86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1</v>
      </c>
      <c r="AE992">
        <v>0</v>
      </c>
      <c r="AF992" t="s">
        <v>22</v>
      </c>
      <c r="AG992">
        <v>9.7460000000000004</v>
      </c>
      <c r="AH992">
        <v>3</v>
      </c>
      <c r="AI992">
        <v>-1</v>
      </c>
      <c r="AJ992" t="s">
        <v>3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</row>
    <row r="993" spans="1:44" x14ac:dyDescent="0.2">
      <c r="A993">
        <f>ROW(Source!A273)</f>
        <v>273</v>
      </c>
      <c r="B993">
        <v>56617164</v>
      </c>
      <c r="C993">
        <v>56617162</v>
      </c>
      <c r="D993">
        <v>47634407</v>
      </c>
      <c r="E993">
        <v>27786564</v>
      </c>
      <c r="F993">
        <v>1</v>
      </c>
      <c r="G993">
        <v>27786564</v>
      </c>
      <c r="H993">
        <v>1</v>
      </c>
      <c r="I993" t="s">
        <v>439</v>
      </c>
      <c r="J993" t="s">
        <v>3</v>
      </c>
      <c r="K993" t="s">
        <v>440</v>
      </c>
      <c r="L993">
        <v>1191</v>
      </c>
      <c r="N993">
        <v>1013</v>
      </c>
      <c r="O993" t="s">
        <v>441</v>
      </c>
      <c r="P993" t="s">
        <v>441</v>
      </c>
      <c r="Q993">
        <v>1</v>
      </c>
      <c r="X993">
        <v>14.4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  <c r="AE993">
        <v>1</v>
      </c>
      <c r="AF993" t="s">
        <v>22</v>
      </c>
      <c r="AG993">
        <v>15.840000000000002</v>
      </c>
      <c r="AH993">
        <v>3</v>
      </c>
      <c r="AI993">
        <v>-1</v>
      </c>
      <c r="AJ993" t="s">
        <v>3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</row>
    <row r="994" spans="1:44" x14ac:dyDescent="0.2">
      <c r="A994">
        <f>ROW(Source!A273)</f>
        <v>273</v>
      </c>
      <c r="B994">
        <v>56617165</v>
      </c>
      <c r="C994">
        <v>56617162</v>
      </c>
      <c r="D994">
        <v>47766419</v>
      </c>
      <c r="E994">
        <v>1</v>
      </c>
      <c r="F994">
        <v>1</v>
      </c>
      <c r="G994">
        <v>27786564</v>
      </c>
      <c r="H994">
        <v>2</v>
      </c>
      <c r="I994" t="s">
        <v>597</v>
      </c>
      <c r="J994" t="s">
        <v>598</v>
      </c>
      <c r="K994" t="s">
        <v>599</v>
      </c>
      <c r="L994">
        <v>1368</v>
      </c>
      <c r="N994">
        <v>1011</v>
      </c>
      <c r="O994" t="s">
        <v>445</v>
      </c>
      <c r="P994" t="s">
        <v>445</v>
      </c>
      <c r="Q994">
        <v>1</v>
      </c>
      <c r="X994">
        <v>1.66</v>
      </c>
      <c r="Y994">
        <v>0</v>
      </c>
      <c r="Z994">
        <v>120.32</v>
      </c>
      <c r="AA994">
        <v>12.62</v>
      </c>
      <c r="AB994">
        <v>0</v>
      </c>
      <c r="AC994">
        <v>0</v>
      </c>
      <c r="AD994">
        <v>1</v>
      </c>
      <c r="AE994">
        <v>0</v>
      </c>
      <c r="AF994" t="s">
        <v>22</v>
      </c>
      <c r="AG994">
        <v>1.8260000000000001</v>
      </c>
      <c r="AH994">
        <v>3</v>
      </c>
      <c r="AI994">
        <v>-1</v>
      </c>
      <c r="AJ994" t="s">
        <v>3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</row>
    <row r="995" spans="1:44" x14ac:dyDescent="0.2">
      <c r="A995">
        <f>ROW(Source!A273)</f>
        <v>273</v>
      </c>
      <c r="B995">
        <v>56617166</v>
      </c>
      <c r="C995">
        <v>56617162</v>
      </c>
      <c r="D995">
        <v>47766660</v>
      </c>
      <c r="E995">
        <v>1</v>
      </c>
      <c r="F995">
        <v>1</v>
      </c>
      <c r="G995">
        <v>27786564</v>
      </c>
      <c r="H995">
        <v>2</v>
      </c>
      <c r="I995" t="s">
        <v>600</v>
      </c>
      <c r="J995" t="s">
        <v>601</v>
      </c>
      <c r="K995" t="s">
        <v>602</v>
      </c>
      <c r="L995">
        <v>1368</v>
      </c>
      <c r="N995">
        <v>1011</v>
      </c>
      <c r="O995" t="s">
        <v>445</v>
      </c>
      <c r="P995" t="s">
        <v>445</v>
      </c>
      <c r="Q995">
        <v>1</v>
      </c>
      <c r="X995">
        <v>1.66</v>
      </c>
      <c r="Y995">
        <v>0</v>
      </c>
      <c r="Z995">
        <v>281.32</v>
      </c>
      <c r="AA995">
        <v>16.93</v>
      </c>
      <c r="AB995">
        <v>0</v>
      </c>
      <c r="AC995">
        <v>0</v>
      </c>
      <c r="AD995">
        <v>1</v>
      </c>
      <c r="AE995">
        <v>0</v>
      </c>
      <c r="AF995" t="s">
        <v>22</v>
      </c>
      <c r="AG995">
        <v>1.8260000000000001</v>
      </c>
      <c r="AH995">
        <v>3</v>
      </c>
      <c r="AI995">
        <v>-1</v>
      </c>
      <c r="AJ995" t="s">
        <v>3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</row>
    <row r="996" spans="1:44" x14ac:dyDescent="0.2">
      <c r="A996">
        <f>ROW(Source!A273)</f>
        <v>273</v>
      </c>
      <c r="B996">
        <v>56617167</v>
      </c>
      <c r="C996">
        <v>56617162</v>
      </c>
      <c r="D996">
        <v>47766605</v>
      </c>
      <c r="E996">
        <v>1</v>
      </c>
      <c r="F996">
        <v>1</v>
      </c>
      <c r="G996">
        <v>27786564</v>
      </c>
      <c r="H996">
        <v>2</v>
      </c>
      <c r="I996" t="s">
        <v>603</v>
      </c>
      <c r="J996" t="s">
        <v>604</v>
      </c>
      <c r="K996" t="s">
        <v>605</v>
      </c>
      <c r="L996">
        <v>1368</v>
      </c>
      <c r="N996">
        <v>1011</v>
      </c>
      <c r="O996" t="s">
        <v>445</v>
      </c>
      <c r="P996" t="s">
        <v>445</v>
      </c>
      <c r="Q996">
        <v>1</v>
      </c>
      <c r="X996">
        <v>0.65</v>
      </c>
      <c r="Y996">
        <v>0</v>
      </c>
      <c r="Z996">
        <v>140.38</v>
      </c>
      <c r="AA996">
        <v>12.62</v>
      </c>
      <c r="AB996">
        <v>0</v>
      </c>
      <c r="AC996">
        <v>0</v>
      </c>
      <c r="AD996">
        <v>1</v>
      </c>
      <c r="AE996">
        <v>0</v>
      </c>
      <c r="AF996" t="s">
        <v>22</v>
      </c>
      <c r="AG996">
        <v>0.71500000000000008</v>
      </c>
      <c r="AH996">
        <v>3</v>
      </c>
      <c r="AI996">
        <v>-1</v>
      </c>
      <c r="AJ996" t="s">
        <v>3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</row>
    <row r="997" spans="1:44" x14ac:dyDescent="0.2">
      <c r="A997">
        <f>ROW(Source!A273)</f>
        <v>273</v>
      </c>
      <c r="B997">
        <v>56617168</v>
      </c>
      <c r="C997">
        <v>56617162</v>
      </c>
      <c r="D997">
        <v>47766620</v>
      </c>
      <c r="E997">
        <v>1</v>
      </c>
      <c r="F997">
        <v>1</v>
      </c>
      <c r="G997">
        <v>27786564</v>
      </c>
      <c r="H997">
        <v>2</v>
      </c>
      <c r="I997" t="s">
        <v>591</v>
      </c>
      <c r="J997" t="s">
        <v>592</v>
      </c>
      <c r="K997" t="s">
        <v>593</v>
      </c>
      <c r="L997">
        <v>1368</v>
      </c>
      <c r="N997">
        <v>1011</v>
      </c>
      <c r="O997" t="s">
        <v>445</v>
      </c>
      <c r="P997" t="s">
        <v>445</v>
      </c>
      <c r="Q997">
        <v>1</v>
      </c>
      <c r="X997">
        <v>1.55</v>
      </c>
      <c r="Y997">
        <v>0</v>
      </c>
      <c r="Z997">
        <v>219.56</v>
      </c>
      <c r="AA997">
        <v>18.62</v>
      </c>
      <c r="AB997">
        <v>0</v>
      </c>
      <c r="AC997">
        <v>0</v>
      </c>
      <c r="AD997">
        <v>1</v>
      </c>
      <c r="AE997">
        <v>0</v>
      </c>
      <c r="AF997" t="s">
        <v>22</v>
      </c>
      <c r="AG997">
        <v>1.7050000000000003</v>
      </c>
      <c r="AH997">
        <v>3</v>
      </c>
      <c r="AI997">
        <v>-1</v>
      </c>
      <c r="AJ997" t="s">
        <v>3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</row>
    <row r="998" spans="1:44" x14ac:dyDescent="0.2">
      <c r="A998">
        <f>ROW(Source!A273)</f>
        <v>273</v>
      </c>
      <c r="B998">
        <v>56617169</v>
      </c>
      <c r="C998">
        <v>56617162</v>
      </c>
      <c r="D998">
        <v>47766599</v>
      </c>
      <c r="E998">
        <v>1</v>
      </c>
      <c r="F998">
        <v>1</v>
      </c>
      <c r="G998">
        <v>27786564</v>
      </c>
      <c r="H998">
        <v>2</v>
      </c>
      <c r="I998" t="s">
        <v>606</v>
      </c>
      <c r="J998" t="s">
        <v>607</v>
      </c>
      <c r="K998" t="s">
        <v>608</v>
      </c>
      <c r="L998">
        <v>1368</v>
      </c>
      <c r="N998">
        <v>1011</v>
      </c>
      <c r="O998" t="s">
        <v>445</v>
      </c>
      <c r="P998" t="s">
        <v>445</v>
      </c>
      <c r="Q998">
        <v>1</v>
      </c>
      <c r="X998">
        <v>0.52</v>
      </c>
      <c r="Y998">
        <v>0</v>
      </c>
      <c r="Z998">
        <v>180.35</v>
      </c>
      <c r="AA998">
        <v>16.93</v>
      </c>
      <c r="AB998">
        <v>0</v>
      </c>
      <c r="AC998">
        <v>0</v>
      </c>
      <c r="AD998">
        <v>1</v>
      </c>
      <c r="AE998">
        <v>0</v>
      </c>
      <c r="AF998" t="s">
        <v>22</v>
      </c>
      <c r="AG998">
        <v>0.57200000000000006</v>
      </c>
      <c r="AH998">
        <v>3</v>
      </c>
      <c r="AI998">
        <v>-1</v>
      </c>
      <c r="AJ998" t="s">
        <v>3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</row>
    <row r="999" spans="1:44" x14ac:dyDescent="0.2">
      <c r="A999">
        <f>ROW(Source!A273)</f>
        <v>273</v>
      </c>
      <c r="B999">
        <v>56617170</v>
      </c>
      <c r="C999">
        <v>56617162</v>
      </c>
      <c r="D999">
        <v>30390465</v>
      </c>
      <c r="E999">
        <v>1</v>
      </c>
      <c r="F999">
        <v>1</v>
      </c>
      <c r="G999">
        <v>27786564</v>
      </c>
      <c r="H999">
        <v>3</v>
      </c>
      <c r="I999" t="s">
        <v>609</v>
      </c>
      <c r="J999" t="s">
        <v>610</v>
      </c>
      <c r="K999" t="s">
        <v>611</v>
      </c>
      <c r="L999">
        <v>1339</v>
      </c>
      <c r="N999">
        <v>1007</v>
      </c>
      <c r="O999" t="s">
        <v>93</v>
      </c>
      <c r="P999" t="s">
        <v>93</v>
      </c>
      <c r="Q999">
        <v>1</v>
      </c>
      <c r="X999">
        <v>5</v>
      </c>
      <c r="Y999">
        <v>7.07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 t="s">
        <v>3</v>
      </c>
      <c r="AG999">
        <v>5</v>
      </c>
      <c r="AH999">
        <v>3</v>
      </c>
      <c r="AI999">
        <v>-1</v>
      </c>
      <c r="AJ999" t="s">
        <v>3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</row>
    <row r="1000" spans="1:44" x14ac:dyDescent="0.2">
      <c r="A1000">
        <f>ROW(Source!A273)</f>
        <v>273</v>
      </c>
      <c r="B1000">
        <v>56617171</v>
      </c>
      <c r="C1000">
        <v>56617162</v>
      </c>
      <c r="D1000">
        <v>30384156</v>
      </c>
      <c r="E1000">
        <v>27786564</v>
      </c>
      <c r="F1000">
        <v>1</v>
      </c>
      <c r="G1000">
        <v>27786564</v>
      </c>
      <c r="H1000">
        <v>3</v>
      </c>
      <c r="I1000" t="s">
        <v>539</v>
      </c>
      <c r="J1000" t="s">
        <v>3</v>
      </c>
      <c r="K1000" t="s">
        <v>540</v>
      </c>
      <c r="L1000">
        <v>1339</v>
      </c>
      <c r="N1000">
        <v>1007</v>
      </c>
      <c r="O1000" t="s">
        <v>93</v>
      </c>
      <c r="P1000" t="s">
        <v>93</v>
      </c>
      <c r="Q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 t="s">
        <v>3</v>
      </c>
      <c r="AG1000">
        <v>0</v>
      </c>
      <c r="AH1000">
        <v>3</v>
      </c>
      <c r="AI1000">
        <v>-1</v>
      </c>
      <c r="AJ1000" t="s">
        <v>3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</row>
    <row r="1001" spans="1:44" x14ac:dyDescent="0.2">
      <c r="A1001">
        <f>ROW(Source!A274)</f>
        <v>274</v>
      </c>
      <c r="B1001">
        <v>56617164</v>
      </c>
      <c r="C1001">
        <v>56617162</v>
      </c>
      <c r="D1001">
        <v>47634407</v>
      </c>
      <c r="E1001">
        <v>27786564</v>
      </c>
      <c r="F1001">
        <v>1</v>
      </c>
      <c r="G1001">
        <v>27786564</v>
      </c>
      <c r="H1001">
        <v>1</v>
      </c>
      <c r="I1001" t="s">
        <v>439</v>
      </c>
      <c r="J1001" t="s">
        <v>3</v>
      </c>
      <c r="K1001" t="s">
        <v>440</v>
      </c>
      <c r="L1001">
        <v>1191</v>
      </c>
      <c r="N1001">
        <v>1013</v>
      </c>
      <c r="O1001" t="s">
        <v>441</v>
      </c>
      <c r="P1001" t="s">
        <v>441</v>
      </c>
      <c r="Q1001">
        <v>1</v>
      </c>
      <c r="X1001">
        <v>14.4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1</v>
      </c>
      <c r="AF1001" t="s">
        <v>22</v>
      </c>
      <c r="AG1001">
        <v>15.840000000000002</v>
      </c>
      <c r="AH1001">
        <v>3</v>
      </c>
      <c r="AI1001">
        <v>-1</v>
      </c>
      <c r="AJ1001" t="s">
        <v>3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</row>
    <row r="1002" spans="1:44" x14ac:dyDescent="0.2">
      <c r="A1002">
        <f>ROW(Source!A274)</f>
        <v>274</v>
      </c>
      <c r="B1002">
        <v>56617165</v>
      </c>
      <c r="C1002">
        <v>56617162</v>
      </c>
      <c r="D1002">
        <v>47766419</v>
      </c>
      <c r="E1002">
        <v>1</v>
      </c>
      <c r="F1002">
        <v>1</v>
      </c>
      <c r="G1002">
        <v>27786564</v>
      </c>
      <c r="H1002">
        <v>2</v>
      </c>
      <c r="I1002" t="s">
        <v>597</v>
      </c>
      <c r="J1002" t="s">
        <v>598</v>
      </c>
      <c r="K1002" t="s">
        <v>599</v>
      </c>
      <c r="L1002">
        <v>1368</v>
      </c>
      <c r="N1002">
        <v>1011</v>
      </c>
      <c r="O1002" t="s">
        <v>445</v>
      </c>
      <c r="P1002" t="s">
        <v>445</v>
      </c>
      <c r="Q1002">
        <v>1</v>
      </c>
      <c r="X1002">
        <v>1.66</v>
      </c>
      <c r="Y1002">
        <v>0</v>
      </c>
      <c r="Z1002">
        <v>120.32</v>
      </c>
      <c r="AA1002">
        <v>12.62</v>
      </c>
      <c r="AB1002">
        <v>0</v>
      </c>
      <c r="AC1002">
        <v>0</v>
      </c>
      <c r="AD1002">
        <v>1</v>
      </c>
      <c r="AE1002">
        <v>0</v>
      </c>
      <c r="AF1002" t="s">
        <v>22</v>
      </c>
      <c r="AG1002">
        <v>1.8260000000000001</v>
      </c>
      <c r="AH1002">
        <v>3</v>
      </c>
      <c r="AI1002">
        <v>-1</v>
      </c>
      <c r="AJ1002" t="s">
        <v>3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</row>
    <row r="1003" spans="1:44" x14ac:dyDescent="0.2">
      <c r="A1003">
        <f>ROW(Source!A274)</f>
        <v>274</v>
      </c>
      <c r="B1003">
        <v>56617166</v>
      </c>
      <c r="C1003">
        <v>56617162</v>
      </c>
      <c r="D1003">
        <v>47766660</v>
      </c>
      <c r="E1003">
        <v>1</v>
      </c>
      <c r="F1003">
        <v>1</v>
      </c>
      <c r="G1003">
        <v>27786564</v>
      </c>
      <c r="H1003">
        <v>2</v>
      </c>
      <c r="I1003" t="s">
        <v>600</v>
      </c>
      <c r="J1003" t="s">
        <v>601</v>
      </c>
      <c r="K1003" t="s">
        <v>602</v>
      </c>
      <c r="L1003">
        <v>1368</v>
      </c>
      <c r="N1003">
        <v>1011</v>
      </c>
      <c r="O1003" t="s">
        <v>445</v>
      </c>
      <c r="P1003" t="s">
        <v>445</v>
      </c>
      <c r="Q1003">
        <v>1</v>
      </c>
      <c r="X1003">
        <v>1.66</v>
      </c>
      <c r="Y1003">
        <v>0</v>
      </c>
      <c r="Z1003">
        <v>281.32</v>
      </c>
      <c r="AA1003">
        <v>16.93</v>
      </c>
      <c r="AB1003">
        <v>0</v>
      </c>
      <c r="AC1003">
        <v>0</v>
      </c>
      <c r="AD1003">
        <v>1</v>
      </c>
      <c r="AE1003">
        <v>0</v>
      </c>
      <c r="AF1003" t="s">
        <v>22</v>
      </c>
      <c r="AG1003">
        <v>1.8260000000000001</v>
      </c>
      <c r="AH1003">
        <v>3</v>
      </c>
      <c r="AI1003">
        <v>-1</v>
      </c>
      <c r="AJ1003" t="s">
        <v>3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</row>
    <row r="1004" spans="1:44" x14ac:dyDescent="0.2">
      <c r="A1004">
        <f>ROW(Source!A274)</f>
        <v>274</v>
      </c>
      <c r="B1004">
        <v>56617167</v>
      </c>
      <c r="C1004">
        <v>56617162</v>
      </c>
      <c r="D1004">
        <v>47766605</v>
      </c>
      <c r="E1004">
        <v>1</v>
      </c>
      <c r="F1004">
        <v>1</v>
      </c>
      <c r="G1004">
        <v>27786564</v>
      </c>
      <c r="H1004">
        <v>2</v>
      </c>
      <c r="I1004" t="s">
        <v>603</v>
      </c>
      <c r="J1004" t="s">
        <v>604</v>
      </c>
      <c r="K1004" t="s">
        <v>605</v>
      </c>
      <c r="L1004">
        <v>1368</v>
      </c>
      <c r="N1004">
        <v>1011</v>
      </c>
      <c r="O1004" t="s">
        <v>445</v>
      </c>
      <c r="P1004" t="s">
        <v>445</v>
      </c>
      <c r="Q1004">
        <v>1</v>
      </c>
      <c r="X1004">
        <v>0.65</v>
      </c>
      <c r="Y1004">
        <v>0</v>
      </c>
      <c r="Z1004">
        <v>140.38</v>
      </c>
      <c r="AA1004">
        <v>12.62</v>
      </c>
      <c r="AB1004">
        <v>0</v>
      </c>
      <c r="AC1004">
        <v>0</v>
      </c>
      <c r="AD1004">
        <v>1</v>
      </c>
      <c r="AE1004">
        <v>0</v>
      </c>
      <c r="AF1004" t="s">
        <v>22</v>
      </c>
      <c r="AG1004">
        <v>0.71500000000000008</v>
      </c>
      <c r="AH1004">
        <v>3</v>
      </c>
      <c r="AI1004">
        <v>-1</v>
      </c>
      <c r="AJ1004" t="s">
        <v>3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</row>
    <row r="1005" spans="1:44" x14ac:dyDescent="0.2">
      <c r="A1005">
        <f>ROW(Source!A274)</f>
        <v>274</v>
      </c>
      <c r="B1005">
        <v>56617168</v>
      </c>
      <c r="C1005">
        <v>56617162</v>
      </c>
      <c r="D1005">
        <v>47766620</v>
      </c>
      <c r="E1005">
        <v>1</v>
      </c>
      <c r="F1005">
        <v>1</v>
      </c>
      <c r="G1005">
        <v>27786564</v>
      </c>
      <c r="H1005">
        <v>2</v>
      </c>
      <c r="I1005" t="s">
        <v>591</v>
      </c>
      <c r="J1005" t="s">
        <v>592</v>
      </c>
      <c r="K1005" t="s">
        <v>593</v>
      </c>
      <c r="L1005">
        <v>1368</v>
      </c>
      <c r="N1005">
        <v>1011</v>
      </c>
      <c r="O1005" t="s">
        <v>445</v>
      </c>
      <c r="P1005" t="s">
        <v>445</v>
      </c>
      <c r="Q1005">
        <v>1</v>
      </c>
      <c r="X1005">
        <v>1.55</v>
      </c>
      <c r="Y1005">
        <v>0</v>
      </c>
      <c r="Z1005">
        <v>219.56</v>
      </c>
      <c r="AA1005">
        <v>18.62</v>
      </c>
      <c r="AB1005">
        <v>0</v>
      </c>
      <c r="AC1005">
        <v>0</v>
      </c>
      <c r="AD1005">
        <v>1</v>
      </c>
      <c r="AE1005">
        <v>0</v>
      </c>
      <c r="AF1005" t="s">
        <v>22</v>
      </c>
      <c r="AG1005">
        <v>1.7050000000000003</v>
      </c>
      <c r="AH1005">
        <v>3</v>
      </c>
      <c r="AI1005">
        <v>-1</v>
      </c>
      <c r="AJ1005" t="s">
        <v>3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</row>
    <row r="1006" spans="1:44" x14ac:dyDescent="0.2">
      <c r="A1006">
        <f>ROW(Source!A274)</f>
        <v>274</v>
      </c>
      <c r="B1006">
        <v>56617169</v>
      </c>
      <c r="C1006">
        <v>56617162</v>
      </c>
      <c r="D1006">
        <v>47766599</v>
      </c>
      <c r="E1006">
        <v>1</v>
      </c>
      <c r="F1006">
        <v>1</v>
      </c>
      <c r="G1006">
        <v>27786564</v>
      </c>
      <c r="H1006">
        <v>2</v>
      </c>
      <c r="I1006" t="s">
        <v>606</v>
      </c>
      <c r="J1006" t="s">
        <v>607</v>
      </c>
      <c r="K1006" t="s">
        <v>608</v>
      </c>
      <c r="L1006">
        <v>1368</v>
      </c>
      <c r="N1006">
        <v>1011</v>
      </c>
      <c r="O1006" t="s">
        <v>445</v>
      </c>
      <c r="P1006" t="s">
        <v>445</v>
      </c>
      <c r="Q1006">
        <v>1</v>
      </c>
      <c r="X1006">
        <v>0.52</v>
      </c>
      <c r="Y1006">
        <v>0</v>
      </c>
      <c r="Z1006">
        <v>180.35</v>
      </c>
      <c r="AA1006">
        <v>16.93</v>
      </c>
      <c r="AB1006">
        <v>0</v>
      </c>
      <c r="AC1006">
        <v>0</v>
      </c>
      <c r="AD1006">
        <v>1</v>
      </c>
      <c r="AE1006">
        <v>0</v>
      </c>
      <c r="AF1006" t="s">
        <v>22</v>
      </c>
      <c r="AG1006">
        <v>0.57200000000000006</v>
      </c>
      <c r="AH1006">
        <v>3</v>
      </c>
      <c r="AI1006">
        <v>-1</v>
      </c>
      <c r="AJ1006" t="s">
        <v>3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</row>
    <row r="1007" spans="1:44" x14ac:dyDescent="0.2">
      <c r="A1007">
        <f>ROW(Source!A274)</f>
        <v>274</v>
      </c>
      <c r="B1007">
        <v>56617170</v>
      </c>
      <c r="C1007">
        <v>56617162</v>
      </c>
      <c r="D1007">
        <v>30390465</v>
      </c>
      <c r="E1007">
        <v>1</v>
      </c>
      <c r="F1007">
        <v>1</v>
      </c>
      <c r="G1007">
        <v>27786564</v>
      </c>
      <c r="H1007">
        <v>3</v>
      </c>
      <c r="I1007" t="s">
        <v>609</v>
      </c>
      <c r="J1007" t="s">
        <v>610</v>
      </c>
      <c r="K1007" t="s">
        <v>611</v>
      </c>
      <c r="L1007">
        <v>1339</v>
      </c>
      <c r="N1007">
        <v>1007</v>
      </c>
      <c r="O1007" t="s">
        <v>93</v>
      </c>
      <c r="P1007" t="s">
        <v>93</v>
      </c>
      <c r="Q1007">
        <v>1</v>
      </c>
      <c r="X1007">
        <v>5</v>
      </c>
      <c r="Y1007">
        <v>7.07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 t="s">
        <v>3</v>
      </c>
      <c r="AG1007">
        <v>5</v>
      </c>
      <c r="AH1007">
        <v>3</v>
      </c>
      <c r="AI1007">
        <v>-1</v>
      </c>
      <c r="AJ1007" t="s">
        <v>3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</row>
    <row r="1008" spans="1:44" x14ac:dyDescent="0.2">
      <c r="A1008">
        <f>ROW(Source!A274)</f>
        <v>274</v>
      </c>
      <c r="B1008">
        <v>56617171</v>
      </c>
      <c r="C1008">
        <v>56617162</v>
      </c>
      <c r="D1008">
        <v>30384156</v>
      </c>
      <c r="E1008">
        <v>27786564</v>
      </c>
      <c r="F1008">
        <v>1</v>
      </c>
      <c r="G1008">
        <v>27786564</v>
      </c>
      <c r="H1008">
        <v>3</v>
      </c>
      <c r="I1008" t="s">
        <v>539</v>
      </c>
      <c r="J1008" t="s">
        <v>3</v>
      </c>
      <c r="K1008" t="s">
        <v>540</v>
      </c>
      <c r="L1008">
        <v>1339</v>
      </c>
      <c r="N1008">
        <v>1007</v>
      </c>
      <c r="O1008" t="s">
        <v>93</v>
      </c>
      <c r="P1008" t="s">
        <v>93</v>
      </c>
      <c r="Q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 t="s">
        <v>3</v>
      </c>
      <c r="AG1008">
        <v>0</v>
      </c>
      <c r="AH1008">
        <v>3</v>
      </c>
      <c r="AI1008">
        <v>-1</v>
      </c>
      <c r="AJ1008" t="s">
        <v>3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</row>
    <row r="1009" spans="1:44" x14ac:dyDescent="0.2">
      <c r="A1009">
        <f>ROW(Source!A277)</f>
        <v>277</v>
      </c>
      <c r="B1009">
        <v>56617175</v>
      </c>
      <c r="C1009">
        <v>56617173</v>
      </c>
      <c r="D1009">
        <v>47634407</v>
      </c>
      <c r="E1009">
        <v>27786564</v>
      </c>
      <c r="F1009">
        <v>1</v>
      </c>
      <c r="G1009">
        <v>27786564</v>
      </c>
      <c r="H1009">
        <v>1</v>
      </c>
      <c r="I1009" t="s">
        <v>439</v>
      </c>
      <c r="J1009" t="s">
        <v>3</v>
      </c>
      <c r="K1009" t="s">
        <v>440</v>
      </c>
      <c r="L1009">
        <v>1191</v>
      </c>
      <c r="N1009">
        <v>1013</v>
      </c>
      <c r="O1009" t="s">
        <v>441</v>
      </c>
      <c r="P1009" t="s">
        <v>441</v>
      </c>
      <c r="Q1009">
        <v>1</v>
      </c>
      <c r="X1009">
        <v>267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1</v>
      </c>
      <c r="AF1009" t="s">
        <v>22</v>
      </c>
      <c r="AG1009">
        <v>293.70000000000005</v>
      </c>
      <c r="AH1009">
        <v>3</v>
      </c>
      <c r="AI1009">
        <v>-1</v>
      </c>
      <c r="AJ1009" t="s">
        <v>3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</row>
    <row r="1010" spans="1:44" x14ac:dyDescent="0.2">
      <c r="A1010">
        <f>ROW(Source!A277)</f>
        <v>277</v>
      </c>
      <c r="B1010">
        <v>56617176</v>
      </c>
      <c r="C1010">
        <v>56617173</v>
      </c>
      <c r="D1010">
        <v>47767106</v>
      </c>
      <c r="E1010">
        <v>1</v>
      </c>
      <c r="F1010">
        <v>1</v>
      </c>
      <c r="G1010">
        <v>27786564</v>
      </c>
      <c r="H1010">
        <v>2</v>
      </c>
      <c r="I1010" t="s">
        <v>487</v>
      </c>
      <c r="J1010" t="s">
        <v>488</v>
      </c>
      <c r="K1010" t="s">
        <v>489</v>
      </c>
      <c r="L1010">
        <v>1368</v>
      </c>
      <c r="N1010">
        <v>1011</v>
      </c>
      <c r="O1010" t="s">
        <v>445</v>
      </c>
      <c r="P1010" t="s">
        <v>445</v>
      </c>
      <c r="Q1010">
        <v>1</v>
      </c>
      <c r="X1010">
        <v>0.59</v>
      </c>
      <c r="Y1010">
        <v>0</v>
      </c>
      <c r="Z1010">
        <v>83.1</v>
      </c>
      <c r="AA1010">
        <v>12.62</v>
      </c>
      <c r="AB1010">
        <v>0</v>
      </c>
      <c r="AC1010">
        <v>0</v>
      </c>
      <c r="AD1010">
        <v>1</v>
      </c>
      <c r="AE1010">
        <v>0</v>
      </c>
      <c r="AF1010" t="s">
        <v>22</v>
      </c>
      <c r="AG1010">
        <v>0.64900000000000002</v>
      </c>
      <c r="AH1010">
        <v>3</v>
      </c>
      <c r="AI1010">
        <v>-1</v>
      </c>
      <c r="AJ1010" t="s">
        <v>3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</row>
    <row r="1011" spans="1:44" x14ac:dyDescent="0.2">
      <c r="A1011">
        <f>ROW(Source!A277)</f>
        <v>277</v>
      </c>
      <c r="B1011">
        <v>56617177</v>
      </c>
      <c r="C1011">
        <v>56617173</v>
      </c>
      <c r="D1011">
        <v>47766454</v>
      </c>
      <c r="E1011">
        <v>1</v>
      </c>
      <c r="F1011">
        <v>1</v>
      </c>
      <c r="G1011">
        <v>27786564</v>
      </c>
      <c r="H1011">
        <v>2</v>
      </c>
      <c r="I1011" t="s">
        <v>464</v>
      </c>
      <c r="J1011" t="s">
        <v>465</v>
      </c>
      <c r="K1011" t="s">
        <v>466</v>
      </c>
      <c r="L1011">
        <v>1368</v>
      </c>
      <c r="N1011">
        <v>1011</v>
      </c>
      <c r="O1011" t="s">
        <v>445</v>
      </c>
      <c r="P1011" t="s">
        <v>445</v>
      </c>
      <c r="Q1011">
        <v>1</v>
      </c>
      <c r="X1011">
        <v>0.45</v>
      </c>
      <c r="Y1011">
        <v>0</v>
      </c>
      <c r="Z1011">
        <v>179.17</v>
      </c>
      <c r="AA1011">
        <v>16.93</v>
      </c>
      <c r="AB1011">
        <v>0</v>
      </c>
      <c r="AC1011">
        <v>0</v>
      </c>
      <c r="AD1011">
        <v>1</v>
      </c>
      <c r="AE1011">
        <v>0</v>
      </c>
      <c r="AF1011" t="s">
        <v>22</v>
      </c>
      <c r="AG1011">
        <v>0.49500000000000005</v>
      </c>
      <c r="AH1011">
        <v>3</v>
      </c>
      <c r="AI1011">
        <v>-1</v>
      </c>
      <c r="AJ1011" t="s">
        <v>3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</row>
    <row r="1012" spans="1:44" x14ac:dyDescent="0.2">
      <c r="A1012">
        <f>ROW(Source!A277)</f>
        <v>277</v>
      </c>
      <c r="B1012">
        <v>56617178</v>
      </c>
      <c r="C1012">
        <v>56617173</v>
      </c>
      <c r="D1012">
        <v>50545252</v>
      </c>
      <c r="E1012">
        <v>1</v>
      </c>
      <c r="F1012">
        <v>1</v>
      </c>
      <c r="G1012">
        <v>27786564</v>
      </c>
      <c r="H1012">
        <v>2</v>
      </c>
      <c r="I1012" t="s">
        <v>603</v>
      </c>
      <c r="J1012" t="s">
        <v>612</v>
      </c>
      <c r="K1012" t="s">
        <v>605</v>
      </c>
      <c r="L1012">
        <v>1368</v>
      </c>
      <c r="N1012">
        <v>1011</v>
      </c>
      <c r="O1012" t="s">
        <v>445</v>
      </c>
      <c r="P1012" t="s">
        <v>445</v>
      </c>
      <c r="Q1012">
        <v>1</v>
      </c>
      <c r="X1012">
        <v>11.76</v>
      </c>
      <c r="Y1012">
        <v>0</v>
      </c>
      <c r="Z1012">
        <v>140.38</v>
      </c>
      <c r="AA1012">
        <v>12.62</v>
      </c>
      <c r="AB1012">
        <v>0</v>
      </c>
      <c r="AC1012">
        <v>0</v>
      </c>
      <c r="AD1012">
        <v>1</v>
      </c>
      <c r="AE1012">
        <v>0</v>
      </c>
      <c r="AF1012" t="s">
        <v>22</v>
      </c>
      <c r="AG1012">
        <v>12.936</v>
      </c>
      <c r="AH1012">
        <v>3</v>
      </c>
      <c r="AI1012">
        <v>-1</v>
      </c>
      <c r="AJ1012" t="s">
        <v>3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</row>
    <row r="1013" spans="1:44" x14ac:dyDescent="0.2">
      <c r="A1013">
        <f>ROW(Source!A277)</f>
        <v>277</v>
      </c>
      <c r="B1013">
        <v>56617179</v>
      </c>
      <c r="C1013">
        <v>56617173</v>
      </c>
      <c r="D1013">
        <v>47766627</v>
      </c>
      <c r="E1013">
        <v>1</v>
      </c>
      <c r="F1013">
        <v>1</v>
      </c>
      <c r="G1013">
        <v>27786564</v>
      </c>
      <c r="H1013">
        <v>2</v>
      </c>
      <c r="I1013" t="s">
        <v>613</v>
      </c>
      <c r="J1013" t="s">
        <v>614</v>
      </c>
      <c r="K1013" t="s">
        <v>615</v>
      </c>
      <c r="L1013">
        <v>1368</v>
      </c>
      <c r="N1013">
        <v>1011</v>
      </c>
      <c r="O1013" t="s">
        <v>445</v>
      </c>
      <c r="P1013" t="s">
        <v>445</v>
      </c>
      <c r="Q1013">
        <v>1</v>
      </c>
      <c r="X1013">
        <v>10.8</v>
      </c>
      <c r="Y1013">
        <v>0</v>
      </c>
      <c r="Z1013">
        <v>20.51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 t="s">
        <v>22</v>
      </c>
      <c r="AG1013">
        <v>11.880000000000003</v>
      </c>
      <c r="AH1013">
        <v>3</v>
      </c>
      <c r="AI1013">
        <v>-1</v>
      </c>
      <c r="AJ1013" t="s">
        <v>3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</row>
    <row r="1014" spans="1:44" x14ac:dyDescent="0.2">
      <c r="A1014">
        <f>ROW(Source!A277)</f>
        <v>277</v>
      </c>
      <c r="B1014">
        <v>56617180</v>
      </c>
      <c r="C1014">
        <v>56617173</v>
      </c>
      <c r="D1014">
        <v>47766687</v>
      </c>
      <c r="E1014">
        <v>1</v>
      </c>
      <c r="F1014">
        <v>1</v>
      </c>
      <c r="G1014">
        <v>27786564</v>
      </c>
      <c r="H1014">
        <v>2</v>
      </c>
      <c r="I1014" t="s">
        <v>616</v>
      </c>
      <c r="J1014" t="s">
        <v>617</v>
      </c>
      <c r="K1014" t="s">
        <v>618</v>
      </c>
      <c r="L1014">
        <v>1368</v>
      </c>
      <c r="N1014">
        <v>1011</v>
      </c>
      <c r="O1014" t="s">
        <v>445</v>
      </c>
      <c r="P1014" t="s">
        <v>445</v>
      </c>
      <c r="Q1014">
        <v>1</v>
      </c>
      <c r="X1014">
        <v>17.399999999999999</v>
      </c>
      <c r="Y1014">
        <v>0</v>
      </c>
      <c r="Z1014">
        <v>0.23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 t="s">
        <v>22</v>
      </c>
      <c r="AG1014">
        <v>19.14</v>
      </c>
      <c r="AH1014">
        <v>3</v>
      </c>
      <c r="AI1014">
        <v>-1</v>
      </c>
      <c r="AJ1014" t="s">
        <v>3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</row>
    <row r="1015" spans="1:44" x14ac:dyDescent="0.2">
      <c r="A1015">
        <f>ROW(Source!A277)</f>
        <v>277</v>
      </c>
      <c r="B1015">
        <v>56617181</v>
      </c>
      <c r="C1015">
        <v>56617173</v>
      </c>
      <c r="D1015">
        <v>49868265</v>
      </c>
      <c r="E1015">
        <v>1</v>
      </c>
      <c r="F1015">
        <v>1</v>
      </c>
      <c r="G1015">
        <v>27786564</v>
      </c>
      <c r="H1015">
        <v>3</v>
      </c>
      <c r="I1015" t="s">
        <v>619</v>
      </c>
      <c r="J1015" t="s">
        <v>620</v>
      </c>
      <c r="K1015" t="s">
        <v>621</v>
      </c>
      <c r="L1015">
        <v>1327</v>
      </c>
      <c r="N1015">
        <v>1005</v>
      </c>
      <c r="O1015" t="s">
        <v>483</v>
      </c>
      <c r="P1015" t="s">
        <v>483</v>
      </c>
      <c r="Q1015">
        <v>1</v>
      </c>
      <c r="X1015">
        <v>12</v>
      </c>
      <c r="Y1015">
        <v>5.04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 t="s">
        <v>3</v>
      </c>
      <c r="AG1015">
        <v>12</v>
      </c>
      <c r="AH1015">
        <v>3</v>
      </c>
      <c r="AI1015">
        <v>-1</v>
      </c>
      <c r="AJ1015" t="s">
        <v>3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</row>
    <row r="1016" spans="1:44" x14ac:dyDescent="0.2">
      <c r="A1016">
        <f>ROW(Source!A277)</f>
        <v>277</v>
      </c>
      <c r="B1016">
        <v>56617182</v>
      </c>
      <c r="C1016">
        <v>56617173</v>
      </c>
      <c r="D1016">
        <v>30390465</v>
      </c>
      <c r="E1016">
        <v>1</v>
      </c>
      <c r="F1016">
        <v>1</v>
      </c>
      <c r="G1016">
        <v>27786564</v>
      </c>
      <c r="H1016">
        <v>3</v>
      </c>
      <c r="I1016" t="s">
        <v>609</v>
      </c>
      <c r="J1016" t="s">
        <v>610</v>
      </c>
      <c r="K1016" t="s">
        <v>611</v>
      </c>
      <c r="L1016">
        <v>1339</v>
      </c>
      <c r="N1016">
        <v>1007</v>
      </c>
      <c r="O1016" t="s">
        <v>93</v>
      </c>
      <c r="P1016" t="s">
        <v>93</v>
      </c>
      <c r="Q1016">
        <v>1</v>
      </c>
      <c r="X1016">
        <v>178</v>
      </c>
      <c r="Y1016">
        <v>7.07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 t="s">
        <v>3</v>
      </c>
      <c r="AG1016">
        <v>178</v>
      </c>
      <c r="AH1016">
        <v>3</v>
      </c>
      <c r="AI1016">
        <v>-1</v>
      </c>
      <c r="AJ1016" t="s">
        <v>3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</row>
    <row r="1017" spans="1:44" x14ac:dyDescent="0.2">
      <c r="A1017">
        <f>ROW(Source!A277)</f>
        <v>277</v>
      </c>
      <c r="B1017">
        <v>56617183</v>
      </c>
      <c r="C1017">
        <v>56617173</v>
      </c>
      <c r="D1017">
        <v>49868167</v>
      </c>
      <c r="E1017">
        <v>1</v>
      </c>
      <c r="F1017">
        <v>1</v>
      </c>
      <c r="G1017">
        <v>27786564</v>
      </c>
      <c r="H1017">
        <v>3</v>
      </c>
      <c r="I1017" t="s">
        <v>622</v>
      </c>
      <c r="J1017" t="s">
        <v>623</v>
      </c>
      <c r="K1017" t="s">
        <v>624</v>
      </c>
      <c r="L1017">
        <v>1348</v>
      </c>
      <c r="N1017">
        <v>1009</v>
      </c>
      <c r="O1017" t="s">
        <v>367</v>
      </c>
      <c r="P1017" t="s">
        <v>367</v>
      </c>
      <c r="Q1017">
        <v>1000</v>
      </c>
      <c r="X1017">
        <v>0.09</v>
      </c>
      <c r="Y1017">
        <v>3386.07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 t="s">
        <v>3</v>
      </c>
      <c r="AG1017">
        <v>0.09</v>
      </c>
      <c r="AH1017">
        <v>3</v>
      </c>
      <c r="AI1017">
        <v>-1</v>
      </c>
      <c r="AJ1017" t="s">
        <v>3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</row>
    <row r="1018" spans="1:44" x14ac:dyDescent="0.2">
      <c r="A1018">
        <f>ROW(Source!A277)</f>
        <v>277</v>
      </c>
      <c r="B1018">
        <v>56617184</v>
      </c>
      <c r="C1018">
        <v>56617173</v>
      </c>
      <c r="D1018">
        <v>49108184</v>
      </c>
      <c r="E1018">
        <v>1</v>
      </c>
      <c r="F1018">
        <v>1</v>
      </c>
      <c r="G1018">
        <v>27786564</v>
      </c>
      <c r="H1018">
        <v>3</v>
      </c>
      <c r="I1018" t="s">
        <v>91</v>
      </c>
      <c r="J1018" t="s">
        <v>94</v>
      </c>
      <c r="K1018" t="s">
        <v>92</v>
      </c>
      <c r="L1018">
        <v>1339</v>
      </c>
      <c r="N1018">
        <v>1007</v>
      </c>
      <c r="O1018" t="s">
        <v>93</v>
      </c>
      <c r="P1018" t="s">
        <v>93</v>
      </c>
      <c r="Q1018">
        <v>1</v>
      </c>
      <c r="X1018">
        <v>40</v>
      </c>
      <c r="Y1018">
        <v>104.99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 t="s">
        <v>3</v>
      </c>
      <c r="AG1018">
        <v>40</v>
      </c>
      <c r="AH1018">
        <v>3</v>
      </c>
      <c r="AI1018">
        <v>-1</v>
      </c>
      <c r="AJ1018" t="s">
        <v>3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</row>
    <row r="1019" spans="1:44" x14ac:dyDescent="0.2">
      <c r="A1019">
        <f>ROW(Source!A277)</f>
        <v>277</v>
      </c>
      <c r="B1019">
        <v>56617185</v>
      </c>
      <c r="C1019">
        <v>56617173</v>
      </c>
      <c r="D1019">
        <v>46727938</v>
      </c>
      <c r="E1019">
        <v>1</v>
      </c>
      <c r="F1019">
        <v>1</v>
      </c>
      <c r="G1019">
        <v>27786564</v>
      </c>
      <c r="H1019">
        <v>3</v>
      </c>
      <c r="I1019" t="s">
        <v>625</v>
      </c>
      <c r="J1019" t="s">
        <v>626</v>
      </c>
      <c r="K1019" t="s">
        <v>627</v>
      </c>
      <c r="L1019">
        <v>1327</v>
      </c>
      <c r="N1019">
        <v>1005</v>
      </c>
      <c r="O1019" t="s">
        <v>483</v>
      </c>
      <c r="P1019" t="s">
        <v>483</v>
      </c>
      <c r="Q1019">
        <v>1</v>
      </c>
      <c r="X1019">
        <v>10.199999999999999</v>
      </c>
      <c r="Y1019">
        <v>90.15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 t="s">
        <v>3</v>
      </c>
      <c r="AG1019">
        <v>10.199999999999999</v>
      </c>
      <c r="AH1019">
        <v>3</v>
      </c>
      <c r="AI1019">
        <v>-1</v>
      </c>
      <c r="AJ1019" t="s">
        <v>3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</row>
    <row r="1020" spans="1:44" x14ac:dyDescent="0.2">
      <c r="A1020">
        <f>ROW(Source!A277)</f>
        <v>277</v>
      </c>
      <c r="B1020">
        <v>56617186</v>
      </c>
      <c r="C1020">
        <v>56617173</v>
      </c>
      <c r="D1020">
        <v>30385148</v>
      </c>
      <c r="E1020">
        <v>27786564</v>
      </c>
      <c r="F1020">
        <v>1</v>
      </c>
      <c r="G1020">
        <v>27786564</v>
      </c>
      <c r="H1020">
        <v>3</v>
      </c>
      <c r="I1020" t="s">
        <v>628</v>
      </c>
      <c r="J1020" t="s">
        <v>3</v>
      </c>
      <c r="K1020" t="s">
        <v>629</v>
      </c>
      <c r="L1020">
        <v>1339</v>
      </c>
      <c r="N1020">
        <v>1007</v>
      </c>
      <c r="O1020" t="s">
        <v>93</v>
      </c>
      <c r="P1020" t="s">
        <v>93</v>
      </c>
      <c r="Q1020">
        <v>1</v>
      </c>
      <c r="X1020">
        <v>162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 t="s">
        <v>3</v>
      </c>
      <c r="AG1020">
        <v>162</v>
      </c>
      <c r="AH1020">
        <v>3</v>
      </c>
      <c r="AI1020">
        <v>-1</v>
      </c>
      <c r="AJ1020" t="s">
        <v>3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</row>
    <row r="1021" spans="1:44" x14ac:dyDescent="0.2">
      <c r="A1021">
        <f>ROW(Source!A278)</f>
        <v>278</v>
      </c>
      <c r="B1021">
        <v>56617175</v>
      </c>
      <c r="C1021">
        <v>56617173</v>
      </c>
      <c r="D1021">
        <v>47634407</v>
      </c>
      <c r="E1021">
        <v>27786564</v>
      </c>
      <c r="F1021">
        <v>1</v>
      </c>
      <c r="G1021">
        <v>27786564</v>
      </c>
      <c r="H1021">
        <v>1</v>
      </c>
      <c r="I1021" t="s">
        <v>439</v>
      </c>
      <c r="J1021" t="s">
        <v>3</v>
      </c>
      <c r="K1021" t="s">
        <v>440</v>
      </c>
      <c r="L1021">
        <v>1191</v>
      </c>
      <c r="N1021">
        <v>1013</v>
      </c>
      <c r="O1021" t="s">
        <v>441</v>
      </c>
      <c r="P1021" t="s">
        <v>441</v>
      </c>
      <c r="Q1021">
        <v>1</v>
      </c>
      <c r="X1021">
        <v>267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1</v>
      </c>
      <c r="AF1021" t="s">
        <v>22</v>
      </c>
      <c r="AG1021">
        <v>293.70000000000005</v>
      </c>
      <c r="AH1021">
        <v>3</v>
      </c>
      <c r="AI1021">
        <v>-1</v>
      </c>
      <c r="AJ1021" t="s">
        <v>3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</row>
    <row r="1022" spans="1:44" x14ac:dyDescent="0.2">
      <c r="A1022">
        <f>ROW(Source!A278)</f>
        <v>278</v>
      </c>
      <c r="B1022">
        <v>56617176</v>
      </c>
      <c r="C1022">
        <v>56617173</v>
      </c>
      <c r="D1022">
        <v>47767106</v>
      </c>
      <c r="E1022">
        <v>1</v>
      </c>
      <c r="F1022">
        <v>1</v>
      </c>
      <c r="G1022">
        <v>27786564</v>
      </c>
      <c r="H1022">
        <v>2</v>
      </c>
      <c r="I1022" t="s">
        <v>487</v>
      </c>
      <c r="J1022" t="s">
        <v>488</v>
      </c>
      <c r="K1022" t="s">
        <v>489</v>
      </c>
      <c r="L1022">
        <v>1368</v>
      </c>
      <c r="N1022">
        <v>1011</v>
      </c>
      <c r="O1022" t="s">
        <v>445</v>
      </c>
      <c r="P1022" t="s">
        <v>445</v>
      </c>
      <c r="Q1022">
        <v>1</v>
      </c>
      <c r="X1022">
        <v>0.59</v>
      </c>
      <c r="Y1022">
        <v>0</v>
      </c>
      <c r="Z1022">
        <v>83.1</v>
      </c>
      <c r="AA1022">
        <v>12.62</v>
      </c>
      <c r="AB1022">
        <v>0</v>
      </c>
      <c r="AC1022">
        <v>0</v>
      </c>
      <c r="AD1022">
        <v>1</v>
      </c>
      <c r="AE1022">
        <v>0</v>
      </c>
      <c r="AF1022" t="s">
        <v>22</v>
      </c>
      <c r="AG1022">
        <v>0.64900000000000002</v>
      </c>
      <c r="AH1022">
        <v>3</v>
      </c>
      <c r="AI1022">
        <v>-1</v>
      </c>
      <c r="AJ1022" t="s">
        <v>3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</row>
    <row r="1023" spans="1:44" x14ac:dyDescent="0.2">
      <c r="A1023">
        <f>ROW(Source!A278)</f>
        <v>278</v>
      </c>
      <c r="B1023">
        <v>56617177</v>
      </c>
      <c r="C1023">
        <v>56617173</v>
      </c>
      <c r="D1023">
        <v>47766454</v>
      </c>
      <c r="E1023">
        <v>1</v>
      </c>
      <c r="F1023">
        <v>1</v>
      </c>
      <c r="G1023">
        <v>27786564</v>
      </c>
      <c r="H1023">
        <v>2</v>
      </c>
      <c r="I1023" t="s">
        <v>464</v>
      </c>
      <c r="J1023" t="s">
        <v>465</v>
      </c>
      <c r="K1023" t="s">
        <v>466</v>
      </c>
      <c r="L1023">
        <v>1368</v>
      </c>
      <c r="N1023">
        <v>1011</v>
      </c>
      <c r="O1023" t="s">
        <v>445</v>
      </c>
      <c r="P1023" t="s">
        <v>445</v>
      </c>
      <c r="Q1023">
        <v>1</v>
      </c>
      <c r="X1023">
        <v>0.45</v>
      </c>
      <c r="Y1023">
        <v>0</v>
      </c>
      <c r="Z1023">
        <v>179.17</v>
      </c>
      <c r="AA1023">
        <v>16.93</v>
      </c>
      <c r="AB1023">
        <v>0</v>
      </c>
      <c r="AC1023">
        <v>0</v>
      </c>
      <c r="AD1023">
        <v>1</v>
      </c>
      <c r="AE1023">
        <v>0</v>
      </c>
      <c r="AF1023" t="s">
        <v>22</v>
      </c>
      <c r="AG1023">
        <v>0.49500000000000005</v>
      </c>
      <c r="AH1023">
        <v>3</v>
      </c>
      <c r="AI1023">
        <v>-1</v>
      </c>
      <c r="AJ1023" t="s">
        <v>3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</row>
    <row r="1024" spans="1:44" x14ac:dyDescent="0.2">
      <c r="A1024">
        <f>ROW(Source!A278)</f>
        <v>278</v>
      </c>
      <c r="B1024">
        <v>56617178</v>
      </c>
      <c r="C1024">
        <v>56617173</v>
      </c>
      <c r="D1024">
        <v>50545252</v>
      </c>
      <c r="E1024">
        <v>1</v>
      </c>
      <c r="F1024">
        <v>1</v>
      </c>
      <c r="G1024">
        <v>27786564</v>
      </c>
      <c r="H1024">
        <v>2</v>
      </c>
      <c r="I1024" t="s">
        <v>603</v>
      </c>
      <c r="J1024" t="s">
        <v>612</v>
      </c>
      <c r="K1024" t="s">
        <v>605</v>
      </c>
      <c r="L1024">
        <v>1368</v>
      </c>
      <c r="N1024">
        <v>1011</v>
      </c>
      <c r="O1024" t="s">
        <v>445</v>
      </c>
      <c r="P1024" t="s">
        <v>445</v>
      </c>
      <c r="Q1024">
        <v>1</v>
      </c>
      <c r="X1024">
        <v>11.76</v>
      </c>
      <c r="Y1024">
        <v>0</v>
      </c>
      <c r="Z1024">
        <v>140.38</v>
      </c>
      <c r="AA1024">
        <v>12.62</v>
      </c>
      <c r="AB1024">
        <v>0</v>
      </c>
      <c r="AC1024">
        <v>0</v>
      </c>
      <c r="AD1024">
        <v>1</v>
      </c>
      <c r="AE1024">
        <v>0</v>
      </c>
      <c r="AF1024" t="s">
        <v>22</v>
      </c>
      <c r="AG1024">
        <v>12.936</v>
      </c>
      <c r="AH1024">
        <v>3</v>
      </c>
      <c r="AI1024">
        <v>-1</v>
      </c>
      <c r="AJ1024" t="s">
        <v>3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</row>
    <row r="1025" spans="1:44" x14ac:dyDescent="0.2">
      <c r="A1025">
        <f>ROW(Source!A278)</f>
        <v>278</v>
      </c>
      <c r="B1025">
        <v>56617179</v>
      </c>
      <c r="C1025">
        <v>56617173</v>
      </c>
      <c r="D1025">
        <v>47766627</v>
      </c>
      <c r="E1025">
        <v>1</v>
      </c>
      <c r="F1025">
        <v>1</v>
      </c>
      <c r="G1025">
        <v>27786564</v>
      </c>
      <c r="H1025">
        <v>2</v>
      </c>
      <c r="I1025" t="s">
        <v>613</v>
      </c>
      <c r="J1025" t="s">
        <v>614</v>
      </c>
      <c r="K1025" t="s">
        <v>615</v>
      </c>
      <c r="L1025">
        <v>1368</v>
      </c>
      <c r="N1025">
        <v>1011</v>
      </c>
      <c r="O1025" t="s">
        <v>445</v>
      </c>
      <c r="P1025" t="s">
        <v>445</v>
      </c>
      <c r="Q1025">
        <v>1</v>
      </c>
      <c r="X1025">
        <v>10.8</v>
      </c>
      <c r="Y1025">
        <v>0</v>
      </c>
      <c r="Z1025">
        <v>20.51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 t="s">
        <v>22</v>
      </c>
      <c r="AG1025">
        <v>11.880000000000003</v>
      </c>
      <c r="AH1025">
        <v>3</v>
      </c>
      <c r="AI1025">
        <v>-1</v>
      </c>
      <c r="AJ1025" t="s">
        <v>3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</row>
    <row r="1026" spans="1:44" x14ac:dyDescent="0.2">
      <c r="A1026">
        <f>ROW(Source!A278)</f>
        <v>278</v>
      </c>
      <c r="B1026">
        <v>56617180</v>
      </c>
      <c r="C1026">
        <v>56617173</v>
      </c>
      <c r="D1026">
        <v>47766687</v>
      </c>
      <c r="E1026">
        <v>1</v>
      </c>
      <c r="F1026">
        <v>1</v>
      </c>
      <c r="G1026">
        <v>27786564</v>
      </c>
      <c r="H1026">
        <v>2</v>
      </c>
      <c r="I1026" t="s">
        <v>616</v>
      </c>
      <c r="J1026" t="s">
        <v>617</v>
      </c>
      <c r="K1026" t="s">
        <v>618</v>
      </c>
      <c r="L1026">
        <v>1368</v>
      </c>
      <c r="N1026">
        <v>1011</v>
      </c>
      <c r="O1026" t="s">
        <v>445</v>
      </c>
      <c r="P1026" t="s">
        <v>445</v>
      </c>
      <c r="Q1026">
        <v>1</v>
      </c>
      <c r="X1026">
        <v>17.399999999999999</v>
      </c>
      <c r="Y1026">
        <v>0</v>
      </c>
      <c r="Z1026">
        <v>0.23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 t="s">
        <v>22</v>
      </c>
      <c r="AG1026">
        <v>19.14</v>
      </c>
      <c r="AH1026">
        <v>3</v>
      </c>
      <c r="AI1026">
        <v>-1</v>
      </c>
      <c r="AJ1026" t="s">
        <v>3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</row>
    <row r="1027" spans="1:44" x14ac:dyDescent="0.2">
      <c r="A1027">
        <f>ROW(Source!A278)</f>
        <v>278</v>
      </c>
      <c r="B1027">
        <v>56617181</v>
      </c>
      <c r="C1027">
        <v>56617173</v>
      </c>
      <c r="D1027">
        <v>49868265</v>
      </c>
      <c r="E1027">
        <v>1</v>
      </c>
      <c r="F1027">
        <v>1</v>
      </c>
      <c r="G1027">
        <v>27786564</v>
      </c>
      <c r="H1027">
        <v>3</v>
      </c>
      <c r="I1027" t="s">
        <v>619</v>
      </c>
      <c r="J1027" t="s">
        <v>620</v>
      </c>
      <c r="K1027" t="s">
        <v>621</v>
      </c>
      <c r="L1027">
        <v>1327</v>
      </c>
      <c r="N1027">
        <v>1005</v>
      </c>
      <c r="O1027" t="s">
        <v>483</v>
      </c>
      <c r="P1027" t="s">
        <v>483</v>
      </c>
      <c r="Q1027">
        <v>1</v>
      </c>
      <c r="X1027">
        <v>12</v>
      </c>
      <c r="Y1027">
        <v>5.04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 t="s">
        <v>3</v>
      </c>
      <c r="AG1027">
        <v>12</v>
      </c>
      <c r="AH1027">
        <v>3</v>
      </c>
      <c r="AI1027">
        <v>-1</v>
      </c>
      <c r="AJ1027" t="s">
        <v>3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</row>
    <row r="1028" spans="1:44" x14ac:dyDescent="0.2">
      <c r="A1028">
        <f>ROW(Source!A278)</f>
        <v>278</v>
      </c>
      <c r="B1028">
        <v>56617182</v>
      </c>
      <c r="C1028">
        <v>56617173</v>
      </c>
      <c r="D1028">
        <v>30390465</v>
      </c>
      <c r="E1028">
        <v>1</v>
      </c>
      <c r="F1028">
        <v>1</v>
      </c>
      <c r="G1028">
        <v>27786564</v>
      </c>
      <c r="H1028">
        <v>3</v>
      </c>
      <c r="I1028" t="s">
        <v>609</v>
      </c>
      <c r="J1028" t="s">
        <v>610</v>
      </c>
      <c r="K1028" t="s">
        <v>611</v>
      </c>
      <c r="L1028">
        <v>1339</v>
      </c>
      <c r="N1028">
        <v>1007</v>
      </c>
      <c r="O1028" t="s">
        <v>93</v>
      </c>
      <c r="P1028" t="s">
        <v>93</v>
      </c>
      <c r="Q1028">
        <v>1</v>
      </c>
      <c r="X1028">
        <v>178</v>
      </c>
      <c r="Y1028">
        <v>7.07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0</v>
      </c>
      <c r="AF1028" t="s">
        <v>3</v>
      </c>
      <c r="AG1028">
        <v>178</v>
      </c>
      <c r="AH1028">
        <v>3</v>
      </c>
      <c r="AI1028">
        <v>-1</v>
      </c>
      <c r="AJ1028" t="s">
        <v>3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</row>
    <row r="1029" spans="1:44" x14ac:dyDescent="0.2">
      <c r="A1029">
        <f>ROW(Source!A278)</f>
        <v>278</v>
      </c>
      <c r="B1029">
        <v>56617183</v>
      </c>
      <c r="C1029">
        <v>56617173</v>
      </c>
      <c r="D1029">
        <v>49868167</v>
      </c>
      <c r="E1029">
        <v>1</v>
      </c>
      <c r="F1029">
        <v>1</v>
      </c>
      <c r="G1029">
        <v>27786564</v>
      </c>
      <c r="H1029">
        <v>3</v>
      </c>
      <c r="I1029" t="s">
        <v>622</v>
      </c>
      <c r="J1029" t="s">
        <v>623</v>
      </c>
      <c r="K1029" t="s">
        <v>624</v>
      </c>
      <c r="L1029">
        <v>1348</v>
      </c>
      <c r="N1029">
        <v>1009</v>
      </c>
      <c r="O1029" t="s">
        <v>367</v>
      </c>
      <c r="P1029" t="s">
        <v>367</v>
      </c>
      <c r="Q1029">
        <v>1000</v>
      </c>
      <c r="X1029">
        <v>0.09</v>
      </c>
      <c r="Y1029">
        <v>3386.07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 t="s">
        <v>3</v>
      </c>
      <c r="AG1029">
        <v>0.09</v>
      </c>
      <c r="AH1029">
        <v>3</v>
      </c>
      <c r="AI1029">
        <v>-1</v>
      </c>
      <c r="AJ1029" t="s">
        <v>3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</row>
    <row r="1030" spans="1:44" x14ac:dyDescent="0.2">
      <c r="A1030">
        <f>ROW(Source!A278)</f>
        <v>278</v>
      </c>
      <c r="B1030">
        <v>56617184</v>
      </c>
      <c r="C1030">
        <v>56617173</v>
      </c>
      <c r="D1030">
        <v>49108184</v>
      </c>
      <c r="E1030">
        <v>1</v>
      </c>
      <c r="F1030">
        <v>1</v>
      </c>
      <c r="G1030">
        <v>27786564</v>
      </c>
      <c r="H1030">
        <v>3</v>
      </c>
      <c r="I1030" t="s">
        <v>91</v>
      </c>
      <c r="J1030" t="s">
        <v>94</v>
      </c>
      <c r="K1030" t="s">
        <v>92</v>
      </c>
      <c r="L1030">
        <v>1339</v>
      </c>
      <c r="N1030">
        <v>1007</v>
      </c>
      <c r="O1030" t="s">
        <v>93</v>
      </c>
      <c r="P1030" t="s">
        <v>93</v>
      </c>
      <c r="Q1030">
        <v>1</v>
      </c>
      <c r="X1030">
        <v>40</v>
      </c>
      <c r="Y1030">
        <v>104.99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 t="s">
        <v>3</v>
      </c>
      <c r="AG1030">
        <v>40</v>
      </c>
      <c r="AH1030">
        <v>3</v>
      </c>
      <c r="AI1030">
        <v>-1</v>
      </c>
      <c r="AJ1030" t="s">
        <v>3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</row>
    <row r="1031" spans="1:44" x14ac:dyDescent="0.2">
      <c r="A1031">
        <f>ROW(Source!A278)</f>
        <v>278</v>
      </c>
      <c r="B1031">
        <v>56617185</v>
      </c>
      <c r="C1031">
        <v>56617173</v>
      </c>
      <c r="D1031">
        <v>46727938</v>
      </c>
      <c r="E1031">
        <v>1</v>
      </c>
      <c r="F1031">
        <v>1</v>
      </c>
      <c r="G1031">
        <v>27786564</v>
      </c>
      <c r="H1031">
        <v>3</v>
      </c>
      <c r="I1031" t="s">
        <v>625</v>
      </c>
      <c r="J1031" t="s">
        <v>626</v>
      </c>
      <c r="K1031" t="s">
        <v>627</v>
      </c>
      <c r="L1031">
        <v>1327</v>
      </c>
      <c r="N1031">
        <v>1005</v>
      </c>
      <c r="O1031" t="s">
        <v>483</v>
      </c>
      <c r="P1031" t="s">
        <v>483</v>
      </c>
      <c r="Q1031">
        <v>1</v>
      </c>
      <c r="X1031">
        <v>10.199999999999999</v>
      </c>
      <c r="Y1031">
        <v>90.15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0</v>
      </c>
      <c r="AF1031" t="s">
        <v>3</v>
      </c>
      <c r="AG1031">
        <v>10.199999999999999</v>
      </c>
      <c r="AH1031">
        <v>3</v>
      </c>
      <c r="AI1031">
        <v>-1</v>
      </c>
      <c r="AJ1031" t="s">
        <v>3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</row>
    <row r="1032" spans="1:44" x14ac:dyDescent="0.2">
      <c r="A1032">
        <f>ROW(Source!A278)</f>
        <v>278</v>
      </c>
      <c r="B1032">
        <v>56617186</v>
      </c>
      <c r="C1032">
        <v>56617173</v>
      </c>
      <c r="D1032">
        <v>30385148</v>
      </c>
      <c r="E1032">
        <v>27786564</v>
      </c>
      <c r="F1032">
        <v>1</v>
      </c>
      <c r="G1032">
        <v>27786564</v>
      </c>
      <c r="H1032">
        <v>3</v>
      </c>
      <c r="I1032" t="s">
        <v>628</v>
      </c>
      <c r="J1032" t="s">
        <v>3</v>
      </c>
      <c r="K1032" t="s">
        <v>629</v>
      </c>
      <c r="L1032">
        <v>1339</v>
      </c>
      <c r="N1032">
        <v>1007</v>
      </c>
      <c r="O1032" t="s">
        <v>93</v>
      </c>
      <c r="P1032" t="s">
        <v>93</v>
      </c>
      <c r="Q1032">
        <v>1</v>
      </c>
      <c r="X1032">
        <v>162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 t="s">
        <v>3</v>
      </c>
      <c r="AG1032">
        <v>162</v>
      </c>
      <c r="AH1032">
        <v>3</v>
      </c>
      <c r="AI1032">
        <v>-1</v>
      </c>
      <c r="AJ1032" t="s">
        <v>3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</row>
    <row r="1033" spans="1:44" x14ac:dyDescent="0.2">
      <c r="A1033">
        <f>ROW(Source!A281)</f>
        <v>281</v>
      </c>
      <c r="B1033">
        <v>56617190</v>
      </c>
      <c r="C1033">
        <v>56617188</v>
      </c>
      <c r="D1033">
        <v>47634407</v>
      </c>
      <c r="E1033">
        <v>27786564</v>
      </c>
      <c r="F1033">
        <v>1</v>
      </c>
      <c r="G1033">
        <v>27786564</v>
      </c>
      <c r="H1033">
        <v>1</v>
      </c>
      <c r="I1033" t="s">
        <v>439</v>
      </c>
      <c r="J1033" t="s">
        <v>3</v>
      </c>
      <c r="K1033" t="s">
        <v>440</v>
      </c>
      <c r="L1033">
        <v>1191</v>
      </c>
      <c r="N1033">
        <v>1013</v>
      </c>
      <c r="O1033" t="s">
        <v>441</v>
      </c>
      <c r="P1033" t="s">
        <v>441</v>
      </c>
      <c r="Q1033">
        <v>1</v>
      </c>
      <c r="X1033">
        <v>5.17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1</v>
      </c>
      <c r="AF1033" t="s">
        <v>22</v>
      </c>
      <c r="AG1033">
        <v>5.6870000000000003</v>
      </c>
      <c r="AH1033">
        <v>3</v>
      </c>
      <c r="AI1033">
        <v>-1</v>
      </c>
      <c r="AJ1033" t="s">
        <v>3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</row>
    <row r="1034" spans="1:44" x14ac:dyDescent="0.2">
      <c r="A1034">
        <f>ROW(Source!A281)</f>
        <v>281</v>
      </c>
      <c r="B1034">
        <v>56617191</v>
      </c>
      <c r="C1034">
        <v>56617188</v>
      </c>
      <c r="D1034">
        <v>30414261</v>
      </c>
      <c r="E1034">
        <v>1</v>
      </c>
      <c r="F1034">
        <v>1</v>
      </c>
      <c r="G1034">
        <v>27786564</v>
      </c>
      <c r="H1034">
        <v>3</v>
      </c>
      <c r="I1034" t="s">
        <v>625</v>
      </c>
      <c r="J1034" t="s">
        <v>630</v>
      </c>
      <c r="K1034" t="s">
        <v>631</v>
      </c>
      <c r="L1034">
        <v>1327</v>
      </c>
      <c r="N1034">
        <v>1005</v>
      </c>
      <c r="O1034" t="s">
        <v>483</v>
      </c>
      <c r="P1034" t="s">
        <v>483</v>
      </c>
      <c r="Q1034">
        <v>1</v>
      </c>
      <c r="X1034">
        <v>0.65</v>
      </c>
      <c r="Y1034">
        <v>90.15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 t="s">
        <v>3</v>
      </c>
      <c r="AG1034">
        <v>0.65</v>
      </c>
      <c r="AH1034">
        <v>3</v>
      </c>
      <c r="AI1034">
        <v>-1</v>
      </c>
      <c r="AJ1034" t="s">
        <v>3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</row>
    <row r="1035" spans="1:44" x14ac:dyDescent="0.2">
      <c r="A1035">
        <f>ROW(Source!A281)</f>
        <v>281</v>
      </c>
      <c r="B1035">
        <v>56617192</v>
      </c>
      <c r="C1035">
        <v>56617188</v>
      </c>
      <c r="D1035">
        <v>30385148</v>
      </c>
      <c r="E1035">
        <v>27786564</v>
      </c>
      <c r="F1035">
        <v>1</v>
      </c>
      <c r="G1035">
        <v>27786564</v>
      </c>
      <c r="H1035">
        <v>3</v>
      </c>
      <c r="I1035" t="s">
        <v>628</v>
      </c>
      <c r="J1035" t="s">
        <v>3</v>
      </c>
      <c r="K1035" t="s">
        <v>629</v>
      </c>
      <c r="L1035">
        <v>1339</v>
      </c>
      <c r="N1035">
        <v>1007</v>
      </c>
      <c r="O1035" t="s">
        <v>93</v>
      </c>
      <c r="P1035" t="s">
        <v>93</v>
      </c>
      <c r="Q1035">
        <v>1</v>
      </c>
      <c r="X1035">
        <v>10.199999999999999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 t="s">
        <v>3</v>
      </c>
      <c r="AG1035">
        <v>10.199999999999999</v>
      </c>
      <c r="AH1035">
        <v>3</v>
      </c>
      <c r="AI1035">
        <v>-1</v>
      </c>
      <c r="AJ1035" t="s">
        <v>3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</row>
    <row r="1036" spans="1:44" x14ac:dyDescent="0.2">
      <c r="A1036">
        <f>ROW(Source!A282)</f>
        <v>282</v>
      </c>
      <c r="B1036">
        <v>56617190</v>
      </c>
      <c r="C1036">
        <v>56617188</v>
      </c>
      <c r="D1036">
        <v>47634407</v>
      </c>
      <c r="E1036">
        <v>27786564</v>
      </c>
      <c r="F1036">
        <v>1</v>
      </c>
      <c r="G1036">
        <v>27786564</v>
      </c>
      <c r="H1036">
        <v>1</v>
      </c>
      <c r="I1036" t="s">
        <v>439</v>
      </c>
      <c r="J1036" t="s">
        <v>3</v>
      </c>
      <c r="K1036" t="s">
        <v>440</v>
      </c>
      <c r="L1036">
        <v>1191</v>
      </c>
      <c r="N1036">
        <v>1013</v>
      </c>
      <c r="O1036" t="s">
        <v>441</v>
      </c>
      <c r="P1036" t="s">
        <v>441</v>
      </c>
      <c r="Q1036">
        <v>1</v>
      </c>
      <c r="X1036">
        <v>5.17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1</v>
      </c>
      <c r="AF1036" t="s">
        <v>22</v>
      </c>
      <c r="AG1036">
        <v>5.6870000000000003</v>
      </c>
      <c r="AH1036">
        <v>3</v>
      </c>
      <c r="AI1036">
        <v>-1</v>
      </c>
      <c r="AJ1036" t="s">
        <v>3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</row>
    <row r="1037" spans="1:44" x14ac:dyDescent="0.2">
      <c r="A1037">
        <f>ROW(Source!A282)</f>
        <v>282</v>
      </c>
      <c r="B1037">
        <v>56617191</v>
      </c>
      <c r="C1037">
        <v>56617188</v>
      </c>
      <c r="D1037">
        <v>30414261</v>
      </c>
      <c r="E1037">
        <v>1</v>
      </c>
      <c r="F1037">
        <v>1</v>
      </c>
      <c r="G1037">
        <v>27786564</v>
      </c>
      <c r="H1037">
        <v>3</v>
      </c>
      <c r="I1037" t="s">
        <v>625</v>
      </c>
      <c r="J1037" t="s">
        <v>630</v>
      </c>
      <c r="K1037" t="s">
        <v>631</v>
      </c>
      <c r="L1037">
        <v>1327</v>
      </c>
      <c r="N1037">
        <v>1005</v>
      </c>
      <c r="O1037" t="s">
        <v>483</v>
      </c>
      <c r="P1037" t="s">
        <v>483</v>
      </c>
      <c r="Q1037">
        <v>1</v>
      </c>
      <c r="X1037">
        <v>0.65</v>
      </c>
      <c r="Y1037">
        <v>90.15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0</v>
      </c>
      <c r="AF1037" t="s">
        <v>3</v>
      </c>
      <c r="AG1037">
        <v>0.65</v>
      </c>
      <c r="AH1037">
        <v>3</v>
      </c>
      <c r="AI1037">
        <v>-1</v>
      </c>
      <c r="AJ1037" t="s">
        <v>3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</row>
    <row r="1038" spans="1:44" x14ac:dyDescent="0.2">
      <c r="A1038">
        <f>ROW(Source!A282)</f>
        <v>282</v>
      </c>
      <c r="B1038">
        <v>56617192</v>
      </c>
      <c r="C1038">
        <v>56617188</v>
      </c>
      <c r="D1038">
        <v>30385148</v>
      </c>
      <c r="E1038">
        <v>27786564</v>
      </c>
      <c r="F1038">
        <v>1</v>
      </c>
      <c r="G1038">
        <v>27786564</v>
      </c>
      <c r="H1038">
        <v>3</v>
      </c>
      <c r="I1038" t="s">
        <v>628</v>
      </c>
      <c r="J1038" t="s">
        <v>3</v>
      </c>
      <c r="K1038" t="s">
        <v>629</v>
      </c>
      <c r="L1038">
        <v>1339</v>
      </c>
      <c r="N1038">
        <v>1007</v>
      </c>
      <c r="O1038" t="s">
        <v>93</v>
      </c>
      <c r="P1038" t="s">
        <v>93</v>
      </c>
      <c r="Q1038">
        <v>1</v>
      </c>
      <c r="X1038">
        <v>10.199999999999999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 t="s">
        <v>3</v>
      </c>
      <c r="AG1038">
        <v>10.199999999999999</v>
      </c>
      <c r="AH1038">
        <v>3</v>
      </c>
      <c r="AI1038">
        <v>-1</v>
      </c>
      <c r="AJ1038" t="s">
        <v>3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</row>
    <row r="1039" spans="1:44" x14ac:dyDescent="0.2">
      <c r="A1039">
        <f>ROW(Source!A285)</f>
        <v>285</v>
      </c>
      <c r="B1039">
        <v>56617196</v>
      </c>
      <c r="C1039">
        <v>56617194</v>
      </c>
      <c r="D1039">
        <v>47634407</v>
      </c>
      <c r="E1039">
        <v>27786564</v>
      </c>
      <c r="F1039">
        <v>1</v>
      </c>
      <c r="G1039">
        <v>27786564</v>
      </c>
      <c r="H1039">
        <v>1</v>
      </c>
      <c r="I1039" t="s">
        <v>439</v>
      </c>
      <c r="J1039" t="s">
        <v>3</v>
      </c>
      <c r="K1039" t="s">
        <v>440</v>
      </c>
      <c r="L1039">
        <v>1191</v>
      </c>
      <c r="N1039">
        <v>1013</v>
      </c>
      <c r="O1039" t="s">
        <v>441</v>
      </c>
      <c r="P1039" t="s">
        <v>441</v>
      </c>
      <c r="Q1039">
        <v>1</v>
      </c>
      <c r="X1039">
        <v>4.29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1</v>
      </c>
      <c r="AF1039" t="s">
        <v>22</v>
      </c>
      <c r="AG1039">
        <v>4.7190000000000003</v>
      </c>
      <c r="AH1039">
        <v>3</v>
      </c>
      <c r="AI1039">
        <v>-1</v>
      </c>
      <c r="AJ1039" t="s">
        <v>3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</row>
    <row r="1040" spans="1:44" x14ac:dyDescent="0.2">
      <c r="A1040">
        <f>ROW(Source!A285)</f>
        <v>285</v>
      </c>
      <c r="B1040">
        <v>56617197</v>
      </c>
      <c r="C1040">
        <v>56617194</v>
      </c>
      <c r="D1040">
        <v>47766768</v>
      </c>
      <c r="E1040">
        <v>1</v>
      </c>
      <c r="F1040">
        <v>1</v>
      </c>
      <c r="G1040">
        <v>27786564</v>
      </c>
      <c r="H1040">
        <v>2</v>
      </c>
      <c r="I1040" t="s">
        <v>585</v>
      </c>
      <c r="J1040" t="s">
        <v>586</v>
      </c>
      <c r="K1040" t="s">
        <v>587</v>
      </c>
      <c r="L1040">
        <v>1368</v>
      </c>
      <c r="N1040">
        <v>1011</v>
      </c>
      <c r="O1040" t="s">
        <v>445</v>
      </c>
      <c r="P1040" t="s">
        <v>445</v>
      </c>
      <c r="Q1040">
        <v>1</v>
      </c>
      <c r="X1040">
        <v>0.3</v>
      </c>
      <c r="Y1040">
        <v>0</v>
      </c>
      <c r="Z1040">
        <v>41.45</v>
      </c>
      <c r="AA1040">
        <v>12.62</v>
      </c>
      <c r="AB1040">
        <v>0</v>
      </c>
      <c r="AC1040">
        <v>0</v>
      </c>
      <c r="AD1040">
        <v>1</v>
      </c>
      <c r="AE1040">
        <v>0</v>
      </c>
      <c r="AF1040" t="s">
        <v>22</v>
      </c>
      <c r="AG1040">
        <v>0.33</v>
      </c>
      <c r="AH1040">
        <v>3</v>
      </c>
      <c r="AI1040">
        <v>-1</v>
      </c>
      <c r="AJ1040" t="s">
        <v>3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</row>
    <row r="1041" spans="1:44" x14ac:dyDescent="0.2">
      <c r="A1041">
        <f>ROW(Source!A285)</f>
        <v>285</v>
      </c>
      <c r="B1041">
        <v>56617198</v>
      </c>
      <c r="C1041">
        <v>56617194</v>
      </c>
      <c r="D1041">
        <v>47766518</v>
      </c>
      <c r="E1041">
        <v>1</v>
      </c>
      <c r="F1041">
        <v>1</v>
      </c>
      <c r="G1041">
        <v>27786564</v>
      </c>
      <c r="H1041">
        <v>2</v>
      </c>
      <c r="I1041" t="s">
        <v>632</v>
      </c>
      <c r="J1041" t="s">
        <v>633</v>
      </c>
      <c r="K1041" t="s">
        <v>634</v>
      </c>
      <c r="L1041">
        <v>1368</v>
      </c>
      <c r="N1041">
        <v>1011</v>
      </c>
      <c r="O1041" t="s">
        <v>445</v>
      </c>
      <c r="P1041" t="s">
        <v>445</v>
      </c>
      <c r="Q1041">
        <v>1</v>
      </c>
      <c r="X1041">
        <v>0.3</v>
      </c>
      <c r="Y1041">
        <v>0</v>
      </c>
      <c r="Z1041">
        <v>153.94999999999999</v>
      </c>
      <c r="AA1041">
        <v>14.54</v>
      </c>
      <c r="AB1041">
        <v>0</v>
      </c>
      <c r="AC1041">
        <v>0</v>
      </c>
      <c r="AD1041">
        <v>1</v>
      </c>
      <c r="AE1041">
        <v>0</v>
      </c>
      <c r="AF1041" t="s">
        <v>22</v>
      </c>
      <c r="AG1041">
        <v>0.33</v>
      </c>
      <c r="AH1041">
        <v>3</v>
      </c>
      <c r="AI1041">
        <v>-1</v>
      </c>
      <c r="AJ1041" t="s">
        <v>3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</row>
    <row r="1042" spans="1:44" x14ac:dyDescent="0.2">
      <c r="A1042">
        <f>ROW(Source!A285)</f>
        <v>285</v>
      </c>
      <c r="B1042">
        <v>56617199</v>
      </c>
      <c r="C1042">
        <v>56617194</v>
      </c>
      <c r="D1042">
        <v>47766605</v>
      </c>
      <c r="E1042">
        <v>1</v>
      </c>
      <c r="F1042">
        <v>1</v>
      </c>
      <c r="G1042">
        <v>27786564</v>
      </c>
      <c r="H1042">
        <v>2</v>
      </c>
      <c r="I1042" t="s">
        <v>603</v>
      </c>
      <c r="J1042" t="s">
        <v>604</v>
      </c>
      <c r="K1042" t="s">
        <v>605</v>
      </c>
      <c r="L1042">
        <v>1368</v>
      </c>
      <c r="N1042">
        <v>1011</v>
      </c>
      <c r="O1042" t="s">
        <v>445</v>
      </c>
      <c r="P1042" t="s">
        <v>445</v>
      </c>
      <c r="Q1042">
        <v>1</v>
      </c>
      <c r="X1042">
        <v>0.3</v>
      </c>
      <c r="Y1042">
        <v>0</v>
      </c>
      <c r="Z1042">
        <v>140.38</v>
      </c>
      <c r="AA1042">
        <v>12.62</v>
      </c>
      <c r="AB1042">
        <v>0</v>
      </c>
      <c r="AC1042">
        <v>0</v>
      </c>
      <c r="AD1042">
        <v>1</v>
      </c>
      <c r="AE1042">
        <v>0</v>
      </c>
      <c r="AF1042" t="s">
        <v>22</v>
      </c>
      <c r="AG1042">
        <v>0.33</v>
      </c>
      <c r="AH1042">
        <v>3</v>
      </c>
      <c r="AI1042">
        <v>-1</v>
      </c>
      <c r="AJ1042" t="s">
        <v>3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</row>
    <row r="1043" spans="1:44" x14ac:dyDescent="0.2">
      <c r="A1043">
        <f>ROW(Source!A285)</f>
        <v>285</v>
      </c>
      <c r="B1043">
        <v>56617200</v>
      </c>
      <c r="C1043">
        <v>56617194</v>
      </c>
      <c r="D1043">
        <v>47766606</v>
      </c>
      <c r="E1043">
        <v>1</v>
      </c>
      <c r="F1043">
        <v>1</v>
      </c>
      <c r="G1043">
        <v>27786564</v>
      </c>
      <c r="H1043">
        <v>2</v>
      </c>
      <c r="I1043" t="s">
        <v>635</v>
      </c>
      <c r="J1043" t="s">
        <v>636</v>
      </c>
      <c r="K1043" t="s">
        <v>637</v>
      </c>
      <c r="L1043">
        <v>1368</v>
      </c>
      <c r="N1043">
        <v>1011</v>
      </c>
      <c r="O1043" t="s">
        <v>445</v>
      </c>
      <c r="P1043" t="s">
        <v>445</v>
      </c>
      <c r="Q1043">
        <v>1</v>
      </c>
      <c r="X1043">
        <v>0.3</v>
      </c>
      <c r="Y1043">
        <v>0</v>
      </c>
      <c r="Z1043">
        <v>260.5</v>
      </c>
      <c r="AA1043">
        <v>18.62</v>
      </c>
      <c r="AB1043">
        <v>0</v>
      </c>
      <c r="AC1043">
        <v>0</v>
      </c>
      <c r="AD1043">
        <v>1</v>
      </c>
      <c r="AE1043">
        <v>0</v>
      </c>
      <c r="AF1043" t="s">
        <v>22</v>
      </c>
      <c r="AG1043">
        <v>0.33</v>
      </c>
      <c r="AH1043">
        <v>3</v>
      </c>
      <c r="AI1043">
        <v>-1</v>
      </c>
      <c r="AJ1043" t="s">
        <v>3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</row>
    <row r="1044" spans="1:44" x14ac:dyDescent="0.2">
      <c r="A1044">
        <f>ROW(Source!A285)</f>
        <v>285</v>
      </c>
      <c r="B1044">
        <v>56617201</v>
      </c>
      <c r="C1044">
        <v>56617194</v>
      </c>
      <c r="D1044">
        <v>47766595</v>
      </c>
      <c r="E1044">
        <v>1</v>
      </c>
      <c r="F1044">
        <v>1</v>
      </c>
      <c r="G1044">
        <v>27786564</v>
      </c>
      <c r="H1044">
        <v>2</v>
      </c>
      <c r="I1044" t="s">
        <v>638</v>
      </c>
      <c r="J1044" t="s">
        <v>639</v>
      </c>
      <c r="K1044" t="s">
        <v>640</v>
      </c>
      <c r="L1044">
        <v>1368</v>
      </c>
      <c r="N1044">
        <v>1011</v>
      </c>
      <c r="O1044" t="s">
        <v>445</v>
      </c>
      <c r="P1044" t="s">
        <v>445</v>
      </c>
      <c r="Q1044">
        <v>1</v>
      </c>
      <c r="X1044">
        <v>0.3</v>
      </c>
      <c r="Y1044">
        <v>0</v>
      </c>
      <c r="Z1044">
        <v>163.81</v>
      </c>
      <c r="AA1044">
        <v>14.54</v>
      </c>
      <c r="AB1044">
        <v>0</v>
      </c>
      <c r="AC1044">
        <v>0</v>
      </c>
      <c r="AD1044">
        <v>1</v>
      </c>
      <c r="AE1044">
        <v>0</v>
      </c>
      <c r="AF1044" t="s">
        <v>22</v>
      </c>
      <c r="AG1044">
        <v>0.33</v>
      </c>
      <c r="AH1044">
        <v>3</v>
      </c>
      <c r="AI1044">
        <v>-1</v>
      </c>
      <c r="AJ1044" t="s">
        <v>3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</row>
    <row r="1045" spans="1:44" x14ac:dyDescent="0.2">
      <c r="A1045">
        <f>ROW(Source!A285)</f>
        <v>285</v>
      </c>
      <c r="B1045">
        <v>56617202</v>
      </c>
      <c r="C1045">
        <v>56617194</v>
      </c>
      <c r="D1045">
        <v>47766611</v>
      </c>
      <c r="E1045">
        <v>1</v>
      </c>
      <c r="F1045">
        <v>1</v>
      </c>
      <c r="G1045">
        <v>27786564</v>
      </c>
      <c r="H1045">
        <v>2</v>
      </c>
      <c r="I1045" t="s">
        <v>641</v>
      </c>
      <c r="J1045" t="s">
        <v>642</v>
      </c>
      <c r="K1045" t="s">
        <v>643</v>
      </c>
      <c r="L1045">
        <v>1368</v>
      </c>
      <c r="N1045">
        <v>1011</v>
      </c>
      <c r="O1045" t="s">
        <v>445</v>
      </c>
      <c r="P1045" t="s">
        <v>445</v>
      </c>
      <c r="Q1045">
        <v>1</v>
      </c>
      <c r="X1045">
        <v>0.3</v>
      </c>
      <c r="Y1045">
        <v>0</v>
      </c>
      <c r="Z1045">
        <v>283.89999999999998</v>
      </c>
      <c r="AA1045">
        <v>14.54</v>
      </c>
      <c r="AB1045">
        <v>0</v>
      </c>
      <c r="AC1045">
        <v>0</v>
      </c>
      <c r="AD1045">
        <v>1</v>
      </c>
      <c r="AE1045">
        <v>0</v>
      </c>
      <c r="AF1045" t="s">
        <v>22</v>
      </c>
      <c r="AG1045">
        <v>0.33</v>
      </c>
      <c r="AH1045">
        <v>3</v>
      </c>
      <c r="AI1045">
        <v>-1</v>
      </c>
      <c r="AJ1045" t="s">
        <v>3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</row>
    <row r="1046" spans="1:44" x14ac:dyDescent="0.2">
      <c r="A1046">
        <f>ROW(Source!A285)</f>
        <v>285</v>
      </c>
      <c r="B1046">
        <v>56617203</v>
      </c>
      <c r="C1046">
        <v>56617194</v>
      </c>
      <c r="D1046">
        <v>47766598</v>
      </c>
      <c r="E1046">
        <v>1</v>
      </c>
      <c r="F1046">
        <v>1</v>
      </c>
      <c r="G1046">
        <v>27786564</v>
      </c>
      <c r="H1046">
        <v>2</v>
      </c>
      <c r="I1046" t="s">
        <v>644</v>
      </c>
      <c r="J1046" t="s">
        <v>645</v>
      </c>
      <c r="K1046" t="s">
        <v>646</v>
      </c>
      <c r="L1046">
        <v>1368</v>
      </c>
      <c r="N1046">
        <v>1011</v>
      </c>
      <c r="O1046" t="s">
        <v>445</v>
      </c>
      <c r="P1046" t="s">
        <v>445</v>
      </c>
      <c r="Q1046">
        <v>1</v>
      </c>
      <c r="X1046">
        <v>0.3</v>
      </c>
      <c r="Y1046">
        <v>0</v>
      </c>
      <c r="Z1046">
        <v>189.45</v>
      </c>
      <c r="AA1046">
        <v>16.93</v>
      </c>
      <c r="AB1046">
        <v>0</v>
      </c>
      <c r="AC1046">
        <v>0</v>
      </c>
      <c r="AD1046">
        <v>1</v>
      </c>
      <c r="AE1046">
        <v>0</v>
      </c>
      <c r="AF1046" t="s">
        <v>22</v>
      </c>
      <c r="AG1046">
        <v>0.33</v>
      </c>
      <c r="AH1046">
        <v>3</v>
      </c>
      <c r="AI1046">
        <v>-1</v>
      </c>
      <c r="AJ1046" t="s">
        <v>3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</row>
    <row r="1047" spans="1:44" x14ac:dyDescent="0.2">
      <c r="A1047">
        <f>ROW(Source!A285)</f>
        <v>285</v>
      </c>
      <c r="B1047">
        <v>56617204</v>
      </c>
      <c r="C1047">
        <v>56617194</v>
      </c>
      <c r="D1047">
        <v>47766599</v>
      </c>
      <c r="E1047">
        <v>1</v>
      </c>
      <c r="F1047">
        <v>1</v>
      </c>
      <c r="G1047">
        <v>27786564</v>
      </c>
      <c r="H1047">
        <v>2</v>
      </c>
      <c r="I1047" t="s">
        <v>606</v>
      </c>
      <c r="J1047" t="s">
        <v>607</v>
      </c>
      <c r="K1047" t="s">
        <v>608</v>
      </c>
      <c r="L1047">
        <v>1368</v>
      </c>
      <c r="N1047">
        <v>1011</v>
      </c>
      <c r="O1047" t="s">
        <v>445</v>
      </c>
      <c r="P1047" t="s">
        <v>445</v>
      </c>
      <c r="Q1047">
        <v>1</v>
      </c>
      <c r="X1047">
        <v>0.9</v>
      </c>
      <c r="Y1047">
        <v>0</v>
      </c>
      <c r="Z1047">
        <v>180.35</v>
      </c>
      <c r="AA1047">
        <v>16.93</v>
      </c>
      <c r="AB1047">
        <v>0</v>
      </c>
      <c r="AC1047">
        <v>0</v>
      </c>
      <c r="AD1047">
        <v>1</v>
      </c>
      <c r="AE1047">
        <v>0</v>
      </c>
      <c r="AF1047" t="s">
        <v>22</v>
      </c>
      <c r="AG1047">
        <v>0.9900000000000001</v>
      </c>
      <c r="AH1047">
        <v>3</v>
      </c>
      <c r="AI1047">
        <v>-1</v>
      </c>
      <c r="AJ1047" t="s">
        <v>3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4" x14ac:dyDescent="0.2">
      <c r="A1048">
        <f>ROW(Source!A285)</f>
        <v>285</v>
      </c>
      <c r="B1048">
        <v>56617205</v>
      </c>
      <c r="C1048">
        <v>56617194</v>
      </c>
      <c r="D1048">
        <v>46725969</v>
      </c>
      <c r="E1048">
        <v>1</v>
      </c>
      <c r="F1048">
        <v>1</v>
      </c>
      <c r="G1048">
        <v>27786564</v>
      </c>
      <c r="H1048">
        <v>3</v>
      </c>
      <c r="I1048" t="s">
        <v>647</v>
      </c>
      <c r="J1048" t="s">
        <v>648</v>
      </c>
      <c r="K1048" t="s">
        <v>649</v>
      </c>
      <c r="L1048">
        <v>1348</v>
      </c>
      <c r="N1048">
        <v>1009</v>
      </c>
      <c r="O1048" t="s">
        <v>367</v>
      </c>
      <c r="P1048" t="s">
        <v>367</v>
      </c>
      <c r="Q1048">
        <v>1000</v>
      </c>
      <c r="X1048">
        <v>0.04</v>
      </c>
      <c r="Y1048">
        <v>1445.87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 t="s">
        <v>3</v>
      </c>
      <c r="AG1048">
        <v>0.04</v>
      </c>
      <c r="AH1048">
        <v>3</v>
      </c>
      <c r="AI1048">
        <v>-1</v>
      </c>
      <c r="AJ1048" t="s">
        <v>3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</row>
    <row r="1049" spans="1:44" x14ac:dyDescent="0.2">
      <c r="A1049">
        <f>ROW(Source!A285)</f>
        <v>285</v>
      </c>
      <c r="B1049">
        <v>56617206</v>
      </c>
      <c r="C1049">
        <v>56617194</v>
      </c>
      <c r="D1049">
        <v>30384722</v>
      </c>
      <c r="E1049">
        <v>27786564</v>
      </c>
      <c r="F1049">
        <v>1</v>
      </c>
      <c r="G1049">
        <v>27786564</v>
      </c>
      <c r="H1049">
        <v>3</v>
      </c>
      <c r="I1049" t="s">
        <v>650</v>
      </c>
      <c r="J1049" t="s">
        <v>3</v>
      </c>
      <c r="K1049" t="s">
        <v>651</v>
      </c>
      <c r="L1049">
        <v>1348</v>
      </c>
      <c r="N1049">
        <v>1009</v>
      </c>
      <c r="O1049" t="s">
        <v>367</v>
      </c>
      <c r="P1049" t="s">
        <v>367</v>
      </c>
      <c r="Q1049">
        <v>1000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 t="s">
        <v>3</v>
      </c>
      <c r="AG1049">
        <v>0</v>
      </c>
      <c r="AH1049">
        <v>3</v>
      </c>
      <c r="AI1049">
        <v>-1</v>
      </c>
      <c r="AJ1049" t="s">
        <v>3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4" x14ac:dyDescent="0.2">
      <c r="A1050">
        <f>ROW(Source!A286)</f>
        <v>286</v>
      </c>
      <c r="B1050">
        <v>56617196</v>
      </c>
      <c r="C1050">
        <v>56617194</v>
      </c>
      <c r="D1050">
        <v>47634407</v>
      </c>
      <c r="E1050">
        <v>27786564</v>
      </c>
      <c r="F1050">
        <v>1</v>
      </c>
      <c r="G1050">
        <v>27786564</v>
      </c>
      <c r="H1050">
        <v>1</v>
      </c>
      <c r="I1050" t="s">
        <v>439</v>
      </c>
      <c r="J1050" t="s">
        <v>3</v>
      </c>
      <c r="K1050" t="s">
        <v>440</v>
      </c>
      <c r="L1050">
        <v>1191</v>
      </c>
      <c r="N1050">
        <v>1013</v>
      </c>
      <c r="O1050" t="s">
        <v>441</v>
      </c>
      <c r="P1050" t="s">
        <v>441</v>
      </c>
      <c r="Q1050">
        <v>1</v>
      </c>
      <c r="X1050">
        <v>4.29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1</v>
      </c>
      <c r="AF1050" t="s">
        <v>22</v>
      </c>
      <c r="AG1050">
        <v>4.7190000000000003</v>
      </c>
      <c r="AH1050">
        <v>3</v>
      </c>
      <c r="AI1050">
        <v>-1</v>
      </c>
      <c r="AJ1050" t="s">
        <v>3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4" x14ac:dyDescent="0.2">
      <c r="A1051">
        <f>ROW(Source!A286)</f>
        <v>286</v>
      </c>
      <c r="B1051">
        <v>56617197</v>
      </c>
      <c r="C1051">
        <v>56617194</v>
      </c>
      <c r="D1051">
        <v>47766768</v>
      </c>
      <c r="E1051">
        <v>1</v>
      </c>
      <c r="F1051">
        <v>1</v>
      </c>
      <c r="G1051">
        <v>27786564</v>
      </c>
      <c r="H1051">
        <v>2</v>
      </c>
      <c r="I1051" t="s">
        <v>585</v>
      </c>
      <c r="J1051" t="s">
        <v>586</v>
      </c>
      <c r="K1051" t="s">
        <v>587</v>
      </c>
      <c r="L1051">
        <v>1368</v>
      </c>
      <c r="N1051">
        <v>1011</v>
      </c>
      <c r="O1051" t="s">
        <v>445</v>
      </c>
      <c r="P1051" t="s">
        <v>445</v>
      </c>
      <c r="Q1051">
        <v>1</v>
      </c>
      <c r="X1051">
        <v>0.3</v>
      </c>
      <c r="Y1051">
        <v>0</v>
      </c>
      <c r="Z1051">
        <v>41.45</v>
      </c>
      <c r="AA1051">
        <v>12.62</v>
      </c>
      <c r="AB1051">
        <v>0</v>
      </c>
      <c r="AC1051">
        <v>0</v>
      </c>
      <c r="AD1051">
        <v>1</v>
      </c>
      <c r="AE1051">
        <v>0</v>
      </c>
      <c r="AF1051" t="s">
        <v>22</v>
      </c>
      <c r="AG1051">
        <v>0.33</v>
      </c>
      <c r="AH1051">
        <v>3</v>
      </c>
      <c r="AI1051">
        <v>-1</v>
      </c>
      <c r="AJ1051" t="s">
        <v>3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</row>
    <row r="1052" spans="1:44" x14ac:dyDescent="0.2">
      <c r="A1052">
        <f>ROW(Source!A286)</f>
        <v>286</v>
      </c>
      <c r="B1052">
        <v>56617198</v>
      </c>
      <c r="C1052">
        <v>56617194</v>
      </c>
      <c r="D1052">
        <v>47766518</v>
      </c>
      <c r="E1052">
        <v>1</v>
      </c>
      <c r="F1052">
        <v>1</v>
      </c>
      <c r="G1052">
        <v>27786564</v>
      </c>
      <c r="H1052">
        <v>2</v>
      </c>
      <c r="I1052" t="s">
        <v>632</v>
      </c>
      <c r="J1052" t="s">
        <v>633</v>
      </c>
      <c r="K1052" t="s">
        <v>634</v>
      </c>
      <c r="L1052">
        <v>1368</v>
      </c>
      <c r="N1052">
        <v>1011</v>
      </c>
      <c r="O1052" t="s">
        <v>445</v>
      </c>
      <c r="P1052" t="s">
        <v>445</v>
      </c>
      <c r="Q1052">
        <v>1</v>
      </c>
      <c r="X1052">
        <v>0.3</v>
      </c>
      <c r="Y1052">
        <v>0</v>
      </c>
      <c r="Z1052">
        <v>153.94999999999999</v>
      </c>
      <c r="AA1052">
        <v>14.54</v>
      </c>
      <c r="AB1052">
        <v>0</v>
      </c>
      <c r="AC1052">
        <v>0</v>
      </c>
      <c r="AD1052">
        <v>1</v>
      </c>
      <c r="AE1052">
        <v>0</v>
      </c>
      <c r="AF1052" t="s">
        <v>22</v>
      </c>
      <c r="AG1052">
        <v>0.33</v>
      </c>
      <c r="AH1052">
        <v>3</v>
      </c>
      <c r="AI1052">
        <v>-1</v>
      </c>
      <c r="AJ1052" t="s">
        <v>3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</row>
    <row r="1053" spans="1:44" x14ac:dyDescent="0.2">
      <c r="A1053">
        <f>ROW(Source!A286)</f>
        <v>286</v>
      </c>
      <c r="B1053">
        <v>56617199</v>
      </c>
      <c r="C1053">
        <v>56617194</v>
      </c>
      <c r="D1053">
        <v>47766605</v>
      </c>
      <c r="E1053">
        <v>1</v>
      </c>
      <c r="F1053">
        <v>1</v>
      </c>
      <c r="G1053">
        <v>27786564</v>
      </c>
      <c r="H1053">
        <v>2</v>
      </c>
      <c r="I1053" t="s">
        <v>603</v>
      </c>
      <c r="J1053" t="s">
        <v>604</v>
      </c>
      <c r="K1053" t="s">
        <v>605</v>
      </c>
      <c r="L1053">
        <v>1368</v>
      </c>
      <c r="N1053">
        <v>1011</v>
      </c>
      <c r="O1053" t="s">
        <v>445</v>
      </c>
      <c r="P1053" t="s">
        <v>445</v>
      </c>
      <c r="Q1053">
        <v>1</v>
      </c>
      <c r="X1053">
        <v>0.3</v>
      </c>
      <c r="Y1053">
        <v>0</v>
      </c>
      <c r="Z1053">
        <v>140.38</v>
      </c>
      <c r="AA1053">
        <v>12.62</v>
      </c>
      <c r="AB1053">
        <v>0</v>
      </c>
      <c r="AC1053">
        <v>0</v>
      </c>
      <c r="AD1053">
        <v>1</v>
      </c>
      <c r="AE1053">
        <v>0</v>
      </c>
      <c r="AF1053" t="s">
        <v>22</v>
      </c>
      <c r="AG1053">
        <v>0.33</v>
      </c>
      <c r="AH1053">
        <v>3</v>
      </c>
      <c r="AI1053">
        <v>-1</v>
      </c>
      <c r="AJ1053" t="s">
        <v>3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</row>
    <row r="1054" spans="1:44" x14ac:dyDescent="0.2">
      <c r="A1054">
        <f>ROW(Source!A286)</f>
        <v>286</v>
      </c>
      <c r="B1054">
        <v>56617200</v>
      </c>
      <c r="C1054">
        <v>56617194</v>
      </c>
      <c r="D1054">
        <v>47766606</v>
      </c>
      <c r="E1054">
        <v>1</v>
      </c>
      <c r="F1054">
        <v>1</v>
      </c>
      <c r="G1054">
        <v>27786564</v>
      </c>
      <c r="H1054">
        <v>2</v>
      </c>
      <c r="I1054" t="s">
        <v>635</v>
      </c>
      <c r="J1054" t="s">
        <v>636</v>
      </c>
      <c r="K1054" t="s">
        <v>637</v>
      </c>
      <c r="L1054">
        <v>1368</v>
      </c>
      <c r="N1054">
        <v>1011</v>
      </c>
      <c r="O1054" t="s">
        <v>445</v>
      </c>
      <c r="P1054" t="s">
        <v>445</v>
      </c>
      <c r="Q1054">
        <v>1</v>
      </c>
      <c r="X1054">
        <v>0.3</v>
      </c>
      <c r="Y1054">
        <v>0</v>
      </c>
      <c r="Z1054">
        <v>260.5</v>
      </c>
      <c r="AA1054">
        <v>18.62</v>
      </c>
      <c r="AB1054">
        <v>0</v>
      </c>
      <c r="AC1054">
        <v>0</v>
      </c>
      <c r="AD1054">
        <v>1</v>
      </c>
      <c r="AE1054">
        <v>0</v>
      </c>
      <c r="AF1054" t="s">
        <v>22</v>
      </c>
      <c r="AG1054">
        <v>0.33</v>
      </c>
      <c r="AH1054">
        <v>3</v>
      </c>
      <c r="AI1054">
        <v>-1</v>
      </c>
      <c r="AJ1054" t="s">
        <v>3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</row>
    <row r="1055" spans="1:44" x14ac:dyDescent="0.2">
      <c r="A1055">
        <f>ROW(Source!A286)</f>
        <v>286</v>
      </c>
      <c r="B1055">
        <v>56617201</v>
      </c>
      <c r="C1055">
        <v>56617194</v>
      </c>
      <c r="D1055">
        <v>47766595</v>
      </c>
      <c r="E1055">
        <v>1</v>
      </c>
      <c r="F1055">
        <v>1</v>
      </c>
      <c r="G1055">
        <v>27786564</v>
      </c>
      <c r="H1055">
        <v>2</v>
      </c>
      <c r="I1055" t="s">
        <v>638</v>
      </c>
      <c r="J1055" t="s">
        <v>639</v>
      </c>
      <c r="K1055" t="s">
        <v>640</v>
      </c>
      <c r="L1055">
        <v>1368</v>
      </c>
      <c r="N1055">
        <v>1011</v>
      </c>
      <c r="O1055" t="s">
        <v>445</v>
      </c>
      <c r="P1055" t="s">
        <v>445</v>
      </c>
      <c r="Q1055">
        <v>1</v>
      </c>
      <c r="X1055">
        <v>0.3</v>
      </c>
      <c r="Y1055">
        <v>0</v>
      </c>
      <c r="Z1055">
        <v>163.81</v>
      </c>
      <c r="AA1055">
        <v>14.54</v>
      </c>
      <c r="AB1055">
        <v>0</v>
      </c>
      <c r="AC1055">
        <v>0</v>
      </c>
      <c r="AD1055">
        <v>1</v>
      </c>
      <c r="AE1055">
        <v>0</v>
      </c>
      <c r="AF1055" t="s">
        <v>22</v>
      </c>
      <c r="AG1055">
        <v>0.33</v>
      </c>
      <c r="AH1055">
        <v>3</v>
      </c>
      <c r="AI1055">
        <v>-1</v>
      </c>
      <c r="AJ1055" t="s">
        <v>3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</row>
    <row r="1056" spans="1:44" x14ac:dyDescent="0.2">
      <c r="A1056">
        <f>ROW(Source!A286)</f>
        <v>286</v>
      </c>
      <c r="B1056">
        <v>56617202</v>
      </c>
      <c r="C1056">
        <v>56617194</v>
      </c>
      <c r="D1056">
        <v>47766611</v>
      </c>
      <c r="E1056">
        <v>1</v>
      </c>
      <c r="F1056">
        <v>1</v>
      </c>
      <c r="G1056">
        <v>27786564</v>
      </c>
      <c r="H1056">
        <v>2</v>
      </c>
      <c r="I1056" t="s">
        <v>641</v>
      </c>
      <c r="J1056" t="s">
        <v>642</v>
      </c>
      <c r="K1056" t="s">
        <v>643</v>
      </c>
      <c r="L1056">
        <v>1368</v>
      </c>
      <c r="N1056">
        <v>1011</v>
      </c>
      <c r="O1056" t="s">
        <v>445</v>
      </c>
      <c r="P1056" t="s">
        <v>445</v>
      </c>
      <c r="Q1056">
        <v>1</v>
      </c>
      <c r="X1056">
        <v>0.3</v>
      </c>
      <c r="Y1056">
        <v>0</v>
      </c>
      <c r="Z1056">
        <v>283.89999999999998</v>
      </c>
      <c r="AA1056">
        <v>14.54</v>
      </c>
      <c r="AB1056">
        <v>0</v>
      </c>
      <c r="AC1056">
        <v>0</v>
      </c>
      <c r="AD1056">
        <v>1</v>
      </c>
      <c r="AE1056">
        <v>0</v>
      </c>
      <c r="AF1056" t="s">
        <v>22</v>
      </c>
      <c r="AG1056">
        <v>0.33</v>
      </c>
      <c r="AH1056">
        <v>3</v>
      </c>
      <c r="AI1056">
        <v>-1</v>
      </c>
      <c r="AJ1056" t="s">
        <v>3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44" x14ac:dyDescent="0.2">
      <c r="A1057">
        <f>ROW(Source!A286)</f>
        <v>286</v>
      </c>
      <c r="B1057">
        <v>56617203</v>
      </c>
      <c r="C1057">
        <v>56617194</v>
      </c>
      <c r="D1057">
        <v>47766598</v>
      </c>
      <c r="E1057">
        <v>1</v>
      </c>
      <c r="F1057">
        <v>1</v>
      </c>
      <c r="G1057">
        <v>27786564</v>
      </c>
      <c r="H1057">
        <v>2</v>
      </c>
      <c r="I1057" t="s">
        <v>644</v>
      </c>
      <c r="J1057" t="s">
        <v>645</v>
      </c>
      <c r="K1057" t="s">
        <v>646</v>
      </c>
      <c r="L1057">
        <v>1368</v>
      </c>
      <c r="N1057">
        <v>1011</v>
      </c>
      <c r="O1057" t="s">
        <v>445</v>
      </c>
      <c r="P1057" t="s">
        <v>445</v>
      </c>
      <c r="Q1057">
        <v>1</v>
      </c>
      <c r="X1057">
        <v>0.3</v>
      </c>
      <c r="Y1057">
        <v>0</v>
      </c>
      <c r="Z1057">
        <v>189.45</v>
      </c>
      <c r="AA1057">
        <v>16.93</v>
      </c>
      <c r="AB1057">
        <v>0</v>
      </c>
      <c r="AC1057">
        <v>0</v>
      </c>
      <c r="AD1057">
        <v>1</v>
      </c>
      <c r="AE1057">
        <v>0</v>
      </c>
      <c r="AF1057" t="s">
        <v>22</v>
      </c>
      <c r="AG1057">
        <v>0.33</v>
      </c>
      <c r="AH1057">
        <v>3</v>
      </c>
      <c r="AI1057">
        <v>-1</v>
      </c>
      <c r="AJ1057" t="s">
        <v>3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</row>
    <row r="1058" spans="1:44" x14ac:dyDescent="0.2">
      <c r="A1058">
        <f>ROW(Source!A286)</f>
        <v>286</v>
      </c>
      <c r="B1058">
        <v>56617204</v>
      </c>
      <c r="C1058">
        <v>56617194</v>
      </c>
      <c r="D1058">
        <v>47766599</v>
      </c>
      <c r="E1058">
        <v>1</v>
      </c>
      <c r="F1058">
        <v>1</v>
      </c>
      <c r="G1058">
        <v>27786564</v>
      </c>
      <c r="H1058">
        <v>2</v>
      </c>
      <c r="I1058" t="s">
        <v>606</v>
      </c>
      <c r="J1058" t="s">
        <v>607</v>
      </c>
      <c r="K1058" t="s">
        <v>608</v>
      </c>
      <c r="L1058">
        <v>1368</v>
      </c>
      <c r="N1058">
        <v>1011</v>
      </c>
      <c r="O1058" t="s">
        <v>445</v>
      </c>
      <c r="P1058" t="s">
        <v>445</v>
      </c>
      <c r="Q1058">
        <v>1</v>
      </c>
      <c r="X1058">
        <v>0.9</v>
      </c>
      <c r="Y1058">
        <v>0</v>
      </c>
      <c r="Z1058">
        <v>180.35</v>
      </c>
      <c r="AA1058">
        <v>16.93</v>
      </c>
      <c r="AB1058">
        <v>0</v>
      </c>
      <c r="AC1058">
        <v>0</v>
      </c>
      <c r="AD1058">
        <v>1</v>
      </c>
      <c r="AE1058">
        <v>0</v>
      </c>
      <c r="AF1058" t="s">
        <v>22</v>
      </c>
      <c r="AG1058">
        <v>0.9900000000000001</v>
      </c>
      <c r="AH1058">
        <v>3</v>
      </c>
      <c r="AI1058">
        <v>-1</v>
      </c>
      <c r="AJ1058" t="s">
        <v>3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</row>
    <row r="1059" spans="1:44" x14ac:dyDescent="0.2">
      <c r="A1059">
        <f>ROW(Source!A286)</f>
        <v>286</v>
      </c>
      <c r="B1059">
        <v>56617205</v>
      </c>
      <c r="C1059">
        <v>56617194</v>
      </c>
      <c r="D1059">
        <v>46725969</v>
      </c>
      <c r="E1059">
        <v>1</v>
      </c>
      <c r="F1059">
        <v>1</v>
      </c>
      <c r="G1059">
        <v>27786564</v>
      </c>
      <c r="H1059">
        <v>3</v>
      </c>
      <c r="I1059" t="s">
        <v>647</v>
      </c>
      <c r="J1059" t="s">
        <v>648</v>
      </c>
      <c r="K1059" t="s">
        <v>649</v>
      </c>
      <c r="L1059">
        <v>1348</v>
      </c>
      <c r="N1059">
        <v>1009</v>
      </c>
      <c r="O1059" t="s">
        <v>367</v>
      </c>
      <c r="P1059" t="s">
        <v>367</v>
      </c>
      <c r="Q1059">
        <v>1000</v>
      </c>
      <c r="X1059">
        <v>0.04</v>
      </c>
      <c r="Y1059">
        <v>1445.87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0</v>
      </c>
      <c r="AF1059" t="s">
        <v>3</v>
      </c>
      <c r="AG1059">
        <v>0.04</v>
      </c>
      <c r="AH1059">
        <v>3</v>
      </c>
      <c r="AI1059">
        <v>-1</v>
      </c>
      <c r="AJ1059" t="s">
        <v>3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</row>
    <row r="1060" spans="1:44" x14ac:dyDescent="0.2">
      <c r="A1060">
        <f>ROW(Source!A286)</f>
        <v>286</v>
      </c>
      <c r="B1060">
        <v>56617206</v>
      </c>
      <c r="C1060">
        <v>56617194</v>
      </c>
      <c r="D1060">
        <v>30384722</v>
      </c>
      <c r="E1060">
        <v>27786564</v>
      </c>
      <c r="F1060">
        <v>1</v>
      </c>
      <c r="G1060">
        <v>27786564</v>
      </c>
      <c r="H1060">
        <v>3</v>
      </c>
      <c r="I1060" t="s">
        <v>650</v>
      </c>
      <c r="J1060" t="s">
        <v>3</v>
      </c>
      <c r="K1060" t="s">
        <v>651</v>
      </c>
      <c r="L1060">
        <v>1348</v>
      </c>
      <c r="N1060">
        <v>1009</v>
      </c>
      <c r="O1060" t="s">
        <v>367</v>
      </c>
      <c r="P1060" t="s">
        <v>367</v>
      </c>
      <c r="Q1060">
        <v>1000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 t="s">
        <v>3</v>
      </c>
      <c r="AG1060">
        <v>0</v>
      </c>
      <c r="AH1060">
        <v>3</v>
      </c>
      <c r="AI1060">
        <v>-1</v>
      </c>
      <c r="AJ1060" t="s">
        <v>3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</row>
    <row r="1061" spans="1:44" x14ac:dyDescent="0.2">
      <c r="A1061">
        <f>ROW(Source!A289)</f>
        <v>289</v>
      </c>
      <c r="B1061">
        <v>56617210</v>
      </c>
      <c r="C1061">
        <v>56617208</v>
      </c>
      <c r="D1061">
        <v>47634407</v>
      </c>
      <c r="E1061">
        <v>27786564</v>
      </c>
      <c r="F1061">
        <v>1</v>
      </c>
      <c r="G1061">
        <v>27786564</v>
      </c>
      <c r="H1061">
        <v>1</v>
      </c>
      <c r="I1061" t="s">
        <v>439</v>
      </c>
      <c r="J1061" t="s">
        <v>3</v>
      </c>
      <c r="K1061" t="s">
        <v>440</v>
      </c>
      <c r="L1061">
        <v>1191</v>
      </c>
      <c r="N1061">
        <v>1013</v>
      </c>
      <c r="O1061" t="s">
        <v>441</v>
      </c>
      <c r="P1061" t="s">
        <v>441</v>
      </c>
      <c r="Q1061">
        <v>1</v>
      </c>
      <c r="X1061">
        <v>4.29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1</v>
      </c>
      <c r="AF1061" t="s">
        <v>22</v>
      </c>
      <c r="AG1061">
        <v>4.7190000000000003</v>
      </c>
      <c r="AH1061">
        <v>3</v>
      </c>
      <c r="AI1061">
        <v>-1</v>
      </c>
      <c r="AJ1061" t="s">
        <v>3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</row>
    <row r="1062" spans="1:44" x14ac:dyDescent="0.2">
      <c r="A1062">
        <f>ROW(Source!A289)</f>
        <v>289</v>
      </c>
      <c r="B1062">
        <v>56617211</v>
      </c>
      <c r="C1062">
        <v>56617208</v>
      </c>
      <c r="D1062">
        <v>47766768</v>
      </c>
      <c r="E1062">
        <v>1</v>
      </c>
      <c r="F1062">
        <v>1</v>
      </c>
      <c r="G1062">
        <v>27786564</v>
      </c>
      <c r="H1062">
        <v>2</v>
      </c>
      <c r="I1062" t="s">
        <v>585</v>
      </c>
      <c r="J1062" t="s">
        <v>586</v>
      </c>
      <c r="K1062" t="s">
        <v>587</v>
      </c>
      <c r="L1062">
        <v>1368</v>
      </c>
      <c r="N1062">
        <v>1011</v>
      </c>
      <c r="O1062" t="s">
        <v>445</v>
      </c>
      <c r="P1062" t="s">
        <v>445</v>
      </c>
      <c r="Q1062">
        <v>1</v>
      </c>
      <c r="X1062">
        <v>0.3</v>
      </c>
      <c r="Y1062">
        <v>0</v>
      </c>
      <c r="Z1062">
        <v>41.45</v>
      </c>
      <c r="AA1062">
        <v>12.62</v>
      </c>
      <c r="AB1062">
        <v>0</v>
      </c>
      <c r="AC1062">
        <v>0</v>
      </c>
      <c r="AD1062">
        <v>1</v>
      </c>
      <c r="AE1062">
        <v>0</v>
      </c>
      <c r="AF1062" t="s">
        <v>22</v>
      </c>
      <c r="AG1062">
        <v>0.33</v>
      </c>
      <c r="AH1062">
        <v>3</v>
      </c>
      <c r="AI1062">
        <v>-1</v>
      </c>
      <c r="AJ1062" t="s">
        <v>3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</row>
    <row r="1063" spans="1:44" x14ac:dyDescent="0.2">
      <c r="A1063">
        <f>ROW(Source!A289)</f>
        <v>289</v>
      </c>
      <c r="B1063">
        <v>56617212</v>
      </c>
      <c r="C1063">
        <v>56617208</v>
      </c>
      <c r="D1063">
        <v>47766518</v>
      </c>
      <c r="E1063">
        <v>1</v>
      </c>
      <c r="F1063">
        <v>1</v>
      </c>
      <c r="G1063">
        <v>27786564</v>
      </c>
      <c r="H1063">
        <v>2</v>
      </c>
      <c r="I1063" t="s">
        <v>632</v>
      </c>
      <c r="J1063" t="s">
        <v>633</v>
      </c>
      <c r="K1063" t="s">
        <v>634</v>
      </c>
      <c r="L1063">
        <v>1368</v>
      </c>
      <c r="N1063">
        <v>1011</v>
      </c>
      <c r="O1063" t="s">
        <v>445</v>
      </c>
      <c r="P1063" t="s">
        <v>445</v>
      </c>
      <c r="Q1063">
        <v>1</v>
      </c>
      <c r="X1063">
        <v>0.3</v>
      </c>
      <c r="Y1063">
        <v>0</v>
      </c>
      <c r="Z1063">
        <v>153.94999999999999</v>
      </c>
      <c r="AA1063">
        <v>14.54</v>
      </c>
      <c r="AB1063">
        <v>0</v>
      </c>
      <c r="AC1063">
        <v>0</v>
      </c>
      <c r="AD1063">
        <v>1</v>
      </c>
      <c r="AE1063">
        <v>0</v>
      </c>
      <c r="AF1063" t="s">
        <v>22</v>
      </c>
      <c r="AG1063">
        <v>0.33</v>
      </c>
      <c r="AH1063">
        <v>3</v>
      </c>
      <c r="AI1063">
        <v>-1</v>
      </c>
      <c r="AJ1063" t="s">
        <v>3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</row>
    <row r="1064" spans="1:44" x14ac:dyDescent="0.2">
      <c r="A1064">
        <f>ROW(Source!A289)</f>
        <v>289</v>
      </c>
      <c r="B1064">
        <v>56617213</v>
      </c>
      <c r="C1064">
        <v>56617208</v>
      </c>
      <c r="D1064">
        <v>47766605</v>
      </c>
      <c r="E1064">
        <v>1</v>
      </c>
      <c r="F1064">
        <v>1</v>
      </c>
      <c r="G1064">
        <v>27786564</v>
      </c>
      <c r="H1064">
        <v>2</v>
      </c>
      <c r="I1064" t="s">
        <v>603</v>
      </c>
      <c r="J1064" t="s">
        <v>604</v>
      </c>
      <c r="K1064" t="s">
        <v>605</v>
      </c>
      <c r="L1064">
        <v>1368</v>
      </c>
      <c r="N1064">
        <v>1011</v>
      </c>
      <c r="O1064" t="s">
        <v>445</v>
      </c>
      <c r="P1064" t="s">
        <v>445</v>
      </c>
      <c r="Q1064">
        <v>1</v>
      </c>
      <c r="X1064">
        <v>0.3</v>
      </c>
      <c r="Y1064">
        <v>0</v>
      </c>
      <c r="Z1064">
        <v>140.38</v>
      </c>
      <c r="AA1064">
        <v>12.62</v>
      </c>
      <c r="AB1064">
        <v>0</v>
      </c>
      <c r="AC1064">
        <v>0</v>
      </c>
      <c r="AD1064">
        <v>1</v>
      </c>
      <c r="AE1064">
        <v>0</v>
      </c>
      <c r="AF1064" t="s">
        <v>22</v>
      </c>
      <c r="AG1064">
        <v>0.33</v>
      </c>
      <c r="AH1064">
        <v>3</v>
      </c>
      <c r="AI1064">
        <v>-1</v>
      </c>
      <c r="AJ1064" t="s">
        <v>3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</row>
    <row r="1065" spans="1:44" x14ac:dyDescent="0.2">
      <c r="A1065">
        <f>ROW(Source!A289)</f>
        <v>289</v>
      </c>
      <c r="B1065">
        <v>56617214</v>
      </c>
      <c r="C1065">
        <v>56617208</v>
      </c>
      <c r="D1065">
        <v>47766606</v>
      </c>
      <c r="E1065">
        <v>1</v>
      </c>
      <c r="F1065">
        <v>1</v>
      </c>
      <c r="G1065">
        <v>27786564</v>
      </c>
      <c r="H1065">
        <v>2</v>
      </c>
      <c r="I1065" t="s">
        <v>635</v>
      </c>
      <c r="J1065" t="s">
        <v>636</v>
      </c>
      <c r="K1065" t="s">
        <v>637</v>
      </c>
      <c r="L1065">
        <v>1368</v>
      </c>
      <c r="N1065">
        <v>1011</v>
      </c>
      <c r="O1065" t="s">
        <v>445</v>
      </c>
      <c r="P1065" t="s">
        <v>445</v>
      </c>
      <c r="Q1065">
        <v>1</v>
      </c>
      <c r="X1065">
        <v>0.3</v>
      </c>
      <c r="Y1065">
        <v>0</v>
      </c>
      <c r="Z1065">
        <v>260.5</v>
      </c>
      <c r="AA1065">
        <v>18.62</v>
      </c>
      <c r="AB1065">
        <v>0</v>
      </c>
      <c r="AC1065">
        <v>0</v>
      </c>
      <c r="AD1065">
        <v>1</v>
      </c>
      <c r="AE1065">
        <v>0</v>
      </c>
      <c r="AF1065" t="s">
        <v>22</v>
      </c>
      <c r="AG1065">
        <v>0.33</v>
      </c>
      <c r="AH1065">
        <v>3</v>
      </c>
      <c r="AI1065">
        <v>-1</v>
      </c>
      <c r="AJ1065" t="s">
        <v>3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</row>
    <row r="1066" spans="1:44" x14ac:dyDescent="0.2">
      <c r="A1066">
        <f>ROW(Source!A289)</f>
        <v>289</v>
      </c>
      <c r="B1066">
        <v>56617215</v>
      </c>
      <c r="C1066">
        <v>56617208</v>
      </c>
      <c r="D1066">
        <v>47766595</v>
      </c>
      <c r="E1066">
        <v>1</v>
      </c>
      <c r="F1066">
        <v>1</v>
      </c>
      <c r="G1066">
        <v>27786564</v>
      </c>
      <c r="H1066">
        <v>2</v>
      </c>
      <c r="I1066" t="s">
        <v>638</v>
      </c>
      <c r="J1066" t="s">
        <v>639</v>
      </c>
      <c r="K1066" t="s">
        <v>640</v>
      </c>
      <c r="L1066">
        <v>1368</v>
      </c>
      <c r="N1066">
        <v>1011</v>
      </c>
      <c r="O1066" t="s">
        <v>445</v>
      </c>
      <c r="P1066" t="s">
        <v>445</v>
      </c>
      <c r="Q1066">
        <v>1</v>
      </c>
      <c r="X1066">
        <v>0.3</v>
      </c>
      <c r="Y1066">
        <v>0</v>
      </c>
      <c r="Z1066">
        <v>163.81</v>
      </c>
      <c r="AA1066">
        <v>14.54</v>
      </c>
      <c r="AB1066">
        <v>0</v>
      </c>
      <c r="AC1066">
        <v>0</v>
      </c>
      <c r="AD1066">
        <v>1</v>
      </c>
      <c r="AE1066">
        <v>0</v>
      </c>
      <c r="AF1066" t="s">
        <v>22</v>
      </c>
      <c r="AG1066">
        <v>0.33</v>
      </c>
      <c r="AH1066">
        <v>3</v>
      </c>
      <c r="AI1066">
        <v>-1</v>
      </c>
      <c r="AJ1066" t="s">
        <v>3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</row>
    <row r="1067" spans="1:44" x14ac:dyDescent="0.2">
      <c r="A1067">
        <f>ROW(Source!A289)</f>
        <v>289</v>
      </c>
      <c r="B1067">
        <v>56617216</v>
      </c>
      <c r="C1067">
        <v>56617208</v>
      </c>
      <c r="D1067">
        <v>47766611</v>
      </c>
      <c r="E1067">
        <v>1</v>
      </c>
      <c r="F1067">
        <v>1</v>
      </c>
      <c r="G1067">
        <v>27786564</v>
      </c>
      <c r="H1067">
        <v>2</v>
      </c>
      <c r="I1067" t="s">
        <v>641</v>
      </c>
      <c r="J1067" t="s">
        <v>642</v>
      </c>
      <c r="K1067" t="s">
        <v>643</v>
      </c>
      <c r="L1067">
        <v>1368</v>
      </c>
      <c r="N1067">
        <v>1011</v>
      </c>
      <c r="O1067" t="s">
        <v>445</v>
      </c>
      <c r="P1067" t="s">
        <v>445</v>
      </c>
      <c r="Q1067">
        <v>1</v>
      </c>
      <c r="X1067">
        <v>0.3</v>
      </c>
      <c r="Y1067">
        <v>0</v>
      </c>
      <c r="Z1067">
        <v>283.89999999999998</v>
      </c>
      <c r="AA1067">
        <v>14.54</v>
      </c>
      <c r="AB1067">
        <v>0</v>
      </c>
      <c r="AC1067">
        <v>0</v>
      </c>
      <c r="AD1067">
        <v>1</v>
      </c>
      <c r="AE1067">
        <v>0</v>
      </c>
      <c r="AF1067" t="s">
        <v>22</v>
      </c>
      <c r="AG1067">
        <v>0.33</v>
      </c>
      <c r="AH1067">
        <v>3</v>
      </c>
      <c r="AI1067">
        <v>-1</v>
      </c>
      <c r="AJ1067" t="s">
        <v>3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</row>
    <row r="1068" spans="1:44" x14ac:dyDescent="0.2">
      <c r="A1068">
        <f>ROW(Source!A289)</f>
        <v>289</v>
      </c>
      <c r="B1068">
        <v>56617217</v>
      </c>
      <c r="C1068">
        <v>56617208</v>
      </c>
      <c r="D1068">
        <v>47766598</v>
      </c>
      <c r="E1068">
        <v>1</v>
      </c>
      <c r="F1068">
        <v>1</v>
      </c>
      <c r="G1068">
        <v>27786564</v>
      </c>
      <c r="H1068">
        <v>2</v>
      </c>
      <c r="I1068" t="s">
        <v>644</v>
      </c>
      <c r="J1068" t="s">
        <v>645</v>
      </c>
      <c r="K1068" t="s">
        <v>646</v>
      </c>
      <c r="L1068">
        <v>1368</v>
      </c>
      <c r="N1068">
        <v>1011</v>
      </c>
      <c r="O1068" t="s">
        <v>445</v>
      </c>
      <c r="P1068" t="s">
        <v>445</v>
      </c>
      <c r="Q1068">
        <v>1</v>
      </c>
      <c r="X1068">
        <v>0.3</v>
      </c>
      <c r="Y1068">
        <v>0</v>
      </c>
      <c r="Z1068">
        <v>189.45</v>
      </c>
      <c r="AA1068">
        <v>16.93</v>
      </c>
      <c r="AB1068">
        <v>0</v>
      </c>
      <c r="AC1068">
        <v>0</v>
      </c>
      <c r="AD1068">
        <v>1</v>
      </c>
      <c r="AE1068">
        <v>0</v>
      </c>
      <c r="AF1068" t="s">
        <v>22</v>
      </c>
      <c r="AG1068">
        <v>0.33</v>
      </c>
      <c r="AH1068">
        <v>3</v>
      </c>
      <c r="AI1068">
        <v>-1</v>
      </c>
      <c r="AJ1068" t="s">
        <v>3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</row>
    <row r="1069" spans="1:44" x14ac:dyDescent="0.2">
      <c r="A1069">
        <f>ROW(Source!A289)</f>
        <v>289</v>
      </c>
      <c r="B1069">
        <v>56617218</v>
      </c>
      <c r="C1069">
        <v>56617208</v>
      </c>
      <c r="D1069">
        <v>47766599</v>
      </c>
      <c r="E1069">
        <v>1</v>
      </c>
      <c r="F1069">
        <v>1</v>
      </c>
      <c r="G1069">
        <v>27786564</v>
      </c>
      <c r="H1069">
        <v>2</v>
      </c>
      <c r="I1069" t="s">
        <v>606</v>
      </c>
      <c r="J1069" t="s">
        <v>607</v>
      </c>
      <c r="K1069" t="s">
        <v>608</v>
      </c>
      <c r="L1069">
        <v>1368</v>
      </c>
      <c r="N1069">
        <v>1011</v>
      </c>
      <c r="O1069" t="s">
        <v>445</v>
      </c>
      <c r="P1069" t="s">
        <v>445</v>
      </c>
      <c r="Q1069">
        <v>1</v>
      </c>
      <c r="X1069">
        <v>0.9</v>
      </c>
      <c r="Y1069">
        <v>0</v>
      </c>
      <c r="Z1069">
        <v>180.35</v>
      </c>
      <c r="AA1069">
        <v>16.93</v>
      </c>
      <c r="AB1069">
        <v>0</v>
      </c>
      <c r="AC1069">
        <v>0</v>
      </c>
      <c r="AD1069">
        <v>1</v>
      </c>
      <c r="AE1069">
        <v>0</v>
      </c>
      <c r="AF1069" t="s">
        <v>22</v>
      </c>
      <c r="AG1069">
        <v>0.9900000000000001</v>
      </c>
      <c r="AH1069">
        <v>3</v>
      </c>
      <c r="AI1069">
        <v>-1</v>
      </c>
      <c r="AJ1069" t="s">
        <v>3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</row>
    <row r="1070" spans="1:44" x14ac:dyDescent="0.2">
      <c r="A1070">
        <f>ROW(Source!A289)</f>
        <v>289</v>
      </c>
      <c r="B1070">
        <v>56617219</v>
      </c>
      <c r="C1070">
        <v>56617208</v>
      </c>
      <c r="D1070">
        <v>46725969</v>
      </c>
      <c r="E1070">
        <v>1</v>
      </c>
      <c r="F1070">
        <v>1</v>
      </c>
      <c r="G1070">
        <v>27786564</v>
      </c>
      <c r="H1070">
        <v>3</v>
      </c>
      <c r="I1070" t="s">
        <v>647</v>
      </c>
      <c r="J1070" t="s">
        <v>648</v>
      </c>
      <c r="K1070" t="s">
        <v>649</v>
      </c>
      <c r="L1070">
        <v>1348</v>
      </c>
      <c r="N1070">
        <v>1009</v>
      </c>
      <c r="O1070" t="s">
        <v>367</v>
      </c>
      <c r="P1070" t="s">
        <v>367</v>
      </c>
      <c r="Q1070">
        <v>1000</v>
      </c>
      <c r="X1070">
        <v>0.04</v>
      </c>
      <c r="Y1070">
        <v>1445.87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 t="s">
        <v>3</v>
      </c>
      <c r="AG1070">
        <v>0.04</v>
      </c>
      <c r="AH1070">
        <v>3</v>
      </c>
      <c r="AI1070">
        <v>-1</v>
      </c>
      <c r="AJ1070" t="s">
        <v>3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</row>
    <row r="1071" spans="1:44" x14ac:dyDescent="0.2">
      <c r="A1071">
        <f>ROW(Source!A289)</f>
        <v>289</v>
      </c>
      <c r="B1071">
        <v>56617220</v>
      </c>
      <c r="C1071">
        <v>56617208</v>
      </c>
      <c r="D1071">
        <v>30384722</v>
      </c>
      <c r="E1071">
        <v>27786564</v>
      </c>
      <c r="F1071">
        <v>1</v>
      </c>
      <c r="G1071">
        <v>27786564</v>
      </c>
      <c r="H1071">
        <v>3</v>
      </c>
      <c r="I1071" t="s">
        <v>650</v>
      </c>
      <c r="J1071" t="s">
        <v>3</v>
      </c>
      <c r="K1071" t="s">
        <v>651</v>
      </c>
      <c r="L1071">
        <v>1348</v>
      </c>
      <c r="N1071">
        <v>1009</v>
      </c>
      <c r="O1071" t="s">
        <v>367</v>
      </c>
      <c r="P1071" t="s">
        <v>367</v>
      </c>
      <c r="Q1071">
        <v>1000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 t="s">
        <v>3</v>
      </c>
      <c r="AG1071">
        <v>0</v>
      </c>
      <c r="AH1071">
        <v>3</v>
      </c>
      <c r="AI1071">
        <v>-1</v>
      </c>
      <c r="AJ1071" t="s">
        <v>3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</row>
    <row r="1072" spans="1:44" x14ac:dyDescent="0.2">
      <c r="A1072">
        <f>ROW(Source!A290)</f>
        <v>290</v>
      </c>
      <c r="B1072">
        <v>56617210</v>
      </c>
      <c r="C1072">
        <v>56617208</v>
      </c>
      <c r="D1072">
        <v>47634407</v>
      </c>
      <c r="E1072">
        <v>27786564</v>
      </c>
      <c r="F1072">
        <v>1</v>
      </c>
      <c r="G1072">
        <v>27786564</v>
      </c>
      <c r="H1072">
        <v>1</v>
      </c>
      <c r="I1072" t="s">
        <v>439</v>
      </c>
      <c r="J1072" t="s">
        <v>3</v>
      </c>
      <c r="K1072" t="s">
        <v>440</v>
      </c>
      <c r="L1072">
        <v>1191</v>
      </c>
      <c r="N1072">
        <v>1013</v>
      </c>
      <c r="O1072" t="s">
        <v>441</v>
      </c>
      <c r="P1072" t="s">
        <v>441</v>
      </c>
      <c r="Q1072">
        <v>1</v>
      </c>
      <c r="X1072">
        <v>4.29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1</v>
      </c>
      <c r="AF1072" t="s">
        <v>22</v>
      </c>
      <c r="AG1072">
        <v>4.7190000000000003</v>
      </c>
      <c r="AH1072">
        <v>3</v>
      </c>
      <c r="AI1072">
        <v>-1</v>
      </c>
      <c r="AJ1072" t="s">
        <v>3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</row>
    <row r="1073" spans="1:44" x14ac:dyDescent="0.2">
      <c r="A1073">
        <f>ROW(Source!A290)</f>
        <v>290</v>
      </c>
      <c r="B1073">
        <v>56617211</v>
      </c>
      <c r="C1073">
        <v>56617208</v>
      </c>
      <c r="D1073">
        <v>47766768</v>
      </c>
      <c r="E1073">
        <v>1</v>
      </c>
      <c r="F1073">
        <v>1</v>
      </c>
      <c r="G1073">
        <v>27786564</v>
      </c>
      <c r="H1073">
        <v>2</v>
      </c>
      <c r="I1073" t="s">
        <v>585</v>
      </c>
      <c r="J1073" t="s">
        <v>586</v>
      </c>
      <c r="K1073" t="s">
        <v>587</v>
      </c>
      <c r="L1073">
        <v>1368</v>
      </c>
      <c r="N1073">
        <v>1011</v>
      </c>
      <c r="O1073" t="s">
        <v>445</v>
      </c>
      <c r="P1073" t="s">
        <v>445</v>
      </c>
      <c r="Q1073">
        <v>1</v>
      </c>
      <c r="X1073">
        <v>0.3</v>
      </c>
      <c r="Y1073">
        <v>0</v>
      </c>
      <c r="Z1073">
        <v>41.45</v>
      </c>
      <c r="AA1073">
        <v>12.62</v>
      </c>
      <c r="AB1073">
        <v>0</v>
      </c>
      <c r="AC1073">
        <v>0</v>
      </c>
      <c r="AD1073">
        <v>1</v>
      </c>
      <c r="AE1073">
        <v>0</v>
      </c>
      <c r="AF1073" t="s">
        <v>22</v>
      </c>
      <c r="AG1073">
        <v>0.33</v>
      </c>
      <c r="AH1073">
        <v>3</v>
      </c>
      <c r="AI1073">
        <v>-1</v>
      </c>
      <c r="AJ1073" t="s">
        <v>3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</row>
    <row r="1074" spans="1:44" x14ac:dyDescent="0.2">
      <c r="A1074">
        <f>ROW(Source!A290)</f>
        <v>290</v>
      </c>
      <c r="B1074">
        <v>56617212</v>
      </c>
      <c r="C1074">
        <v>56617208</v>
      </c>
      <c r="D1074">
        <v>47766518</v>
      </c>
      <c r="E1074">
        <v>1</v>
      </c>
      <c r="F1074">
        <v>1</v>
      </c>
      <c r="G1074">
        <v>27786564</v>
      </c>
      <c r="H1074">
        <v>2</v>
      </c>
      <c r="I1074" t="s">
        <v>632</v>
      </c>
      <c r="J1074" t="s">
        <v>633</v>
      </c>
      <c r="K1074" t="s">
        <v>634</v>
      </c>
      <c r="L1074">
        <v>1368</v>
      </c>
      <c r="N1074">
        <v>1011</v>
      </c>
      <c r="O1074" t="s">
        <v>445</v>
      </c>
      <c r="P1074" t="s">
        <v>445</v>
      </c>
      <c r="Q1074">
        <v>1</v>
      </c>
      <c r="X1074">
        <v>0.3</v>
      </c>
      <c r="Y1074">
        <v>0</v>
      </c>
      <c r="Z1074">
        <v>153.94999999999999</v>
      </c>
      <c r="AA1074">
        <v>14.54</v>
      </c>
      <c r="AB1074">
        <v>0</v>
      </c>
      <c r="AC1074">
        <v>0</v>
      </c>
      <c r="AD1074">
        <v>1</v>
      </c>
      <c r="AE1074">
        <v>0</v>
      </c>
      <c r="AF1074" t="s">
        <v>22</v>
      </c>
      <c r="AG1074">
        <v>0.33</v>
      </c>
      <c r="AH1074">
        <v>3</v>
      </c>
      <c r="AI1074">
        <v>-1</v>
      </c>
      <c r="AJ1074" t="s">
        <v>3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</row>
    <row r="1075" spans="1:44" x14ac:dyDescent="0.2">
      <c r="A1075">
        <f>ROW(Source!A290)</f>
        <v>290</v>
      </c>
      <c r="B1075">
        <v>56617213</v>
      </c>
      <c r="C1075">
        <v>56617208</v>
      </c>
      <c r="D1075">
        <v>47766605</v>
      </c>
      <c r="E1075">
        <v>1</v>
      </c>
      <c r="F1075">
        <v>1</v>
      </c>
      <c r="G1075">
        <v>27786564</v>
      </c>
      <c r="H1075">
        <v>2</v>
      </c>
      <c r="I1075" t="s">
        <v>603</v>
      </c>
      <c r="J1075" t="s">
        <v>604</v>
      </c>
      <c r="K1075" t="s">
        <v>605</v>
      </c>
      <c r="L1075">
        <v>1368</v>
      </c>
      <c r="N1075">
        <v>1011</v>
      </c>
      <c r="O1075" t="s">
        <v>445</v>
      </c>
      <c r="P1075" t="s">
        <v>445</v>
      </c>
      <c r="Q1075">
        <v>1</v>
      </c>
      <c r="X1075">
        <v>0.3</v>
      </c>
      <c r="Y1075">
        <v>0</v>
      </c>
      <c r="Z1075">
        <v>140.38</v>
      </c>
      <c r="AA1075">
        <v>12.62</v>
      </c>
      <c r="AB1075">
        <v>0</v>
      </c>
      <c r="AC1075">
        <v>0</v>
      </c>
      <c r="AD1075">
        <v>1</v>
      </c>
      <c r="AE1075">
        <v>0</v>
      </c>
      <c r="AF1075" t="s">
        <v>22</v>
      </c>
      <c r="AG1075">
        <v>0.33</v>
      </c>
      <c r="AH1075">
        <v>3</v>
      </c>
      <c r="AI1075">
        <v>-1</v>
      </c>
      <c r="AJ1075" t="s">
        <v>3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</row>
    <row r="1076" spans="1:44" x14ac:dyDescent="0.2">
      <c r="A1076">
        <f>ROW(Source!A290)</f>
        <v>290</v>
      </c>
      <c r="B1076">
        <v>56617214</v>
      </c>
      <c r="C1076">
        <v>56617208</v>
      </c>
      <c r="D1076">
        <v>47766606</v>
      </c>
      <c r="E1076">
        <v>1</v>
      </c>
      <c r="F1076">
        <v>1</v>
      </c>
      <c r="G1076">
        <v>27786564</v>
      </c>
      <c r="H1076">
        <v>2</v>
      </c>
      <c r="I1076" t="s">
        <v>635</v>
      </c>
      <c r="J1076" t="s">
        <v>636</v>
      </c>
      <c r="K1076" t="s">
        <v>637</v>
      </c>
      <c r="L1076">
        <v>1368</v>
      </c>
      <c r="N1076">
        <v>1011</v>
      </c>
      <c r="O1076" t="s">
        <v>445</v>
      </c>
      <c r="P1076" t="s">
        <v>445</v>
      </c>
      <c r="Q1076">
        <v>1</v>
      </c>
      <c r="X1076">
        <v>0.3</v>
      </c>
      <c r="Y1076">
        <v>0</v>
      </c>
      <c r="Z1076">
        <v>260.5</v>
      </c>
      <c r="AA1076">
        <v>18.62</v>
      </c>
      <c r="AB1076">
        <v>0</v>
      </c>
      <c r="AC1076">
        <v>0</v>
      </c>
      <c r="AD1076">
        <v>1</v>
      </c>
      <c r="AE1076">
        <v>0</v>
      </c>
      <c r="AF1076" t="s">
        <v>22</v>
      </c>
      <c r="AG1076">
        <v>0.33</v>
      </c>
      <c r="AH1076">
        <v>3</v>
      </c>
      <c r="AI1076">
        <v>-1</v>
      </c>
      <c r="AJ1076" t="s">
        <v>3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</row>
    <row r="1077" spans="1:44" x14ac:dyDescent="0.2">
      <c r="A1077">
        <f>ROW(Source!A290)</f>
        <v>290</v>
      </c>
      <c r="B1077">
        <v>56617215</v>
      </c>
      <c r="C1077">
        <v>56617208</v>
      </c>
      <c r="D1077">
        <v>47766595</v>
      </c>
      <c r="E1077">
        <v>1</v>
      </c>
      <c r="F1077">
        <v>1</v>
      </c>
      <c r="G1077">
        <v>27786564</v>
      </c>
      <c r="H1077">
        <v>2</v>
      </c>
      <c r="I1077" t="s">
        <v>638</v>
      </c>
      <c r="J1077" t="s">
        <v>639</v>
      </c>
      <c r="K1077" t="s">
        <v>640</v>
      </c>
      <c r="L1077">
        <v>1368</v>
      </c>
      <c r="N1077">
        <v>1011</v>
      </c>
      <c r="O1077" t="s">
        <v>445</v>
      </c>
      <c r="P1077" t="s">
        <v>445</v>
      </c>
      <c r="Q1077">
        <v>1</v>
      </c>
      <c r="X1077">
        <v>0.3</v>
      </c>
      <c r="Y1077">
        <v>0</v>
      </c>
      <c r="Z1077">
        <v>163.81</v>
      </c>
      <c r="AA1077">
        <v>14.54</v>
      </c>
      <c r="AB1077">
        <v>0</v>
      </c>
      <c r="AC1077">
        <v>0</v>
      </c>
      <c r="AD1077">
        <v>1</v>
      </c>
      <c r="AE1077">
        <v>0</v>
      </c>
      <c r="AF1077" t="s">
        <v>22</v>
      </c>
      <c r="AG1077">
        <v>0.33</v>
      </c>
      <c r="AH1077">
        <v>3</v>
      </c>
      <c r="AI1077">
        <v>-1</v>
      </c>
      <c r="AJ1077" t="s">
        <v>3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</row>
    <row r="1078" spans="1:44" x14ac:dyDescent="0.2">
      <c r="A1078">
        <f>ROW(Source!A290)</f>
        <v>290</v>
      </c>
      <c r="B1078">
        <v>56617216</v>
      </c>
      <c r="C1078">
        <v>56617208</v>
      </c>
      <c r="D1078">
        <v>47766611</v>
      </c>
      <c r="E1078">
        <v>1</v>
      </c>
      <c r="F1078">
        <v>1</v>
      </c>
      <c r="G1078">
        <v>27786564</v>
      </c>
      <c r="H1078">
        <v>2</v>
      </c>
      <c r="I1078" t="s">
        <v>641</v>
      </c>
      <c r="J1078" t="s">
        <v>642</v>
      </c>
      <c r="K1078" t="s">
        <v>643</v>
      </c>
      <c r="L1078">
        <v>1368</v>
      </c>
      <c r="N1078">
        <v>1011</v>
      </c>
      <c r="O1078" t="s">
        <v>445</v>
      </c>
      <c r="P1078" t="s">
        <v>445</v>
      </c>
      <c r="Q1078">
        <v>1</v>
      </c>
      <c r="X1078">
        <v>0.3</v>
      </c>
      <c r="Y1078">
        <v>0</v>
      </c>
      <c r="Z1078">
        <v>283.89999999999998</v>
      </c>
      <c r="AA1078">
        <v>14.54</v>
      </c>
      <c r="AB1078">
        <v>0</v>
      </c>
      <c r="AC1078">
        <v>0</v>
      </c>
      <c r="AD1078">
        <v>1</v>
      </c>
      <c r="AE1078">
        <v>0</v>
      </c>
      <c r="AF1078" t="s">
        <v>22</v>
      </c>
      <c r="AG1078">
        <v>0.33</v>
      </c>
      <c r="AH1078">
        <v>3</v>
      </c>
      <c r="AI1078">
        <v>-1</v>
      </c>
      <c r="AJ1078" t="s">
        <v>3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</row>
    <row r="1079" spans="1:44" x14ac:dyDescent="0.2">
      <c r="A1079">
        <f>ROW(Source!A290)</f>
        <v>290</v>
      </c>
      <c r="B1079">
        <v>56617217</v>
      </c>
      <c r="C1079">
        <v>56617208</v>
      </c>
      <c r="D1079">
        <v>47766598</v>
      </c>
      <c r="E1079">
        <v>1</v>
      </c>
      <c r="F1079">
        <v>1</v>
      </c>
      <c r="G1079">
        <v>27786564</v>
      </c>
      <c r="H1079">
        <v>2</v>
      </c>
      <c r="I1079" t="s">
        <v>644</v>
      </c>
      <c r="J1079" t="s">
        <v>645</v>
      </c>
      <c r="K1079" t="s">
        <v>646</v>
      </c>
      <c r="L1079">
        <v>1368</v>
      </c>
      <c r="N1079">
        <v>1011</v>
      </c>
      <c r="O1079" t="s">
        <v>445</v>
      </c>
      <c r="P1079" t="s">
        <v>445</v>
      </c>
      <c r="Q1079">
        <v>1</v>
      </c>
      <c r="X1079">
        <v>0.3</v>
      </c>
      <c r="Y1079">
        <v>0</v>
      </c>
      <c r="Z1079">
        <v>189.45</v>
      </c>
      <c r="AA1079">
        <v>16.93</v>
      </c>
      <c r="AB1079">
        <v>0</v>
      </c>
      <c r="AC1079">
        <v>0</v>
      </c>
      <c r="AD1079">
        <v>1</v>
      </c>
      <c r="AE1079">
        <v>0</v>
      </c>
      <c r="AF1079" t="s">
        <v>22</v>
      </c>
      <c r="AG1079">
        <v>0.33</v>
      </c>
      <c r="AH1079">
        <v>3</v>
      </c>
      <c r="AI1079">
        <v>-1</v>
      </c>
      <c r="AJ1079" t="s">
        <v>3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</row>
    <row r="1080" spans="1:44" x14ac:dyDescent="0.2">
      <c r="A1080">
        <f>ROW(Source!A290)</f>
        <v>290</v>
      </c>
      <c r="B1080">
        <v>56617218</v>
      </c>
      <c r="C1080">
        <v>56617208</v>
      </c>
      <c r="D1080">
        <v>47766599</v>
      </c>
      <c r="E1080">
        <v>1</v>
      </c>
      <c r="F1080">
        <v>1</v>
      </c>
      <c r="G1080">
        <v>27786564</v>
      </c>
      <c r="H1080">
        <v>2</v>
      </c>
      <c r="I1080" t="s">
        <v>606</v>
      </c>
      <c r="J1080" t="s">
        <v>607</v>
      </c>
      <c r="K1080" t="s">
        <v>608</v>
      </c>
      <c r="L1080">
        <v>1368</v>
      </c>
      <c r="N1080">
        <v>1011</v>
      </c>
      <c r="O1080" t="s">
        <v>445</v>
      </c>
      <c r="P1080" t="s">
        <v>445</v>
      </c>
      <c r="Q1080">
        <v>1</v>
      </c>
      <c r="X1080">
        <v>0.9</v>
      </c>
      <c r="Y1080">
        <v>0</v>
      </c>
      <c r="Z1080">
        <v>180.35</v>
      </c>
      <c r="AA1080">
        <v>16.93</v>
      </c>
      <c r="AB1080">
        <v>0</v>
      </c>
      <c r="AC1080">
        <v>0</v>
      </c>
      <c r="AD1080">
        <v>1</v>
      </c>
      <c r="AE1080">
        <v>0</v>
      </c>
      <c r="AF1080" t="s">
        <v>22</v>
      </c>
      <c r="AG1080">
        <v>0.9900000000000001</v>
      </c>
      <c r="AH1080">
        <v>3</v>
      </c>
      <c r="AI1080">
        <v>-1</v>
      </c>
      <c r="AJ1080" t="s">
        <v>3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</row>
    <row r="1081" spans="1:44" x14ac:dyDescent="0.2">
      <c r="A1081">
        <f>ROW(Source!A290)</f>
        <v>290</v>
      </c>
      <c r="B1081">
        <v>56617219</v>
      </c>
      <c r="C1081">
        <v>56617208</v>
      </c>
      <c r="D1081">
        <v>46725969</v>
      </c>
      <c r="E1081">
        <v>1</v>
      </c>
      <c r="F1081">
        <v>1</v>
      </c>
      <c r="G1081">
        <v>27786564</v>
      </c>
      <c r="H1081">
        <v>3</v>
      </c>
      <c r="I1081" t="s">
        <v>647</v>
      </c>
      <c r="J1081" t="s">
        <v>648</v>
      </c>
      <c r="K1081" t="s">
        <v>649</v>
      </c>
      <c r="L1081">
        <v>1348</v>
      </c>
      <c r="N1081">
        <v>1009</v>
      </c>
      <c r="O1081" t="s">
        <v>367</v>
      </c>
      <c r="P1081" t="s">
        <v>367</v>
      </c>
      <c r="Q1081">
        <v>1000</v>
      </c>
      <c r="X1081">
        <v>0.04</v>
      </c>
      <c r="Y1081">
        <v>1445.87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0</v>
      </c>
      <c r="AF1081" t="s">
        <v>3</v>
      </c>
      <c r="AG1081">
        <v>0.04</v>
      </c>
      <c r="AH1081">
        <v>3</v>
      </c>
      <c r="AI1081">
        <v>-1</v>
      </c>
      <c r="AJ1081" t="s">
        <v>3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</row>
    <row r="1082" spans="1:44" x14ac:dyDescent="0.2">
      <c r="A1082">
        <f>ROW(Source!A290)</f>
        <v>290</v>
      </c>
      <c r="B1082">
        <v>56617220</v>
      </c>
      <c r="C1082">
        <v>56617208</v>
      </c>
      <c r="D1082">
        <v>30384722</v>
      </c>
      <c r="E1082">
        <v>27786564</v>
      </c>
      <c r="F1082">
        <v>1</v>
      </c>
      <c r="G1082">
        <v>27786564</v>
      </c>
      <c r="H1082">
        <v>3</v>
      </c>
      <c r="I1082" t="s">
        <v>650</v>
      </c>
      <c r="J1082" t="s">
        <v>3</v>
      </c>
      <c r="K1082" t="s">
        <v>651</v>
      </c>
      <c r="L1082">
        <v>1348</v>
      </c>
      <c r="N1082">
        <v>1009</v>
      </c>
      <c r="O1082" t="s">
        <v>367</v>
      </c>
      <c r="P1082" t="s">
        <v>367</v>
      </c>
      <c r="Q1082">
        <v>1000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3</v>
      </c>
      <c r="AG1082">
        <v>0</v>
      </c>
      <c r="AH1082">
        <v>3</v>
      </c>
      <c r="AI1082">
        <v>-1</v>
      </c>
      <c r="AJ1082" t="s">
        <v>3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</row>
    <row r="1083" spans="1:44" x14ac:dyDescent="0.2">
      <c r="A1083">
        <f>ROW(Source!A293)</f>
        <v>293</v>
      </c>
      <c r="B1083">
        <v>56617224</v>
      </c>
      <c r="C1083">
        <v>56617222</v>
      </c>
      <c r="D1083">
        <v>47634407</v>
      </c>
      <c r="E1083">
        <v>27786564</v>
      </c>
      <c r="F1083">
        <v>1</v>
      </c>
      <c r="G1083">
        <v>27786564</v>
      </c>
      <c r="H1083">
        <v>1</v>
      </c>
      <c r="I1083" t="s">
        <v>439</v>
      </c>
      <c r="J1083" t="s">
        <v>3</v>
      </c>
      <c r="K1083" t="s">
        <v>440</v>
      </c>
      <c r="L1083">
        <v>1191</v>
      </c>
      <c r="N1083">
        <v>1013</v>
      </c>
      <c r="O1083" t="s">
        <v>441</v>
      </c>
      <c r="P1083" t="s">
        <v>441</v>
      </c>
      <c r="Q1083">
        <v>1</v>
      </c>
      <c r="X1083">
        <v>0.53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1</v>
      </c>
      <c r="AF1083" t="s">
        <v>22</v>
      </c>
      <c r="AG1083">
        <v>0.58300000000000007</v>
      </c>
      <c r="AH1083">
        <v>3</v>
      </c>
      <c r="AI1083">
        <v>-1</v>
      </c>
      <c r="AJ1083" t="s">
        <v>3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</row>
    <row r="1084" spans="1:44" x14ac:dyDescent="0.2">
      <c r="A1084">
        <f>ROW(Source!A293)</f>
        <v>293</v>
      </c>
      <c r="B1084">
        <v>56617225</v>
      </c>
      <c r="C1084">
        <v>56617222</v>
      </c>
      <c r="D1084">
        <v>47766518</v>
      </c>
      <c r="E1084">
        <v>1</v>
      </c>
      <c r="F1084">
        <v>1</v>
      </c>
      <c r="G1084">
        <v>27786564</v>
      </c>
      <c r="H1084">
        <v>2</v>
      </c>
      <c r="I1084" t="s">
        <v>632</v>
      </c>
      <c r="J1084" t="s">
        <v>633</v>
      </c>
      <c r="K1084" t="s">
        <v>634</v>
      </c>
      <c r="L1084">
        <v>1368</v>
      </c>
      <c r="N1084">
        <v>1011</v>
      </c>
      <c r="O1084" t="s">
        <v>445</v>
      </c>
      <c r="P1084" t="s">
        <v>445</v>
      </c>
      <c r="Q1084">
        <v>1</v>
      </c>
      <c r="X1084">
        <v>7.4999999999999997E-2</v>
      </c>
      <c r="Y1084">
        <v>0</v>
      </c>
      <c r="Z1084">
        <v>153.94999999999999</v>
      </c>
      <c r="AA1084">
        <v>14.54</v>
      </c>
      <c r="AB1084">
        <v>0</v>
      </c>
      <c r="AC1084">
        <v>0</v>
      </c>
      <c r="AD1084">
        <v>1</v>
      </c>
      <c r="AE1084">
        <v>0</v>
      </c>
      <c r="AF1084" t="s">
        <v>22</v>
      </c>
      <c r="AG1084">
        <v>8.2500000000000004E-2</v>
      </c>
      <c r="AH1084">
        <v>3</v>
      </c>
      <c r="AI1084">
        <v>-1</v>
      </c>
      <c r="AJ1084" t="s">
        <v>3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</row>
    <row r="1085" spans="1:44" x14ac:dyDescent="0.2">
      <c r="A1085">
        <f>ROW(Source!A293)</f>
        <v>293</v>
      </c>
      <c r="B1085">
        <v>56617226</v>
      </c>
      <c r="C1085">
        <v>56617222</v>
      </c>
      <c r="D1085">
        <v>47766611</v>
      </c>
      <c r="E1085">
        <v>1</v>
      </c>
      <c r="F1085">
        <v>1</v>
      </c>
      <c r="G1085">
        <v>27786564</v>
      </c>
      <c r="H1085">
        <v>2</v>
      </c>
      <c r="I1085" t="s">
        <v>641</v>
      </c>
      <c r="J1085" t="s">
        <v>642</v>
      </c>
      <c r="K1085" t="s">
        <v>643</v>
      </c>
      <c r="L1085">
        <v>1368</v>
      </c>
      <c r="N1085">
        <v>1011</v>
      </c>
      <c r="O1085" t="s">
        <v>445</v>
      </c>
      <c r="P1085" t="s">
        <v>445</v>
      </c>
      <c r="Q1085">
        <v>1</v>
      </c>
      <c r="X1085">
        <v>7.4999999999999997E-2</v>
      </c>
      <c r="Y1085">
        <v>0</v>
      </c>
      <c r="Z1085">
        <v>283.89999999999998</v>
      </c>
      <c r="AA1085">
        <v>14.54</v>
      </c>
      <c r="AB1085">
        <v>0</v>
      </c>
      <c r="AC1085">
        <v>0</v>
      </c>
      <c r="AD1085">
        <v>1</v>
      </c>
      <c r="AE1085">
        <v>0</v>
      </c>
      <c r="AF1085" t="s">
        <v>22</v>
      </c>
      <c r="AG1085">
        <v>8.2500000000000004E-2</v>
      </c>
      <c r="AH1085">
        <v>3</v>
      </c>
      <c r="AI1085">
        <v>-1</v>
      </c>
      <c r="AJ1085" t="s">
        <v>3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</row>
    <row r="1086" spans="1:44" x14ac:dyDescent="0.2">
      <c r="A1086">
        <f>ROW(Source!A293)</f>
        <v>293</v>
      </c>
      <c r="B1086">
        <v>56617227</v>
      </c>
      <c r="C1086">
        <v>56617222</v>
      </c>
      <c r="D1086">
        <v>30384722</v>
      </c>
      <c r="E1086">
        <v>27786564</v>
      </c>
      <c r="F1086">
        <v>1</v>
      </c>
      <c r="G1086">
        <v>27786564</v>
      </c>
      <c r="H1086">
        <v>3</v>
      </c>
      <c r="I1086" t="s">
        <v>650</v>
      </c>
      <c r="J1086" t="s">
        <v>3</v>
      </c>
      <c r="K1086" t="s">
        <v>651</v>
      </c>
      <c r="L1086">
        <v>1348</v>
      </c>
      <c r="N1086">
        <v>1009</v>
      </c>
      <c r="O1086" t="s">
        <v>367</v>
      </c>
      <c r="P1086" t="s">
        <v>367</v>
      </c>
      <c r="Q1086">
        <v>1000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 t="s">
        <v>3</v>
      </c>
      <c r="AG1086">
        <v>0</v>
      </c>
      <c r="AH1086">
        <v>3</v>
      </c>
      <c r="AI1086">
        <v>-1</v>
      </c>
      <c r="AJ1086" t="s">
        <v>3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</row>
    <row r="1087" spans="1:44" x14ac:dyDescent="0.2">
      <c r="A1087">
        <f>ROW(Source!A294)</f>
        <v>294</v>
      </c>
      <c r="B1087">
        <v>56617224</v>
      </c>
      <c r="C1087">
        <v>56617222</v>
      </c>
      <c r="D1087">
        <v>47634407</v>
      </c>
      <c r="E1087">
        <v>27786564</v>
      </c>
      <c r="F1087">
        <v>1</v>
      </c>
      <c r="G1087">
        <v>27786564</v>
      </c>
      <c r="H1087">
        <v>1</v>
      </c>
      <c r="I1087" t="s">
        <v>439</v>
      </c>
      <c r="J1087" t="s">
        <v>3</v>
      </c>
      <c r="K1087" t="s">
        <v>440</v>
      </c>
      <c r="L1087">
        <v>1191</v>
      </c>
      <c r="N1087">
        <v>1013</v>
      </c>
      <c r="O1087" t="s">
        <v>441</v>
      </c>
      <c r="P1087" t="s">
        <v>441</v>
      </c>
      <c r="Q1087">
        <v>1</v>
      </c>
      <c r="X1087">
        <v>0.53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1</v>
      </c>
      <c r="AF1087" t="s">
        <v>22</v>
      </c>
      <c r="AG1087">
        <v>0.58300000000000007</v>
      </c>
      <c r="AH1087">
        <v>3</v>
      </c>
      <c r="AI1087">
        <v>-1</v>
      </c>
      <c r="AJ1087" t="s">
        <v>3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</row>
    <row r="1088" spans="1:44" x14ac:dyDescent="0.2">
      <c r="A1088">
        <f>ROW(Source!A294)</f>
        <v>294</v>
      </c>
      <c r="B1088">
        <v>56617225</v>
      </c>
      <c r="C1088">
        <v>56617222</v>
      </c>
      <c r="D1088">
        <v>47766518</v>
      </c>
      <c r="E1088">
        <v>1</v>
      </c>
      <c r="F1088">
        <v>1</v>
      </c>
      <c r="G1088">
        <v>27786564</v>
      </c>
      <c r="H1088">
        <v>2</v>
      </c>
      <c r="I1088" t="s">
        <v>632</v>
      </c>
      <c r="J1088" t="s">
        <v>633</v>
      </c>
      <c r="K1088" t="s">
        <v>634</v>
      </c>
      <c r="L1088">
        <v>1368</v>
      </c>
      <c r="N1088">
        <v>1011</v>
      </c>
      <c r="O1088" t="s">
        <v>445</v>
      </c>
      <c r="P1088" t="s">
        <v>445</v>
      </c>
      <c r="Q1088">
        <v>1</v>
      </c>
      <c r="X1088">
        <v>7.4999999999999997E-2</v>
      </c>
      <c r="Y1088">
        <v>0</v>
      </c>
      <c r="Z1088">
        <v>153.94999999999999</v>
      </c>
      <c r="AA1088">
        <v>14.54</v>
      </c>
      <c r="AB1088">
        <v>0</v>
      </c>
      <c r="AC1088">
        <v>0</v>
      </c>
      <c r="AD1088">
        <v>1</v>
      </c>
      <c r="AE1088">
        <v>0</v>
      </c>
      <c r="AF1088" t="s">
        <v>22</v>
      </c>
      <c r="AG1088">
        <v>8.2500000000000004E-2</v>
      </c>
      <c r="AH1088">
        <v>3</v>
      </c>
      <c r="AI1088">
        <v>-1</v>
      </c>
      <c r="AJ1088" t="s">
        <v>3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</row>
    <row r="1089" spans="1:44" x14ac:dyDescent="0.2">
      <c r="A1089">
        <f>ROW(Source!A294)</f>
        <v>294</v>
      </c>
      <c r="B1089">
        <v>56617226</v>
      </c>
      <c r="C1089">
        <v>56617222</v>
      </c>
      <c r="D1089">
        <v>47766611</v>
      </c>
      <c r="E1089">
        <v>1</v>
      </c>
      <c r="F1089">
        <v>1</v>
      </c>
      <c r="G1089">
        <v>27786564</v>
      </c>
      <c r="H1089">
        <v>2</v>
      </c>
      <c r="I1089" t="s">
        <v>641</v>
      </c>
      <c r="J1089" t="s">
        <v>642</v>
      </c>
      <c r="K1089" t="s">
        <v>643</v>
      </c>
      <c r="L1089">
        <v>1368</v>
      </c>
      <c r="N1089">
        <v>1011</v>
      </c>
      <c r="O1089" t="s">
        <v>445</v>
      </c>
      <c r="P1089" t="s">
        <v>445</v>
      </c>
      <c r="Q1089">
        <v>1</v>
      </c>
      <c r="X1089">
        <v>7.4999999999999997E-2</v>
      </c>
      <c r="Y1089">
        <v>0</v>
      </c>
      <c r="Z1089">
        <v>283.89999999999998</v>
      </c>
      <c r="AA1089">
        <v>14.54</v>
      </c>
      <c r="AB1089">
        <v>0</v>
      </c>
      <c r="AC1089">
        <v>0</v>
      </c>
      <c r="AD1089">
        <v>1</v>
      </c>
      <c r="AE1089">
        <v>0</v>
      </c>
      <c r="AF1089" t="s">
        <v>22</v>
      </c>
      <c r="AG1089">
        <v>8.2500000000000004E-2</v>
      </c>
      <c r="AH1089">
        <v>3</v>
      </c>
      <c r="AI1089">
        <v>-1</v>
      </c>
      <c r="AJ1089" t="s">
        <v>3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</row>
    <row r="1090" spans="1:44" x14ac:dyDescent="0.2">
      <c r="A1090">
        <f>ROW(Source!A294)</f>
        <v>294</v>
      </c>
      <c r="B1090">
        <v>56617227</v>
      </c>
      <c r="C1090">
        <v>56617222</v>
      </c>
      <c r="D1090">
        <v>30384722</v>
      </c>
      <c r="E1090">
        <v>27786564</v>
      </c>
      <c r="F1090">
        <v>1</v>
      </c>
      <c r="G1090">
        <v>27786564</v>
      </c>
      <c r="H1090">
        <v>3</v>
      </c>
      <c r="I1090" t="s">
        <v>650</v>
      </c>
      <c r="J1090" t="s">
        <v>3</v>
      </c>
      <c r="K1090" t="s">
        <v>651</v>
      </c>
      <c r="L1090">
        <v>1348</v>
      </c>
      <c r="N1090">
        <v>1009</v>
      </c>
      <c r="O1090" t="s">
        <v>367</v>
      </c>
      <c r="P1090" t="s">
        <v>367</v>
      </c>
      <c r="Q1090">
        <v>1000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3</v>
      </c>
      <c r="AG1090">
        <v>0</v>
      </c>
      <c r="AH1090">
        <v>3</v>
      </c>
      <c r="AI1090">
        <v>-1</v>
      </c>
      <c r="AJ1090" t="s">
        <v>3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</row>
    <row r="1091" spans="1:44" x14ac:dyDescent="0.2">
      <c r="A1091">
        <f>ROW(Source!A297)</f>
        <v>297</v>
      </c>
      <c r="B1091">
        <v>56617231</v>
      </c>
      <c r="C1091">
        <v>56617229</v>
      </c>
      <c r="D1091">
        <v>47634407</v>
      </c>
      <c r="E1091">
        <v>27786564</v>
      </c>
      <c r="F1091">
        <v>1</v>
      </c>
      <c r="G1091">
        <v>27786564</v>
      </c>
      <c r="H1091">
        <v>1</v>
      </c>
      <c r="I1091" t="s">
        <v>439</v>
      </c>
      <c r="J1091" t="s">
        <v>3</v>
      </c>
      <c r="K1091" t="s">
        <v>440</v>
      </c>
      <c r="L1091">
        <v>1191</v>
      </c>
      <c r="N1091">
        <v>1013</v>
      </c>
      <c r="O1091" t="s">
        <v>441</v>
      </c>
      <c r="P1091" t="s">
        <v>441</v>
      </c>
      <c r="Q1091">
        <v>1</v>
      </c>
      <c r="X1091">
        <v>4.29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1</v>
      </c>
      <c r="AF1091" t="s">
        <v>22</v>
      </c>
      <c r="AG1091">
        <v>4.7190000000000003</v>
      </c>
      <c r="AH1091">
        <v>3</v>
      </c>
      <c r="AI1091">
        <v>-1</v>
      </c>
      <c r="AJ1091" t="s">
        <v>3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</row>
    <row r="1092" spans="1:44" x14ac:dyDescent="0.2">
      <c r="A1092">
        <f>ROW(Source!A297)</f>
        <v>297</v>
      </c>
      <c r="B1092">
        <v>56617232</v>
      </c>
      <c r="C1092">
        <v>56617229</v>
      </c>
      <c r="D1092">
        <v>47766768</v>
      </c>
      <c r="E1092">
        <v>1</v>
      </c>
      <c r="F1092">
        <v>1</v>
      </c>
      <c r="G1092">
        <v>27786564</v>
      </c>
      <c r="H1092">
        <v>2</v>
      </c>
      <c r="I1092" t="s">
        <v>585</v>
      </c>
      <c r="J1092" t="s">
        <v>586</v>
      </c>
      <c r="K1092" t="s">
        <v>587</v>
      </c>
      <c r="L1092">
        <v>1368</v>
      </c>
      <c r="N1092">
        <v>1011</v>
      </c>
      <c r="O1092" t="s">
        <v>445</v>
      </c>
      <c r="P1092" t="s">
        <v>445</v>
      </c>
      <c r="Q1092">
        <v>1</v>
      </c>
      <c r="X1092">
        <v>0.3</v>
      </c>
      <c r="Y1092">
        <v>0</v>
      </c>
      <c r="Z1092">
        <v>41.45</v>
      </c>
      <c r="AA1092">
        <v>12.62</v>
      </c>
      <c r="AB1092">
        <v>0</v>
      </c>
      <c r="AC1092">
        <v>0</v>
      </c>
      <c r="AD1092">
        <v>1</v>
      </c>
      <c r="AE1092">
        <v>0</v>
      </c>
      <c r="AF1092" t="s">
        <v>22</v>
      </c>
      <c r="AG1092">
        <v>0.33</v>
      </c>
      <c r="AH1092">
        <v>3</v>
      </c>
      <c r="AI1092">
        <v>-1</v>
      </c>
      <c r="AJ1092" t="s">
        <v>3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</row>
    <row r="1093" spans="1:44" x14ac:dyDescent="0.2">
      <c r="A1093">
        <f>ROW(Source!A297)</f>
        <v>297</v>
      </c>
      <c r="B1093">
        <v>56617233</v>
      </c>
      <c r="C1093">
        <v>56617229</v>
      </c>
      <c r="D1093">
        <v>47766518</v>
      </c>
      <c r="E1093">
        <v>1</v>
      </c>
      <c r="F1093">
        <v>1</v>
      </c>
      <c r="G1093">
        <v>27786564</v>
      </c>
      <c r="H1093">
        <v>2</v>
      </c>
      <c r="I1093" t="s">
        <v>632</v>
      </c>
      <c r="J1093" t="s">
        <v>633</v>
      </c>
      <c r="K1093" t="s">
        <v>634</v>
      </c>
      <c r="L1093">
        <v>1368</v>
      </c>
      <c r="N1093">
        <v>1011</v>
      </c>
      <c r="O1093" t="s">
        <v>445</v>
      </c>
      <c r="P1093" t="s">
        <v>445</v>
      </c>
      <c r="Q1093">
        <v>1</v>
      </c>
      <c r="X1093">
        <v>0.3</v>
      </c>
      <c r="Y1093">
        <v>0</v>
      </c>
      <c r="Z1093">
        <v>153.94999999999999</v>
      </c>
      <c r="AA1093">
        <v>14.54</v>
      </c>
      <c r="AB1093">
        <v>0</v>
      </c>
      <c r="AC1093">
        <v>0</v>
      </c>
      <c r="AD1093">
        <v>1</v>
      </c>
      <c r="AE1093">
        <v>0</v>
      </c>
      <c r="AF1093" t="s">
        <v>22</v>
      </c>
      <c r="AG1093">
        <v>0.33</v>
      </c>
      <c r="AH1093">
        <v>3</v>
      </c>
      <c r="AI1093">
        <v>-1</v>
      </c>
      <c r="AJ1093" t="s">
        <v>3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</row>
    <row r="1094" spans="1:44" x14ac:dyDescent="0.2">
      <c r="A1094">
        <f>ROW(Source!A297)</f>
        <v>297</v>
      </c>
      <c r="B1094">
        <v>56617234</v>
      </c>
      <c r="C1094">
        <v>56617229</v>
      </c>
      <c r="D1094">
        <v>47766605</v>
      </c>
      <c r="E1094">
        <v>1</v>
      </c>
      <c r="F1094">
        <v>1</v>
      </c>
      <c r="G1094">
        <v>27786564</v>
      </c>
      <c r="H1094">
        <v>2</v>
      </c>
      <c r="I1094" t="s">
        <v>603</v>
      </c>
      <c r="J1094" t="s">
        <v>604</v>
      </c>
      <c r="K1094" t="s">
        <v>605</v>
      </c>
      <c r="L1094">
        <v>1368</v>
      </c>
      <c r="N1094">
        <v>1011</v>
      </c>
      <c r="O1094" t="s">
        <v>445</v>
      </c>
      <c r="P1094" t="s">
        <v>445</v>
      </c>
      <c r="Q1094">
        <v>1</v>
      </c>
      <c r="X1094">
        <v>0.3</v>
      </c>
      <c r="Y1094">
        <v>0</v>
      </c>
      <c r="Z1094">
        <v>140.38</v>
      </c>
      <c r="AA1094">
        <v>12.62</v>
      </c>
      <c r="AB1094">
        <v>0</v>
      </c>
      <c r="AC1094">
        <v>0</v>
      </c>
      <c r="AD1094">
        <v>1</v>
      </c>
      <c r="AE1094">
        <v>0</v>
      </c>
      <c r="AF1094" t="s">
        <v>22</v>
      </c>
      <c r="AG1094">
        <v>0.33</v>
      </c>
      <c r="AH1094">
        <v>3</v>
      </c>
      <c r="AI1094">
        <v>-1</v>
      </c>
      <c r="AJ1094" t="s">
        <v>3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</row>
    <row r="1095" spans="1:44" x14ac:dyDescent="0.2">
      <c r="A1095">
        <f>ROW(Source!A297)</f>
        <v>297</v>
      </c>
      <c r="B1095">
        <v>56617235</v>
      </c>
      <c r="C1095">
        <v>56617229</v>
      </c>
      <c r="D1095">
        <v>47766606</v>
      </c>
      <c r="E1095">
        <v>1</v>
      </c>
      <c r="F1095">
        <v>1</v>
      </c>
      <c r="G1095">
        <v>27786564</v>
      </c>
      <c r="H1095">
        <v>2</v>
      </c>
      <c r="I1095" t="s">
        <v>635</v>
      </c>
      <c r="J1095" t="s">
        <v>636</v>
      </c>
      <c r="K1095" t="s">
        <v>637</v>
      </c>
      <c r="L1095">
        <v>1368</v>
      </c>
      <c r="N1095">
        <v>1011</v>
      </c>
      <c r="O1095" t="s">
        <v>445</v>
      </c>
      <c r="P1095" t="s">
        <v>445</v>
      </c>
      <c r="Q1095">
        <v>1</v>
      </c>
      <c r="X1095">
        <v>0.3</v>
      </c>
      <c r="Y1095">
        <v>0</v>
      </c>
      <c r="Z1095">
        <v>260.5</v>
      </c>
      <c r="AA1095">
        <v>18.62</v>
      </c>
      <c r="AB1095">
        <v>0</v>
      </c>
      <c r="AC1095">
        <v>0</v>
      </c>
      <c r="AD1095">
        <v>1</v>
      </c>
      <c r="AE1095">
        <v>0</v>
      </c>
      <c r="AF1095" t="s">
        <v>22</v>
      </c>
      <c r="AG1095">
        <v>0.33</v>
      </c>
      <c r="AH1095">
        <v>3</v>
      </c>
      <c r="AI1095">
        <v>-1</v>
      </c>
      <c r="AJ1095" t="s">
        <v>3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</row>
    <row r="1096" spans="1:44" x14ac:dyDescent="0.2">
      <c r="A1096">
        <f>ROW(Source!A297)</f>
        <v>297</v>
      </c>
      <c r="B1096">
        <v>56617236</v>
      </c>
      <c r="C1096">
        <v>56617229</v>
      </c>
      <c r="D1096">
        <v>47766595</v>
      </c>
      <c r="E1096">
        <v>1</v>
      </c>
      <c r="F1096">
        <v>1</v>
      </c>
      <c r="G1096">
        <v>27786564</v>
      </c>
      <c r="H1096">
        <v>2</v>
      </c>
      <c r="I1096" t="s">
        <v>638</v>
      </c>
      <c r="J1096" t="s">
        <v>639</v>
      </c>
      <c r="K1096" t="s">
        <v>640</v>
      </c>
      <c r="L1096">
        <v>1368</v>
      </c>
      <c r="N1096">
        <v>1011</v>
      </c>
      <c r="O1096" t="s">
        <v>445</v>
      </c>
      <c r="P1096" t="s">
        <v>445</v>
      </c>
      <c r="Q1096">
        <v>1</v>
      </c>
      <c r="X1096">
        <v>0.3</v>
      </c>
      <c r="Y1096">
        <v>0</v>
      </c>
      <c r="Z1096">
        <v>163.81</v>
      </c>
      <c r="AA1096">
        <v>14.54</v>
      </c>
      <c r="AB1096">
        <v>0</v>
      </c>
      <c r="AC1096">
        <v>0</v>
      </c>
      <c r="AD1096">
        <v>1</v>
      </c>
      <c r="AE1096">
        <v>0</v>
      </c>
      <c r="AF1096" t="s">
        <v>22</v>
      </c>
      <c r="AG1096">
        <v>0.33</v>
      </c>
      <c r="AH1096">
        <v>3</v>
      </c>
      <c r="AI1096">
        <v>-1</v>
      </c>
      <c r="AJ1096" t="s">
        <v>3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</row>
    <row r="1097" spans="1:44" x14ac:dyDescent="0.2">
      <c r="A1097">
        <f>ROW(Source!A297)</f>
        <v>297</v>
      </c>
      <c r="B1097">
        <v>56617237</v>
      </c>
      <c r="C1097">
        <v>56617229</v>
      </c>
      <c r="D1097">
        <v>47766611</v>
      </c>
      <c r="E1097">
        <v>1</v>
      </c>
      <c r="F1097">
        <v>1</v>
      </c>
      <c r="G1097">
        <v>27786564</v>
      </c>
      <c r="H1097">
        <v>2</v>
      </c>
      <c r="I1097" t="s">
        <v>641</v>
      </c>
      <c r="J1097" t="s">
        <v>642</v>
      </c>
      <c r="K1097" t="s">
        <v>643</v>
      </c>
      <c r="L1097">
        <v>1368</v>
      </c>
      <c r="N1097">
        <v>1011</v>
      </c>
      <c r="O1097" t="s">
        <v>445</v>
      </c>
      <c r="P1097" t="s">
        <v>445</v>
      </c>
      <c r="Q1097">
        <v>1</v>
      </c>
      <c r="X1097">
        <v>0.3</v>
      </c>
      <c r="Y1097">
        <v>0</v>
      </c>
      <c r="Z1097">
        <v>283.89999999999998</v>
      </c>
      <c r="AA1097">
        <v>14.54</v>
      </c>
      <c r="AB1097">
        <v>0</v>
      </c>
      <c r="AC1097">
        <v>0</v>
      </c>
      <c r="AD1097">
        <v>1</v>
      </c>
      <c r="AE1097">
        <v>0</v>
      </c>
      <c r="AF1097" t="s">
        <v>22</v>
      </c>
      <c r="AG1097">
        <v>0.33</v>
      </c>
      <c r="AH1097">
        <v>3</v>
      </c>
      <c r="AI1097">
        <v>-1</v>
      </c>
      <c r="AJ1097" t="s">
        <v>3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</row>
    <row r="1098" spans="1:44" x14ac:dyDescent="0.2">
      <c r="A1098">
        <f>ROW(Source!A297)</f>
        <v>297</v>
      </c>
      <c r="B1098">
        <v>56617238</v>
      </c>
      <c r="C1098">
        <v>56617229</v>
      </c>
      <c r="D1098">
        <v>47766598</v>
      </c>
      <c r="E1098">
        <v>1</v>
      </c>
      <c r="F1098">
        <v>1</v>
      </c>
      <c r="G1098">
        <v>27786564</v>
      </c>
      <c r="H1098">
        <v>2</v>
      </c>
      <c r="I1098" t="s">
        <v>644</v>
      </c>
      <c r="J1098" t="s">
        <v>645</v>
      </c>
      <c r="K1098" t="s">
        <v>646</v>
      </c>
      <c r="L1098">
        <v>1368</v>
      </c>
      <c r="N1098">
        <v>1011</v>
      </c>
      <c r="O1098" t="s">
        <v>445</v>
      </c>
      <c r="P1098" t="s">
        <v>445</v>
      </c>
      <c r="Q1098">
        <v>1</v>
      </c>
      <c r="X1098">
        <v>0.3</v>
      </c>
      <c r="Y1098">
        <v>0</v>
      </c>
      <c r="Z1098">
        <v>189.45</v>
      </c>
      <c r="AA1098">
        <v>16.93</v>
      </c>
      <c r="AB1098">
        <v>0</v>
      </c>
      <c r="AC1098">
        <v>0</v>
      </c>
      <c r="AD1098">
        <v>1</v>
      </c>
      <c r="AE1098">
        <v>0</v>
      </c>
      <c r="AF1098" t="s">
        <v>22</v>
      </c>
      <c r="AG1098">
        <v>0.33</v>
      </c>
      <c r="AH1098">
        <v>3</v>
      </c>
      <c r="AI1098">
        <v>-1</v>
      </c>
      <c r="AJ1098" t="s">
        <v>3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</row>
    <row r="1099" spans="1:44" x14ac:dyDescent="0.2">
      <c r="A1099">
        <f>ROW(Source!A297)</f>
        <v>297</v>
      </c>
      <c r="B1099">
        <v>56617239</v>
      </c>
      <c r="C1099">
        <v>56617229</v>
      </c>
      <c r="D1099">
        <v>47766599</v>
      </c>
      <c r="E1099">
        <v>1</v>
      </c>
      <c r="F1099">
        <v>1</v>
      </c>
      <c r="G1099">
        <v>27786564</v>
      </c>
      <c r="H1099">
        <v>2</v>
      </c>
      <c r="I1099" t="s">
        <v>606</v>
      </c>
      <c r="J1099" t="s">
        <v>607</v>
      </c>
      <c r="K1099" t="s">
        <v>608</v>
      </c>
      <c r="L1099">
        <v>1368</v>
      </c>
      <c r="N1099">
        <v>1011</v>
      </c>
      <c r="O1099" t="s">
        <v>445</v>
      </c>
      <c r="P1099" t="s">
        <v>445</v>
      </c>
      <c r="Q1099">
        <v>1</v>
      </c>
      <c r="X1099">
        <v>0.9</v>
      </c>
      <c r="Y1099">
        <v>0</v>
      </c>
      <c r="Z1099">
        <v>180.35</v>
      </c>
      <c r="AA1099">
        <v>16.93</v>
      </c>
      <c r="AB1099">
        <v>0</v>
      </c>
      <c r="AC1099">
        <v>0</v>
      </c>
      <c r="AD1099">
        <v>1</v>
      </c>
      <c r="AE1099">
        <v>0</v>
      </c>
      <c r="AF1099" t="s">
        <v>22</v>
      </c>
      <c r="AG1099">
        <v>0.9900000000000001</v>
      </c>
      <c r="AH1099">
        <v>3</v>
      </c>
      <c r="AI1099">
        <v>-1</v>
      </c>
      <c r="AJ1099" t="s">
        <v>3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</row>
    <row r="1100" spans="1:44" x14ac:dyDescent="0.2">
      <c r="A1100">
        <f>ROW(Source!A297)</f>
        <v>297</v>
      </c>
      <c r="B1100">
        <v>56617240</v>
      </c>
      <c r="C1100">
        <v>56617229</v>
      </c>
      <c r="D1100">
        <v>46725969</v>
      </c>
      <c r="E1100">
        <v>1</v>
      </c>
      <c r="F1100">
        <v>1</v>
      </c>
      <c r="G1100">
        <v>27786564</v>
      </c>
      <c r="H1100">
        <v>3</v>
      </c>
      <c r="I1100" t="s">
        <v>647</v>
      </c>
      <c r="J1100" t="s">
        <v>648</v>
      </c>
      <c r="K1100" t="s">
        <v>649</v>
      </c>
      <c r="L1100">
        <v>1348</v>
      </c>
      <c r="N1100">
        <v>1009</v>
      </c>
      <c r="O1100" t="s">
        <v>367</v>
      </c>
      <c r="P1100" t="s">
        <v>367</v>
      </c>
      <c r="Q1100">
        <v>1000</v>
      </c>
      <c r="X1100">
        <v>0.04</v>
      </c>
      <c r="Y1100">
        <v>1445.87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 t="s">
        <v>3</v>
      </c>
      <c r="AG1100">
        <v>0.04</v>
      </c>
      <c r="AH1100">
        <v>3</v>
      </c>
      <c r="AI1100">
        <v>-1</v>
      </c>
      <c r="AJ1100" t="s">
        <v>3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</row>
    <row r="1101" spans="1:44" x14ac:dyDescent="0.2">
      <c r="A1101">
        <f>ROW(Source!A297)</f>
        <v>297</v>
      </c>
      <c r="B1101">
        <v>56617241</v>
      </c>
      <c r="C1101">
        <v>56617229</v>
      </c>
      <c r="D1101">
        <v>30384722</v>
      </c>
      <c r="E1101">
        <v>27786564</v>
      </c>
      <c r="F1101">
        <v>1</v>
      </c>
      <c r="G1101">
        <v>27786564</v>
      </c>
      <c r="H1101">
        <v>3</v>
      </c>
      <c r="I1101" t="s">
        <v>650</v>
      </c>
      <c r="J1101" t="s">
        <v>3</v>
      </c>
      <c r="K1101" t="s">
        <v>651</v>
      </c>
      <c r="L1101">
        <v>1348</v>
      </c>
      <c r="N1101">
        <v>1009</v>
      </c>
      <c r="O1101" t="s">
        <v>367</v>
      </c>
      <c r="P1101" t="s">
        <v>367</v>
      </c>
      <c r="Q1101">
        <v>1000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 t="s">
        <v>3</v>
      </c>
      <c r="AG1101">
        <v>0</v>
      </c>
      <c r="AH1101">
        <v>3</v>
      </c>
      <c r="AI1101">
        <v>-1</v>
      </c>
      <c r="AJ1101" t="s">
        <v>3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</row>
    <row r="1102" spans="1:44" x14ac:dyDescent="0.2">
      <c r="A1102">
        <f>ROW(Source!A298)</f>
        <v>298</v>
      </c>
      <c r="B1102">
        <v>56617231</v>
      </c>
      <c r="C1102">
        <v>56617229</v>
      </c>
      <c r="D1102">
        <v>47634407</v>
      </c>
      <c r="E1102">
        <v>27786564</v>
      </c>
      <c r="F1102">
        <v>1</v>
      </c>
      <c r="G1102">
        <v>27786564</v>
      </c>
      <c r="H1102">
        <v>1</v>
      </c>
      <c r="I1102" t="s">
        <v>439</v>
      </c>
      <c r="J1102" t="s">
        <v>3</v>
      </c>
      <c r="K1102" t="s">
        <v>440</v>
      </c>
      <c r="L1102">
        <v>1191</v>
      </c>
      <c r="N1102">
        <v>1013</v>
      </c>
      <c r="O1102" t="s">
        <v>441</v>
      </c>
      <c r="P1102" t="s">
        <v>441</v>
      </c>
      <c r="Q1102">
        <v>1</v>
      </c>
      <c r="X1102">
        <v>4.29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1</v>
      </c>
      <c r="AF1102" t="s">
        <v>22</v>
      </c>
      <c r="AG1102">
        <v>4.7190000000000003</v>
      </c>
      <c r="AH1102">
        <v>3</v>
      </c>
      <c r="AI1102">
        <v>-1</v>
      </c>
      <c r="AJ1102" t="s">
        <v>3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</row>
    <row r="1103" spans="1:44" x14ac:dyDescent="0.2">
      <c r="A1103">
        <f>ROW(Source!A298)</f>
        <v>298</v>
      </c>
      <c r="B1103">
        <v>56617232</v>
      </c>
      <c r="C1103">
        <v>56617229</v>
      </c>
      <c r="D1103">
        <v>47766768</v>
      </c>
      <c r="E1103">
        <v>1</v>
      </c>
      <c r="F1103">
        <v>1</v>
      </c>
      <c r="G1103">
        <v>27786564</v>
      </c>
      <c r="H1103">
        <v>2</v>
      </c>
      <c r="I1103" t="s">
        <v>585</v>
      </c>
      <c r="J1103" t="s">
        <v>586</v>
      </c>
      <c r="K1103" t="s">
        <v>587</v>
      </c>
      <c r="L1103">
        <v>1368</v>
      </c>
      <c r="N1103">
        <v>1011</v>
      </c>
      <c r="O1103" t="s">
        <v>445</v>
      </c>
      <c r="P1103" t="s">
        <v>445</v>
      </c>
      <c r="Q1103">
        <v>1</v>
      </c>
      <c r="X1103">
        <v>0.3</v>
      </c>
      <c r="Y1103">
        <v>0</v>
      </c>
      <c r="Z1103">
        <v>41.45</v>
      </c>
      <c r="AA1103">
        <v>12.62</v>
      </c>
      <c r="AB1103">
        <v>0</v>
      </c>
      <c r="AC1103">
        <v>0</v>
      </c>
      <c r="AD1103">
        <v>1</v>
      </c>
      <c r="AE1103">
        <v>0</v>
      </c>
      <c r="AF1103" t="s">
        <v>22</v>
      </c>
      <c r="AG1103">
        <v>0.33</v>
      </c>
      <c r="AH1103">
        <v>3</v>
      </c>
      <c r="AI1103">
        <v>-1</v>
      </c>
      <c r="AJ1103" t="s">
        <v>3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</row>
    <row r="1104" spans="1:44" x14ac:dyDescent="0.2">
      <c r="A1104">
        <f>ROW(Source!A298)</f>
        <v>298</v>
      </c>
      <c r="B1104">
        <v>56617233</v>
      </c>
      <c r="C1104">
        <v>56617229</v>
      </c>
      <c r="D1104">
        <v>47766518</v>
      </c>
      <c r="E1104">
        <v>1</v>
      </c>
      <c r="F1104">
        <v>1</v>
      </c>
      <c r="G1104">
        <v>27786564</v>
      </c>
      <c r="H1104">
        <v>2</v>
      </c>
      <c r="I1104" t="s">
        <v>632</v>
      </c>
      <c r="J1104" t="s">
        <v>633</v>
      </c>
      <c r="K1104" t="s">
        <v>634</v>
      </c>
      <c r="L1104">
        <v>1368</v>
      </c>
      <c r="N1104">
        <v>1011</v>
      </c>
      <c r="O1104" t="s">
        <v>445</v>
      </c>
      <c r="P1104" t="s">
        <v>445</v>
      </c>
      <c r="Q1104">
        <v>1</v>
      </c>
      <c r="X1104">
        <v>0.3</v>
      </c>
      <c r="Y1104">
        <v>0</v>
      </c>
      <c r="Z1104">
        <v>153.94999999999999</v>
      </c>
      <c r="AA1104">
        <v>14.54</v>
      </c>
      <c r="AB1104">
        <v>0</v>
      </c>
      <c r="AC1104">
        <v>0</v>
      </c>
      <c r="AD1104">
        <v>1</v>
      </c>
      <c r="AE1104">
        <v>0</v>
      </c>
      <c r="AF1104" t="s">
        <v>22</v>
      </c>
      <c r="AG1104">
        <v>0.33</v>
      </c>
      <c r="AH1104">
        <v>3</v>
      </c>
      <c r="AI1104">
        <v>-1</v>
      </c>
      <c r="AJ1104" t="s">
        <v>3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</row>
    <row r="1105" spans="1:44" x14ac:dyDescent="0.2">
      <c r="A1105">
        <f>ROW(Source!A298)</f>
        <v>298</v>
      </c>
      <c r="B1105">
        <v>56617234</v>
      </c>
      <c r="C1105">
        <v>56617229</v>
      </c>
      <c r="D1105">
        <v>47766605</v>
      </c>
      <c r="E1105">
        <v>1</v>
      </c>
      <c r="F1105">
        <v>1</v>
      </c>
      <c r="G1105">
        <v>27786564</v>
      </c>
      <c r="H1105">
        <v>2</v>
      </c>
      <c r="I1105" t="s">
        <v>603</v>
      </c>
      <c r="J1105" t="s">
        <v>604</v>
      </c>
      <c r="K1105" t="s">
        <v>605</v>
      </c>
      <c r="L1105">
        <v>1368</v>
      </c>
      <c r="N1105">
        <v>1011</v>
      </c>
      <c r="O1105" t="s">
        <v>445</v>
      </c>
      <c r="P1105" t="s">
        <v>445</v>
      </c>
      <c r="Q1105">
        <v>1</v>
      </c>
      <c r="X1105">
        <v>0.3</v>
      </c>
      <c r="Y1105">
        <v>0</v>
      </c>
      <c r="Z1105">
        <v>140.38</v>
      </c>
      <c r="AA1105">
        <v>12.62</v>
      </c>
      <c r="AB1105">
        <v>0</v>
      </c>
      <c r="AC1105">
        <v>0</v>
      </c>
      <c r="AD1105">
        <v>1</v>
      </c>
      <c r="AE1105">
        <v>0</v>
      </c>
      <c r="AF1105" t="s">
        <v>22</v>
      </c>
      <c r="AG1105">
        <v>0.33</v>
      </c>
      <c r="AH1105">
        <v>3</v>
      </c>
      <c r="AI1105">
        <v>-1</v>
      </c>
      <c r="AJ1105" t="s">
        <v>3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</row>
    <row r="1106" spans="1:44" x14ac:dyDescent="0.2">
      <c r="A1106">
        <f>ROW(Source!A298)</f>
        <v>298</v>
      </c>
      <c r="B1106">
        <v>56617235</v>
      </c>
      <c r="C1106">
        <v>56617229</v>
      </c>
      <c r="D1106">
        <v>47766606</v>
      </c>
      <c r="E1106">
        <v>1</v>
      </c>
      <c r="F1106">
        <v>1</v>
      </c>
      <c r="G1106">
        <v>27786564</v>
      </c>
      <c r="H1106">
        <v>2</v>
      </c>
      <c r="I1106" t="s">
        <v>635</v>
      </c>
      <c r="J1106" t="s">
        <v>636</v>
      </c>
      <c r="K1106" t="s">
        <v>637</v>
      </c>
      <c r="L1106">
        <v>1368</v>
      </c>
      <c r="N1106">
        <v>1011</v>
      </c>
      <c r="O1106" t="s">
        <v>445</v>
      </c>
      <c r="P1106" t="s">
        <v>445</v>
      </c>
      <c r="Q1106">
        <v>1</v>
      </c>
      <c r="X1106">
        <v>0.3</v>
      </c>
      <c r="Y1106">
        <v>0</v>
      </c>
      <c r="Z1106">
        <v>260.5</v>
      </c>
      <c r="AA1106">
        <v>18.62</v>
      </c>
      <c r="AB1106">
        <v>0</v>
      </c>
      <c r="AC1106">
        <v>0</v>
      </c>
      <c r="AD1106">
        <v>1</v>
      </c>
      <c r="AE1106">
        <v>0</v>
      </c>
      <c r="AF1106" t="s">
        <v>22</v>
      </c>
      <c r="AG1106">
        <v>0.33</v>
      </c>
      <c r="AH1106">
        <v>3</v>
      </c>
      <c r="AI1106">
        <v>-1</v>
      </c>
      <c r="AJ1106" t="s">
        <v>3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</row>
    <row r="1107" spans="1:44" x14ac:dyDescent="0.2">
      <c r="A1107">
        <f>ROW(Source!A298)</f>
        <v>298</v>
      </c>
      <c r="B1107">
        <v>56617236</v>
      </c>
      <c r="C1107">
        <v>56617229</v>
      </c>
      <c r="D1107">
        <v>47766595</v>
      </c>
      <c r="E1107">
        <v>1</v>
      </c>
      <c r="F1107">
        <v>1</v>
      </c>
      <c r="G1107">
        <v>27786564</v>
      </c>
      <c r="H1107">
        <v>2</v>
      </c>
      <c r="I1107" t="s">
        <v>638</v>
      </c>
      <c r="J1107" t="s">
        <v>639</v>
      </c>
      <c r="K1107" t="s">
        <v>640</v>
      </c>
      <c r="L1107">
        <v>1368</v>
      </c>
      <c r="N1107">
        <v>1011</v>
      </c>
      <c r="O1107" t="s">
        <v>445</v>
      </c>
      <c r="P1107" t="s">
        <v>445</v>
      </c>
      <c r="Q1107">
        <v>1</v>
      </c>
      <c r="X1107">
        <v>0.3</v>
      </c>
      <c r="Y1107">
        <v>0</v>
      </c>
      <c r="Z1107">
        <v>163.81</v>
      </c>
      <c r="AA1107">
        <v>14.54</v>
      </c>
      <c r="AB1107">
        <v>0</v>
      </c>
      <c r="AC1107">
        <v>0</v>
      </c>
      <c r="AD1107">
        <v>1</v>
      </c>
      <c r="AE1107">
        <v>0</v>
      </c>
      <c r="AF1107" t="s">
        <v>22</v>
      </c>
      <c r="AG1107">
        <v>0.33</v>
      </c>
      <c r="AH1107">
        <v>3</v>
      </c>
      <c r="AI1107">
        <v>-1</v>
      </c>
      <c r="AJ1107" t="s">
        <v>3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</row>
    <row r="1108" spans="1:44" x14ac:dyDescent="0.2">
      <c r="A1108">
        <f>ROW(Source!A298)</f>
        <v>298</v>
      </c>
      <c r="B1108">
        <v>56617237</v>
      </c>
      <c r="C1108">
        <v>56617229</v>
      </c>
      <c r="D1108">
        <v>47766611</v>
      </c>
      <c r="E1108">
        <v>1</v>
      </c>
      <c r="F1108">
        <v>1</v>
      </c>
      <c r="G1108">
        <v>27786564</v>
      </c>
      <c r="H1108">
        <v>2</v>
      </c>
      <c r="I1108" t="s">
        <v>641</v>
      </c>
      <c r="J1108" t="s">
        <v>642</v>
      </c>
      <c r="K1108" t="s">
        <v>643</v>
      </c>
      <c r="L1108">
        <v>1368</v>
      </c>
      <c r="N1108">
        <v>1011</v>
      </c>
      <c r="O1108" t="s">
        <v>445</v>
      </c>
      <c r="P1108" t="s">
        <v>445</v>
      </c>
      <c r="Q1108">
        <v>1</v>
      </c>
      <c r="X1108">
        <v>0.3</v>
      </c>
      <c r="Y1108">
        <v>0</v>
      </c>
      <c r="Z1108">
        <v>283.89999999999998</v>
      </c>
      <c r="AA1108">
        <v>14.54</v>
      </c>
      <c r="AB1108">
        <v>0</v>
      </c>
      <c r="AC1108">
        <v>0</v>
      </c>
      <c r="AD1108">
        <v>1</v>
      </c>
      <c r="AE1108">
        <v>0</v>
      </c>
      <c r="AF1108" t="s">
        <v>22</v>
      </c>
      <c r="AG1108">
        <v>0.33</v>
      </c>
      <c r="AH1108">
        <v>3</v>
      </c>
      <c r="AI1108">
        <v>-1</v>
      </c>
      <c r="AJ1108" t="s">
        <v>3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</row>
    <row r="1109" spans="1:44" x14ac:dyDescent="0.2">
      <c r="A1109">
        <f>ROW(Source!A298)</f>
        <v>298</v>
      </c>
      <c r="B1109">
        <v>56617238</v>
      </c>
      <c r="C1109">
        <v>56617229</v>
      </c>
      <c r="D1109">
        <v>47766598</v>
      </c>
      <c r="E1109">
        <v>1</v>
      </c>
      <c r="F1109">
        <v>1</v>
      </c>
      <c r="G1109">
        <v>27786564</v>
      </c>
      <c r="H1109">
        <v>2</v>
      </c>
      <c r="I1109" t="s">
        <v>644</v>
      </c>
      <c r="J1109" t="s">
        <v>645</v>
      </c>
      <c r="K1109" t="s">
        <v>646</v>
      </c>
      <c r="L1109">
        <v>1368</v>
      </c>
      <c r="N1109">
        <v>1011</v>
      </c>
      <c r="O1109" t="s">
        <v>445</v>
      </c>
      <c r="P1109" t="s">
        <v>445</v>
      </c>
      <c r="Q1109">
        <v>1</v>
      </c>
      <c r="X1109">
        <v>0.3</v>
      </c>
      <c r="Y1109">
        <v>0</v>
      </c>
      <c r="Z1109">
        <v>189.45</v>
      </c>
      <c r="AA1109">
        <v>16.93</v>
      </c>
      <c r="AB1109">
        <v>0</v>
      </c>
      <c r="AC1109">
        <v>0</v>
      </c>
      <c r="AD1109">
        <v>1</v>
      </c>
      <c r="AE1109">
        <v>0</v>
      </c>
      <c r="AF1109" t="s">
        <v>22</v>
      </c>
      <c r="AG1109">
        <v>0.33</v>
      </c>
      <c r="AH1109">
        <v>3</v>
      </c>
      <c r="AI1109">
        <v>-1</v>
      </c>
      <c r="AJ1109" t="s">
        <v>3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</row>
    <row r="1110" spans="1:44" x14ac:dyDescent="0.2">
      <c r="A1110">
        <f>ROW(Source!A298)</f>
        <v>298</v>
      </c>
      <c r="B1110">
        <v>56617239</v>
      </c>
      <c r="C1110">
        <v>56617229</v>
      </c>
      <c r="D1110">
        <v>47766599</v>
      </c>
      <c r="E1110">
        <v>1</v>
      </c>
      <c r="F1110">
        <v>1</v>
      </c>
      <c r="G1110">
        <v>27786564</v>
      </c>
      <c r="H1110">
        <v>2</v>
      </c>
      <c r="I1110" t="s">
        <v>606</v>
      </c>
      <c r="J1110" t="s">
        <v>607</v>
      </c>
      <c r="K1110" t="s">
        <v>608</v>
      </c>
      <c r="L1110">
        <v>1368</v>
      </c>
      <c r="N1110">
        <v>1011</v>
      </c>
      <c r="O1110" t="s">
        <v>445</v>
      </c>
      <c r="P1110" t="s">
        <v>445</v>
      </c>
      <c r="Q1110">
        <v>1</v>
      </c>
      <c r="X1110">
        <v>0.9</v>
      </c>
      <c r="Y1110">
        <v>0</v>
      </c>
      <c r="Z1110">
        <v>180.35</v>
      </c>
      <c r="AA1110">
        <v>16.93</v>
      </c>
      <c r="AB1110">
        <v>0</v>
      </c>
      <c r="AC1110">
        <v>0</v>
      </c>
      <c r="AD1110">
        <v>1</v>
      </c>
      <c r="AE1110">
        <v>0</v>
      </c>
      <c r="AF1110" t="s">
        <v>22</v>
      </c>
      <c r="AG1110">
        <v>0.9900000000000001</v>
      </c>
      <c r="AH1110">
        <v>3</v>
      </c>
      <c r="AI1110">
        <v>-1</v>
      </c>
      <c r="AJ1110" t="s">
        <v>3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</row>
    <row r="1111" spans="1:44" x14ac:dyDescent="0.2">
      <c r="A1111">
        <f>ROW(Source!A298)</f>
        <v>298</v>
      </c>
      <c r="B1111">
        <v>56617240</v>
      </c>
      <c r="C1111">
        <v>56617229</v>
      </c>
      <c r="D1111">
        <v>46725969</v>
      </c>
      <c r="E1111">
        <v>1</v>
      </c>
      <c r="F1111">
        <v>1</v>
      </c>
      <c r="G1111">
        <v>27786564</v>
      </c>
      <c r="H1111">
        <v>3</v>
      </c>
      <c r="I1111" t="s">
        <v>647</v>
      </c>
      <c r="J1111" t="s">
        <v>648</v>
      </c>
      <c r="K1111" t="s">
        <v>649</v>
      </c>
      <c r="L1111">
        <v>1348</v>
      </c>
      <c r="N1111">
        <v>1009</v>
      </c>
      <c r="O1111" t="s">
        <v>367</v>
      </c>
      <c r="P1111" t="s">
        <v>367</v>
      </c>
      <c r="Q1111">
        <v>1000</v>
      </c>
      <c r="X1111">
        <v>0.04</v>
      </c>
      <c r="Y1111">
        <v>1445.87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 t="s">
        <v>3</v>
      </c>
      <c r="AG1111">
        <v>0.04</v>
      </c>
      <c r="AH1111">
        <v>3</v>
      </c>
      <c r="AI1111">
        <v>-1</v>
      </c>
      <c r="AJ1111" t="s">
        <v>3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</row>
    <row r="1112" spans="1:44" x14ac:dyDescent="0.2">
      <c r="A1112">
        <f>ROW(Source!A298)</f>
        <v>298</v>
      </c>
      <c r="B1112">
        <v>56617241</v>
      </c>
      <c r="C1112">
        <v>56617229</v>
      </c>
      <c r="D1112">
        <v>30384722</v>
      </c>
      <c r="E1112">
        <v>27786564</v>
      </c>
      <c r="F1112">
        <v>1</v>
      </c>
      <c r="G1112">
        <v>27786564</v>
      </c>
      <c r="H1112">
        <v>3</v>
      </c>
      <c r="I1112" t="s">
        <v>650</v>
      </c>
      <c r="J1112" t="s">
        <v>3</v>
      </c>
      <c r="K1112" t="s">
        <v>651</v>
      </c>
      <c r="L1112">
        <v>1348</v>
      </c>
      <c r="N1112">
        <v>1009</v>
      </c>
      <c r="O1112" t="s">
        <v>367</v>
      </c>
      <c r="P1112" t="s">
        <v>367</v>
      </c>
      <c r="Q1112">
        <v>1000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 t="s">
        <v>3</v>
      </c>
      <c r="AG1112">
        <v>0</v>
      </c>
      <c r="AH1112">
        <v>3</v>
      </c>
      <c r="AI1112">
        <v>-1</v>
      </c>
      <c r="AJ1112" t="s">
        <v>3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</row>
    <row r="1113" spans="1:44" x14ac:dyDescent="0.2">
      <c r="A1113">
        <f>ROW(Source!A336)</f>
        <v>336</v>
      </c>
      <c r="B1113">
        <v>56617244</v>
      </c>
      <c r="C1113">
        <v>56617243</v>
      </c>
      <c r="D1113">
        <v>47634407</v>
      </c>
      <c r="E1113">
        <v>27786564</v>
      </c>
      <c r="F1113">
        <v>1</v>
      </c>
      <c r="G1113">
        <v>27786564</v>
      </c>
      <c r="H1113">
        <v>1</v>
      </c>
      <c r="I1113" t="s">
        <v>439</v>
      </c>
      <c r="J1113" t="s">
        <v>3</v>
      </c>
      <c r="K1113" t="s">
        <v>440</v>
      </c>
      <c r="L1113">
        <v>1191</v>
      </c>
      <c r="N1113">
        <v>1013</v>
      </c>
      <c r="O1113" t="s">
        <v>441</v>
      </c>
      <c r="P1113" t="s">
        <v>441</v>
      </c>
      <c r="Q1113">
        <v>1</v>
      </c>
      <c r="X1113">
        <v>155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1</v>
      </c>
      <c r="AF1113" t="s">
        <v>22</v>
      </c>
      <c r="AG1113">
        <v>170.5</v>
      </c>
      <c r="AH1113">
        <v>3</v>
      </c>
      <c r="AI1113">
        <v>-1</v>
      </c>
      <c r="AJ1113" t="s">
        <v>3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</row>
    <row r="1114" spans="1:44" x14ac:dyDescent="0.2">
      <c r="A1114">
        <f>ROW(Source!A336)</f>
        <v>336</v>
      </c>
      <c r="B1114">
        <v>56617245</v>
      </c>
      <c r="C1114">
        <v>56617243</v>
      </c>
      <c r="D1114">
        <v>47766768</v>
      </c>
      <c r="E1114">
        <v>1</v>
      </c>
      <c r="F1114">
        <v>1</v>
      </c>
      <c r="G1114">
        <v>27786564</v>
      </c>
      <c r="H1114">
        <v>2</v>
      </c>
      <c r="I1114" t="s">
        <v>585</v>
      </c>
      <c r="J1114" t="s">
        <v>586</v>
      </c>
      <c r="K1114" t="s">
        <v>587</v>
      </c>
      <c r="L1114">
        <v>1368</v>
      </c>
      <c r="N1114">
        <v>1011</v>
      </c>
      <c r="O1114" t="s">
        <v>445</v>
      </c>
      <c r="P1114" t="s">
        <v>445</v>
      </c>
      <c r="Q1114">
        <v>1</v>
      </c>
      <c r="X1114">
        <v>37.5</v>
      </c>
      <c r="Y1114">
        <v>0</v>
      </c>
      <c r="Z1114">
        <v>41.45</v>
      </c>
      <c r="AA1114">
        <v>12.62</v>
      </c>
      <c r="AB1114">
        <v>0</v>
      </c>
      <c r="AC1114">
        <v>0</v>
      </c>
      <c r="AD1114">
        <v>1</v>
      </c>
      <c r="AE1114">
        <v>0</v>
      </c>
      <c r="AF1114" t="s">
        <v>22</v>
      </c>
      <c r="AG1114">
        <v>41.25</v>
      </c>
      <c r="AH1114">
        <v>3</v>
      </c>
      <c r="AI1114">
        <v>-1</v>
      </c>
      <c r="AJ1114" t="s">
        <v>3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</row>
    <row r="1115" spans="1:44" x14ac:dyDescent="0.2">
      <c r="A1115">
        <f>ROW(Source!A336)</f>
        <v>336</v>
      </c>
      <c r="B1115">
        <v>56617246</v>
      </c>
      <c r="C1115">
        <v>56617243</v>
      </c>
      <c r="D1115">
        <v>47767181</v>
      </c>
      <c r="E1115">
        <v>1</v>
      </c>
      <c r="F1115">
        <v>1</v>
      </c>
      <c r="G1115">
        <v>27786564</v>
      </c>
      <c r="H1115">
        <v>2</v>
      </c>
      <c r="I1115" t="s">
        <v>588</v>
      </c>
      <c r="J1115" t="s">
        <v>589</v>
      </c>
      <c r="K1115" t="s">
        <v>590</v>
      </c>
      <c r="L1115">
        <v>1368</v>
      </c>
      <c r="N1115">
        <v>1011</v>
      </c>
      <c r="O1115" t="s">
        <v>445</v>
      </c>
      <c r="P1115" t="s">
        <v>445</v>
      </c>
      <c r="Q1115">
        <v>1</v>
      </c>
      <c r="X1115">
        <v>75</v>
      </c>
      <c r="Y1115">
        <v>0</v>
      </c>
      <c r="Z1115">
        <v>0.5</v>
      </c>
      <c r="AA1115">
        <v>0</v>
      </c>
      <c r="AB1115">
        <v>0</v>
      </c>
      <c r="AC1115">
        <v>0</v>
      </c>
      <c r="AD1115">
        <v>1</v>
      </c>
      <c r="AE1115">
        <v>0</v>
      </c>
      <c r="AF1115" t="s">
        <v>22</v>
      </c>
      <c r="AG1115">
        <v>82.5</v>
      </c>
      <c r="AH1115">
        <v>3</v>
      </c>
      <c r="AI1115">
        <v>-1</v>
      </c>
      <c r="AJ1115" t="s">
        <v>3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</row>
    <row r="1116" spans="1:44" x14ac:dyDescent="0.2">
      <c r="A1116">
        <f>ROW(Source!A336)</f>
        <v>336</v>
      </c>
      <c r="B1116">
        <v>56617247</v>
      </c>
      <c r="C1116">
        <v>56617243</v>
      </c>
      <c r="D1116">
        <v>47766620</v>
      </c>
      <c r="E1116">
        <v>1</v>
      </c>
      <c r="F1116">
        <v>1</v>
      </c>
      <c r="G1116">
        <v>27786564</v>
      </c>
      <c r="H1116">
        <v>2</v>
      </c>
      <c r="I1116" t="s">
        <v>591</v>
      </c>
      <c r="J1116" t="s">
        <v>592</v>
      </c>
      <c r="K1116" t="s">
        <v>593</v>
      </c>
      <c r="L1116">
        <v>1368</v>
      </c>
      <c r="N1116">
        <v>1011</v>
      </c>
      <c r="O1116" t="s">
        <v>445</v>
      </c>
      <c r="P1116" t="s">
        <v>445</v>
      </c>
      <c r="Q1116">
        <v>1</v>
      </c>
      <c r="X1116">
        <v>1.55</v>
      </c>
      <c r="Y1116">
        <v>0</v>
      </c>
      <c r="Z1116">
        <v>219.56</v>
      </c>
      <c r="AA1116">
        <v>18.62</v>
      </c>
      <c r="AB1116">
        <v>0</v>
      </c>
      <c r="AC1116">
        <v>0</v>
      </c>
      <c r="AD1116">
        <v>1</v>
      </c>
      <c r="AE1116">
        <v>0</v>
      </c>
      <c r="AF1116" t="s">
        <v>22</v>
      </c>
      <c r="AG1116">
        <v>1.7050000000000003</v>
      </c>
      <c r="AH1116">
        <v>3</v>
      </c>
      <c r="AI1116">
        <v>-1</v>
      </c>
      <c r="AJ1116" t="s">
        <v>3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</row>
    <row r="1117" spans="1:44" x14ac:dyDescent="0.2">
      <c r="A1117">
        <f>ROW(Source!A336)</f>
        <v>336</v>
      </c>
      <c r="B1117">
        <v>56617248</v>
      </c>
      <c r="C1117">
        <v>56617243</v>
      </c>
      <c r="D1117">
        <v>47634960</v>
      </c>
      <c r="E1117">
        <v>27786564</v>
      </c>
      <c r="F1117">
        <v>1</v>
      </c>
      <c r="G1117">
        <v>27786564</v>
      </c>
      <c r="H1117">
        <v>2</v>
      </c>
      <c r="I1117" t="s">
        <v>449</v>
      </c>
      <c r="J1117" t="s">
        <v>3</v>
      </c>
      <c r="K1117" t="s">
        <v>450</v>
      </c>
      <c r="L1117">
        <v>1344</v>
      </c>
      <c r="N1117">
        <v>1008</v>
      </c>
      <c r="O1117" t="s">
        <v>451</v>
      </c>
      <c r="P1117" t="s">
        <v>451</v>
      </c>
      <c r="Q1117">
        <v>1</v>
      </c>
      <c r="X1117">
        <v>3.74</v>
      </c>
      <c r="Y1117">
        <v>0</v>
      </c>
      <c r="Z1117">
        <v>1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 t="s">
        <v>22</v>
      </c>
      <c r="AG1117">
        <v>4.1140000000000008</v>
      </c>
      <c r="AH1117">
        <v>3</v>
      </c>
      <c r="AI1117">
        <v>-1</v>
      </c>
      <c r="AJ1117" t="s">
        <v>3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</row>
    <row r="1118" spans="1:44" x14ac:dyDescent="0.2">
      <c r="A1118">
        <f>ROW(Source!A337)</f>
        <v>337</v>
      </c>
      <c r="B1118">
        <v>56617244</v>
      </c>
      <c r="C1118">
        <v>56617243</v>
      </c>
      <c r="D1118">
        <v>47634407</v>
      </c>
      <c r="E1118">
        <v>27786564</v>
      </c>
      <c r="F1118">
        <v>1</v>
      </c>
      <c r="G1118">
        <v>27786564</v>
      </c>
      <c r="H1118">
        <v>1</v>
      </c>
      <c r="I1118" t="s">
        <v>439</v>
      </c>
      <c r="J1118" t="s">
        <v>3</v>
      </c>
      <c r="K1118" t="s">
        <v>440</v>
      </c>
      <c r="L1118">
        <v>1191</v>
      </c>
      <c r="N1118">
        <v>1013</v>
      </c>
      <c r="O1118" t="s">
        <v>441</v>
      </c>
      <c r="P1118" t="s">
        <v>441</v>
      </c>
      <c r="Q1118">
        <v>1</v>
      </c>
      <c r="X1118">
        <v>155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  <c r="AE1118">
        <v>1</v>
      </c>
      <c r="AF1118" t="s">
        <v>22</v>
      </c>
      <c r="AG1118">
        <v>170.5</v>
      </c>
      <c r="AH1118">
        <v>3</v>
      </c>
      <c r="AI1118">
        <v>-1</v>
      </c>
      <c r="AJ1118" t="s">
        <v>3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</row>
    <row r="1119" spans="1:44" x14ac:dyDescent="0.2">
      <c r="A1119">
        <f>ROW(Source!A337)</f>
        <v>337</v>
      </c>
      <c r="B1119">
        <v>56617245</v>
      </c>
      <c r="C1119">
        <v>56617243</v>
      </c>
      <c r="D1119">
        <v>47766768</v>
      </c>
      <c r="E1119">
        <v>1</v>
      </c>
      <c r="F1119">
        <v>1</v>
      </c>
      <c r="G1119">
        <v>27786564</v>
      </c>
      <c r="H1119">
        <v>2</v>
      </c>
      <c r="I1119" t="s">
        <v>585</v>
      </c>
      <c r="J1119" t="s">
        <v>586</v>
      </c>
      <c r="K1119" t="s">
        <v>587</v>
      </c>
      <c r="L1119">
        <v>1368</v>
      </c>
      <c r="N1119">
        <v>1011</v>
      </c>
      <c r="O1119" t="s">
        <v>445</v>
      </c>
      <c r="P1119" t="s">
        <v>445</v>
      </c>
      <c r="Q1119">
        <v>1</v>
      </c>
      <c r="X1119">
        <v>37.5</v>
      </c>
      <c r="Y1119">
        <v>0</v>
      </c>
      <c r="Z1119">
        <v>41.45</v>
      </c>
      <c r="AA1119">
        <v>12.62</v>
      </c>
      <c r="AB1119">
        <v>0</v>
      </c>
      <c r="AC1119">
        <v>0</v>
      </c>
      <c r="AD1119">
        <v>1</v>
      </c>
      <c r="AE1119">
        <v>0</v>
      </c>
      <c r="AF1119" t="s">
        <v>22</v>
      </c>
      <c r="AG1119">
        <v>41.25</v>
      </c>
      <c r="AH1119">
        <v>3</v>
      </c>
      <c r="AI1119">
        <v>-1</v>
      </c>
      <c r="AJ1119" t="s">
        <v>3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</row>
    <row r="1120" spans="1:44" x14ac:dyDescent="0.2">
      <c r="A1120">
        <f>ROW(Source!A337)</f>
        <v>337</v>
      </c>
      <c r="B1120">
        <v>56617246</v>
      </c>
      <c r="C1120">
        <v>56617243</v>
      </c>
      <c r="D1120">
        <v>47767181</v>
      </c>
      <c r="E1120">
        <v>1</v>
      </c>
      <c r="F1120">
        <v>1</v>
      </c>
      <c r="G1120">
        <v>27786564</v>
      </c>
      <c r="H1120">
        <v>2</v>
      </c>
      <c r="I1120" t="s">
        <v>588</v>
      </c>
      <c r="J1120" t="s">
        <v>589</v>
      </c>
      <c r="K1120" t="s">
        <v>590</v>
      </c>
      <c r="L1120">
        <v>1368</v>
      </c>
      <c r="N1120">
        <v>1011</v>
      </c>
      <c r="O1120" t="s">
        <v>445</v>
      </c>
      <c r="P1120" t="s">
        <v>445</v>
      </c>
      <c r="Q1120">
        <v>1</v>
      </c>
      <c r="X1120">
        <v>75</v>
      </c>
      <c r="Y1120">
        <v>0</v>
      </c>
      <c r="Z1120">
        <v>0.5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 t="s">
        <v>22</v>
      </c>
      <c r="AG1120">
        <v>82.5</v>
      </c>
      <c r="AH1120">
        <v>3</v>
      </c>
      <c r="AI1120">
        <v>-1</v>
      </c>
      <c r="AJ1120" t="s">
        <v>3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</row>
    <row r="1121" spans="1:44" x14ac:dyDescent="0.2">
      <c r="A1121">
        <f>ROW(Source!A337)</f>
        <v>337</v>
      </c>
      <c r="B1121">
        <v>56617247</v>
      </c>
      <c r="C1121">
        <v>56617243</v>
      </c>
      <c r="D1121">
        <v>47766620</v>
      </c>
      <c r="E1121">
        <v>1</v>
      </c>
      <c r="F1121">
        <v>1</v>
      </c>
      <c r="G1121">
        <v>27786564</v>
      </c>
      <c r="H1121">
        <v>2</v>
      </c>
      <c r="I1121" t="s">
        <v>591</v>
      </c>
      <c r="J1121" t="s">
        <v>592</v>
      </c>
      <c r="K1121" t="s">
        <v>593</v>
      </c>
      <c r="L1121">
        <v>1368</v>
      </c>
      <c r="N1121">
        <v>1011</v>
      </c>
      <c r="O1121" t="s">
        <v>445</v>
      </c>
      <c r="P1121" t="s">
        <v>445</v>
      </c>
      <c r="Q1121">
        <v>1</v>
      </c>
      <c r="X1121">
        <v>1.55</v>
      </c>
      <c r="Y1121">
        <v>0</v>
      </c>
      <c r="Z1121">
        <v>219.56</v>
      </c>
      <c r="AA1121">
        <v>18.62</v>
      </c>
      <c r="AB1121">
        <v>0</v>
      </c>
      <c r="AC1121">
        <v>0</v>
      </c>
      <c r="AD1121">
        <v>1</v>
      </c>
      <c r="AE1121">
        <v>0</v>
      </c>
      <c r="AF1121" t="s">
        <v>22</v>
      </c>
      <c r="AG1121">
        <v>1.7050000000000003</v>
      </c>
      <c r="AH1121">
        <v>3</v>
      </c>
      <c r="AI1121">
        <v>-1</v>
      </c>
      <c r="AJ1121" t="s">
        <v>3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</row>
    <row r="1122" spans="1:44" x14ac:dyDescent="0.2">
      <c r="A1122">
        <f>ROW(Source!A337)</f>
        <v>337</v>
      </c>
      <c r="B1122">
        <v>56617248</v>
      </c>
      <c r="C1122">
        <v>56617243</v>
      </c>
      <c r="D1122">
        <v>47634960</v>
      </c>
      <c r="E1122">
        <v>27786564</v>
      </c>
      <c r="F1122">
        <v>1</v>
      </c>
      <c r="G1122">
        <v>27786564</v>
      </c>
      <c r="H1122">
        <v>2</v>
      </c>
      <c r="I1122" t="s">
        <v>449</v>
      </c>
      <c r="J1122" t="s">
        <v>3</v>
      </c>
      <c r="K1122" t="s">
        <v>450</v>
      </c>
      <c r="L1122">
        <v>1344</v>
      </c>
      <c r="N1122">
        <v>1008</v>
      </c>
      <c r="O1122" t="s">
        <v>451</v>
      </c>
      <c r="P1122" t="s">
        <v>451</v>
      </c>
      <c r="Q1122">
        <v>1</v>
      </c>
      <c r="X1122">
        <v>3.74</v>
      </c>
      <c r="Y1122">
        <v>0</v>
      </c>
      <c r="Z1122">
        <v>1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 t="s">
        <v>22</v>
      </c>
      <c r="AG1122">
        <v>4.1140000000000008</v>
      </c>
      <c r="AH1122">
        <v>3</v>
      </c>
      <c r="AI1122">
        <v>-1</v>
      </c>
      <c r="AJ1122" t="s">
        <v>3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</row>
    <row r="1123" spans="1:44" x14ac:dyDescent="0.2">
      <c r="A1123">
        <f>ROW(Source!A338)</f>
        <v>338</v>
      </c>
      <c r="B1123">
        <v>56617250</v>
      </c>
      <c r="C1123">
        <v>56617249</v>
      </c>
      <c r="D1123">
        <v>47634407</v>
      </c>
      <c r="E1123">
        <v>27786564</v>
      </c>
      <c r="F1123">
        <v>1</v>
      </c>
      <c r="G1123">
        <v>27786564</v>
      </c>
      <c r="H1123">
        <v>1</v>
      </c>
      <c r="I1123" t="s">
        <v>439</v>
      </c>
      <c r="J1123" t="s">
        <v>3</v>
      </c>
      <c r="K1123" t="s">
        <v>440</v>
      </c>
      <c r="L1123">
        <v>1191</v>
      </c>
      <c r="N1123">
        <v>1013</v>
      </c>
      <c r="O1123" t="s">
        <v>441</v>
      </c>
      <c r="P1123" t="s">
        <v>441</v>
      </c>
      <c r="Q1123">
        <v>1</v>
      </c>
      <c r="X1123">
        <v>11.7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1</v>
      </c>
      <c r="AF1123" t="s">
        <v>22</v>
      </c>
      <c r="AG1123">
        <v>12.870000000000001</v>
      </c>
      <c r="AH1123">
        <v>3</v>
      </c>
      <c r="AI1123">
        <v>-1</v>
      </c>
      <c r="AJ1123" t="s">
        <v>3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</row>
    <row r="1124" spans="1:44" x14ac:dyDescent="0.2">
      <c r="A1124">
        <f>ROW(Source!A338)</f>
        <v>338</v>
      </c>
      <c r="B1124">
        <v>56617251</v>
      </c>
      <c r="C1124">
        <v>56617249</v>
      </c>
      <c r="D1124">
        <v>47766419</v>
      </c>
      <c r="E1124">
        <v>1</v>
      </c>
      <c r="F1124">
        <v>1</v>
      </c>
      <c r="G1124">
        <v>27786564</v>
      </c>
      <c r="H1124">
        <v>2</v>
      </c>
      <c r="I1124" t="s">
        <v>597</v>
      </c>
      <c r="J1124" t="s">
        <v>598</v>
      </c>
      <c r="K1124" t="s">
        <v>599</v>
      </c>
      <c r="L1124">
        <v>1368</v>
      </c>
      <c r="N1124">
        <v>1011</v>
      </c>
      <c r="O1124" t="s">
        <v>445</v>
      </c>
      <c r="P1124" t="s">
        <v>445</v>
      </c>
      <c r="Q1124">
        <v>1</v>
      </c>
      <c r="X1124">
        <v>1.26</v>
      </c>
      <c r="Y1124">
        <v>0</v>
      </c>
      <c r="Z1124">
        <v>120.32</v>
      </c>
      <c r="AA1124">
        <v>12.62</v>
      </c>
      <c r="AB1124">
        <v>0</v>
      </c>
      <c r="AC1124">
        <v>0</v>
      </c>
      <c r="AD1124">
        <v>1</v>
      </c>
      <c r="AE1124">
        <v>0</v>
      </c>
      <c r="AF1124" t="s">
        <v>22</v>
      </c>
      <c r="AG1124">
        <v>1.3860000000000001</v>
      </c>
      <c r="AH1124">
        <v>3</v>
      </c>
      <c r="AI1124">
        <v>-1</v>
      </c>
      <c r="AJ1124" t="s">
        <v>3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</row>
    <row r="1125" spans="1:44" x14ac:dyDescent="0.2">
      <c r="A1125">
        <f>ROW(Source!A338)</f>
        <v>338</v>
      </c>
      <c r="B1125">
        <v>56617252</v>
      </c>
      <c r="C1125">
        <v>56617249</v>
      </c>
      <c r="D1125">
        <v>47766620</v>
      </c>
      <c r="E1125">
        <v>1</v>
      </c>
      <c r="F1125">
        <v>1</v>
      </c>
      <c r="G1125">
        <v>27786564</v>
      </c>
      <c r="H1125">
        <v>2</v>
      </c>
      <c r="I1125" t="s">
        <v>591</v>
      </c>
      <c r="J1125" t="s">
        <v>592</v>
      </c>
      <c r="K1125" t="s">
        <v>593</v>
      </c>
      <c r="L1125">
        <v>1368</v>
      </c>
      <c r="N1125">
        <v>1011</v>
      </c>
      <c r="O1125" t="s">
        <v>445</v>
      </c>
      <c r="P1125" t="s">
        <v>445</v>
      </c>
      <c r="Q1125">
        <v>1</v>
      </c>
      <c r="X1125">
        <v>1.7</v>
      </c>
      <c r="Y1125">
        <v>0</v>
      </c>
      <c r="Z1125">
        <v>219.56</v>
      </c>
      <c r="AA1125">
        <v>18.62</v>
      </c>
      <c r="AB1125">
        <v>0</v>
      </c>
      <c r="AC1125">
        <v>0</v>
      </c>
      <c r="AD1125">
        <v>1</v>
      </c>
      <c r="AE1125">
        <v>0</v>
      </c>
      <c r="AF1125" t="s">
        <v>22</v>
      </c>
      <c r="AG1125">
        <v>1.87</v>
      </c>
      <c r="AH1125">
        <v>3</v>
      </c>
      <c r="AI1125">
        <v>-1</v>
      </c>
      <c r="AJ1125" t="s">
        <v>3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</row>
    <row r="1126" spans="1:44" x14ac:dyDescent="0.2">
      <c r="A1126">
        <f>ROW(Source!A338)</f>
        <v>338</v>
      </c>
      <c r="B1126">
        <v>56617253</v>
      </c>
      <c r="C1126">
        <v>56617249</v>
      </c>
      <c r="D1126">
        <v>47634960</v>
      </c>
      <c r="E1126">
        <v>27786564</v>
      </c>
      <c r="F1126">
        <v>1</v>
      </c>
      <c r="G1126">
        <v>27786564</v>
      </c>
      <c r="H1126">
        <v>2</v>
      </c>
      <c r="I1126" t="s">
        <v>449</v>
      </c>
      <c r="J1126" t="s">
        <v>3</v>
      </c>
      <c r="K1126" t="s">
        <v>450</v>
      </c>
      <c r="L1126">
        <v>1344</v>
      </c>
      <c r="N1126">
        <v>1008</v>
      </c>
      <c r="O1126" t="s">
        <v>451</v>
      </c>
      <c r="P1126" t="s">
        <v>451</v>
      </c>
      <c r="Q1126">
        <v>1</v>
      </c>
      <c r="X1126">
        <v>42.41</v>
      </c>
      <c r="Y1126">
        <v>0</v>
      </c>
      <c r="Z1126">
        <v>1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 t="s">
        <v>22</v>
      </c>
      <c r="AG1126">
        <v>46.651000000000003</v>
      </c>
      <c r="AH1126">
        <v>3</v>
      </c>
      <c r="AI1126">
        <v>-1</v>
      </c>
      <c r="AJ1126" t="s">
        <v>3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</row>
    <row r="1127" spans="1:44" x14ac:dyDescent="0.2">
      <c r="A1127">
        <f>ROW(Source!A339)</f>
        <v>339</v>
      </c>
      <c r="B1127">
        <v>56617250</v>
      </c>
      <c r="C1127">
        <v>56617249</v>
      </c>
      <c r="D1127">
        <v>47634407</v>
      </c>
      <c r="E1127">
        <v>27786564</v>
      </c>
      <c r="F1127">
        <v>1</v>
      </c>
      <c r="G1127">
        <v>27786564</v>
      </c>
      <c r="H1127">
        <v>1</v>
      </c>
      <c r="I1127" t="s">
        <v>439</v>
      </c>
      <c r="J1127" t="s">
        <v>3</v>
      </c>
      <c r="K1127" t="s">
        <v>440</v>
      </c>
      <c r="L1127">
        <v>1191</v>
      </c>
      <c r="N1127">
        <v>1013</v>
      </c>
      <c r="O1127" t="s">
        <v>441</v>
      </c>
      <c r="P1127" t="s">
        <v>441</v>
      </c>
      <c r="Q1127">
        <v>1</v>
      </c>
      <c r="X1127">
        <v>11.7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1</v>
      </c>
      <c r="AF1127" t="s">
        <v>22</v>
      </c>
      <c r="AG1127">
        <v>12.870000000000001</v>
      </c>
      <c r="AH1127">
        <v>3</v>
      </c>
      <c r="AI1127">
        <v>-1</v>
      </c>
      <c r="AJ1127" t="s">
        <v>3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</row>
    <row r="1128" spans="1:44" x14ac:dyDescent="0.2">
      <c r="A1128">
        <f>ROW(Source!A339)</f>
        <v>339</v>
      </c>
      <c r="B1128">
        <v>56617251</v>
      </c>
      <c r="C1128">
        <v>56617249</v>
      </c>
      <c r="D1128">
        <v>47766419</v>
      </c>
      <c r="E1128">
        <v>1</v>
      </c>
      <c r="F1128">
        <v>1</v>
      </c>
      <c r="G1128">
        <v>27786564</v>
      </c>
      <c r="H1128">
        <v>2</v>
      </c>
      <c r="I1128" t="s">
        <v>597</v>
      </c>
      <c r="J1128" t="s">
        <v>598</v>
      </c>
      <c r="K1128" t="s">
        <v>599</v>
      </c>
      <c r="L1128">
        <v>1368</v>
      </c>
      <c r="N1128">
        <v>1011</v>
      </c>
      <c r="O1128" t="s">
        <v>445</v>
      </c>
      <c r="P1128" t="s">
        <v>445</v>
      </c>
      <c r="Q1128">
        <v>1</v>
      </c>
      <c r="X1128">
        <v>1.26</v>
      </c>
      <c r="Y1128">
        <v>0</v>
      </c>
      <c r="Z1128">
        <v>120.32</v>
      </c>
      <c r="AA1128">
        <v>12.62</v>
      </c>
      <c r="AB1128">
        <v>0</v>
      </c>
      <c r="AC1128">
        <v>0</v>
      </c>
      <c r="AD1128">
        <v>1</v>
      </c>
      <c r="AE1128">
        <v>0</v>
      </c>
      <c r="AF1128" t="s">
        <v>22</v>
      </c>
      <c r="AG1128">
        <v>1.3860000000000001</v>
      </c>
      <c r="AH1128">
        <v>3</v>
      </c>
      <c r="AI1128">
        <v>-1</v>
      </c>
      <c r="AJ1128" t="s">
        <v>3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</row>
    <row r="1129" spans="1:44" x14ac:dyDescent="0.2">
      <c r="A1129">
        <f>ROW(Source!A339)</f>
        <v>339</v>
      </c>
      <c r="B1129">
        <v>56617252</v>
      </c>
      <c r="C1129">
        <v>56617249</v>
      </c>
      <c r="D1129">
        <v>47766620</v>
      </c>
      <c r="E1129">
        <v>1</v>
      </c>
      <c r="F1129">
        <v>1</v>
      </c>
      <c r="G1129">
        <v>27786564</v>
      </c>
      <c r="H1129">
        <v>2</v>
      </c>
      <c r="I1129" t="s">
        <v>591</v>
      </c>
      <c r="J1129" t="s">
        <v>592</v>
      </c>
      <c r="K1129" t="s">
        <v>593</v>
      </c>
      <c r="L1129">
        <v>1368</v>
      </c>
      <c r="N1129">
        <v>1011</v>
      </c>
      <c r="O1129" t="s">
        <v>445</v>
      </c>
      <c r="P1129" t="s">
        <v>445</v>
      </c>
      <c r="Q1129">
        <v>1</v>
      </c>
      <c r="X1129">
        <v>1.7</v>
      </c>
      <c r="Y1129">
        <v>0</v>
      </c>
      <c r="Z1129">
        <v>219.56</v>
      </c>
      <c r="AA1129">
        <v>18.62</v>
      </c>
      <c r="AB1129">
        <v>0</v>
      </c>
      <c r="AC1129">
        <v>0</v>
      </c>
      <c r="AD1129">
        <v>1</v>
      </c>
      <c r="AE1129">
        <v>0</v>
      </c>
      <c r="AF1129" t="s">
        <v>22</v>
      </c>
      <c r="AG1129">
        <v>1.87</v>
      </c>
      <c r="AH1129">
        <v>3</v>
      </c>
      <c r="AI1129">
        <v>-1</v>
      </c>
      <c r="AJ1129" t="s">
        <v>3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</row>
    <row r="1130" spans="1:44" x14ac:dyDescent="0.2">
      <c r="A1130">
        <f>ROW(Source!A339)</f>
        <v>339</v>
      </c>
      <c r="B1130">
        <v>56617253</v>
      </c>
      <c r="C1130">
        <v>56617249</v>
      </c>
      <c r="D1130">
        <v>47634960</v>
      </c>
      <c r="E1130">
        <v>27786564</v>
      </c>
      <c r="F1130">
        <v>1</v>
      </c>
      <c r="G1130">
        <v>27786564</v>
      </c>
      <c r="H1130">
        <v>2</v>
      </c>
      <c r="I1130" t="s">
        <v>449</v>
      </c>
      <c r="J1130" t="s">
        <v>3</v>
      </c>
      <c r="K1130" t="s">
        <v>450</v>
      </c>
      <c r="L1130">
        <v>1344</v>
      </c>
      <c r="N1130">
        <v>1008</v>
      </c>
      <c r="O1130" t="s">
        <v>451</v>
      </c>
      <c r="P1130" t="s">
        <v>451</v>
      </c>
      <c r="Q1130">
        <v>1</v>
      </c>
      <c r="X1130">
        <v>42.41</v>
      </c>
      <c r="Y1130">
        <v>0</v>
      </c>
      <c r="Z1130">
        <v>1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 t="s">
        <v>22</v>
      </c>
      <c r="AG1130">
        <v>46.651000000000003</v>
      </c>
      <c r="AH1130">
        <v>3</v>
      </c>
      <c r="AI1130">
        <v>-1</v>
      </c>
      <c r="AJ1130" t="s">
        <v>3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</row>
    <row r="1131" spans="1:44" x14ac:dyDescent="0.2">
      <c r="A1131">
        <f>ROW(Source!A340)</f>
        <v>340</v>
      </c>
      <c r="B1131">
        <v>56617255</v>
      </c>
      <c r="C1131">
        <v>56617254</v>
      </c>
      <c r="D1131">
        <v>47634960</v>
      </c>
      <c r="E1131">
        <v>27786564</v>
      </c>
      <c r="F1131">
        <v>1</v>
      </c>
      <c r="G1131">
        <v>27786564</v>
      </c>
      <c r="H1131">
        <v>2</v>
      </c>
      <c r="I1131" t="s">
        <v>449</v>
      </c>
      <c r="J1131" t="s">
        <v>3</v>
      </c>
      <c r="K1131" t="s">
        <v>450</v>
      </c>
      <c r="L1131">
        <v>1344</v>
      </c>
      <c r="N1131">
        <v>1008</v>
      </c>
      <c r="O1131" t="s">
        <v>451</v>
      </c>
      <c r="P1131" t="s">
        <v>451</v>
      </c>
      <c r="Q1131">
        <v>1</v>
      </c>
      <c r="X1131">
        <v>8.86</v>
      </c>
      <c r="Y1131">
        <v>0</v>
      </c>
      <c r="Z1131">
        <v>1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 t="s">
        <v>22</v>
      </c>
      <c r="AG1131">
        <v>9.7460000000000004</v>
      </c>
      <c r="AH1131">
        <v>3</v>
      </c>
      <c r="AI1131">
        <v>-1</v>
      </c>
      <c r="AJ1131" t="s">
        <v>3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</row>
    <row r="1132" spans="1:44" x14ac:dyDescent="0.2">
      <c r="A1132">
        <f>ROW(Source!A341)</f>
        <v>341</v>
      </c>
      <c r="B1132">
        <v>56617255</v>
      </c>
      <c r="C1132">
        <v>56617254</v>
      </c>
      <c r="D1132">
        <v>47634960</v>
      </c>
      <c r="E1132">
        <v>27786564</v>
      </c>
      <c r="F1132">
        <v>1</v>
      </c>
      <c r="G1132">
        <v>27786564</v>
      </c>
      <c r="H1132">
        <v>2</v>
      </c>
      <c r="I1132" t="s">
        <v>449</v>
      </c>
      <c r="J1132" t="s">
        <v>3</v>
      </c>
      <c r="K1132" t="s">
        <v>450</v>
      </c>
      <c r="L1132">
        <v>1344</v>
      </c>
      <c r="N1132">
        <v>1008</v>
      </c>
      <c r="O1132" t="s">
        <v>451</v>
      </c>
      <c r="P1132" t="s">
        <v>451</v>
      </c>
      <c r="Q1132">
        <v>1</v>
      </c>
      <c r="X1132">
        <v>8.86</v>
      </c>
      <c r="Y1132">
        <v>0</v>
      </c>
      <c r="Z1132">
        <v>1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 t="s">
        <v>22</v>
      </c>
      <c r="AG1132">
        <v>9.7460000000000004</v>
      </c>
      <c r="AH1132">
        <v>3</v>
      </c>
      <c r="AI1132">
        <v>-1</v>
      </c>
      <c r="AJ1132" t="s">
        <v>3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</row>
    <row r="1133" spans="1:44" x14ac:dyDescent="0.2">
      <c r="A1133">
        <f>ROW(Source!A342)</f>
        <v>342</v>
      </c>
      <c r="B1133">
        <v>56617258</v>
      </c>
      <c r="C1133">
        <v>56617256</v>
      </c>
      <c r="D1133">
        <v>47634407</v>
      </c>
      <c r="E1133">
        <v>27786564</v>
      </c>
      <c r="F1133">
        <v>1</v>
      </c>
      <c r="G1133">
        <v>27786564</v>
      </c>
      <c r="H1133">
        <v>1</v>
      </c>
      <c r="I1133" t="s">
        <v>439</v>
      </c>
      <c r="J1133" t="s">
        <v>3</v>
      </c>
      <c r="K1133" t="s">
        <v>440</v>
      </c>
      <c r="L1133">
        <v>1191</v>
      </c>
      <c r="N1133">
        <v>1013</v>
      </c>
      <c r="O1133" t="s">
        <v>441</v>
      </c>
      <c r="P1133" t="s">
        <v>441</v>
      </c>
      <c r="Q1133">
        <v>1</v>
      </c>
      <c r="X1133">
        <v>14.4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1</v>
      </c>
      <c r="AF1133" t="s">
        <v>22</v>
      </c>
      <c r="AG1133">
        <v>15.840000000000002</v>
      </c>
      <c r="AH1133">
        <v>3</v>
      </c>
      <c r="AI1133">
        <v>-1</v>
      </c>
      <c r="AJ1133" t="s">
        <v>3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</row>
    <row r="1134" spans="1:44" x14ac:dyDescent="0.2">
      <c r="A1134">
        <f>ROW(Source!A342)</f>
        <v>342</v>
      </c>
      <c r="B1134">
        <v>56617259</v>
      </c>
      <c r="C1134">
        <v>56617256</v>
      </c>
      <c r="D1134">
        <v>47766419</v>
      </c>
      <c r="E1134">
        <v>1</v>
      </c>
      <c r="F1134">
        <v>1</v>
      </c>
      <c r="G1134">
        <v>27786564</v>
      </c>
      <c r="H1134">
        <v>2</v>
      </c>
      <c r="I1134" t="s">
        <v>597</v>
      </c>
      <c r="J1134" t="s">
        <v>598</v>
      </c>
      <c r="K1134" t="s">
        <v>599</v>
      </c>
      <c r="L1134">
        <v>1368</v>
      </c>
      <c r="N1134">
        <v>1011</v>
      </c>
      <c r="O1134" t="s">
        <v>445</v>
      </c>
      <c r="P1134" t="s">
        <v>445</v>
      </c>
      <c r="Q1134">
        <v>1</v>
      </c>
      <c r="X1134">
        <v>1.66</v>
      </c>
      <c r="Y1134">
        <v>0</v>
      </c>
      <c r="Z1134">
        <v>120.32</v>
      </c>
      <c r="AA1134">
        <v>12.62</v>
      </c>
      <c r="AB1134">
        <v>0</v>
      </c>
      <c r="AC1134">
        <v>0</v>
      </c>
      <c r="AD1134">
        <v>1</v>
      </c>
      <c r="AE1134">
        <v>0</v>
      </c>
      <c r="AF1134" t="s">
        <v>22</v>
      </c>
      <c r="AG1134">
        <v>1.8260000000000001</v>
      </c>
      <c r="AH1134">
        <v>3</v>
      </c>
      <c r="AI1134">
        <v>-1</v>
      </c>
      <c r="AJ1134" t="s">
        <v>3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</row>
    <row r="1135" spans="1:44" x14ac:dyDescent="0.2">
      <c r="A1135">
        <f>ROW(Source!A342)</f>
        <v>342</v>
      </c>
      <c r="B1135">
        <v>56617260</v>
      </c>
      <c r="C1135">
        <v>56617256</v>
      </c>
      <c r="D1135">
        <v>47766660</v>
      </c>
      <c r="E1135">
        <v>1</v>
      </c>
      <c r="F1135">
        <v>1</v>
      </c>
      <c r="G1135">
        <v>27786564</v>
      </c>
      <c r="H1135">
        <v>2</v>
      </c>
      <c r="I1135" t="s">
        <v>600</v>
      </c>
      <c r="J1135" t="s">
        <v>601</v>
      </c>
      <c r="K1135" t="s">
        <v>602</v>
      </c>
      <c r="L1135">
        <v>1368</v>
      </c>
      <c r="N1135">
        <v>1011</v>
      </c>
      <c r="O1135" t="s">
        <v>445</v>
      </c>
      <c r="P1135" t="s">
        <v>445</v>
      </c>
      <c r="Q1135">
        <v>1</v>
      </c>
      <c r="X1135">
        <v>1.66</v>
      </c>
      <c r="Y1135">
        <v>0</v>
      </c>
      <c r="Z1135">
        <v>281.32</v>
      </c>
      <c r="AA1135">
        <v>16.93</v>
      </c>
      <c r="AB1135">
        <v>0</v>
      </c>
      <c r="AC1135">
        <v>0</v>
      </c>
      <c r="AD1135">
        <v>1</v>
      </c>
      <c r="AE1135">
        <v>0</v>
      </c>
      <c r="AF1135" t="s">
        <v>22</v>
      </c>
      <c r="AG1135">
        <v>1.8260000000000001</v>
      </c>
      <c r="AH1135">
        <v>3</v>
      </c>
      <c r="AI1135">
        <v>-1</v>
      </c>
      <c r="AJ1135" t="s">
        <v>3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</row>
    <row r="1136" spans="1:44" x14ac:dyDescent="0.2">
      <c r="A1136">
        <f>ROW(Source!A342)</f>
        <v>342</v>
      </c>
      <c r="B1136">
        <v>56617261</v>
      </c>
      <c r="C1136">
        <v>56617256</v>
      </c>
      <c r="D1136">
        <v>47766605</v>
      </c>
      <c r="E1136">
        <v>1</v>
      </c>
      <c r="F1136">
        <v>1</v>
      </c>
      <c r="G1136">
        <v>27786564</v>
      </c>
      <c r="H1136">
        <v>2</v>
      </c>
      <c r="I1136" t="s">
        <v>603</v>
      </c>
      <c r="J1136" t="s">
        <v>604</v>
      </c>
      <c r="K1136" t="s">
        <v>605</v>
      </c>
      <c r="L1136">
        <v>1368</v>
      </c>
      <c r="N1136">
        <v>1011</v>
      </c>
      <c r="O1136" t="s">
        <v>445</v>
      </c>
      <c r="P1136" t="s">
        <v>445</v>
      </c>
      <c r="Q1136">
        <v>1</v>
      </c>
      <c r="X1136">
        <v>0.65</v>
      </c>
      <c r="Y1136">
        <v>0</v>
      </c>
      <c r="Z1136">
        <v>140.38</v>
      </c>
      <c r="AA1136">
        <v>12.62</v>
      </c>
      <c r="AB1136">
        <v>0</v>
      </c>
      <c r="AC1136">
        <v>0</v>
      </c>
      <c r="AD1136">
        <v>1</v>
      </c>
      <c r="AE1136">
        <v>0</v>
      </c>
      <c r="AF1136" t="s">
        <v>22</v>
      </c>
      <c r="AG1136">
        <v>0.71500000000000008</v>
      </c>
      <c r="AH1136">
        <v>3</v>
      </c>
      <c r="AI1136">
        <v>-1</v>
      </c>
      <c r="AJ1136" t="s">
        <v>3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</row>
    <row r="1137" spans="1:44" x14ac:dyDescent="0.2">
      <c r="A1137">
        <f>ROW(Source!A342)</f>
        <v>342</v>
      </c>
      <c r="B1137">
        <v>56617262</v>
      </c>
      <c r="C1137">
        <v>56617256</v>
      </c>
      <c r="D1137">
        <v>47766620</v>
      </c>
      <c r="E1137">
        <v>1</v>
      </c>
      <c r="F1137">
        <v>1</v>
      </c>
      <c r="G1137">
        <v>27786564</v>
      </c>
      <c r="H1137">
        <v>2</v>
      </c>
      <c r="I1137" t="s">
        <v>591</v>
      </c>
      <c r="J1137" t="s">
        <v>592</v>
      </c>
      <c r="K1137" t="s">
        <v>593</v>
      </c>
      <c r="L1137">
        <v>1368</v>
      </c>
      <c r="N1137">
        <v>1011</v>
      </c>
      <c r="O1137" t="s">
        <v>445</v>
      </c>
      <c r="P1137" t="s">
        <v>445</v>
      </c>
      <c r="Q1137">
        <v>1</v>
      </c>
      <c r="X1137">
        <v>1.55</v>
      </c>
      <c r="Y1137">
        <v>0</v>
      </c>
      <c r="Z1137">
        <v>219.56</v>
      </c>
      <c r="AA1137">
        <v>18.62</v>
      </c>
      <c r="AB1137">
        <v>0</v>
      </c>
      <c r="AC1137">
        <v>0</v>
      </c>
      <c r="AD1137">
        <v>1</v>
      </c>
      <c r="AE1137">
        <v>0</v>
      </c>
      <c r="AF1137" t="s">
        <v>22</v>
      </c>
      <c r="AG1137">
        <v>1.7050000000000003</v>
      </c>
      <c r="AH1137">
        <v>3</v>
      </c>
      <c r="AI1137">
        <v>-1</v>
      </c>
      <c r="AJ1137" t="s">
        <v>3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</row>
    <row r="1138" spans="1:44" x14ac:dyDescent="0.2">
      <c r="A1138">
        <f>ROW(Source!A342)</f>
        <v>342</v>
      </c>
      <c r="B1138">
        <v>56617263</v>
      </c>
      <c r="C1138">
        <v>56617256</v>
      </c>
      <c r="D1138">
        <v>47766599</v>
      </c>
      <c r="E1138">
        <v>1</v>
      </c>
      <c r="F1138">
        <v>1</v>
      </c>
      <c r="G1138">
        <v>27786564</v>
      </c>
      <c r="H1138">
        <v>2</v>
      </c>
      <c r="I1138" t="s">
        <v>606</v>
      </c>
      <c r="J1138" t="s">
        <v>607</v>
      </c>
      <c r="K1138" t="s">
        <v>608</v>
      </c>
      <c r="L1138">
        <v>1368</v>
      </c>
      <c r="N1138">
        <v>1011</v>
      </c>
      <c r="O1138" t="s">
        <v>445</v>
      </c>
      <c r="P1138" t="s">
        <v>445</v>
      </c>
      <c r="Q1138">
        <v>1</v>
      </c>
      <c r="X1138">
        <v>0.52</v>
      </c>
      <c r="Y1138">
        <v>0</v>
      </c>
      <c r="Z1138">
        <v>180.35</v>
      </c>
      <c r="AA1138">
        <v>16.93</v>
      </c>
      <c r="AB1138">
        <v>0</v>
      </c>
      <c r="AC1138">
        <v>0</v>
      </c>
      <c r="AD1138">
        <v>1</v>
      </c>
      <c r="AE1138">
        <v>0</v>
      </c>
      <c r="AF1138" t="s">
        <v>22</v>
      </c>
      <c r="AG1138">
        <v>0.57200000000000006</v>
      </c>
      <c r="AH1138">
        <v>3</v>
      </c>
      <c r="AI1138">
        <v>-1</v>
      </c>
      <c r="AJ1138" t="s">
        <v>3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</row>
    <row r="1139" spans="1:44" x14ac:dyDescent="0.2">
      <c r="A1139">
        <f>ROW(Source!A342)</f>
        <v>342</v>
      </c>
      <c r="B1139">
        <v>56617264</v>
      </c>
      <c r="C1139">
        <v>56617256</v>
      </c>
      <c r="D1139">
        <v>30390465</v>
      </c>
      <c r="E1139">
        <v>1</v>
      </c>
      <c r="F1139">
        <v>1</v>
      </c>
      <c r="G1139">
        <v>27786564</v>
      </c>
      <c r="H1139">
        <v>3</v>
      </c>
      <c r="I1139" t="s">
        <v>609</v>
      </c>
      <c r="J1139" t="s">
        <v>610</v>
      </c>
      <c r="K1139" t="s">
        <v>611</v>
      </c>
      <c r="L1139">
        <v>1339</v>
      </c>
      <c r="N1139">
        <v>1007</v>
      </c>
      <c r="O1139" t="s">
        <v>93</v>
      </c>
      <c r="P1139" t="s">
        <v>93</v>
      </c>
      <c r="Q1139">
        <v>1</v>
      </c>
      <c r="X1139">
        <v>5</v>
      </c>
      <c r="Y1139">
        <v>7.07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 t="s">
        <v>3</v>
      </c>
      <c r="AG1139">
        <v>5</v>
      </c>
      <c r="AH1139">
        <v>3</v>
      </c>
      <c r="AI1139">
        <v>-1</v>
      </c>
      <c r="AJ1139" t="s">
        <v>3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</row>
    <row r="1140" spans="1:44" x14ac:dyDescent="0.2">
      <c r="A1140">
        <f>ROW(Source!A342)</f>
        <v>342</v>
      </c>
      <c r="B1140">
        <v>56617265</v>
      </c>
      <c r="C1140">
        <v>56617256</v>
      </c>
      <c r="D1140">
        <v>30384156</v>
      </c>
      <c r="E1140">
        <v>27786564</v>
      </c>
      <c r="F1140">
        <v>1</v>
      </c>
      <c r="G1140">
        <v>27786564</v>
      </c>
      <c r="H1140">
        <v>3</v>
      </c>
      <c r="I1140" t="s">
        <v>539</v>
      </c>
      <c r="J1140" t="s">
        <v>3</v>
      </c>
      <c r="K1140" t="s">
        <v>540</v>
      </c>
      <c r="L1140">
        <v>1339</v>
      </c>
      <c r="N1140">
        <v>1007</v>
      </c>
      <c r="O1140" t="s">
        <v>93</v>
      </c>
      <c r="P1140" t="s">
        <v>93</v>
      </c>
      <c r="Q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 t="s">
        <v>3</v>
      </c>
      <c r="AG1140">
        <v>0</v>
      </c>
      <c r="AH1140">
        <v>3</v>
      </c>
      <c r="AI1140">
        <v>-1</v>
      </c>
      <c r="AJ1140" t="s">
        <v>3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</row>
    <row r="1141" spans="1:44" x14ac:dyDescent="0.2">
      <c r="A1141">
        <f>ROW(Source!A343)</f>
        <v>343</v>
      </c>
      <c r="B1141">
        <v>56617258</v>
      </c>
      <c r="C1141">
        <v>56617256</v>
      </c>
      <c r="D1141">
        <v>47634407</v>
      </c>
      <c r="E1141">
        <v>27786564</v>
      </c>
      <c r="F1141">
        <v>1</v>
      </c>
      <c r="G1141">
        <v>27786564</v>
      </c>
      <c r="H1141">
        <v>1</v>
      </c>
      <c r="I1141" t="s">
        <v>439</v>
      </c>
      <c r="J1141" t="s">
        <v>3</v>
      </c>
      <c r="K1141" t="s">
        <v>440</v>
      </c>
      <c r="L1141">
        <v>1191</v>
      </c>
      <c r="N1141">
        <v>1013</v>
      </c>
      <c r="O1141" t="s">
        <v>441</v>
      </c>
      <c r="P1141" t="s">
        <v>441</v>
      </c>
      <c r="Q1141">
        <v>1</v>
      </c>
      <c r="X1141">
        <v>14.4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1</v>
      </c>
      <c r="AF1141" t="s">
        <v>22</v>
      </c>
      <c r="AG1141">
        <v>15.840000000000002</v>
      </c>
      <c r="AH1141">
        <v>3</v>
      </c>
      <c r="AI1141">
        <v>-1</v>
      </c>
      <c r="AJ1141" t="s">
        <v>3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</row>
    <row r="1142" spans="1:44" x14ac:dyDescent="0.2">
      <c r="A1142">
        <f>ROW(Source!A343)</f>
        <v>343</v>
      </c>
      <c r="B1142">
        <v>56617259</v>
      </c>
      <c r="C1142">
        <v>56617256</v>
      </c>
      <c r="D1142">
        <v>47766419</v>
      </c>
      <c r="E1142">
        <v>1</v>
      </c>
      <c r="F1142">
        <v>1</v>
      </c>
      <c r="G1142">
        <v>27786564</v>
      </c>
      <c r="H1142">
        <v>2</v>
      </c>
      <c r="I1142" t="s">
        <v>597</v>
      </c>
      <c r="J1142" t="s">
        <v>598</v>
      </c>
      <c r="K1142" t="s">
        <v>599</v>
      </c>
      <c r="L1142">
        <v>1368</v>
      </c>
      <c r="N1142">
        <v>1011</v>
      </c>
      <c r="O1142" t="s">
        <v>445</v>
      </c>
      <c r="P1142" t="s">
        <v>445</v>
      </c>
      <c r="Q1142">
        <v>1</v>
      </c>
      <c r="X1142">
        <v>1.66</v>
      </c>
      <c r="Y1142">
        <v>0</v>
      </c>
      <c r="Z1142">
        <v>120.32</v>
      </c>
      <c r="AA1142">
        <v>12.62</v>
      </c>
      <c r="AB1142">
        <v>0</v>
      </c>
      <c r="AC1142">
        <v>0</v>
      </c>
      <c r="AD1142">
        <v>1</v>
      </c>
      <c r="AE1142">
        <v>0</v>
      </c>
      <c r="AF1142" t="s">
        <v>22</v>
      </c>
      <c r="AG1142">
        <v>1.8260000000000001</v>
      </c>
      <c r="AH1142">
        <v>3</v>
      </c>
      <c r="AI1142">
        <v>-1</v>
      </c>
      <c r="AJ1142" t="s">
        <v>3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</row>
    <row r="1143" spans="1:44" x14ac:dyDescent="0.2">
      <c r="A1143">
        <f>ROW(Source!A343)</f>
        <v>343</v>
      </c>
      <c r="B1143">
        <v>56617260</v>
      </c>
      <c r="C1143">
        <v>56617256</v>
      </c>
      <c r="D1143">
        <v>47766660</v>
      </c>
      <c r="E1143">
        <v>1</v>
      </c>
      <c r="F1143">
        <v>1</v>
      </c>
      <c r="G1143">
        <v>27786564</v>
      </c>
      <c r="H1143">
        <v>2</v>
      </c>
      <c r="I1143" t="s">
        <v>600</v>
      </c>
      <c r="J1143" t="s">
        <v>601</v>
      </c>
      <c r="K1143" t="s">
        <v>602</v>
      </c>
      <c r="L1143">
        <v>1368</v>
      </c>
      <c r="N1143">
        <v>1011</v>
      </c>
      <c r="O1143" t="s">
        <v>445</v>
      </c>
      <c r="P1143" t="s">
        <v>445</v>
      </c>
      <c r="Q1143">
        <v>1</v>
      </c>
      <c r="X1143">
        <v>1.66</v>
      </c>
      <c r="Y1143">
        <v>0</v>
      </c>
      <c r="Z1143">
        <v>281.32</v>
      </c>
      <c r="AA1143">
        <v>16.93</v>
      </c>
      <c r="AB1143">
        <v>0</v>
      </c>
      <c r="AC1143">
        <v>0</v>
      </c>
      <c r="AD1143">
        <v>1</v>
      </c>
      <c r="AE1143">
        <v>0</v>
      </c>
      <c r="AF1143" t="s">
        <v>22</v>
      </c>
      <c r="AG1143">
        <v>1.8260000000000001</v>
      </c>
      <c r="AH1143">
        <v>3</v>
      </c>
      <c r="AI1143">
        <v>-1</v>
      </c>
      <c r="AJ1143" t="s">
        <v>3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</row>
    <row r="1144" spans="1:44" x14ac:dyDescent="0.2">
      <c r="A1144">
        <f>ROW(Source!A343)</f>
        <v>343</v>
      </c>
      <c r="B1144">
        <v>56617261</v>
      </c>
      <c r="C1144">
        <v>56617256</v>
      </c>
      <c r="D1144">
        <v>47766605</v>
      </c>
      <c r="E1144">
        <v>1</v>
      </c>
      <c r="F1144">
        <v>1</v>
      </c>
      <c r="G1144">
        <v>27786564</v>
      </c>
      <c r="H1144">
        <v>2</v>
      </c>
      <c r="I1144" t="s">
        <v>603</v>
      </c>
      <c r="J1144" t="s">
        <v>604</v>
      </c>
      <c r="K1144" t="s">
        <v>605</v>
      </c>
      <c r="L1144">
        <v>1368</v>
      </c>
      <c r="N1144">
        <v>1011</v>
      </c>
      <c r="O1144" t="s">
        <v>445</v>
      </c>
      <c r="P1144" t="s">
        <v>445</v>
      </c>
      <c r="Q1144">
        <v>1</v>
      </c>
      <c r="X1144">
        <v>0.65</v>
      </c>
      <c r="Y1144">
        <v>0</v>
      </c>
      <c r="Z1144">
        <v>140.38</v>
      </c>
      <c r="AA1144">
        <v>12.62</v>
      </c>
      <c r="AB1144">
        <v>0</v>
      </c>
      <c r="AC1144">
        <v>0</v>
      </c>
      <c r="AD1144">
        <v>1</v>
      </c>
      <c r="AE1144">
        <v>0</v>
      </c>
      <c r="AF1144" t="s">
        <v>22</v>
      </c>
      <c r="AG1144">
        <v>0.71500000000000008</v>
      </c>
      <c r="AH1144">
        <v>3</v>
      </c>
      <c r="AI1144">
        <v>-1</v>
      </c>
      <c r="AJ1144" t="s">
        <v>3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</row>
    <row r="1145" spans="1:44" x14ac:dyDescent="0.2">
      <c r="A1145">
        <f>ROW(Source!A343)</f>
        <v>343</v>
      </c>
      <c r="B1145">
        <v>56617262</v>
      </c>
      <c r="C1145">
        <v>56617256</v>
      </c>
      <c r="D1145">
        <v>47766620</v>
      </c>
      <c r="E1145">
        <v>1</v>
      </c>
      <c r="F1145">
        <v>1</v>
      </c>
      <c r="G1145">
        <v>27786564</v>
      </c>
      <c r="H1145">
        <v>2</v>
      </c>
      <c r="I1145" t="s">
        <v>591</v>
      </c>
      <c r="J1145" t="s">
        <v>592</v>
      </c>
      <c r="K1145" t="s">
        <v>593</v>
      </c>
      <c r="L1145">
        <v>1368</v>
      </c>
      <c r="N1145">
        <v>1011</v>
      </c>
      <c r="O1145" t="s">
        <v>445</v>
      </c>
      <c r="P1145" t="s">
        <v>445</v>
      </c>
      <c r="Q1145">
        <v>1</v>
      </c>
      <c r="X1145">
        <v>1.55</v>
      </c>
      <c r="Y1145">
        <v>0</v>
      </c>
      <c r="Z1145">
        <v>219.56</v>
      </c>
      <c r="AA1145">
        <v>18.62</v>
      </c>
      <c r="AB1145">
        <v>0</v>
      </c>
      <c r="AC1145">
        <v>0</v>
      </c>
      <c r="AD1145">
        <v>1</v>
      </c>
      <c r="AE1145">
        <v>0</v>
      </c>
      <c r="AF1145" t="s">
        <v>22</v>
      </c>
      <c r="AG1145">
        <v>1.7050000000000003</v>
      </c>
      <c r="AH1145">
        <v>3</v>
      </c>
      <c r="AI1145">
        <v>-1</v>
      </c>
      <c r="AJ1145" t="s">
        <v>3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</row>
    <row r="1146" spans="1:44" x14ac:dyDescent="0.2">
      <c r="A1146">
        <f>ROW(Source!A343)</f>
        <v>343</v>
      </c>
      <c r="B1146">
        <v>56617263</v>
      </c>
      <c r="C1146">
        <v>56617256</v>
      </c>
      <c r="D1146">
        <v>47766599</v>
      </c>
      <c r="E1146">
        <v>1</v>
      </c>
      <c r="F1146">
        <v>1</v>
      </c>
      <c r="G1146">
        <v>27786564</v>
      </c>
      <c r="H1146">
        <v>2</v>
      </c>
      <c r="I1146" t="s">
        <v>606</v>
      </c>
      <c r="J1146" t="s">
        <v>607</v>
      </c>
      <c r="K1146" t="s">
        <v>608</v>
      </c>
      <c r="L1146">
        <v>1368</v>
      </c>
      <c r="N1146">
        <v>1011</v>
      </c>
      <c r="O1146" t="s">
        <v>445</v>
      </c>
      <c r="P1146" t="s">
        <v>445</v>
      </c>
      <c r="Q1146">
        <v>1</v>
      </c>
      <c r="X1146">
        <v>0.52</v>
      </c>
      <c r="Y1146">
        <v>0</v>
      </c>
      <c r="Z1146">
        <v>180.35</v>
      </c>
      <c r="AA1146">
        <v>16.93</v>
      </c>
      <c r="AB1146">
        <v>0</v>
      </c>
      <c r="AC1146">
        <v>0</v>
      </c>
      <c r="AD1146">
        <v>1</v>
      </c>
      <c r="AE1146">
        <v>0</v>
      </c>
      <c r="AF1146" t="s">
        <v>22</v>
      </c>
      <c r="AG1146">
        <v>0.57200000000000006</v>
      </c>
      <c r="AH1146">
        <v>3</v>
      </c>
      <c r="AI1146">
        <v>-1</v>
      </c>
      <c r="AJ1146" t="s">
        <v>3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</row>
    <row r="1147" spans="1:44" x14ac:dyDescent="0.2">
      <c r="A1147">
        <f>ROW(Source!A343)</f>
        <v>343</v>
      </c>
      <c r="B1147">
        <v>56617264</v>
      </c>
      <c r="C1147">
        <v>56617256</v>
      </c>
      <c r="D1147">
        <v>30390465</v>
      </c>
      <c r="E1147">
        <v>1</v>
      </c>
      <c r="F1147">
        <v>1</v>
      </c>
      <c r="G1147">
        <v>27786564</v>
      </c>
      <c r="H1147">
        <v>3</v>
      </c>
      <c r="I1147" t="s">
        <v>609</v>
      </c>
      <c r="J1147" t="s">
        <v>610</v>
      </c>
      <c r="K1147" t="s">
        <v>611</v>
      </c>
      <c r="L1147">
        <v>1339</v>
      </c>
      <c r="N1147">
        <v>1007</v>
      </c>
      <c r="O1147" t="s">
        <v>93</v>
      </c>
      <c r="P1147" t="s">
        <v>93</v>
      </c>
      <c r="Q1147">
        <v>1</v>
      </c>
      <c r="X1147">
        <v>5</v>
      </c>
      <c r="Y1147">
        <v>7.07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 t="s">
        <v>3</v>
      </c>
      <c r="AG1147">
        <v>5</v>
      </c>
      <c r="AH1147">
        <v>3</v>
      </c>
      <c r="AI1147">
        <v>-1</v>
      </c>
      <c r="AJ1147" t="s">
        <v>3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</row>
    <row r="1148" spans="1:44" x14ac:dyDescent="0.2">
      <c r="A1148">
        <f>ROW(Source!A343)</f>
        <v>343</v>
      </c>
      <c r="B1148">
        <v>56617265</v>
      </c>
      <c r="C1148">
        <v>56617256</v>
      </c>
      <c r="D1148">
        <v>30384156</v>
      </c>
      <c r="E1148">
        <v>27786564</v>
      </c>
      <c r="F1148">
        <v>1</v>
      </c>
      <c r="G1148">
        <v>27786564</v>
      </c>
      <c r="H1148">
        <v>3</v>
      </c>
      <c r="I1148" t="s">
        <v>539</v>
      </c>
      <c r="J1148" t="s">
        <v>3</v>
      </c>
      <c r="K1148" t="s">
        <v>540</v>
      </c>
      <c r="L1148">
        <v>1339</v>
      </c>
      <c r="N1148">
        <v>1007</v>
      </c>
      <c r="O1148" t="s">
        <v>93</v>
      </c>
      <c r="P1148" t="s">
        <v>93</v>
      </c>
      <c r="Q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 t="s">
        <v>3</v>
      </c>
      <c r="AG1148">
        <v>0</v>
      </c>
      <c r="AH1148">
        <v>3</v>
      </c>
      <c r="AI1148">
        <v>-1</v>
      </c>
      <c r="AJ1148" t="s">
        <v>3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</row>
    <row r="1149" spans="1:44" x14ac:dyDescent="0.2">
      <c r="A1149">
        <f>ROW(Source!A346)</f>
        <v>346</v>
      </c>
      <c r="B1149">
        <v>56617269</v>
      </c>
      <c r="C1149">
        <v>56617267</v>
      </c>
      <c r="D1149">
        <v>47634407</v>
      </c>
      <c r="E1149">
        <v>27786564</v>
      </c>
      <c r="F1149">
        <v>1</v>
      </c>
      <c r="G1149">
        <v>27786564</v>
      </c>
      <c r="H1149">
        <v>1</v>
      </c>
      <c r="I1149" t="s">
        <v>439</v>
      </c>
      <c r="J1149" t="s">
        <v>3</v>
      </c>
      <c r="K1149" t="s">
        <v>440</v>
      </c>
      <c r="L1149">
        <v>1191</v>
      </c>
      <c r="N1149">
        <v>1013</v>
      </c>
      <c r="O1149" t="s">
        <v>441</v>
      </c>
      <c r="P1149" t="s">
        <v>441</v>
      </c>
      <c r="Q1149">
        <v>1</v>
      </c>
      <c r="X1149">
        <v>24.3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  <c r="AE1149">
        <v>1</v>
      </c>
      <c r="AF1149" t="s">
        <v>22</v>
      </c>
      <c r="AG1149">
        <v>26.730000000000004</v>
      </c>
      <c r="AH1149">
        <v>3</v>
      </c>
      <c r="AI1149">
        <v>-1</v>
      </c>
      <c r="AJ1149" t="s">
        <v>3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</row>
    <row r="1150" spans="1:44" x14ac:dyDescent="0.2">
      <c r="A1150">
        <f>ROW(Source!A346)</f>
        <v>346</v>
      </c>
      <c r="B1150">
        <v>56617270</v>
      </c>
      <c r="C1150">
        <v>56617267</v>
      </c>
      <c r="D1150">
        <v>47766605</v>
      </c>
      <c r="E1150">
        <v>1</v>
      </c>
      <c r="F1150">
        <v>1</v>
      </c>
      <c r="G1150">
        <v>27786564</v>
      </c>
      <c r="H1150">
        <v>2</v>
      </c>
      <c r="I1150" t="s">
        <v>603</v>
      </c>
      <c r="J1150" t="s">
        <v>604</v>
      </c>
      <c r="K1150" t="s">
        <v>605</v>
      </c>
      <c r="L1150">
        <v>1368</v>
      </c>
      <c r="N1150">
        <v>1011</v>
      </c>
      <c r="O1150" t="s">
        <v>445</v>
      </c>
      <c r="P1150" t="s">
        <v>445</v>
      </c>
      <c r="Q1150">
        <v>1</v>
      </c>
      <c r="X1150">
        <v>0.47</v>
      </c>
      <c r="Y1150">
        <v>0</v>
      </c>
      <c r="Z1150">
        <v>140.38</v>
      </c>
      <c r="AA1150">
        <v>12.62</v>
      </c>
      <c r="AB1150">
        <v>0</v>
      </c>
      <c r="AC1150">
        <v>0</v>
      </c>
      <c r="AD1150">
        <v>1</v>
      </c>
      <c r="AE1150">
        <v>0</v>
      </c>
      <c r="AF1150" t="s">
        <v>22</v>
      </c>
      <c r="AG1150">
        <v>0.51700000000000002</v>
      </c>
      <c r="AH1150">
        <v>3</v>
      </c>
      <c r="AI1150">
        <v>-1</v>
      </c>
      <c r="AJ1150" t="s">
        <v>3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</row>
    <row r="1151" spans="1:44" x14ac:dyDescent="0.2">
      <c r="A1151">
        <f>ROW(Source!A346)</f>
        <v>346</v>
      </c>
      <c r="B1151">
        <v>56617271</v>
      </c>
      <c r="C1151">
        <v>56617267</v>
      </c>
      <c r="D1151">
        <v>47766595</v>
      </c>
      <c r="E1151">
        <v>1</v>
      </c>
      <c r="F1151">
        <v>1</v>
      </c>
      <c r="G1151">
        <v>27786564</v>
      </c>
      <c r="H1151">
        <v>2</v>
      </c>
      <c r="I1151" t="s">
        <v>638</v>
      </c>
      <c r="J1151" t="s">
        <v>639</v>
      </c>
      <c r="K1151" t="s">
        <v>640</v>
      </c>
      <c r="L1151">
        <v>1368</v>
      </c>
      <c r="N1151">
        <v>1011</v>
      </c>
      <c r="O1151" t="s">
        <v>445</v>
      </c>
      <c r="P1151" t="s">
        <v>445</v>
      </c>
      <c r="Q1151">
        <v>1</v>
      </c>
      <c r="X1151">
        <v>1.3</v>
      </c>
      <c r="Y1151">
        <v>0</v>
      </c>
      <c r="Z1151">
        <v>163.81</v>
      </c>
      <c r="AA1151">
        <v>14.54</v>
      </c>
      <c r="AB1151">
        <v>0</v>
      </c>
      <c r="AC1151">
        <v>0</v>
      </c>
      <c r="AD1151">
        <v>1</v>
      </c>
      <c r="AE1151">
        <v>0</v>
      </c>
      <c r="AF1151" t="s">
        <v>22</v>
      </c>
      <c r="AG1151">
        <v>1.4300000000000002</v>
      </c>
      <c r="AH1151">
        <v>3</v>
      </c>
      <c r="AI1151">
        <v>-1</v>
      </c>
      <c r="AJ1151" t="s">
        <v>3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</row>
    <row r="1152" spans="1:44" x14ac:dyDescent="0.2">
      <c r="A1152">
        <f>ROW(Source!A346)</f>
        <v>346</v>
      </c>
      <c r="B1152">
        <v>56617272</v>
      </c>
      <c r="C1152">
        <v>56617267</v>
      </c>
      <c r="D1152">
        <v>30390465</v>
      </c>
      <c r="E1152">
        <v>1</v>
      </c>
      <c r="F1152">
        <v>1</v>
      </c>
      <c r="G1152">
        <v>27786564</v>
      </c>
      <c r="H1152">
        <v>3</v>
      </c>
      <c r="I1152" t="s">
        <v>609</v>
      </c>
      <c r="J1152" t="s">
        <v>610</v>
      </c>
      <c r="K1152" t="s">
        <v>611</v>
      </c>
      <c r="L1152">
        <v>1339</v>
      </c>
      <c r="N1152">
        <v>1007</v>
      </c>
      <c r="O1152" t="s">
        <v>93</v>
      </c>
      <c r="P1152" t="s">
        <v>93</v>
      </c>
      <c r="Q1152">
        <v>1</v>
      </c>
      <c r="X1152">
        <v>2</v>
      </c>
      <c r="Y1152">
        <v>7.07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 t="s">
        <v>3</v>
      </c>
      <c r="AG1152">
        <v>2</v>
      </c>
      <c r="AH1152">
        <v>3</v>
      </c>
      <c r="AI1152">
        <v>-1</v>
      </c>
      <c r="AJ1152" t="s">
        <v>3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</row>
    <row r="1153" spans="1:44" x14ac:dyDescent="0.2">
      <c r="A1153">
        <f>ROW(Source!A346)</f>
        <v>346</v>
      </c>
      <c r="B1153">
        <v>56617273</v>
      </c>
      <c r="C1153">
        <v>56617267</v>
      </c>
      <c r="D1153">
        <v>30384194</v>
      </c>
      <c r="E1153">
        <v>27786564</v>
      </c>
      <c r="F1153">
        <v>1</v>
      </c>
      <c r="G1153">
        <v>27786564</v>
      </c>
      <c r="H1153">
        <v>3</v>
      </c>
      <c r="I1153" t="s">
        <v>652</v>
      </c>
      <c r="J1153" t="s">
        <v>3</v>
      </c>
      <c r="K1153" t="s">
        <v>653</v>
      </c>
      <c r="L1153">
        <v>1339</v>
      </c>
      <c r="N1153">
        <v>1007</v>
      </c>
      <c r="O1153" t="s">
        <v>93</v>
      </c>
      <c r="P1153" t="s">
        <v>93</v>
      </c>
      <c r="Q1153">
        <v>1</v>
      </c>
      <c r="X1153">
        <v>17.399999999999999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3</v>
      </c>
      <c r="AG1153">
        <v>17.399999999999999</v>
      </c>
      <c r="AH1153">
        <v>3</v>
      </c>
      <c r="AI1153">
        <v>-1</v>
      </c>
      <c r="AJ1153" t="s">
        <v>3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</row>
    <row r="1154" spans="1:44" x14ac:dyDescent="0.2">
      <c r="A1154">
        <f>ROW(Source!A347)</f>
        <v>347</v>
      </c>
      <c r="B1154">
        <v>56617269</v>
      </c>
      <c r="C1154">
        <v>56617267</v>
      </c>
      <c r="D1154">
        <v>47634407</v>
      </c>
      <c r="E1154">
        <v>27786564</v>
      </c>
      <c r="F1154">
        <v>1</v>
      </c>
      <c r="G1154">
        <v>27786564</v>
      </c>
      <c r="H1154">
        <v>1</v>
      </c>
      <c r="I1154" t="s">
        <v>439</v>
      </c>
      <c r="J1154" t="s">
        <v>3</v>
      </c>
      <c r="K1154" t="s">
        <v>440</v>
      </c>
      <c r="L1154">
        <v>1191</v>
      </c>
      <c r="N1154">
        <v>1013</v>
      </c>
      <c r="O1154" t="s">
        <v>441</v>
      </c>
      <c r="P1154" t="s">
        <v>441</v>
      </c>
      <c r="Q1154">
        <v>1</v>
      </c>
      <c r="X1154">
        <v>24.3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1</v>
      </c>
      <c r="AF1154" t="s">
        <v>22</v>
      </c>
      <c r="AG1154">
        <v>26.730000000000004</v>
      </c>
      <c r="AH1154">
        <v>3</v>
      </c>
      <c r="AI1154">
        <v>-1</v>
      </c>
      <c r="AJ1154" t="s">
        <v>3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</row>
    <row r="1155" spans="1:44" x14ac:dyDescent="0.2">
      <c r="A1155">
        <f>ROW(Source!A347)</f>
        <v>347</v>
      </c>
      <c r="B1155">
        <v>56617270</v>
      </c>
      <c r="C1155">
        <v>56617267</v>
      </c>
      <c r="D1155">
        <v>47766605</v>
      </c>
      <c r="E1155">
        <v>1</v>
      </c>
      <c r="F1155">
        <v>1</v>
      </c>
      <c r="G1155">
        <v>27786564</v>
      </c>
      <c r="H1155">
        <v>2</v>
      </c>
      <c r="I1155" t="s">
        <v>603</v>
      </c>
      <c r="J1155" t="s">
        <v>604</v>
      </c>
      <c r="K1155" t="s">
        <v>605</v>
      </c>
      <c r="L1155">
        <v>1368</v>
      </c>
      <c r="N1155">
        <v>1011</v>
      </c>
      <c r="O1155" t="s">
        <v>445</v>
      </c>
      <c r="P1155" t="s">
        <v>445</v>
      </c>
      <c r="Q1155">
        <v>1</v>
      </c>
      <c r="X1155">
        <v>0.47</v>
      </c>
      <c r="Y1155">
        <v>0</v>
      </c>
      <c r="Z1155">
        <v>140.38</v>
      </c>
      <c r="AA1155">
        <v>12.62</v>
      </c>
      <c r="AB1155">
        <v>0</v>
      </c>
      <c r="AC1155">
        <v>0</v>
      </c>
      <c r="AD1155">
        <v>1</v>
      </c>
      <c r="AE1155">
        <v>0</v>
      </c>
      <c r="AF1155" t="s">
        <v>22</v>
      </c>
      <c r="AG1155">
        <v>0.51700000000000002</v>
      </c>
      <c r="AH1155">
        <v>3</v>
      </c>
      <c r="AI1155">
        <v>-1</v>
      </c>
      <c r="AJ1155" t="s">
        <v>3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</row>
    <row r="1156" spans="1:44" x14ac:dyDescent="0.2">
      <c r="A1156">
        <f>ROW(Source!A347)</f>
        <v>347</v>
      </c>
      <c r="B1156">
        <v>56617271</v>
      </c>
      <c r="C1156">
        <v>56617267</v>
      </c>
      <c r="D1156">
        <v>47766595</v>
      </c>
      <c r="E1156">
        <v>1</v>
      </c>
      <c r="F1156">
        <v>1</v>
      </c>
      <c r="G1156">
        <v>27786564</v>
      </c>
      <c r="H1156">
        <v>2</v>
      </c>
      <c r="I1156" t="s">
        <v>638</v>
      </c>
      <c r="J1156" t="s">
        <v>639</v>
      </c>
      <c r="K1156" t="s">
        <v>640</v>
      </c>
      <c r="L1156">
        <v>1368</v>
      </c>
      <c r="N1156">
        <v>1011</v>
      </c>
      <c r="O1156" t="s">
        <v>445</v>
      </c>
      <c r="P1156" t="s">
        <v>445</v>
      </c>
      <c r="Q1156">
        <v>1</v>
      </c>
      <c r="X1156">
        <v>1.3</v>
      </c>
      <c r="Y1156">
        <v>0</v>
      </c>
      <c r="Z1156">
        <v>163.81</v>
      </c>
      <c r="AA1156">
        <v>14.54</v>
      </c>
      <c r="AB1156">
        <v>0</v>
      </c>
      <c r="AC1156">
        <v>0</v>
      </c>
      <c r="AD1156">
        <v>1</v>
      </c>
      <c r="AE1156">
        <v>0</v>
      </c>
      <c r="AF1156" t="s">
        <v>22</v>
      </c>
      <c r="AG1156">
        <v>1.4300000000000002</v>
      </c>
      <c r="AH1156">
        <v>3</v>
      </c>
      <c r="AI1156">
        <v>-1</v>
      </c>
      <c r="AJ1156" t="s">
        <v>3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</row>
    <row r="1157" spans="1:44" x14ac:dyDescent="0.2">
      <c r="A1157">
        <f>ROW(Source!A347)</f>
        <v>347</v>
      </c>
      <c r="B1157">
        <v>56617272</v>
      </c>
      <c r="C1157">
        <v>56617267</v>
      </c>
      <c r="D1157">
        <v>30390465</v>
      </c>
      <c r="E1157">
        <v>1</v>
      </c>
      <c r="F1157">
        <v>1</v>
      </c>
      <c r="G1157">
        <v>27786564</v>
      </c>
      <c r="H1157">
        <v>3</v>
      </c>
      <c r="I1157" t="s">
        <v>609</v>
      </c>
      <c r="J1157" t="s">
        <v>610</v>
      </c>
      <c r="K1157" t="s">
        <v>611</v>
      </c>
      <c r="L1157">
        <v>1339</v>
      </c>
      <c r="N1157">
        <v>1007</v>
      </c>
      <c r="O1157" t="s">
        <v>93</v>
      </c>
      <c r="P1157" t="s">
        <v>93</v>
      </c>
      <c r="Q1157">
        <v>1</v>
      </c>
      <c r="X1157">
        <v>2</v>
      </c>
      <c r="Y1157">
        <v>7.07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 t="s">
        <v>3</v>
      </c>
      <c r="AG1157">
        <v>2</v>
      </c>
      <c r="AH1157">
        <v>3</v>
      </c>
      <c r="AI1157">
        <v>-1</v>
      </c>
      <c r="AJ1157" t="s">
        <v>3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</row>
    <row r="1158" spans="1:44" x14ac:dyDescent="0.2">
      <c r="A1158">
        <f>ROW(Source!A347)</f>
        <v>347</v>
      </c>
      <c r="B1158">
        <v>56617273</v>
      </c>
      <c r="C1158">
        <v>56617267</v>
      </c>
      <c r="D1158">
        <v>30384194</v>
      </c>
      <c r="E1158">
        <v>27786564</v>
      </c>
      <c r="F1158">
        <v>1</v>
      </c>
      <c r="G1158">
        <v>27786564</v>
      </c>
      <c r="H1158">
        <v>3</v>
      </c>
      <c r="I1158" t="s">
        <v>652</v>
      </c>
      <c r="J1158" t="s">
        <v>3</v>
      </c>
      <c r="K1158" t="s">
        <v>653</v>
      </c>
      <c r="L1158">
        <v>1339</v>
      </c>
      <c r="N1158">
        <v>1007</v>
      </c>
      <c r="O1158" t="s">
        <v>93</v>
      </c>
      <c r="P1158" t="s">
        <v>93</v>
      </c>
      <c r="Q1158">
        <v>1</v>
      </c>
      <c r="X1158">
        <v>17.399999999999999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 t="s">
        <v>3</v>
      </c>
      <c r="AG1158">
        <v>17.399999999999999</v>
      </c>
      <c r="AH1158">
        <v>3</v>
      </c>
      <c r="AI1158">
        <v>-1</v>
      </c>
      <c r="AJ1158" t="s">
        <v>3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</row>
    <row r="1159" spans="1:44" x14ac:dyDescent="0.2">
      <c r="A1159">
        <f>ROW(Source!A350)</f>
        <v>350</v>
      </c>
      <c r="B1159">
        <v>56617277</v>
      </c>
      <c r="C1159">
        <v>56617275</v>
      </c>
      <c r="D1159">
        <v>47634407</v>
      </c>
      <c r="E1159">
        <v>27786564</v>
      </c>
      <c r="F1159">
        <v>1</v>
      </c>
      <c r="G1159">
        <v>27786564</v>
      </c>
      <c r="H1159">
        <v>1</v>
      </c>
      <c r="I1159" t="s">
        <v>439</v>
      </c>
      <c r="J1159" t="s">
        <v>3</v>
      </c>
      <c r="K1159" t="s">
        <v>440</v>
      </c>
      <c r="L1159">
        <v>1191</v>
      </c>
      <c r="N1159">
        <v>1013</v>
      </c>
      <c r="O1159" t="s">
        <v>441</v>
      </c>
      <c r="P1159" t="s">
        <v>441</v>
      </c>
      <c r="Q1159">
        <v>1</v>
      </c>
      <c r="X1159">
        <v>8.9600000000000009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  <c r="AE1159">
        <v>1</v>
      </c>
      <c r="AF1159" t="s">
        <v>22</v>
      </c>
      <c r="AG1159">
        <v>9.8560000000000016</v>
      </c>
      <c r="AH1159">
        <v>3</v>
      </c>
      <c r="AI1159">
        <v>-1</v>
      </c>
      <c r="AJ1159" t="s">
        <v>3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</row>
    <row r="1160" spans="1:44" x14ac:dyDescent="0.2">
      <c r="A1160">
        <f>ROW(Source!A350)</f>
        <v>350</v>
      </c>
      <c r="B1160">
        <v>56617278</v>
      </c>
      <c r="C1160">
        <v>56617275</v>
      </c>
      <c r="D1160">
        <v>47766595</v>
      </c>
      <c r="E1160">
        <v>1</v>
      </c>
      <c r="F1160">
        <v>1</v>
      </c>
      <c r="G1160">
        <v>27786564</v>
      </c>
      <c r="H1160">
        <v>2</v>
      </c>
      <c r="I1160" t="s">
        <v>638</v>
      </c>
      <c r="J1160" t="s">
        <v>639</v>
      </c>
      <c r="K1160" t="s">
        <v>640</v>
      </c>
      <c r="L1160">
        <v>1368</v>
      </c>
      <c r="N1160">
        <v>1011</v>
      </c>
      <c r="O1160" t="s">
        <v>445</v>
      </c>
      <c r="P1160" t="s">
        <v>445</v>
      </c>
      <c r="Q1160">
        <v>1</v>
      </c>
      <c r="X1160">
        <v>0.71</v>
      </c>
      <c r="Y1160">
        <v>0</v>
      </c>
      <c r="Z1160">
        <v>163.81</v>
      </c>
      <c r="AA1160">
        <v>14.54</v>
      </c>
      <c r="AB1160">
        <v>0</v>
      </c>
      <c r="AC1160">
        <v>0</v>
      </c>
      <c r="AD1160">
        <v>1</v>
      </c>
      <c r="AE1160">
        <v>0</v>
      </c>
      <c r="AF1160" t="s">
        <v>22</v>
      </c>
      <c r="AG1160">
        <v>0.78100000000000003</v>
      </c>
      <c r="AH1160">
        <v>3</v>
      </c>
      <c r="AI1160">
        <v>-1</v>
      </c>
      <c r="AJ1160" t="s">
        <v>3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</row>
    <row r="1161" spans="1:44" x14ac:dyDescent="0.2">
      <c r="A1161">
        <f>ROW(Source!A350)</f>
        <v>350</v>
      </c>
      <c r="B1161">
        <v>56617279</v>
      </c>
      <c r="C1161">
        <v>56617275</v>
      </c>
      <c r="D1161">
        <v>46723279</v>
      </c>
      <c r="E1161">
        <v>1</v>
      </c>
      <c r="F1161">
        <v>1</v>
      </c>
      <c r="G1161">
        <v>27786564</v>
      </c>
      <c r="H1161">
        <v>3</v>
      </c>
      <c r="I1161" t="s">
        <v>654</v>
      </c>
      <c r="J1161" t="s">
        <v>655</v>
      </c>
      <c r="K1161" t="s">
        <v>656</v>
      </c>
      <c r="L1161">
        <v>1348</v>
      </c>
      <c r="N1161">
        <v>1009</v>
      </c>
      <c r="O1161" t="s">
        <v>367</v>
      </c>
      <c r="P1161" t="s">
        <v>367</v>
      </c>
      <c r="Q1161">
        <v>1000</v>
      </c>
      <c r="X1161">
        <v>0.06</v>
      </c>
      <c r="Y1161">
        <v>3501.78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0</v>
      </c>
      <c r="AF1161" t="s">
        <v>3</v>
      </c>
      <c r="AG1161">
        <v>0.06</v>
      </c>
      <c r="AH1161">
        <v>3</v>
      </c>
      <c r="AI1161">
        <v>-1</v>
      </c>
      <c r="AJ1161" t="s">
        <v>3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</row>
    <row r="1162" spans="1:44" x14ac:dyDescent="0.2">
      <c r="A1162">
        <f>ROW(Source!A350)</f>
        <v>350</v>
      </c>
      <c r="B1162">
        <v>56617280</v>
      </c>
      <c r="C1162">
        <v>56617275</v>
      </c>
      <c r="D1162">
        <v>30384722</v>
      </c>
      <c r="E1162">
        <v>27786564</v>
      </c>
      <c r="F1162">
        <v>1</v>
      </c>
      <c r="G1162">
        <v>27786564</v>
      </c>
      <c r="H1162">
        <v>3</v>
      </c>
      <c r="I1162" t="s">
        <v>650</v>
      </c>
      <c r="J1162" t="s">
        <v>3</v>
      </c>
      <c r="K1162" t="s">
        <v>651</v>
      </c>
      <c r="L1162">
        <v>1348</v>
      </c>
      <c r="N1162">
        <v>1009</v>
      </c>
      <c r="O1162" t="s">
        <v>367</v>
      </c>
      <c r="P1162" t="s">
        <v>367</v>
      </c>
      <c r="Q1162">
        <v>1000</v>
      </c>
      <c r="X1162">
        <v>10.7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 t="s">
        <v>3</v>
      </c>
      <c r="AG1162">
        <v>10.7</v>
      </c>
      <c r="AH1162">
        <v>3</v>
      </c>
      <c r="AI1162">
        <v>-1</v>
      </c>
      <c r="AJ1162" t="s">
        <v>3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</row>
    <row r="1163" spans="1:44" x14ac:dyDescent="0.2">
      <c r="A1163">
        <f>ROW(Source!A351)</f>
        <v>351</v>
      </c>
      <c r="B1163">
        <v>56617277</v>
      </c>
      <c r="C1163">
        <v>56617275</v>
      </c>
      <c r="D1163">
        <v>47634407</v>
      </c>
      <c r="E1163">
        <v>27786564</v>
      </c>
      <c r="F1163">
        <v>1</v>
      </c>
      <c r="G1163">
        <v>27786564</v>
      </c>
      <c r="H1163">
        <v>1</v>
      </c>
      <c r="I1163" t="s">
        <v>439</v>
      </c>
      <c r="J1163" t="s">
        <v>3</v>
      </c>
      <c r="K1163" t="s">
        <v>440</v>
      </c>
      <c r="L1163">
        <v>1191</v>
      </c>
      <c r="N1163">
        <v>1013</v>
      </c>
      <c r="O1163" t="s">
        <v>441</v>
      </c>
      <c r="P1163" t="s">
        <v>441</v>
      </c>
      <c r="Q1163">
        <v>1</v>
      </c>
      <c r="X1163">
        <v>8.9600000000000009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  <c r="AE1163">
        <v>1</v>
      </c>
      <c r="AF1163" t="s">
        <v>22</v>
      </c>
      <c r="AG1163">
        <v>9.8560000000000016</v>
      </c>
      <c r="AH1163">
        <v>3</v>
      </c>
      <c r="AI1163">
        <v>-1</v>
      </c>
      <c r="AJ1163" t="s">
        <v>3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</row>
    <row r="1164" spans="1:44" x14ac:dyDescent="0.2">
      <c r="A1164">
        <f>ROW(Source!A351)</f>
        <v>351</v>
      </c>
      <c r="B1164">
        <v>56617278</v>
      </c>
      <c r="C1164">
        <v>56617275</v>
      </c>
      <c r="D1164">
        <v>47766595</v>
      </c>
      <c r="E1164">
        <v>1</v>
      </c>
      <c r="F1164">
        <v>1</v>
      </c>
      <c r="G1164">
        <v>27786564</v>
      </c>
      <c r="H1164">
        <v>2</v>
      </c>
      <c r="I1164" t="s">
        <v>638</v>
      </c>
      <c r="J1164" t="s">
        <v>639</v>
      </c>
      <c r="K1164" t="s">
        <v>640</v>
      </c>
      <c r="L1164">
        <v>1368</v>
      </c>
      <c r="N1164">
        <v>1011</v>
      </c>
      <c r="O1164" t="s">
        <v>445</v>
      </c>
      <c r="P1164" t="s">
        <v>445</v>
      </c>
      <c r="Q1164">
        <v>1</v>
      </c>
      <c r="X1164">
        <v>0.71</v>
      </c>
      <c r="Y1164">
        <v>0</v>
      </c>
      <c r="Z1164">
        <v>163.81</v>
      </c>
      <c r="AA1164">
        <v>14.54</v>
      </c>
      <c r="AB1164">
        <v>0</v>
      </c>
      <c r="AC1164">
        <v>0</v>
      </c>
      <c r="AD1164">
        <v>1</v>
      </c>
      <c r="AE1164">
        <v>0</v>
      </c>
      <c r="AF1164" t="s">
        <v>22</v>
      </c>
      <c r="AG1164">
        <v>0.78100000000000003</v>
      </c>
      <c r="AH1164">
        <v>3</v>
      </c>
      <c r="AI1164">
        <v>-1</v>
      </c>
      <c r="AJ1164" t="s">
        <v>3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</row>
    <row r="1165" spans="1:44" x14ac:dyDescent="0.2">
      <c r="A1165">
        <f>ROW(Source!A351)</f>
        <v>351</v>
      </c>
      <c r="B1165">
        <v>56617279</v>
      </c>
      <c r="C1165">
        <v>56617275</v>
      </c>
      <c r="D1165">
        <v>46723279</v>
      </c>
      <c r="E1165">
        <v>1</v>
      </c>
      <c r="F1165">
        <v>1</v>
      </c>
      <c r="G1165">
        <v>27786564</v>
      </c>
      <c r="H1165">
        <v>3</v>
      </c>
      <c r="I1165" t="s">
        <v>654</v>
      </c>
      <c r="J1165" t="s">
        <v>655</v>
      </c>
      <c r="K1165" t="s">
        <v>656</v>
      </c>
      <c r="L1165">
        <v>1348</v>
      </c>
      <c r="N1165">
        <v>1009</v>
      </c>
      <c r="O1165" t="s">
        <v>367</v>
      </c>
      <c r="P1165" t="s">
        <v>367</v>
      </c>
      <c r="Q1165">
        <v>1000</v>
      </c>
      <c r="X1165">
        <v>0.06</v>
      </c>
      <c r="Y1165">
        <v>3501.78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0</v>
      </c>
      <c r="AF1165" t="s">
        <v>3</v>
      </c>
      <c r="AG1165">
        <v>0.06</v>
      </c>
      <c r="AH1165">
        <v>3</v>
      </c>
      <c r="AI1165">
        <v>-1</v>
      </c>
      <c r="AJ1165" t="s">
        <v>3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</row>
    <row r="1166" spans="1:44" x14ac:dyDescent="0.2">
      <c r="A1166">
        <f>ROW(Source!A351)</f>
        <v>351</v>
      </c>
      <c r="B1166">
        <v>56617280</v>
      </c>
      <c r="C1166">
        <v>56617275</v>
      </c>
      <c r="D1166">
        <v>30384722</v>
      </c>
      <c r="E1166">
        <v>27786564</v>
      </c>
      <c r="F1166">
        <v>1</v>
      </c>
      <c r="G1166">
        <v>27786564</v>
      </c>
      <c r="H1166">
        <v>3</v>
      </c>
      <c r="I1166" t="s">
        <v>650</v>
      </c>
      <c r="J1166" t="s">
        <v>3</v>
      </c>
      <c r="K1166" t="s">
        <v>651</v>
      </c>
      <c r="L1166">
        <v>1348</v>
      </c>
      <c r="N1166">
        <v>1009</v>
      </c>
      <c r="O1166" t="s">
        <v>367</v>
      </c>
      <c r="P1166" t="s">
        <v>367</v>
      </c>
      <c r="Q1166">
        <v>1000</v>
      </c>
      <c r="X1166">
        <v>10.7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 t="s">
        <v>3</v>
      </c>
      <c r="AG1166">
        <v>10.7</v>
      </c>
      <c r="AH1166">
        <v>3</v>
      </c>
      <c r="AI1166">
        <v>-1</v>
      </c>
      <c r="AJ1166" t="s">
        <v>3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</row>
    <row r="1167" spans="1:44" x14ac:dyDescent="0.2">
      <c r="A1167">
        <f>ROW(Source!A354)</f>
        <v>354</v>
      </c>
      <c r="B1167">
        <v>56617284</v>
      </c>
      <c r="C1167">
        <v>56617282</v>
      </c>
      <c r="D1167">
        <v>47634407</v>
      </c>
      <c r="E1167">
        <v>27786564</v>
      </c>
      <c r="F1167">
        <v>1</v>
      </c>
      <c r="G1167">
        <v>27786564</v>
      </c>
      <c r="H1167">
        <v>1</v>
      </c>
      <c r="I1167" t="s">
        <v>439</v>
      </c>
      <c r="J1167" t="s">
        <v>3</v>
      </c>
      <c r="K1167" t="s">
        <v>440</v>
      </c>
      <c r="L1167">
        <v>1191</v>
      </c>
      <c r="N1167">
        <v>1013</v>
      </c>
      <c r="O1167" t="s">
        <v>441</v>
      </c>
      <c r="P1167" t="s">
        <v>441</v>
      </c>
      <c r="Q1167">
        <v>1</v>
      </c>
      <c r="X1167">
        <v>8.9600000000000009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1</v>
      </c>
      <c r="AF1167" t="s">
        <v>22</v>
      </c>
      <c r="AG1167">
        <v>9.8560000000000016</v>
      </c>
      <c r="AH1167">
        <v>3</v>
      </c>
      <c r="AI1167">
        <v>-1</v>
      </c>
      <c r="AJ1167" t="s">
        <v>3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</row>
    <row r="1168" spans="1:44" x14ac:dyDescent="0.2">
      <c r="A1168">
        <f>ROW(Source!A354)</f>
        <v>354</v>
      </c>
      <c r="B1168">
        <v>56617285</v>
      </c>
      <c r="C1168">
        <v>56617282</v>
      </c>
      <c r="D1168">
        <v>47766595</v>
      </c>
      <c r="E1168">
        <v>1</v>
      </c>
      <c r="F1168">
        <v>1</v>
      </c>
      <c r="G1168">
        <v>27786564</v>
      </c>
      <c r="H1168">
        <v>2</v>
      </c>
      <c r="I1168" t="s">
        <v>638</v>
      </c>
      <c r="J1168" t="s">
        <v>639</v>
      </c>
      <c r="K1168" t="s">
        <v>640</v>
      </c>
      <c r="L1168">
        <v>1368</v>
      </c>
      <c r="N1168">
        <v>1011</v>
      </c>
      <c r="O1168" t="s">
        <v>445</v>
      </c>
      <c r="P1168" t="s">
        <v>445</v>
      </c>
      <c r="Q1168">
        <v>1</v>
      </c>
      <c r="X1168">
        <v>0.71</v>
      </c>
      <c r="Y1168">
        <v>0</v>
      </c>
      <c r="Z1168">
        <v>163.81</v>
      </c>
      <c r="AA1168">
        <v>14.54</v>
      </c>
      <c r="AB1168">
        <v>0</v>
      </c>
      <c r="AC1168">
        <v>0</v>
      </c>
      <c r="AD1168">
        <v>1</v>
      </c>
      <c r="AE1168">
        <v>0</v>
      </c>
      <c r="AF1168" t="s">
        <v>22</v>
      </c>
      <c r="AG1168">
        <v>0.78100000000000003</v>
      </c>
      <c r="AH1168">
        <v>3</v>
      </c>
      <c r="AI1168">
        <v>-1</v>
      </c>
      <c r="AJ1168" t="s">
        <v>3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</row>
    <row r="1169" spans="1:44" x14ac:dyDescent="0.2">
      <c r="A1169">
        <f>ROW(Source!A354)</f>
        <v>354</v>
      </c>
      <c r="B1169">
        <v>56617286</v>
      </c>
      <c r="C1169">
        <v>56617282</v>
      </c>
      <c r="D1169">
        <v>46723279</v>
      </c>
      <c r="E1169">
        <v>1</v>
      </c>
      <c r="F1169">
        <v>1</v>
      </c>
      <c r="G1169">
        <v>27786564</v>
      </c>
      <c r="H1169">
        <v>3</v>
      </c>
      <c r="I1169" t="s">
        <v>654</v>
      </c>
      <c r="J1169" t="s">
        <v>655</v>
      </c>
      <c r="K1169" t="s">
        <v>656</v>
      </c>
      <c r="L1169">
        <v>1348</v>
      </c>
      <c r="N1169">
        <v>1009</v>
      </c>
      <c r="O1169" t="s">
        <v>367</v>
      </c>
      <c r="P1169" t="s">
        <v>367</v>
      </c>
      <c r="Q1169">
        <v>1000</v>
      </c>
      <c r="X1169">
        <v>0.06</v>
      </c>
      <c r="Y1169">
        <v>3501.78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 t="s">
        <v>3</v>
      </c>
      <c r="AG1169">
        <v>0.06</v>
      </c>
      <c r="AH1169">
        <v>3</v>
      </c>
      <c r="AI1169">
        <v>-1</v>
      </c>
      <c r="AJ1169" t="s">
        <v>3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</row>
    <row r="1170" spans="1:44" x14ac:dyDescent="0.2">
      <c r="A1170">
        <f>ROW(Source!A354)</f>
        <v>354</v>
      </c>
      <c r="B1170">
        <v>56617287</v>
      </c>
      <c r="C1170">
        <v>56617282</v>
      </c>
      <c r="D1170">
        <v>30384722</v>
      </c>
      <c r="E1170">
        <v>27786564</v>
      </c>
      <c r="F1170">
        <v>1</v>
      </c>
      <c r="G1170">
        <v>27786564</v>
      </c>
      <c r="H1170">
        <v>3</v>
      </c>
      <c r="I1170" t="s">
        <v>650</v>
      </c>
      <c r="J1170" t="s">
        <v>3</v>
      </c>
      <c r="K1170" t="s">
        <v>651</v>
      </c>
      <c r="L1170">
        <v>1348</v>
      </c>
      <c r="N1170">
        <v>1009</v>
      </c>
      <c r="O1170" t="s">
        <v>367</v>
      </c>
      <c r="P1170" t="s">
        <v>367</v>
      </c>
      <c r="Q1170">
        <v>1000</v>
      </c>
      <c r="X1170">
        <v>7.14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 t="s">
        <v>3</v>
      </c>
      <c r="AG1170">
        <v>7.14</v>
      </c>
      <c r="AH1170">
        <v>3</v>
      </c>
      <c r="AI1170">
        <v>-1</v>
      </c>
      <c r="AJ1170" t="s">
        <v>3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</row>
    <row r="1171" spans="1:44" x14ac:dyDescent="0.2">
      <c r="A1171">
        <f>ROW(Source!A355)</f>
        <v>355</v>
      </c>
      <c r="B1171">
        <v>56617284</v>
      </c>
      <c r="C1171">
        <v>56617282</v>
      </c>
      <c r="D1171">
        <v>47634407</v>
      </c>
      <c r="E1171">
        <v>27786564</v>
      </c>
      <c r="F1171">
        <v>1</v>
      </c>
      <c r="G1171">
        <v>27786564</v>
      </c>
      <c r="H1171">
        <v>1</v>
      </c>
      <c r="I1171" t="s">
        <v>439</v>
      </c>
      <c r="J1171" t="s">
        <v>3</v>
      </c>
      <c r="K1171" t="s">
        <v>440</v>
      </c>
      <c r="L1171">
        <v>1191</v>
      </c>
      <c r="N1171">
        <v>1013</v>
      </c>
      <c r="O1171" t="s">
        <v>441</v>
      </c>
      <c r="P1171" t="s">
        <v>441</v>
      </c>
      <c r="Q1171">
        <v>1</v>
      </c>
      <c r="X1171">
        <v>8.9600000000000009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1</v>
      </c>
      <c r="AF1171" t="s">
        <v>22</v>
      </c>
      <c r="AG1171">
        <v>9.8560000000000016</v>
      </c>
      <c r="AH1171">
        <v>3</v>
      </c>
      <c r="AI1171">
        <v>-1</v>
      </c>
      <c r="AJ1171" t="s">
        <v>3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</row>
    <row r="1172" spans="1:44" x14ac:dyDescent="0.2">
      <c r="A1172">
        <f>ROW(Source!A355)</f>
        <v>355</v>
      </c>
      <c r="B1172">
        <v>56617285</v>
      </c>
      <c r="C1172">
        <v>56617282</v>
      </c>
      <c r="D1172">
        <v>47766595</v>
      </c>
      <c r="E1172">
        <v>1</v>
      </c>
      <c r="F1172">
        <v>1</v>
      </c>
      <c r="G1172">
        <v>27786564</v>
      </c>
      <c r="H1172">
        <v>2</v>
      </c>
      <c r="I1172" t="s">
        <v>638</v>
      </c>
      <c r="J1172" t="s">
        <v>639</v>
      </c>
      <c r="K1172" t="s">
        <v>640</v>
      </c>
      <c r="L1172">
        <v>1368</v>
      </c>
      <c r="N1172">
        <v>1011</v>
      </c>
      <c r="O1172" t="s">
        <v>445</v>
      </c>
      <c r="P1172" t="s">
        <v>445</v>
      </c>
      <c r="Q1172">
        <v>1</v>
      </c>
      <c r="X1172">
        <v>0.71</v>
      </c>
      <c r="Y1172">
        <v>0</v>
      </c>
      <c r="Z1172">
        <v>163.81</v>
      </c>
      <c r="AA1172">
        <v>14.54</v>
      </c>
      <c r="AB1172">
        <v>0</v>
      </c>
      <c r="AC1172">
        <v>0</v>
      </c>
      <c r="AD1172">
        <v>1</v>
      </c>
      <c r="AE1172">
        <v>0</v>
      </c>
      <c r="AF1172" t="s">
        <v>22</v>
      </c>
      <c r="AG1172">
        <v>0.78100000000000003</v>
      </c>
      <c r="AH1172">
        <v>3</v>
      </c>
      <c r="AI1172">
        <v>-1</v>
      </c>
      <c r="AJ1172" t="s">
        <v>3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</row>
    <row r="1173" spans="1:44" x14ac:dyDescent="0.2">
      <c r="A1173">
        <f>ROW(Source!A355)</f>
        <v>355</v>
      </c>
      <c r="B1173">
        <v>56617286</v>
      </c>
      <c r="C1173">
        <v>56617282</v>
      </c>
      <c r="D1173">
        <v>46723279</v>
      </c>
      <c r="E1173">
        <v>1</v>
      </c>
      <c r="F1173">
        <v>1</v>
      </c>
      <c r="G1173">
        <v>27786564</v>
      </c>
      <c r="H1173">
        <v>3</v>
      </c>
      <c r="I1173" t="s">
        <v>654</v>
      </c>
      <c r="J1173" t="s">
        <v>655</v>
      </c>
      <c r="K1173" t="s">
        <v>656</v>
      </c>
      <c r="L1173">
        <v>1348</v>
      </c>
      <c r="N1173">
        <v>1009</v>
      </c>
      <c r="O1173" t="s">
        <v>367</v>
      </c>
      <c r="P1173" t="s">
        <v>367</v>
      </c>
      <c r="Q1173">
        <v>1000</v>
      </c>
      <c r="X1173">
        <v>0.06</v>
      </c>
      <c r="Y1173">
        <v>3501.78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0</v>
      </c>
      <c r="AF1173" t="s">
        <v>3</v>
      </c>
      <c r="AG1173">
        <v>0.06</v>
      </c>
      <c r="AH1173">
        <v>3</v>
      </c>
      <c r="AI1173">
        <v>-1</v>
      </c>
      <c r="AJ1173" t="s">
        <v>3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</row>
    <row r="1174" spans="1:44" x14ac:dyDescent="0.2">
      <c r="A1174">
        <f>ROW(Source!A355)</f>
        <v>355</v>
      </c>
      <c r="B1174">
        <v>56617287</v>
      </c>
      <c r="C1174">
        <v>56617282</v>
      </c>
      <c r="D1174">
        <v>30384722</v>
      </c>
      <c r="E1174">
        <v>27786564</v>
      </c>
      <c r="F1174">
        <v>1</v>
      </c>
      <c r="G1174">
        <v>27786564</v>
      </c>
      <c r="H1174">
        <v>3</v>
      </c>
      <c r="I1174" t="s">
        <v>650</v>
      </c>
      <c r="J1174" t="s">
        <v>3</v>
      </c>
      <c r="K1174" t="s">
        <v>651</v>
      </c>
      <c r="L1174">
        <v>1348</v>
      </c>
      <c r="N1174">
        <v>1009</v>
      </c>
      <c r="O1174" t="s">
        <v>367</v>
      </c>
      <c r="P1174" t="s">
        <v>367</v>
      </c>
      <c r="Q1174">
        <v>1000</v>
      </c>
      <c r="X1174">
        <v>7.14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3</v>
      </c>
      <c r="AG1174">
        <v>7.14</v>
      </c>
      <c r="AH1174">
        <v>3</v>
      </c>
      <c r="AI1174">
        <v>-1</v>
      </c>
      <c r="AJ1174" t="s">
        <v>3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</row>
    <row r="1175" spans="1:44" x14ac:dyDescent="0.2">
      <c r="A1175">
        <f>ROW(Source!A358)</f>
        <v>358</v>
      </c>
      <c r="B1175">
        <v>56617291</v>
      </c>
      <c r="C1175">
        <v>56617289</v>
      </c>
      <c r="D1175">
        <v>47634407</v>
      </c>
      <c r="E1175">
        <v>27786564</v>
      </c>
      <c r="F1175">
        <v>1</v>
      </c>
      <c r="G1175">
        <v>27786564</v>
      </c>
      <c r="H1175">
        <v>1</v>
      </c>
      <c r="I1175" t="s">
        <v>439</v>
      </c>
      <c r="J1175" t="s">
        <v>3</v>
      </c>
      <c r="K1175" t="s">
        <v>440</v>
      </c>
      <c r="L1175">
        <v>1191</v>
      </c>
      <c r="N1175">
        <v>1013</v>
      </c>
      <c r="O1175" t="s">
        <v>441</v>
      </c>
      <c r="P1175" t="s">
        <v>441</v>
      </c>
      <c r="Q1175">
        <v>1</v>
      </c>
      <c r="X1175">
        <v>76.7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  <c r="AE1175">
        <v>1</v>
      </c>
      <c r="AF1175" t="s">
        <v>22</v>
      </c>
      <c r="AG1175">
        <v>84.37</v>
      </c>
      <c r="AH1175">
        <v>2</v>
      </c>
      <c r="AI1175">
        <v>56617290</v>
      </c>
      <c r="AJ1175">
        <v>213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</row>
    <row r="1176" spans="1:44" x14ac:dyDescent="0.2">
      <c r="A1176">
        <f>ROW(Source!A359)</f>
        <v>359</v>
      </c>
      <c r="B1176">
        <v>56617291</v>
      </c>
      <c r="C1176">
        <v>56617289</v>
      </c>
      <c r="D1176">
        <v>47634407</v>
      </c>
      <c r="E1176">
        <v>27786564</v>
      </c>
      <c r="F1176">
        <v>1</v>
      </c>
      <c r="G1176">
        <v>27786564</v>
      </c>
      <c r="H1176">
        <v>1</v>
      </c>
      <c r="I1176" t="s">
        <v>439</v>
      </c>
      <c r="J1176" t="s">
        <v>3</v>
      </c>
      <c r="K1176" t="s">
        <v>440</v>
      </c>
      <c r="L1176">
        <v>1191</v>
      </c>
      <c r="N1176">
        <v>1013</v>
      </c>
      <c r="O1176" t="s">
        <v>441</v>
      </c>
      <c r="P1176" t="s">
        <v>441</v>
      </c>
      <c r="Q1176">
        <v>1</v>
      </c>
      <c r="X1176">
        <v>76.7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  <c r="AE1176">
        <v>1</v>
      </c>
      <c r="AF1176" t="s">
        <v>22</v>
      </c>
      <c r="AG1176">
        <v>84.37</v>
      </c>
      <c r="AH1176">
        <v>2</v>
      </c>
      <c r="AI1176">
        <v>56617290</v>
      </c>
      <c r="AJ1176">
        <v>214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</row>
    <row r="1177" spans="1:44" x14ac:dyDescent="0.2">
      <c r="A1177">
        <f>ROW(Source!A360)</f>
        <v>360</v>
      </c>
      <c r="B1177">
        <v>56617293</v>
      </c>
      <c r="C1177">
        <v>56617292</v>
      </c>
      <c r="D1177">
        <v>47634407</v>
      </c>
      <c r="E1177">
        <v>27786564</v>
      </c>
      <c r="F1177">
        <v>1</v>
      </c>
      <c r="G1177">
        <v>27786564</v>
      </c>
      <c r="H1177">
        <v>1</v>
      </c>
      <c r="I1177" t="s">
        <v>439</v>
      </c>
      <c r="J1177" t="s">
        <v>3</v>
      </c>
      <c r="K1177" t="s">
        <v>440</v>
      </c>
      <c r="L1177">
        <v>1191</v>
      </c>
      <c r="N1177">
        <v>1013</v>
      </c>
      <c r="O1177" t="s">
        <v>441</v>
      </c>
      <c r="P1177" t="s">
        <v>441</v>
      </c>
      <c r="Q1177">
        <v>1</v>
      </c>
      <c r="X1177">
        <v>69.8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  <c r="AE1177">
        <v>1</v>
      </c>
      <c r="AF1177" t="s">
        <v>22</v>
      </c>
      <c r="AG1177">
        <v>76.78</v>
      </c>
      <c r="AH1177">
        <v>3</v>
      </c>
      <c r="AI1177">
        <v>-1</v>
      </c>
      <c r="AJ1177" t="s">
        <v>3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</row>
    <row r="1178" spans="1:44" x14ac:dyDescent="0.2">
      <c r="A1178">
        <f>ROW(Source!A360)</f>
        <v>360</v>
      </c>
      <c r="B1178">
        <v>56617294</v>
      </c>
      <c r="C1178">
        <v>56617292</v>
      </c>
      <c r="D1178">
        <v>47766454</v>
      </c>
      <c r="E1178">
        <v>1</v>
      </c>
      <c r="F1178">
        <v>1</v>
      </c>
      <c r="G1178">
        <v>27786564</v>
      </c>
      <c r="H1178">
        <v>2</v>
      </c>
      <c r="I1178" t="s">
        <v>464</v>
      </c>
      <c r="J1178" t="s">
        <v>465</v>
      </c>
      <c r="K1178" t="s">
        <v>466</v>
      </c>
      <c r="L1178">
        <v>1368</v>
      </c>
      <c r="N1178">
        <v>1011</v>
      </c>
      <c r="O1178" t="s">
        <v>445</v>
      </c>
      <c r="P1178" t="s">
        <v>445</v>
      </c>
      <c r="Q1178">
        <v>1</v>
      </c>
      <c r="X1178">
        <v>0.61</v>
      </c>
      <c r="Y1178">
        <v>0</v>
      </c>
      <c r="Z1178">
        <v>179.17</v>
      </c>
      <c r="AA1178">
        <v>16.93</v>
      </c>
      <c r="AB1178">
        <v>0</v>
      </c>
      <c r="AC1178">
        <v>0</v>
      </c>
      <c r="AD1178">
        <v>1</v>
      </c>
      <c r="AE1178">
        <v>0</v>
      </c>
      <c r="AF1178" t="s">
        <v>22</v>
      </c>
      <c r="AG1178">
        <v>0.67100000000000004</v>
      </c>
      <c r="AH1178">
        <v>3</v>
      </c>
      <c r="AI1178">
        <v>-1</v>
      </c>
      <c r="AJ1178" t="s">
        <v>3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</row>
    <row r="1179" spans="1:44" x14ac:dyDescent="0.2">
      <c r="A1179">
        <f>ROW(Source!A360)</f>
        <v>360</v>
      </c>
      <c r="B1179">
        <v>56617295</v>
      </c>
      <c r="C1179">
        <v>56617292</v>
      </c>
      <c r="D1179">
        <v>30390478</v>
      </c>
      <c r="E1179">
        <v>1</v>
      </c>
      <c r="F1179">
        <v>1</v>
      </c>
      <c r="G1179">
        <v>27786564</v>
      </c>
      <c r="H1179">
        <v>3</v>
      </c>
      <c r="I1179" t="s">
        <v>657</v>
      </c>
      <c r="J1179" t="s">
        <v>658</v>
      </c>
      <c r="K1179" t="s">
        <v>659</v>
      </c>
      <c r="L1179">
        <v>1348</v>
      </c>
      <c r="N1179">
        <v>1009</v>
      </c>
      <c r="O1179" t="s">
        <v>367</v>
      </c>
      <c r="P1179" t="s">
        <v>367</v>
      </c>
      <c r="Q1179">
        <v>1000</v>
      </c>
      <c r="X1179">
        <v>1E-3</v>
      </c>
      <c r="Y1179">
        <v>6521.42</v>
      </c>
      <c r="Z1179">
        <v>0</v>
      </c>
      <c r="AA1179">
        <v>0</v>
      </c>
      <c r="AB1179">
        <v>0</v>
      </c>
      <c r="AC1179">
        <v>0</v>
      </c>
      <c r="AD1179">
        <v>1</v>
      </c>
      <c r="AE1179">
        <v>0</v>
      </c>
      <c r="AF1179" t="s">
        <v>3</v>
      </c>
      <c r="AG1179">
        <v>1E-3</v>
      </c>
      <c r="AH1179">
        <v>3</v>
      </c>
      <c r="AI1179">
        <v>-1</v>
      </c>
      <c r="AJ1179" t="s">
        <v>3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</row>
    <row r="1180" spans="1:44" x14ac:dyDescent="0.2">
      <c r="A1180">
        <f>ROW(Source!A360)</f>
        <v>360</v>
      </c>
      <c r="B1180">
        <v>56617296</v>
      </c>
      <c r="C1180">
        <v>56617292</v>
      </c>
      <c r="D1180">
        <v>46723375</v>
      </c>
      <c r="E1180">
        <v>1</v>
      </c>
      <c r="F1180">
        <v>1</v>
      </c>
      <c r="G1180">
        <v>27786564</v>
      </c>
      <c r="H1180">
        <v>3</v>
      </c>
      <c r="I1180" t="s">
        <v>660</v>
      </c>
      <c r="J1180" t="s">
        <v>661</v>
      </c>
      <c r="K1180" t="s">
        <v>662</v>
      </c>
      <c r="L1180">
        <v>1339</v>
      </c>
      <c r="N1180">
        <v>1007</v>
      </c>
      <c r="O1180" t="s">
        <v>93</v>
      </c>
      <c r="P1180" t="s">
        <v>93</v>
      </c>
      <c r="Q1180">
        <v>1</v>
      </c>
      <c r="X1180">
        <v>0.17</v>
      </c>
      <c r="Y1180">
        <v>1828.56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 t="s">
        <v>3</v>
      </c>
      <c r="AG1180">
        <v>0.17</v>
      </c>
      <c r="AH1180">
        <v>3</v>
      </c>
      <c r="AI1180">
        <v>-1</v>
      </c>
      <c r="AJ1180" t="s">
        <v>3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</row>
    <row r="1181" spans="1:44" x14ac:dyDescent="0.2">
      <c r="A1181">
        <f>ROW(Source!A360)</f>
        <v>360</v>
      </c>
      <c r="B1181">
        <v>56617297</v>
      </c>
      <c r="C1181">
        <v>56617292</v>
      </c>
      <c r="D1181">
        <v>46725730</v>
      </c>
      <c r="E1181">
        <v>1</v>
      </c>
      <c r="F1181">
        <v>1</v>
      </c>
      <c r="G1181">
        <v>27786564</v>
      </c>
      <c r="H1181">
        <v>3</v>
      </c>
      <c r="I1181" t="s">
        <v>663</v>
      </c>
      <c r="J1181" t="s">
        <v>664</v>
      </c>
      <c r="K1181" t="s">
        <v>665</v>
      </c>
      <c r="L1181">
        <v>1339</v>
      </c>
      <c r="N1181">
        <v>1007</v>
      </c>
      <c r="O1181" t="s">
        <v>93</v>
      </c>
      <c r="P1181" t="s">
        <v>93</v>
      </c>
      <c r="Q1181">
        <v>1</v>
      </c>
      <c r="X1181">
        <v>3.9</v>
      </c>
      <c r="Y1181">
        <v>704.89</v>
      </c>
      <c r="Z1181">
        <v>0</v>
      </c>
      <c r="AA1181">
        <v>0</v>
      </c>
      <c r="AB1181">
        <v>0</v>
      </c>
      <c r="AC1181">
        <v>0</v>
      </c>
      <c r="AD1181">
        <v>1</v>
      </c>
      <c r="AE1181">
        <v>0</v>
      </c>
      <c r="AF1181" t="s">
        <v>3</v>
      </c>
      <c r="AG1181">
        <v>3.9</v>
      </c>
      <c r="AH1181">
        <v>3</v>
      </c>
      <c r="AI1181">
        <v>-1</v>
      </c>
      <c r="AJ1181" t="s">
        <v>3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</row>
    <row r="1182" spans="1:44" x14ac:dyDescent="0.2">
      <c r="A1182">
        <f>ROW(Source!A360)</f>
        <v>360</v>
      </c>
      <c r="B1182">
        <v>56617298</v>
      </c>
      <c r="C1182">
        <v>56617292</v>
      </c>
      <c r="D1182">
        <v>46725864</v>
      </c>
      <c r="E1182">
        <v>1</v>
      </c>
      <c r="F1182">
        <v>1</v>
      </c>
      <c r="G1182">
        <v>27786564</v>
      </c>
      <c r="H1182">
        <v>3</v>
      </c>
      <c r="I1182" t="s">
        <v>666</v>
      </c>
      <c r="J1182" t="s">
        <v>667</v>
      </c>
      <c r="K1182" t="s">
        <v>668</v>
      </c>
      <c r="L1182">
        <v>1339</v>
      </c>
      <c r="N1182">
        <v>1007</v>
      </c>
      <c r="O1182" t="s">
        <v>93</v>
      </c>
      <c r="P1182" t="s">
        <v>93</v>
      </c>
      <c r="Q1182">
        <v>1</v>
      </c>
      <c r="X1182">
        <v>0.06</v>
      </c>
      <c r="Y1182">
        <v>451.14</v>
      </c>
      <c r="Z1182">
        <v>0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 t="s">
        <v>3</v>
      </c>
      <c r="AG1182">
        <v>0.06</v>
      </c>
      <c r="AH1182">
        <v>3</v>
      </c>
      <c r="AI1182">
        <v>-1</v>
      </c>
      <c r="AJ1182" t="s">
        <v>3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</row>
    <row r="1183" spans="1:44" x14ac:dyDescent="0.2">
      <c r="A1183">
        <f>ROW(Source!A360)</f>
        <v>360</v>
      </c>
      <c r="B1183">
        <v>56617299</v>
      </c>
      <c r="C1183">
        <v>56617292</v>
      </c>
      <c r="D1183">
        <v>30389469</v>
      </c>
      <c r="E1183">
        <v>27786564</v>
      </c>
      <c r="F1183">
        <v>1</v>
      </c>
      <c r="G1183">
        <v>27786564</v>
      </c>
      <c r="H1183">
        <v>3</v>
      </c>
      <c r="I1183" t="s">
        <v>669</v>
      </c>
      <c r="J1183" t="s">
        <v>3</v>
      </c>
      <c r="K1183" t="s">
        <v>670</v>
      </c>
      <c r="L1183">
        <v>1339</v>
      </c>
      <c r="N1183">
        <v>1007</v>
      </c>
      <c r="O1183" t="s">
        <v>93</v>
      </c>
      <c r="P1183" t="s">
        <v>93</v>
      </c>
      <c r="Q1183">
        <v>1</v>
      </c>
      <c r="X1183">
        <v>4.3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 t="s">
        <v>3</v>
      </c>
      <c r="AG1183">
        <v>4.3</v>
      </c>
      <c r="AH1183">
        <v>3</v>
      </c>
      <c r="AI1183">
        <v>-1</v>
      </c>
      <c r="AJ1183" t="s">
        <v>3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</row>
    <row r="1184" spans="1:44" x14ac:dyDescent="0.2">
      <c r="A1184">
        <f>ROW(Source!A361)</f>
        <v>361</v>
      </c>
      <c r="B1184">
        <v>56617293</v>
      </c>
      <c r="C1184">
        <v>56617292</v>
      </c>
      <c r="D1184">
        <v>47634407</v>
      </c>
      <c r="E1184">
        <v>27786564</v>
      </c>
      <c r="F1184">
        <v>1</v>
      </c>
      <c r="G1184">
        <v>27786564</v>
      </c>
      <c r="H1184">
        <v>1</v>
      </c>
      <c r="I1184" t="s">
        <v>439</v>
      </c>
      <c r="J1184" t="s">
        <v>3</v>
      </c>
      <c r="K1184" t="s">
        <v>440</v>
      </c>
      <c r="L1184">
        <v>1191</v>
      </c>
      <c r="N1184">
        <v>1013</v>
      </c>
      <c r="O1184" t="s">
        <v>441</v>
      </c>
      <c r="P1184" t="s">
        <v>441</v>
      </c>
      <c r="Q1184">
        <v>1</v>
      </c>
      <c r="X1184">
        <v>69.8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1</v>
      </c>
      <c r="AF1184" t="s">
        <v>22</v>
      </c>
      <c r="AG1184">
        <v>76.78</v>
      </c>
      <c r="AH1184">
        <v>3</v>
      </c>
      <c r="AI1184">
        <v>-1</v>
      </c>
      <c r="AJ1184" t="s">
        <v>3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</row>
    <row r="1185" spans="1:44" x14ac:dyDescent="0.2">
      <c r="A1185">
        <f>ROW(Source!A361)</f>
        <v>361</v>
      </c>
      <c r="B1185">
        <v>56617294</v>
      </c>
      <c r="C1185">
        <v>56617292</v>
      </c>
      <c r="D1185">
        <v>47766454</v>
      </c>
      <c r="E1185">
        <v>1</v>
      </c>
      <c r="F1185">
        <v>1</v>
      </c>
      <c r="G1185">
        <v>27786564</v>
      </c>
      <c r="H1185">
        <v>2</v>
      </c>
      <c r="I1185" t="s">
        <v>464</v>
      </c>
      <c r="J1185" t="s">
        <v>465</v>
      </c>
      <c r="K1185" t="s">
        <v>466</v>
      </c>
      <c r="L1185">
        <v>1368</v>
      </c>
      <c r="N1185">
        <v>1011</v>
      </c>
      <c r="O1185" t="s">
        <v>445</v>
      </c>
      <c r="P1185" t="s">
        <v>445</v>
      </c>
      <c r="Q1185">
        <v>1</v>
      </c>
      <c r="X1185">
        <v>0.61</v>
      </c>
      <c r="Y1185">
        <v>0</v>
      </c>
      <c r="Z1185">
        <v>179.17</v>
      </c>
      <c r="AA1185">
        <v>16.93</v>
      </c>
      <c r="AB1185">
        <v>0</v>
      </c>
      <c r="AC1185">
        <v>0</v>
      </c>
      <c r="AD1185">
        <v>1</v>
      </c>
      <c r="AE1185">
        <v>0</v>
      </c>
      <c r="AF1185" t="s">
        <v>22</v>
      </c>
      <c r="AG1185">
        <v>0.67100000000000004</v>
      </c>
      <c r="AH1185">
        <v>3</v>
      </c>
      <c r="AI1185">
        <v>-1</v>
      </c>
      <c r="AJ1185" t="s">
        <v>3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</row>
    <row r="1186" spans="1:44" x14ac:dyDescent="0.2">
      <c r="A1186">
        <f>ROW(Source!A361)</f>
        <v>361</v>
      </c>
      <c r="B1186">
        <v>56617295</v>
      </c>
      <c r="C1186">
        <v>56617292</v>
      </c>
      <c r="D1186">
        <v>30390478</v>
      </c>
      <c r="E1186">
        <v>1</v>
      </c>
      <c r="F1186">
        <v>1</v>
      </c>
      <c r="G1186">
        <v>27786564</v>
      </c>
      <c r="H1186">
        <v>3</v>
      </c>
      <c r="I1186" t="s">
        <v>657</v>
      </c>
      <c r="J1186" t="s">
        <v>658</v>
      </c>
      <c r="K1186" t="s">
        <v>659</v>
      </c>
      <c r="L1186">
        <v>1348</v>
      </c>
      <c r="N1186">
        <v>1009</v>
      </c>
      <c r="O1186" t="s">
        <v>367</v>
      </c>
      <c r="P1186" t="s">
        <v>367</v>
      </c>
      <c r="Q1186">
        <v>1000</v>
      </c>
      <c r="X1186">
        <v>1E-3</v>
      </c>
      <c r="Y1186">
        <v>6521.42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 t="s">
        <v>3</v>
      </c>
      <c r="AG1186">
        <v>1E-3</v>
      </c>
      <c r="AH1186">
        <v>3</v>
      </c>
      <c r="AI1186">
        <v>-1</v>
      </c>
      <c r="AJ1186" t="s">
        <v>3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</row>
    <row r="1187" spans="1:44" x14ac:dyDescent="0.2">
      <c r="A1187">
        <f>ROW(Source!A361)</f>
        <v>361</v>
      </c>
      <c r="B1187">
        <v>56617296</v>
      </c>
      <c r="C1187">
        <v>56617292</v>
      </c>
      <c r="D1187">
        <v>46723375</v>
      </c>
      <c r="E1187">
        <v>1</v>
      </c>
      <c r="F1187">
        <v>1</v>
      </c>
      <c r="G1187">
        <v>27786564</v>
      </c>
      <c r="H1187">
        <v>3</v>
      </c>
      <c r="I1187" t="s">
        <v>660</v>
      </c>
      <c r="J1187" t="s">
        <v>661</v>
      </c>
      <c r="K1187" t="s">
        <v>662</v>
      </c>
      <c r="L1187">
        <v>1339</v>
      </c>
      <c r="N1187">
        <v>1007</v>
      </c>
      <c r="O1187" t="s">
        <v>93</v>
      </c>
      <c r="P1187" t="s">
        <v>93</v>
      </c>
      <c r="Q1187">
        <v>1</v>
      </c>
      <c r="X1187">
        <v>0.17</v>
      </c>
      <c r="Y1187">
        <v>1828.56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0</v>
      </c>
      <c r="AF1187" t="s">
        <v>3</v>
      </c>
      <c r="AG1187">
        <v>0.17</v>
      </c>
      <c r="AH1187">
        <v>3</v>
      </c>
      <c r="AI1187">
        <v>-1</v>
      </c>
      <c r="AJ1187" t="s">
        <v>3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</row>
    <row r="1188" spans="1:44" x14ac:dyDescent="0.2">
      <c r="A1188">
        <f>ROW(Source!A361)</f>
        <v>361</v>
      </c>
      <c r="B1188">
        <v>56617297</v>
      </c>
      <c r="C1188">
        <v>56617292</v>
      </c>
      <c r="D1188">
        <v>46725730</v>
      </c>
      <c r="E1188">
        <v>1</v>
      </c>
      <c r="F1188">
        <v>1</v>
      </c>
      <c r="G1188">
        <v>27786564</v>
      </c>
      <c r="H1188">
        <v>3</v>
      </c>
      <c r="I1188" t="s">
        <v>663</v>
      </c>
      <c r="J1188" t="s">
        <v>664</v>
      </c>
      <c r="K1188" t="s">
        <v>665</v>
      </c>
      <c r="L1188">
        <v>1339</v>
      </c>
      <c r="N1188">
        <v>1007</v>
      </c>
      <c r="O1188" t="s">
        <v>93</v>
      </c>
      <c r="P1188" t="s">
        <v>93</v>
      </c>
      <c r="Q1188">
        <v>1</v>
      </c>
      <c r="X1188">
        <v>3.9</v>
      </c>
      <c r="Y1188">
        <v>704.89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 t="s">
        <v>3</v>
      </c>
      <c r="AG1188">
        <v>3.9</v>
      </c>
      <c r="AH1188">
        <v>3</v>
      </c>
      <c r="AI1188">
        <v>-1</v>
      </c>
      <c r="AJ1188" t="s">
        <v>3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</row>
    <row r="1189" spans="1:44" x14ac:dyDescent="0.2">
      <c r="A1189">
        <f>ROW(Source!A361)</f>
        <v>361</v>
      </c>
      <c r="B1189">
        <v>56617298</v>
      </c>
      <c r="C1189">
        <v>56617292</v>
      </c>
      <c r="D1189">
        <v>46725864</v>
      </c>
      <c r="E1189">
        <v>1</v>
      </c>
      <c r="F1189">
        <v>1</v>
      </c>
      <c r="G1189">
        <v>27786564</v>
      </c>
      <c r="H1189">
        <v>3</v>
      </c>
      <c r="I1189" t="s">
        <v>666</v>
      </c>
      <c r="J1189" t="s">
        <v>667</v>
      </c>
      <c r="K1189" t="s">
        <v>668</v>
      </c>
      <c r="L1189">
        <v>1339</v>
      </c>
      <c r="N1189">
        <v>1007</v>
      </c>
      <c r="O1189" t="s">
        <v>93</v>
      </c>
      <c r="P1189" t="s">
        <v>93</v>
      </c>
      <c r="Q1189">
        <v>1</v>
      </c>
      <c r="X1189">
        <v>0.06</v>
      </c>
      <c r="Y1189">
        <v>451.14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0</v>
      </c>
      <c r="AF1189" t="s">
        <v>3</v>
      </c>
      <c r="AG1189">
        <v>0.06</v>
      </c>
      <c r="AH1189">
        <v>3</v>
      </c>
      <c r="AI1189">
        <v>-1</v>
      </c>
      <c r="AJ1189" t="s">
        <v>3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</row>
    <row r="1190" spans="1:44" x14ac:dyDescent="0.2">
      <c r="A1190">
        <f>ROW(Source!A361)</f>
        <v>361</v>
      </c>
      <c r="B1190">
        <v>56617299</v>
      </c>
      <c r="C1190">
        <v>56617292</v>
      </c>
      <c r="D1190">
        <v>30389469</v>
      </c>
      <c r="E1190">
        <v>27786564</v>
      </c>
      <c r="F1190">
        <v>1</v>
      </c>
      <c r="G1190">
        <v>27786564</v>
      </c>
      <c r="H1190">
        <v>3</v>
      </c>
      <c r="I1190" t="s">
        <v>669</v>
      </c>
      <c r="J1190" t="s">
        <v>3</v>
      </c>
      <c r="K1190" t="s">
        <v>670</v>
      </c>
      <c r="L1190">
        <v>1339</v>
      </c>
      <c r="N1190">
        <v>1007</v>
      </c>
      <c r="O1190" t="s">
        <v>93</v>
      </c>
      <c r="P1190" t="s">
        <v>93</v>
      </c>
      <c r="Q1190">
        <v>1</v>
      </c>
      <c r="X1190">
        <v>4.3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 t="s">
        <v>3</v>
      </c>
      <c r="AG1190">
        <v>4.3</v>
      </c>
      <c r="AH1190">
        <v>3</v>
      </c>
      <c r="AI1190">
        <v>-1</v>
      </c>
      <c r="AJ1190" t="s">
        <v>3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E494-F47E-4812-BFE5-AE1DBFFAF6A4}">
  <dimension ref="A1"/>
  <sheetViews>
    <sheetView workbookViewId="0"/>
  </sheetViews>
  <sheetFormatPr defaultColWidth="9.140625" defaultRowHeight="12.75" x14ac:dyDescent="0.2"/>
  <cols>
    <col min="1" max="256" width="9.140625" customWidth="1"/>
  </cols>
  <sheetData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0DE8-20E5-4DD0-AF49-85C756C5FF83}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75112</v>
      </c>
      <c r="M1">
        <v>10</v>
      </c>
      <c r="N1">
        <v>11</v>
      </c>
      <c r="O1">
        <v>15</v>
      </c>
      <c r="P1">
        <v>0</v>
      </c>
      <c r="Q1">
        <v>0</v>
      </c>
    </row>
    <row r="12" spans="1:103" x14ac:dyDescent="0.2">
      <c r="F12" t="str">
        <f>Source!F12</f>
        <v>02-01-05 КЛ 0,4 кВ труба</v>
      </c>
      <c r="G12" t="str">
        <f>Source!G12</f>
        <v>02-01-05 Строительство  КЛ 0,4 кВ труба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доп.43</vt:lpstr>
      <vt:lpstr>Source</vt:lpstr>
      <vt:lpstr>SourceObSm</vt:lpstr>
      <vt:lpstr>SmtRes</vt:lpstr>
      <vt:lpstr>EtalonRes</vt:lpstr>
      <vt:lpstr>SrcPoprs</vt:lpstr>
      <vt:lpstr>SrcKA</vt:lpstr>
      <vt:lpstr>'Смета по ТСН-2001(с доп.43'!Заголовки_для_печати</vt:lpstr>
      <vt:lpstr>'Смета по ТСН-2001(с доп.43'!Область_печати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2025-10-14T07:18:42Z</dcterms:created>
  <dcterms:modified xsi:type="dcterms:W3CDTF">2025-10-14T07:24:05Z</dcterms:modified>
</cp:coreProperties>
</file>