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Сметный отдел\ЗАПОРОЖЧЕНКО М.Е\290729-ПС-22 Феодосийская зу 7\Этапы\2 этап\"/>
    </mc:Choice>
  </mc:AlternateContent>
  <xr:revisionPtr revIDLastSave="0" documentId="13_ncr:1_{70A2D927-8C7E-4508-BC9E-76C1C609F224}" xr6:coauthVersionLast="47" xr6:coauthVersionMax="47" xr10:uidLastSave="{00000000-0000-0000-0000-000000000000}"/>
  <bookViews>
    <workbookView xWindow="-120" yWindow="-120" windowWidth="29040" windowHeight="15720" xr2:uid="{58F987B4-3A26-46D6-8AAF-D9F11A68A194}"/>
  </bookViews>
  <sheets>
    <sheet name="Смета по ТСН-2001(с доп.43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доп.43'!$27:$27</definedName>
    <definedName name="_xlnm.Print_Area" localSheetId="0">'Смета по ТСН-2001(с доп.43'!$A$1:$K$76</definedName>
  </definedNames>
  <calcPr calcId="191029" iterate="1"/>
</workbook>
</file>

<file path=xl/calcChain.xml><?xml version="1.0" encoding="utf-8"?>
<calcChain xmlns="http://schemas.openxmlformats.org/spreadsheetml/2006/main">
  <c r="H74" i="7" l="1"/>
  <c r="H71" i="7"/>
  <c r="C74" i="7"/>
  <c r="C71" i="7"/>
  <c r="J22" i="7"/>
  <c r="J19" i="7"/>
  <c r="J18" i="7"/>
  <c r="J17" i="7"/>
  <c r="J16" i="7"/>
  <c r="J15" i="7"/>
  <c r="I22" i="7"/>
  <c r="I20" i="7"/>
  <c r="I19" i="7"/>
  <c r="H68" i="7"/>
  <c r="J68" i="7"/>
  <c r="H67" i="7"/>
  <c r="J67" i="7"/>
  <c r="A66" i="7"/>
  <c r="H64" i="7"/>
  <c r="J64" i="7"/>
  <c r="H63" i="7"/>
  <c r="J63" i="7"/>
  <c r="A62" i="7"/>
  <c r="H60" i="7"/>
  <c r="J60" i="7"/>
  <c r="H59" i="7"/>
  <c r="J59" i="7"/>
  <c r="H57" i="7"/>
  <c r="J57" i="7"/>
  <c r="H56" i="7"/>
  <c r="J56" i="7"/>
  <c r="A55" i="7"/>
  <c r="Z52" i="7"/>
  <c r="Y52" i="7"/>
  <c r="X52" i="7"/>
  <c r="K51" i="7"/>
  <c r="J51" i="7"/>
  <c r="I51" i="7"/>
  <c r="H51" i="7"/>
  <c r="G51" i="7"/>
  <c r="F51" i="7"/>
  <c r="V50" i="7"/>
  <c r="T50" i="7"/>
  <c r="R50" i="7"/>
  <c r="U50" i="7"/>
  <c r="S50" i="7"/>
  <c r="Q50" i="7"/>
  <c r="E50" i="7"/>
  <c r="D50" i="7"/>
  <c r="B50" i="7"/>
  <c r="Z48" i="7"/>
  <c r="Y48" i="7"/>
  <c r="X48" i="7"/>
  <c r="K47" i="7"/>
  <c r="J47" i="7"/>
  <c r="I47" i="7"/>
  <c r="H47" i="7"/>
  <c r="G47" i="7"/>
  <c r="F47" i="7"/>
  <c r="C46" i="7"/>
  <c r="V45" i="7"/>
  <c r="T45" i="7"/>
  <c r="R45" i="7"/>
  <c r="U45" i="7"/>
  <c r="S45" i="7"/>
  <c r="Q45" i="7"/>
  <c r="E45" i="7"/>
  <c r="D45" i="7"/>
  <c r="B45" i="7"/>
  <c r="A44" i="7"/>
  <c r="H42" i="7"/>
  <c r="J42" i="7"/>
  <c r="H41" i="7"/>
  <c r="J41" i="7"/>
  <c r="A40" i="7"/>
  <c r="Z37" i="7"/>
  <c r="Y37" i="7"/>
  <c r="X37" i="7"/>
  <c r="K36" i="7"/>
  <c r="J36" i="7"/>
  <c r="I36" i="7"/>
  <c r="H36" i="7"/>
  <c r="G36" i="7"/>
  <c r="F36" i="7"/>
  <c r="V35" i="7"/>
  <c r="T35" i="7"/>
  <c r="R35" i="7"/>
  <c r="U35" i="7"/>
  <c r="S35" i="7"/>
  <c r="Q35" i="7"/>
  <c r="E35" i="7"/>
  <c r="D35" i="7"/>
  <c r="B35" i="7"/>
  <c r="Z33" i="7"/>
  <c r="I17" i="7" s="1"/>
  <c r="Y33" i="7"/>
  <c r="I16" i="7" s="1"/>
  <c r="X33" i="7"/>
  <c r="I15" i="7" s="1"/>
  <c r="K32" i="7"/>
  <c r="J32" i="7"/>
  <c r="I32" i="7"/>
  <c r="H32" i="7"/>
  <c r="G32" i="7"/>
  <c r="F32" i="7"/>
  <c r="V31" i="7"/>
  <c r="T31" i="7"/>
  <c r="R31" i="7"/>
  <c r="U31" i="7"/>
  <c r="S31" i="7"/>
  <c r="Q31" i="7"/>
  <c r="E31" i="7"/>
  <c r="D31" i="7"/>
  <c r="B31" i="7"/>
  <c r="A30" i="7"/>
  <c r="A11" i="7"/>
  <c r="A1" i="7"/>
  <c r="F12" i="6"/>
  <c r="G12" i="6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1" i="3"/>
  <c r="Y1" i="3"/>
  <c r="CW1" i="3"/>
  <c r="CX1" i="3"/>
  <c r="CY1" i="3"/>
  <c r="CZ1" i="3"/>
  <c r="DA1" i="3"/>
  <c r="DB1" i="3"/>
  <c r="DC1" i="3"/>
  <c r="DF1" i="3"/>
  <c r="DG1" i="3"/>
  <c r="DJ1" i="3" s="1"/>
  <c r="DH1" i="3"/>
  <c r="DI1" i="3"/>
  <c r="A2" i="3"/>
  <c r="Y2" i="3"/>
  <c r="CW2" i="3"/>
  <c r="CX2" i="3"/>
  <c r="CY2" i="3"/>
  <c r="CZ2" i="3"/>
  <c r="DA2" i="3"/>
  <c r="DB2" i="3"/>
  <c r="DC2" i="3"/>
  <c r="DF2" i="3"/>
  <c r="DG2" i="3"/>
  <c r="DJ2" i="3" s="1"/>
  <c r="DH2" i="3"/>
  <c r="DI2" i="3"/>
  <c r="D12" i="1"/>
  <c r="B18" i="1"/>
  <c r="C18" i="1"/>
  <c r="D18" i="1"/>
  <c r="E18" i="1"/>
  <c r="F18" i="1"/>
  <c r="G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AC28" i="1"/>
  <c r="AE28" i="1"/>
  <c r="AF28" i="1"/>
  <c r="S28" i="1" s="1"/>
  <c r="AG28" i="1"/>
  <c r="AH28" i="1"/>
  <c r="AI28" i="1"/>
  <c r="AJ28" i="1"/>
  <c r="CQ28" i="1"/>
  <c r="CR28" i="1"/>
  <c r="CS28" i="1"/>
  <c r="CT28" i="1"/>
  <c r="CU28" i="1"/>
  <c r="T28" i="1" s="1"/>
  <c r="CV28" i="1"/>
  <c r="U28" i="1" s="1"/>
  <c r="CW28" i="1"/>
  <c r="V28" i="1" s="1"/>
  <c r="CX28" i="1"/>
  <c r="W28" i="1" s="1"/>
  <c r="GL28" i="1"/>
  <c r="GN28" i="1"/>
  <c r="GO28" i="1"/>
  <c r="GV28" i="1"/>
  <c r="HC28" i="1"/>
  <c r="GX28" i="1" s="1"/>
  <c r="C29" i="1"/>
  <c r="D29" i="1"/>
  <c r="AC29" i="1"/>
  <c r="AE29" i="1"/>
  <c r="AF29" i="1"/>
  <c r="S29" i="1" s="1"/>
  <c r="AG29" i="1"/>
  <c r="AH29" i="1"/>
  <c r="AI29" i="1"/>
  <c r="AJ29" i="1"/>
  <c r="CQ29" i="1"/>
  <c r="CR29" i="1"/>
  <c r="CS29" i="1"/>
  <c r="CT29" i="1"/>
  <c r="CU29" i="1"/>
  <c r="T29" i="1" s="1"/>
  <c r="CV29" i="1"/>
  <c r="U29" i="1" s="1"/>
  <c r="CW29" i="1"/>
  <c r="V29" i="1" s="1"/>
  <c r="CX29" i="1"/>
  <c r="W29" i="1" s="1"/>
  <c r="GL29" i="1"/>
  <c r="GN29" i="1"/>
  <c r="GO29" i="1"/>
  <c r="GV29" i="1"/>
  <c r="HC29" i="1"/>
  <c r="GX29" i="1" s="1"/>
  <c r="D30" i="1"/>
  <c r="AC30" i="1"/>
  <c r="AE30" i="1"/>
  <c r="AF30" i="1"/>
  <c r="S30" i="1" s="1"/>
  <c r="AG30" i="1"/>
  <c r="AH30" i="1"/>
  <c r="AI30" i="1"/>
  <c r="AJ30" i="1"/>
  <c r="CQ30" i="1"/>
  <c r="CR30" i="1"/>
  <c r="CS30" i="1"/>
  <c r="CT30" i="1"/>
  <c r="CU30" i="1"/>
  <c r="T30" i="1" s="1"/>
  <c r="CV30" i="1"/>
  <c r="U30" i="1" s="1"/>
  <c r="CW30" i="1"/>
  <c r="V30" i="1" s="1"/>
  <c r="CX30" i="1"/>
  <c r="W30" i="1" s="1"/>
  <c r="GL30" i="1"/>
  <c r="GN30" i="1"/>
  <c r="GO30" i="1"/>
  <c r="GV30" i="1"/>
  <c r="HC30" i="1"/>
  <c r="GX30" i="1" s="1"/>
  <c r="D31" i="1"/>
  <c r="AC31" i="1"/>
  <c r="AE31" i="1"/>
  <c r="AF31" i="1"/>
  <c r="S31" i="1" s="1"/>
  <c r="AG31" i="1"/>
  <c r="AH31" i="1"/>
  <c r="AI31" i="1"/>
  <c r="AJ31" i="1"/>
  <c r="CQ31" i="1"/>
  <c r="CR31" i="1"/>
  <c r="CS31" i="1"/>
  <c r="CT31" i="1"/>
  <c r="CU31" i="1"/>
  <c r="T31" i="1" s="1"/>
  <c r="CV31" i="1"/>
  <c r="U31" i="1" s="1"/>
  <c r="CW31" i="1"/>
  <c r="V31" i="1" s="1"/>
  <c r="CX31" i="1"/>
  <c r="W31" i="1" s="1"/>
  <c r="GL31" i="1"/>
  <c r="GN31" i="1"/>
  <c r="GO31" i="1"/>
  <c r="GV31" i="1"/>
  <c r="HC31" i="1"/>
  <c r="GX31" i="1" s="1"/>
  <c r="D32" i="1"/>
  <c r="AC32" i="1"/>
  <c r="AE32" i="1"/>
  <c r="AF32" i="1"/>
  <c r="S32" i="1" s="1"/>
  <c r="AG32" i="1"/>
  <c r="AH32" i="1"/>
  <c r="AI32" i="1"/>
  <c r="AJ32" i="1"/>
  <c r="CQ32" i="1"/>
  <c r="CR32" i="1"/>
  <c r="CS32" i="1"/>
  <c r="CT32" i="1"/>
  <c r="CU32" i="1"/>
  <c r="T32" i="1" s="1"/>
  <c r="CV32" i="1"/>
  <c r="U32" i="1" s="1"/>
  <c r="CW32" i="1"/>
  <c r="V32" i="1" s="1"/>
  <c r="CX32" i="1"/>
  <c r="W32" i="1" s="1"/>
  <c r="GL32" i="1"/>
  <c r="GN32" i="1"/>
  <c r="GO32" i="1"/>
  <c r="GV32" i="1"/>
  <c r="HC32" i="1"/>
  <c r="GX32" i="1" s="1"/>
  <c r="D33" i="1"/>
  <c r="AC33" i="1"/>
  <c r="AE33" i="1"/>
  <c r="AF33" i="1"/>
  <c r="S33" i="1" s="1"/>
  <c r="AG33" i="1"/>
  <c r="AH33" i="1"/>
  <c r="AI33" i="1"/>
  <c r="AJ33" i="1"/>
  <c r="CQ33" i="1"/>
  <c r="CR33" i="1"/>
  <c r="CS33" i="1"/>
  <c r="CT33" i="1"/>
  <c r="CU33" i="1"/>
  <c r="T33" i="1" s="1"/>
  <c r="CV33" i="1"/>
  <c r="U33" i="1" s="1"/>
  <c r="CW33" i="1"/>
  <c r="V33" i="1" s="1"/>
  <c r="CX33" i="1"/>
  <c r="W33" i="1" s="1"/>
  <c r="GL33" i="1"/>
  <c r="GN33" i="1"/>
  <c r="GO33" i="1"/>
  <c r="GV33" i="1"/>
  <c r="HC33" i="1"/>
  <c r="GX33" i="1" s="1"/>
  <c r="D34" i="1"/>
  <c r="AC34" i="1"/>
  <c r="AE34" i="1"/>
  <c r="AF34" i="1"/>
  <c r="S34" i="1" s="1"/>
  <c r="AG34" i="1"/>
  <c r="AH34" i="1"/>
  <c r="AI34" i="1"/>
  <c r="AJ34" i="1"/>
  <c r="CQ34" i="1"/>
  <c r="CT34" i="1"/>
  <c r="CU34" i="1"/>
  <c r="T34" i="1" s="1"/>
  <c r="CV34" i="1"/>
  <c r="U34" i="1" s="1"/>
  <c r="CW34" i="1"/>
  <c r="V34" i="1" s="1"/>
  <c r="CX34" i="1"/>
  <c r="W34" i="1" s="1"/>
  <c r="GL34" i="1"/>
  <c r="GN34" i="1"/>
  <c r="GO34" i="1"/>
  <c r="GV34" i="1"/>
  <c r="HC34" i="1"/>
  <c r="GX34" i="1" s="1"/>
  <c r="D35" i="1"/>
  <c r="AC35" i="1"/>
  <c r="AE35" i="1"/>
  <c r="AF35" i="1"/>
  <c r="S35" i="1" s="1"/>
  <c r="AG35" i="1"/>
  <c r="AH35" i="1"/>
  <c r="AI35" i="1"/>
  <c r="AJ35" i="1"/>
  <c r="CQ35" i="1"/>
  <c r="CR35" i="1"/>
  <c r="CS35" i="1"/>
  <c r="CT35" i="1"/>
  <c r="CU35" i="1"/>
  <c r="T35" i="1" s="1"/>
  <c r="CV35" i="1"/>
  <c r="U35" i="1" s="1"/>
  <c r="CW35" i="1"/>
  <c r="V35" i="1" s="1"/>
  <c r="CX35" i="1"/>
  <c r="W35" i="1" s="1"/>
  <c r="GL35" i="1"/>
  <c r="GN35" i="1"/>
  <c r="GO35" i="1"/>
  <c r="GV35" i="1"/>
  <c r="HC35" i="1"/>
  <c r="GX35" i="1" s="1"/>
  <c r="D36" i="1"/>
  <c r="P36" i="1"/>
  <c r="CP36" i="1" s="1"/>
  <c r="O36" i="1" s="1"/>
  <c r="Q36" i="1"/>
  <c r="R36" i="1"/>
  <c r="S36" i="1"/>
  <c r="AC36" i="1"/>
  <c r="AE36" i="1"/>
  <c r="AD36" i="1" s="1"/>
  <c r="AF36" i="1"/>
  <c r="AG36" i="1"/>
  <c r="AH36" i="1"/>
  <c r="AI36" i="1"/>
  <c r="AJ36" i="1"/>
  <c r="CQ36" i="1"/>
  <c r="CR36" i="1"/>
  <c r="CS36" i="1"/>
  <c r="CT36" i="1"/>
  <c r="CU36" i="1"/>
  <c r="T36" i="1" s="1"/>
  <c r="CV36" i="1"/>
  <c r="U36" i="1" s="1"/>
  <c r="CW36" i="1"/>
  <c r="V36" i="1" s="1"/>
  <c r="CX36" i="1"/>
  <c r="W36" i="1" s="1"/>
  <c r="GL36" i="1"/>
  <c r="GN36" i="1"/>
  <c r="GO36" i="1"/>
  <c r="GV36" i="1"/>
  <c r="HC36" i="1"/>
  <c r="GX36" i="1" s="1"/>
  <c r="D37" i="1"/>
  <c r="AC37" i="1"/>
  <c r="AE37" i="1"/>
  <c r="AF37" i="1"/>
  <c r="S37" i="1" s="1"/>
  <c r="AG37" i="1"/>
  <c r="AH37" i="1"/>
  <c r="AI37" i="1"/>
  <c r="AJ37" i="1"/>
  <c r="CQ37" i="1"/>
  <c r="CR37" i="1"/>
  <c r="CS37" i="1"/>
  <c r="CT37" i="1"/>
  <c r="CU37" i="1"/>
  <c r="T37" i="1" s="1"/>
  <c r="CV37" i="1"/>
  <c r="U37" i="1" s="1"/>
  <c r="CW37" i="1"/>
  <c r="V37" i="1" s="1"/>
  <c r="CX37" i="1"/>
  <c r="W37" i="1" s="1"/>
  <c r="GL37" i="1"/>
  <c r="GN37" i="1"/>
  <c r="GO37" i="1"/>
  <c r="GV37" i="1"/>
  <c r="HC37" i="1"/>
  <c r="GX37" i="1" s="1"/>
  <c r="B39" i="1"/>
  <c r="B26" i="1" s="1"/>
  <c r="C39" i="1"/>
  <c r="C26" i="1" s="1"/>
  <c r="D39" i="1"/>
  <c r="D26" i="1" s="1"/>
  <c r="F39" i="1"/>
  <c r="F26" i="1" s="1"/>
  <c r="G39" i="1"/>
  <c r="G26" i="1" s="1"/>
  <c r="BX39" i="1"/>
  <c r="BY39" i="1"/>
  <c r="BZ39" i="1"/>
  <c r="CB39" i="1"/>
  <c r="CC39" i="1"/>
  <c r="CG39" i="1"/>
  <c r="CI39" i="1"/>
  <c r="CK39" i="1"/>
  <c r="CL39" i="1"/>
  <c r="CM39" i="1"/>
  <c r="FP39" i="1"/>
  <c r="FQ39" i="1"/>
  <c r="FR39" i="1"/>
  <c r="FT39" i="1"/>
  <c r="FU39" i="1"/>
  <c r="FY39" i="1"/>
  <c r="GA39" i="1"/>
  <c r="GC39" i="1"/>
  <c r="GD39" i="1"/>
  <c r="GE39" i="1"/>
  <c r="D69" i="1"/>
  <c r="E71" i="1"/>
  <c r="Z71" i="1"/>
  <c r="AA71" i="1"/>
  <c r="AM71" i="1"/>
  <c r="AN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R71" i="1"/>
  <c r="DS71" i="1"/>
  <c r="EE71" i="1"/>
  <c r="EF71" i="1"/>
  <c r="EW71" i="1"/>
  <c r="EX71" i="1"/>
  <c r="EY71" i="1"/>
  <c r="EZ71" i="1"/>
  <c r="FA71" i="1"/>
  <c r="FB71" i="1"/>
  <c r="FC71" i="1"/>
  <c r="FD71" i="1"/>
  <c r="FE71" i="1"/>
  <c r="FF71" i="1"/>
  <c r="FG71" i="1"/>
  <c r="FH71" i="1"/>
  <c r="FI71" i="1"/>
  <c r="FJ71" i="1"/>
  <c r="FK71" i="1"/>
  <c r="FL71" i="1"/>
  <c r="FM71" i="1"/>
  <c r="FN71" i="1"/>
  <c r="FO71" i="1"/>
  <c r="GF71" i="1"/>
  <c r="GG71" i="1"/>
  <c r="GH71" i="1"/>
  <c r="GI71" i="1"/>
  <c r="GJ71" i="1"/>
  <c r="GK71" i="1"/>
  <c r="GL71" i="1"/>
  <c r="GM71" i="1"/>
  <c r="GN71" i="1"/>
  <c r="GO71" i="1"/>
  <c r="GP71" i="1"/>
  <c r="GQ71" i="1"/>
  <c r="GR71" i="1"/>
  <c r="GS71" i="1"/>
  <c r="GT71" i="1"/>
  <c r="GU71" i="1"/>
  <c r="GV71" i="1"/>
  <c r="GW71" i="1"/>
  <c r="GX71" i="1"/>
  <c r="D73" i="1"/>
  <c r="I73" i="1"/>
  <c r="K73" i="1"/>
  <c r="AC73" i="1"/>
  <c r="AE73" i="1"/>
  <c r="AF73" i="1"/>
  <c r="S73" i="1" s="1"/>
  <c r="AG73" i="1"/>
  <c r="AH73" i="1"/>
  <c r="AI73" i="1"/>
  <c r="AJ73" i="1"/>
  <c r="CQ73" i="1"/>
  <c r="CR73" i="1"/>
  <c r="CS73" i="1"/>
  <c r="CT73" i="1"/>
  <c r="CU73" i="1"/>
  <c r="T73" i="1" s="1"/>
  <c r="CV73" i="1"/>
  <c r="U73" i="1" s="1"/>
  <c r="CW73" i="1"/>
  <c r="V73" i="1" s="1"/>
  <c r="CX73" i="1"/>
  <c r="W73" i="1" s="1"/>
  <c r="GL73" i="1"/>
  <c r="GN73" i="1"/>
  <c r="GO73" i="1"/>
  <c r="GV73" i="1"/>
  <c r="HC73" i="1"/>
  <c r="GX73" i="1" s="1"/>
  <c r="D74" i="1"/>
  <c r="I74" i="1"/>
  <c r="K74" i="1"/>
  <c r="AC74" i="1"/>
  <c r="AE74" i="1"/>
  <c r="AF74" i="1"/>
  <c r="S74" i="1" s="1"/>
  <c r="AG74" i="1"/>
  <c r="AH74" i="1"/>
  <c r="AI74" i="1"/>
  <c r="AJ74" i="1"/>
  <c r="CR74" i="1"/>
  <c r="CS74" i="1"/>
  <c r="CT74" i="1"/>
  <c r="CU74" i="1"/>
  <c r="T74" i="1" s="1"/>
  <c r="CV74" i="1"/>
  <c r="U74" i="1" s="1"/>
  <c r="CW74" i="1"/>
  <c r="V74" i="1" s="1"/>
  <c r="CX74" i="1"/>
  <c r="W74" i="1" s="1"/>
  <c r="GL74" i="1"/>
  <c r="GN74" i="1"/>
  <c r="GO74" i="1"/>
  <c r="GV74" i="1"/>
  <c r="HC74" i="1"/>
  <c r="GX74" i="1" s="1"/>
  <c r="D75" i="1"/>
  <c r="I75" i="1"/>
  <c r="K75" i="1"/>
  <c r="AC75" i="1"/>
  <c r="AE75" i="1"/>
  <c r="AF75" i="1"/>
  <c r="S75" i="1" s="1"/>
  <c r="AG75" i="1"/>
  <c r="AH75" i="1"/>
  <c r="AI75" i="1"/>
  <c r="AJ75" i="1"/>
  <c r="CQ75" i="1"/>
  <c r="CR75" i="1"/>
  <c r="CS75" i="1"/>
  <c r="CT75" i="1"/>
  <c r="CU75" i="1"/>
  <c r="T75" i="1" s="1"/>
  <c r="CV75" i="1"/>
  <c r="U75" i="1" s="1"/>
  <c r="CW75" i="1"/>
  <c r="V75" i="1" s="1"/>
  <c r="CX75" i="1"/>
  <c r="W75" i="1" s="1"/>
  <c r="GL75" i="1"/>
  <c r="GN75" i="1"/>
  <c r="GO75" i="1"/>
  <c r="GV75" i="1"/>
  <c r="HC75" i="1"/>
  <c r="GX75" i="1" s="1"/>
  <c r="D76" i="1"/>
  <c r="I76" i="1"/>
  <c r="K76" i="1"/>
  <c r="AC76" i="1"/>
  <c r="AE76" i="1"/>
  <c r="AF76" i="1"/>
  <c r="S76" i="1" s="1"/>
  <c r="AG76" i="1"/>
  <c r="AH76" i="1"/>
  <c r="AI76" i="1"/>
  <c r="AJ76" i="1"/>
  <c r="CQ76" i="1"/>
  <c r="CR76" i="1"/>
  <c r="CS76" i="1"/>
  <c r="CT76" i="1"/>
  <c r="CU76" i="1"/>
  <c r="T76" i="1" s="1"/>
  <c r="CV76" i="1"/>
  <c r="U76" i="1" s="1"/>
  <c r="CW76" i="1"/>
  <c r="V76" i="1" s="1"/>
  <c r="CX76" i="1"/>
  <c r="W76" i="1" s="1"/>
  <c r="GL76" i="1"/>
  <c r="GN76" i="1"/>
  <c r="GO76" i="1"/>
  <c r="GV76" i="1"/>
  <c r="HC76" i="1" s="1"/>
  <c r="GX76" i="1" s="1"/>
  <c r="B78" i="1"/>
  <c r="B71" i="1" s="1"/>
  <c r="C78" i="1"/>
  <c r="C71" i="1" s="1"/>
  <c r="D78" i="1"/>
  <c r="D71" i="1" s="1"/>
  <c r="F78" i="1"/>
  <c r="F71" i="1" s="1"/>
  <c r="G78" i="1"/>
  <c r="G71" i="1" s="1"/>
  <c r="BX78" i="1"/>
  <c r="BY78" i="1"/>
  <c r="BZ78" i="1"/>
  <c r="CB78" i="1"/>
  <c r="CC78" i="1"/>
  <c r="CG78" i="1"/>
  <c r="CI78" i="1"/>
  <c r="CK78" i="1"/>
  <c r="CL78" i="1"/>
  <c r="CM78" i="1"/>
  <c r="FP78" i="1"/>
  <c r="FQ78" i="1"/>
  <c r="FR78" i="1"/>
  <c r="FT78" i="1"/>
  <c r="FU78" i="1"/>
  <c r="GA78" i="1"/>
  <c r="GC78" i="1"/>
  <c r="GD78" i="1"/>
  <c r="GE78" i="1"/>
  <c r="D108" i="1"/>
  <c r="E110" i="1"/>
  <c r="Z110" i="1"/>
  <c r="AA110" i="1"/>
  <c r="AM110" i="1"/>
  <c r="AN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R110" i="1"/>
  <c r="DS110" i="1"/>
  <c r="EE110" i="1"/>
  <c r="EF110" i="1"/>
  <c r="EW110" i="1"/>
  <c r="EX110" i="1"/>
  <c r="EY110" i="1"/>
  <c r="EZ110" i="1"/>
  <c r="FA110" i="1"/>
  <c r="FB110" i="1"/>
  <c r="FC110" i="1"/>
  <c r="FD110" i="1"/>
  <c r="FE110" i="1"/>
  <c r="FF110" i="1"/>
  <c r="FG110" i="1"/>
  <c r="FH110" i="1"/>
  <c r="FI110" i="1"/>
  <c r="FJ110" i="1"/>
  <c r="FK110" i="1"/>
  <c r="FL110" i="1"/>
  <c r="FM110" i="1"/>
  <c r="FN110" i="1"/>
  <c r="FO110" i="1"/>
  <c r="GF110" i="1"/>
  <c r="GG110" i="1"/>
  <c r="GH110" i="1"/>
  <c r="GI110" i="1"/>
  <c r="GJ110" i="1"/>
  <c r="GK110" i="1"/>
  <c r="GL110" i="1"/>
  <c r="GM110" i="1"/>
  <c r="GN110" i="1"/>
  <c r="GO110" i="1"/>
  <c r="GP110" i="1"/>
  <c r="GQ110" i="1"/>
  <c r="GR110" i="1"/>
  <c r="GS110" i="1"/>
  <c r="GT110" i="1"/>
  <c r="GU110" i="1"/>
  <c r="GV110" i="1"/>
  <c r="GW110" i="1"/>
  <c r="GX110" i="1"/>
  <c r="D112" i="1"/>
  <c r="I112" i="1"/>
  <c r="K112" i="1"/>
  <c r="AC112" i="1"/>
  <c r="AE112" i="1"/>
  <c r="AF112" i="1"/>
  <c r="S112" i="1" s="1"/>
  <c r="AG112" i="1"/>
  <c r="AH112" i="1"/>
  <c r="AI112" i="1"/>
  <c r="AJ112" i="1"/>
  <c r="CQ112" i="1"/>
  <c r="CR112" i="1"/>
  <c r="CS112" i="1"/>
  <c r="CT112" i="1"/>
  <c r="CU112" i="1"/>
  <c r="T112" i="1" s="1"/>
  <c r="CV112" i="1"/>
  <c r="U112" i="1" s="1"/>
  <c r="CW112" i="1"/>
  <c r="V112" i="1" s="1"/>
  <c r="CX112" i="1"/>
  <c r="W112" i="1" s="1"/>
  <c r="GL112" i="1"/>
  <c r="GN112" i="1"/>
  <c r="GO112" i="1"/>
  <c r="GV112" i="1"/>
  <c r="HC112" i="1"/>
  <c r="GX112" i="1" s="1"/>
  <c r="D113" i="1"/>
  <c r="I113" i="1"/>
  <c r="K113" i="1"/>
  <c r="AC113" i="1"/>
  <c r="P113" i="1" s="1"/>
  <c r="AE113" i="1"/>
  <c r="AF113" i="1"/>
  <c r="S113" i="1" s="1"/>
  <c r="AG113" i="1"/>
  <c r="AH113" i="1"/>
  <c r="AI113" i="1"/>
  <c r="AJ113" i="1"/>
  <c r="CQ113" i="1"/>
  <c r="CR113" i="1"/>
  <c r="CS113" i="1"/>
  <c r="CT113" i="1"/>
  <c r="CU113" i="1"/>
  <c r="T113" i="1" s="1"/>
  <c r="CV113" i="1"/>
  <c r="U113" i="1" s="1"/>
  <c r="CW113" i="1"/>
  <c r="V113" i="1" s="1"/>
  <c r="CX113" i="1"/>
  <c r="W113" i="1" s="1"/>
  <c r="GL113" i="1"/>
  <c r="GN113" i="1"/>
  <c r="GO113" i="1"/>
  <c r="GV113" i="1"/>
  <c r="HC113" i="1"/>
  <c r="GX113" i="1" s="1"/>
  <c r="D114" i="1"/>
  <c r="I114" i="1"/>
  <c r="K114" i="1"/>
  <c r="AC114" i="1"/>
  <c r="AE114" i="1"/>
  <c r="AF114" i="1"/>
  <c r="S114" i="1" s="1"/>
  <c r="AG114" i="1"/>
  <c r="AH114" i="1"/>
  <c r="AI114" i="1"/>
  <c r="AJ114" i="1"/>
  <c r="CQ114" i="1"/>
  <c r="CR114" i="1"/>
  <c r="CS114" i="1"/>
  <c r="CT114" i="1"/>
  <c r="CU114" i="1"/>
  <c r="T114" i="1" s="1"/>
  <c r="CV114" i="1"/>
  <c r="U114" i="1" s="1"/>
  <c r="CW114" i="1"/>
  <c r="V114" i="1" s="1"/>
  <c r="CX114" i="1"/>
  <c r="W114" i="1" s="1"/>
  <c r="GL114" i="1"/>
  <c r="GN114" i="1"/>
  <c r="GO114" i="1"/>
  <c r="GV114" i="1"/>
  <c r="HC114" i="1"/>
  <c r="GX114" i="1" s="1"/>
  <c r="D115" i="1"/>
  <c r="I115" i="1"/>
  <c r="K115" i="1"/>
  <c r="AC115" i="1"/>
  <c r="AE115" i="1"/>
  <c r="AF115" i="1"/>
  <c r="S115" i="1" s="1"/>
  <c r="AG115" i="1"/>
  <c r="AH115" i="1"/>
  <c r="AI115" i="1"/>
  <c r="AJ115" i="1"/>
  <c r="CQ115" i="1"/>
  <c r="CR115" i="1"/>
  <c r="CS115" i="1"/>
  <c r="CT115" i="1"/>
  <c r="CU115" i="1"/>
  <c r="T115" i="1" s="1"/>
  <c r="CV115" i="1"/>
  <c r="U115" i="1" s="1"/>
  <c r="CW115" i="1"/>
  <c r="V115" i="1" s="1"/>
  <c r="CX115" i="1"/>
  <c r="W115" i="1" s="1"/>
  <c r="GL115" i="1"/>
  <c r="GN115" i="1"/>
  <c r="GO115" i="1"/>
  <c r="GV115" i="1"/>
  <c r="HC115" i="1"/>
  <c r="GX115" i="1" s="1"/>
  <c r="B117" i="1"/>
  <c r="B110" i="1" s="1"/>
  <c r="C117" i="1"/>
  <c r="C110" i="1" s="1"/>
  <c r="D117" i="1"/>
  <c r="D110" i="1" s="1"/>
  <c r="F117" i="1"/>
  <c r="F110" i="1" s="1"/>
  <c r="G117" i="1"/>
  <c r="G110" i="1" s="1"/>
  <c r="AB117" i="1"/>
  <c r="AC117" i="1"/>
  <c r="AD117" i="1"/>
  <c r="AE117" i="1"/>
  <c r="AF117" i="1"/>
  <c r="AG117" i="1"/>
  <c r="AH117" i="1"/>
  <c r="AI117" i="1"/>
  <c r="AJ117" i="1"/>
  <c r="AK117" i="1"/>
  <c r="AL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DT117" i="1"/>
  <c r="DU117" i="1"/>
  <c r="DV117" i="1"/>
  <c r="DW117" i="1"/>
  <c r="DX117" i="1"/>
  <c r="DY117" i="1"/>
  <c r="DZ117" i="1"/>
  <c r="EA117" i="1"/>
  <c r="EB117" i="1"/>
  <c r="EC117" i="1"/>
  <c r="ED117" i="1"/>
  <c r="FP117" i="1"/>
  <c r="FQ117" i="1"/>
  <c r="FR117" i="1"/>
  <c r="FS117" i="1"/>
  <c r="FT117" i="1"/>
  <c r="FU117" i="1"/>
  <c r="FV117" i="1"/>
  <c r="FW117" i="1"/>
  <c r="FX117" i="1"/>
  <c r="FY117" i="1"/>
  <c r="FZ117" i="1"/>
  <c r="GA117" i="1"/>
  <c r="GB117" i="1"/>
  <c r="GC117" i="1"/>
  <c r="GD117" i="1"/>
  <c r="GE117" i="1"/>
  <c r="D147" i="1"/>
  <c r="E149" i="1"/>
  <c r="Z149" i="1"/>
  <c r="AA149" i="1"/>
  <c r="AM149" i="1"/>
  <c r="AN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R149" i="1"/>
  <c r="DS149" i="1"/>
  <c r="EE149" i="1"/>
  <c r="EF149" i="1"/>
  <c r="EW149" i="1"/>
  <c r="EX149" i="1"/>
  <c r="EY149" i="1"/>
  <c r="EZ149" i="1"/>
  <c r="FA149" i="1"/>
  <c r="FB149" i="1"/>
  <c r="FC149" i="1"/>
  <c r="FD149" i="1"/>
  <c r="FE149" i="1"/>
  <c r="FF149" i="1"/>
  <c r="FG149" i="1"/>
  <c r="FH149" i="1"/>
  <c r="FI149" i="1"/>
  <c r="FJ149" i="1"/>
  <c r="FK149" i="1"/>
  <c r="FL149" i="1"/>
  <c r="FM149" i="1"/>
  <c r="FN149" i="1"/>
  <c r="FO149" i="1"/>
  <c r="GF149" i="1"/>
  <c r="GG149" i="1"/>
  <c r="GH149" i="1"/>
  <c r="GI149" i="1"/>
  <c r="GJ149" i="1"/>
  <c r="GK149" i="1"/>
  <c r="GL149" i="1"/>
  <c r="GM149" i="1"/>
  <c r="GN149" i="1"/>
  <c r="GO149" i="1"/>
  <c r="GP149" i="1"/>
  <c r="GQ149" i="1"/>
  <c r="GR149" i="1"/>
  <c r="GS149" i="1"/>
  <c r="GT149" i="1"/>
  <c r="GU149" i="1"/>
  <c r="GV149" i="1"/>
  <c r="GW149" i="1"/>
  <c r="GX149" i="1"/>
  <c r="D151" i="1"/>
  <c r="AC151" i="1"/>
  <c r="AE151" i="1"/>
  <c r="AF151" i="1"/>
  <c r="S151" i="1" s="1"/>
  <c r="AG151" i="1"/>
  <c r="AH151" i="1"/>
  <c r="AI151" i="1"/>
  <c r="AJ151" i="1"/>
  <c r="CQ151" i="1"/>
  <c r="CR151" i="1"/>
  <c r="CS151" i="1"/>
  <c r="CT151" i="1"/>
  <c r="CU151" i="1"/>
  <c r="T151" i="1" s="1"/>
  <c r="AG154" i="1" s="1"/>
  <c r="CV151" i="1"/>
  <c r="U151" i="1" s="1"/>
  <c r="AH154" i="1" s="1"/>
  <c r="CW151" i="1"/>
  <c r="V151" i="1" s="1"/>
  <c r="AI154" i="1" s="1"/>
  <c r="CX151" i="1"/>
  <c r="W151" i="1" s="1"/>
  <c r="AJ154" i="1" s="1"/>
  <c r="GL151" i="1"/>
  <c r="GO151" i="1"/>
  <c r="GP151" i="1"/>
  <c r="GV151" i="1"/>
  <c r="HC151" i="1"/>
  <c r="GX151" i="1" s="1"/>
  <c r="CJ154" i="1" s="1"/>
  <c r="D152" i="1"/>
  <c r="W152" i="1"/>
  <c r="EB154" i="1" s="1"/>
  <c r="AC152" i="1"/>
  <c r="AE152" i="1"/>
  <c r="AF152" i="1"/>
  <c r="S152" i="1" s="1"/>
  <c r="AG152" i="1"/>
  <c r="AH152" i="1"/>
  <c r="AI152" i="1"/>
  <c r="AJ152" i="1"/>
  <c r="CQ152" i="1"/>
  <c r="CR152" i="1"/>
  <c r="CS152" i="1"/>
  <c r="CT152" i="1"/>
  <c r="CU152" i="1"/>
  <c r="T152" i="1" s="1"/>
  <c r="DY154" i="1" s="1"/>
  <c r="CV152" i="1"/>
  <c r="U152" i="1" s="1"/>
  <c r="DZ154" i="1" s="1"/>
  <c r="CW152" i="1"/>
  <c r="V152" i="1" s="1"/>
  <c r="EA154" i="1" s="1"/>
  <c r="CX152" i="1"/>
  <c r="GL152" i="1"/>
  <c r="GO152" i="1"/>
  <c r="GP152" i="1"/>
  <c r="GV152" i="1"/>
  <c r="HC152" i="1"/>
  <c r="GX152" i="1" s="1"/>
  <c r="GB154" i="1" s="1"/>
  <c r="B154" i="1"/>
  <c r="B149" i="1" s="1"/>
  <c r="C154" i="1"/>
  <c r="C149" i="1" s="1"/>
  <c r="D154" i="1"/>
  <c r="D149" i="1" s="1"/>
  <c r="F154" i="1"/>
  <c r="F149" i="1" s="1"/>
  <c r="G154" i="1"/>
  <c r="G149" i="1" s="1"/>
  <c r="BX154" i="1"/>
  <c r="BY154" i="1"/>
  <c r="BZ154" i="1"/>
  <c r="CC154" i="1"/>
  <c r="CD154" i="1"/>
  <c r="CG154" i="1"/>
  <c r="CI154" i="1"/>
  <c r="CK154" i="1"/>
  <c r="CL154" i="1"/>
  <c r="CM154" i="1"/>
  <c r="FP154" i="1"/>
  <c r="FQ154" i="1"/>
  <c r="FR154" i="1"/>
  <c r="FU154" i="1"/>
  <c r="FV154" i="1"/>
  <c r="FY154" i="1"/>
  <c r="GA154" i="1"/>
  <c r="GC154" i="1"/>
  <c r="GD154" i="1"/>
  <c r="GE154" i="1"/>
  <c r="B184" i="1"/>
  <c r="B22" i="1" s="1"/>
  <c r="C184" i="1"/>
  <c r="C22" i="1" s="1"/>
  <c r="D184" i="1"/>
  <c r="D22" i="1" s="1"/>
  <c r="F184" i="1"/>
  <c r="F22" i="1" s="1"/>
  <c r="G184" i="1"/>
  <c r="G22" i="1" s="1"/>
  <c r="B214" i="1"/>
  <c r="C214" i="1"/>
  <c r="D214" i="1"/>
  <c r="F214" i="1"/>
  <c r="G214" i="1"/>
  <c r="J14" i="7" l="1"/>
  <c r="P52" i="7"/>
  <c r="J52" i="7"/>
  <c r="AA52" i="7"/>
  <c r="H52" i="7"/>
  <c r="O52" i="7"/>
  <c r="J48" i="7"/>
  <c r="P48" i="7"/>
  <c r="J55" i="7" s="1"/>
  <c r="H48" i="7"/>
  <c r="AA48" i="7"/>
  <c r="O48" i="7"/>
  <c r="H55" i="7" s="1"/>
  <c r="P37" i="7"/>
  <c r="J37" i="7"/>
  <c r="AA37" i="7"/>
  <c r="O37" i="7"/>
  <c r="H37" i="7"/>
  <c r="P33" i="7"/>
  <c r="J33" i="7"/>
  <c r="AA33" i="7"/>
  <c r="I18" i="7" s="1"/>
  <c r="I14" i="7" s="1"/>
  <c r="O33" i="7"/>
  <c r="H33" i="7"/>
  <c r="P28" i="1"/>
  <c r="R28" i="1"/>
  <c r="Q28" i="1"/>
  <c r="AD28" i="1"/>
  <c r="AB28" i="1" s="1"/>
  <c r="CZ28" i="1"/>
  <c r="Y28" i="1" s="1"/>
  <c r="AF39" i="1"/>
  <c r="CY28" i="1"/>
  <c r="X28" i="1" s="1"/>
  <c r="P29" i="1"/>
  <c r="Q29" i="1"/>
  <c r="DV39" i="1" s="1"/>
  <c r="AD29" i="1"/>
  <c r="AB29" i="1" s="1"/>
  <c r="R29" i="1"/>
  <c r="CY29" i="1"/>
  <c r="X29" i="1" s="1"/>
  <c r="EC39" i="1" s="1"/>
  <c r="DX39" i="1"/>
  <c r="CZ29" i="1"/>
  <c r="Y29" i="1" s="1"/>
  <c r="ED39" i="1" s="1"/>
  <c r="P30" i="1"/>
  <c r="R30" i="1"/>
  <c r="Q30" i="1"/>
  <c r="AD30" i="1"/>
  <c r="AB30" i="1" s="1"/>
  <c r="CZ30" i="1"/>
  <c r="Y30" i="1" s="1"/>
  <c r="CY30" i="1"/>
  <c r="X30" i="1" s="1"/>
  <c r="P31" i="1"/>
  <c r="CP31" i="1" s="1"/>
  <c r="O31" i="1" s="1"/>
  <c r="GM31" i="1" s="1"/>
  <c r="GP31" i="1" s="1"/>
  <c r="Q31" i="1"/>
  <c r="AD31" i="1"/>
  <c r="AB31" i="1" s="1"/>
  <c r="R31" i="1"/>
  <c r="GK31" i="1" s="1"/>
  <c r="CZ31" i="1"/>
  <c r="Y31" i="1" s="1"/>
  <c r="CY31" i="1"/>
  <c r="X31" i="1" s="1"/>
  <c r="P32" i="1"/>
  <c r="Q32" i="1"/>
  <c r="R32" i="1"/>
  <c r="AD32" i="1"/>
  <c r="AB32" i="1" s="1"/>
  <c r="CZ32" i="1"/>
  <c r="Y32" i="1" s="1"/>
  <c r="CY32" i="1"/>
  <c r="X32" i="1" s="1"/>
  <c r="P33" i="1"/>
  <c r="R33" i="1"/>
  <c r="GK33" i="1" s="1"/>
  <c r="AD33" i="1"/>
  <c r="AB33" i="1" s="1"/>
  <c r="Q33" i="1"/>
  <c r="CZ33" i="1"/>
  <c r="Y33" i="1" s="1"/>
  <c r="CY33" i="1"/>
  <c r="X33" i="1" s="1"/>
  <c r="P34" i="1"/>
  <c r="CS34" i="1"/>
  <c r="Q34" i="1"/>
  <c r="AD34" i="1"/>
  <c r="AB34" i="1" s="1"/>
  <c r="CR34" i="1"/>
  <c r="R34" i="1"/>
  <c r="CY34" i="1"/>
  <c r="X34" i="1" s="1"/>
  <c r="CZ34" i="1"/>
  <c r="Y34" i="1" s="1"/>
  <c r="P35" i="1"/>
  <c r="R35" i="1"/>
  <c r="GK35" i="1" s="1"/>
  <c r="AD35" i="1"/>
  <c r="AB35" i="1" s="1"/>
  <c r="Q35" i="1"/>
  <c r="CY35" i="1"/>
  <c r="X35" i="1" s="1"/>
  <c r="CZ35" i="1"/>
  <c r="Y35" i="1" s="1"/>
  <c r="CZ36" i="1"/>
  <c r="Y36" i="1" s="1"/>
  <c r="CY36" i="1"/>
  <c r="X36" i="1" s="1"/>
  <c r="GM36" i="1" s="1"/>
  <c r="GP36" i="1" s="1"/>
  <c r="P37" i="1"/>
  <c r="AD37" i="1"/>
  <c r="AB37" i="1" s="1"/>
  <c r="Q37" i="1"/>
  <c r="R37" i="1"/>
  <c r="GK37" i="1" s="1"/>
  <c r="CZ37" i="1"/>
  <c r="Y37" i="1" s="1"/>
  <c r="CY37" i="1"/>
  <c r="X37" i="1" s="1"/>
  <c r="BX26" i="1"/>
  <c r="AO39" i="1"/>
  <c r="AP39" i="1"/>
  <c r="BY26" i="1"/>
  <c r="BZ26" i="1"/>
  <c r="AQ39" i="1"/>
  <c r="CB26" i="1"/>
  <c r="AS39" i="1"/>
  <c r="AT39" i="1"/>
  <c r="CC26" i="1"/>
  <c r="AX39" i="1"/>
  <c r="CG26" i="1"/>
  <c r="AZ39" i="1"/>
  <c r="CI26" i="1"/>
  <c r="BB39" i="1"/>
  <c r="CK26" i="1"/>
  <c r="BC39" i="1"/>
  <c r="CL26" i="1"/>
  <c r="BD39" i="1"/>
  <c r="CM26" i="1"/>
  <c r="FP26" i="1"/>
  <c r="EG39" i="1"/>
  <c r="FQ26" i="1"/>
  <c r="EH39" i="1"/>
  <c r="FR26" i="1"/>
  <c r="EI39" i="1"/>
  <c r="FT26" i="1"/>
  <c r="EK39" i="1"/>
  <c r="FU26" i="1"/>
  <c r="EL39" i="1"/>
  <c r="FY26" i="1"/>
  <c r="EP39" i="1"/>
  <c r="GA26" i="1"/>
  <c r="ER39" i="1"/>
  <c r="GC26" i="1"/>
  <c r="ET39" i="1"/>
  <c r="GD26" i="1"/>
  <c r="EU39" i="1"/>
  <c r="EV39" i="1"/>
  <c r="GE26" i="1"/>
  <c r="P73" i="1"/>
  <c r="R73" i="1"/>
  <c r="AD73" i="1"/>
  <c r="AB73" i="1" s="1"/>
  <c r="Q73" i="1"/>
  <c r="AF78" i="1"/>
  <c r="CZ73" i="1"/>
  <c r="Y73" i="1" s="1"/>
  <c r="CY73" i="1"/>
  <c r="X73" i="1" s="1"/>
  <c r="P74" i="1"/>
  <c r="CQ74" i="1"/>
  <c r="R74" i="1"/>
  <c r="Q74" i="1"/>
  <c r="AD74" i="1"/>
  <c r="AB74" i="1" s="1"/>
  <c r="DX78" i="1"/>
  <c r="CZ74" i="1"/>
  <c r="Y74" i="1" s="1"/>
  <c r="CY74" i="1"/>
  <c r="X74" i="1" s="1"/>
  <c r="P75" i="1"/>
  <c r="AD75" i="1"/>
  <c r="AB75" i="1" s="1"/>
  <c r="R75" i="1"/>
  <c r="Q75" i="1"/>
  <c r="CZ75" i="1"/>
  <c r="Y75" i="1" s="1"/>
  <c r="CY75" i="1"/>
  <c r="X75" i="1" s="1"/>
  <c r="P76" i="1"/>
  <c r="R76" i="1"/>
  <c r="GK76" i="1" s="1"/>
  <c r="Q76" i="1"/>
  <c r="AD76" i="1"/>
  <c r="AB76" i="1" s="1"/>
  <c r="CY76" i="1"/>
  <c r="X76" i="1" s="1"/>
  <c r="CZ76" i="1"/>
  <c r="Y76" i="1" s="1"/>
  <c r="AO78" i="1"/>
  <c r="BX71" i="1"/>
  <c r="AP78" i="1"/>
  <c r="BY71" i="1"/>
  <c r="AQ78" i="1"/>
  <c r="BZ71" i="1"/>
  <c r="AS78" i="1"/>
  <c r="CB71" i="1"/>
  <c r="AT78" i="1"/>
  <c r="CC71" i="1"/>
  <c r="AX78" i="1"/>
  <c r="CG71" i="1"/>
  <c r="AZ78" i="1"/>
  <c r="CI71" i="1"/>
  <c r="BB78" i="1"/>
  <c r="CK71" i="1"/>
  <c r="CL71" i="1"/>
  <c r="BC78" i="1"/>
  <c r="CM71" i="1"/>
  <c r="BD78" i="1"/>
  <c r="FP71" i="1"/>
  <c r="EG78" i="1"/>
  <c r="FQ71" i="1"/>
  <c r="EH78" i="1"/>
  <c r="FR71" i="1"/>
  <c r="FY78" i="1"/>
  <c r="EI78" i="1"/>
  <c r="FT71" i="1"/>
  <c r="EK78" i="1"/>
  <c r="FU71" i="1"/>
  <c r="EL78" i="1"/>
  <c r="GA71" i="1"/>
  <c r="ER78" i="1"/>
  <c r="GC71" i="1"/>
  <c r="ET78" i="1"/>
  <c r="GD71" i="1"/>
  <c r="EU78" i="1"/>
  <c r="GE71" i="1"/>
  <c r="EV78" i="1"/>
  <c r="P112" i="1"/>
  <c r="CP112" i="1" s="1"/>
  <c r="O112" i="1" s="1"/>
  <c r="GM112" i="1" s="1"/>
  <c r="GP112" i="1" s="1"/>
  <c r="Q112" i="1"/>
  <c r="R112" i="1"/>
  <c r="AD112" i="1"/>
  <c r="AB112" i="1" s="1"/>
  <c r="CZ112" i="1"/>
  <c r="Y112" i="1" s="1"/>
  <c r="CY112" i="1"/>
  <c r="X112" i="1" s="1"/>
  <c r="R113" i="1"/>
  <c r="GK113" i="1" s="1"/>
  <c r="Q113" i="1"/>
  <c r="CP113" i="1" s="1"/>
  <c r="O113" i="1" s="1"/>
  <c r="AD113" i="1"/>
  <c r="AB113" i="1" s="1"/>
  <c r="CZ113" i="1"/>
  <c r="Y113" i="1" s="1"/>
  <c r="CY113" i="1"/>
  <c r="X113" i="1" s="1"/>
  <c r="P114" i="1"/>
  <c r="R114" i="1"/>
  <c r="AD114" i="1"/>
  <c r="AB114" i="1" s="1"/>
  <c r="Q114" i="1"/>
  <c r="CZ114" i="1"/>
  <c r="Y114" i="1" s="1"/>
  <c r="CY114" i="1"/>
  <c r="X114" i="1" s="1"/>
  <c r="P115" i="1"/>
  <c r="AD115" i="1"/>
  <c r="AB115" i="1" s="1"/>
  <c r="Q115" i="1"/>
  <c r="R115" i="1"/>
  <c r="GK115" i="1" s="1"/>
  <c r="CZ115" i="1"/>
  <c r="Y115" i="1" s="1"/>
  <c r="CY115" i="1"/>
  <c r="X115" i="1" s="1"/>
  <c r="O117" i="1"/>
  <c r="AB110" i="1"/>
  <c r="P117" i="1"/>
  <c r="AC110" i="1"/>
  <c r="Q117" i="1"/>
  <c r="AD110" i="1"/>
  <c r="R117" i="1"/>
  <c r="AE110" i="1"/>
  <c r="S117" i="1"/>
  <c r="AF110" i="1"/>
  <c r="AG110" i="1"/>
  <c r="T117" i="1"/>
  <c r="AH110" i="1"/>
  <c r="U117" i="1"/>
  <c r="AI110" i="1"/>
  <c r="V117" i="1"/>
  <c r="AJ110" i="1"/>
  <c r="W117" i="1"/>
  <c r="X117" i="1"/>
  <c r="AK110" i="1"/>
  <c r="AL110" i="1"/>
  <c r="Y117" i="1"/>
  <c r="AO117" i="1"/>
  <c r="BX110" i="1"/>
  <c r="BY110" i="1"/>
  <c r="AP117" i="1"/>
  <c r="BZ110" i="1"/>
  <c r="AQ117" i="1"/>
  <c r="CA110" i="1"/>
  <c r="AR117" i="1"/>
  <c r="CB110" i="1"/>
  <c r="AS117" i="1"/>
  <c r="CC110" i="1"/>
  <c r="AT117" i="1"/>
  <c r="CD110" i="1"/>
  <c r="AU117" i="1"/>
  <c r="CE110" i="1"/>
  <c r="AV117" i="1"/>
  <c r="CF110" i="1"/>
  <c r="AW117" i="1"/>
  <c r="AX117" i="1"/>
  <c r="CG110" i="1"/>
  <c r="CH110" i="1"/>
  <c r="AY117" i="1"/>
  <c r="CI110" i="1"/>
  <c r="AZ117" i="1"/>
  <c r="CJ110" i="1"/>
  <c r="BA117" i="1"/>
  <c r="CK110" i="1"/>
  <c r="BB117" i="1"/>
  <c r="CL110" i="1"/>
  <c r="BC117" i="1"/>
  <c r="CM110" i="1"/>
  <c r="BD117" i="1"/>
  <c r="DG117" i="1"/>
  <c r="DT110" i="1"/>
  <c r="DU110" i="1"/>
  <c r="DH117" i="1"/>
  <c r="DI117" i="1"/>
  <c r="DV110" i="1"/>
  <c r="DW110" i="1"/>
  <c r="DJ117" i="1"/>
  <c r="DK117" i="1"/>
  <c r="DX110" i="1"/>
  <c r="DL117" i="1"/>
  <c r="DY110" i="1"/>
  <c r="DM117" i="1"/>
  <c r="DZ110" i="1"/>
  <c r="EA110" i="1"/>
  <c r="DN117" i="1"/>
  <c r="DO117" i="1"/>
  <c r="EB110" i="1"/>
  <c r="EC110" i="1"/>
  <c r="DP117" i="1"/>
  <c r="ED110" i="1"/>
  <c r="DQ117" i="1"/>
  <c r="EG117" i="1"/>
  <c r="FP110" i="1"/>
  <c r="EH117" i="1"/>
  <c r="FQ110" i="1"/>
  <c r="EI117" i="1"/>
  <c r="FR110" i="1"/>
  <c r="EJ117" i="1"/>
  <c r="FS110" i="1"/>
  <c r="EK117" i="1"/>
  <c r="FT110" i="1"/>
  <c r="EL117" i="1"/>
  <c r="FU110" i="1"/>
  <c r="EM117" i="1"/>
  <c r="FV110" i="1"/>
  <c r="EN117" i="1"/>
  <c r="FW110" i="1"/>
  <c r="EO117" i="1"/>
  <c r="FX110" i="1"/>
  <c r="FY110" i="1"/>
  <c r="EP117" i="1"/>
  <c r="EQ117" i="1"/>
  <c r="FZ110" i="1"/>
  <c r="GA110" i="1"/>
  <c r="ER117" i="1"/>
  <c r="ES117" i="1"/>
  <c r="GB110" i="1"/>
  <c r="GC110" i="1"/>
  <c r="ET117" i="1"/>
  <c r="GD110" i="1"/>
  <c r="EU117" i="1"/>
  <c r="EV117" i="1"/>
  <c r="GE110" i="1"/>
  <c r="P151" i="1"/>
  <c r="R151" i="1"/>
  <c r="AD151" i="1"/>
  <c r="AB151" i="1" s="1"/>
  <c r="Q151" i="1"/>
  <c r="AD154" i="1" s="1"/>
  <c r="AF154" i="1"/>
  <c r="CZ151" i="1"/>
  <c r="Y151" i="1" s="1"/>
  <c r="AL154" i="1" s="1"/>
  <c r="CY151" i="1"/>
  <c r="X151" i="1" s="1"/>
  <c r="AK154" i="1" s="1"/>
  <c r="AG149" i="1"/>
  <c r="T154" i="1"/>
  <c r="U154" i="1"/>
  <c r="AH149" i="1"/>
  <c r="AI149" i="1"/>
  <c r="V154" i="1"/>
  <c r="AJ149" i="1"/>
  <c r="W154" i="1"/>
  <c r="BA154" i="1"/>
  <c r="CJ149" i="1"/>
  <c r="DO154" i="1"/>
  <c r="EB149" i="1"/>
  <c r="P152" i="1"/>
  <c r="Q152" i="1"/>
  <c r="DV154" i="1" s="1"/>
  <c r="AD152" i="1"/>
  <c r="AB152" i="1" s="1"/>
  <c r="R152" i="1"/>
  <c r="CY152" i="1"/>
  <c r="X152" i="1" s="1"/>
  <c r="EC154" i="1" s="1"/>
  <c r="DX154" i="1"/>
  <c r="CZ152" i="1"/>
  <c r="Y152" i="1" s="1"/>
  <c r="ED154" i="1" s="1"/>
  <c r="DL154" i="1"/>
  <c r="DY149" i="1"/>
  <c r="DM154" i="1"/>
  <c r="DZ149" i="1"/>
  <c r="DN154" i="1"/>
  <c r="EA149" i="1"/>
  <c r="ES154" i="1"/>
  <c r="GB149" i="1"/>
  <c r="AO154" i="1"/>
  <c r="BX149" i="1"/>
  <c r="BY149" i="1"/>
  <c r="AP154" i="1"/>
  <c r="BZ149" i="1"/>
  <c r="AQ154" i="1"/>
  <c r="AT154" i="1"/>
  <c r="CC149" i="1"/>
  <c r="CD149" i="1"/>
  <c r="AU154" i="1"/>
  <c r="AX154" i="1"/>
  <c r="CG149" i="1"/>
  <c r="CI149" i="1"/>
  <c r="AZ154" i="1"/>
  <c r="CK149" i="1"/>
  <c r="BB154" i="1"/>
  <c r="CL149" i="1"/>
  <c r="BC154" i="1"/>
  <c r="BD154" i="1"/>
  <c r="CM149" i="1"/>
  <c r="FP149" i="1"/>
  <c r="EG154" i="1"/>
  <c r="FQ149" i="1"/>
  <c r="EH154" i="1"/>
  <c r="FR149" i="1"/>
  <c r="EI154" i="1"/>
  <c r="FU149" i="1"/>
  <c r="EL154" i="1"/>
  <c r="EM154" i="1"/>
  <c r="FV149" i="1"/>
  <c r="EP154" i="1"/>
  <c r="FY149" i="1"/>
  <c r="GA149" i="1"/>
  <c r="ER154" i="1"/>
  <c r="GC149" i="1"/>
  <c r="ET154" i="1"/>
  <c r="GD149" i="1"/>
  <c r="EU154" i="1"/>
  <c r="GE149" i="1"/>
  <c r="EV154" i="1"/>
  <c r="AG39" i="1"/>
  <c r="AH39" i="1"/>
  <c r="AI39" i="1"/>
  <c r="AJ39" i="1"/>
  <c r="CJ39" i="1"/>
  <c r="DY39" i="1"/>
  <c r="DZ39" i="1"/>
  <c r="EA39" i="1"/>
  <c r="EB39" i="1"/>
  <c r="GB39" i="1"/>
  <c r="AB36" i="1"/>
  <c r="AG78" i="1"/>
  <c r="AH78" i="1"/>
  <c r="AI78" i="1"/>
  <c r="AJ78" i="1"/>
  <c r="CJ78" i="1"/>
  <c r="DY78" i="1"/>
  <c r="DZ78" i="1"/>
  <c r="EA78" i="1"/>
  <c r="EB78" i="1"/>
  <c r="GB78" i="1"/>
  <c r="J62" i="7" l="1"/>
  <c r="J66" i="7"/>
  <c r="J40" i="7"/>
  <c r="H40" i="7"/>
  <c r="H62" i="7"/>
  <c r="H66" i="7"/>
  <c r="CP28" i="1"/>
  <c r="O28" i="1" s="1"/>
  <c r="AC39" i="1"/>
  <c r="S39" i="1"/>
  <c r="AF26" i="1"/>
  <c r="DU39" i="1"/>
  <c r="CP29" i="1"/>
  <c r="O29" i="1" s="1"/>
  <c r="DI39" i="1"/>
  <c r="DV26" i="1"/>
  <c r="DW39" i="1"/>
  <c r="GK29" i="1"/>
  <c r="EC26" i="1"/>
  <c r="DP39" i="1"/>
  <c r="DX26" i="1"/>
  <c r="DK39" i="1"/>
  <c r="DQ39" i="1"/>
  <c r="ED26" i="1"/>
  <c r="AO26" i="1"/>
  <c r="AO184" i="1"/>
  <c r="F43" i="1"/>
  <c r="AP26" i="1"/>
  <c r="AP184" i="1"/>
  <c r="F48" i="1"/>
  <c r="AQ26" i="1"/>
  <c r="AQ184" i="1"/>
  <c r="F49" i="1"/>
  <c r="F56" i="1"/>
  <c r="AS26" i="1"/>
  <c r="AT26" i="1"/>
  <c r="AT184" i="1"/>
  <c r="F57" i="1"/>
  <c r="AX26" i="1"/>
  <c r="AX184" i="1"/>
  <c r="F46" i="1"/>
  <c r="AZ26" i="1"/>
  <c r="AZ184" i="1"/>
  <c r="F50" i="1"/>
  <c r="BB26" i="1"/>
  <c r="BB184" i="1"/>
  <c r="F52" i="1"/>
  <c r="BC184" i="1"/>
  <c r="F55" i="1"/>
  <c r="BC26" i="1"/>
  <c r="BD26" i="1"/>
  <c r="BD184" i="1"/>
  <c r="F64" i="1"/>
  <c r="EG184" i="1"/>
  <c r="P43" i="1"/>
  <c r="EG26" i="1"/>
  <c r="P48" i="1"/>
  <c r="EH184" i="1"/>
  <c r="EH26" i="1"/>
  <c r="EI184" i="1"/>
  <c r="P49" i="1"/>
  <c r="EI26" i="1"/>
  <c r="P56" i="1"/>
  <c r="EK26" i="1"/>
  <c r="P57" i="1"/>
  <c r="EL26" i="1"/>
  <c r="EL184" i="1"/>
  <c r="EP26" i="1"/>
  <c r="P46" i="1"/>
  <c r="P50" i="1"/>
  <c r="ER26" i="1"/>
  <c r="ER184" i="1"/>
  <c r="P52" i="1"/>
  <c r="ET26" i="1"/>
  <c r="ET184" i="1"/>
  <c r="EU184" i="1"/>
  <c r="EU26" i="1"/>
  <c r="P55" i="1"/>
  <c r="EV26" i="1"/>
  <c r="EV184" i="1"/>
  <c r="P64" i="1"/>
  <c r="AC78" i="1"/>
  <c r="CP73" i="1"/>
  <c r="O73" i="1" s="1"/>
  <c r="S78" i="1"/>
  <c r="AF71" i="1"/>
  <c r="DU78" i="1"/>
  <c r="CP74" i="1"/>
  <c r="O74" i="1" s="1"/>
  <c r="DW78" i="1"/>
  <c r="GK74" i="1"/>
  <c r="DX71" i="1"/>
  <c r="DK78" i="1"/>
  <c r="F82" i="1"/>
  <c r="AO71" i="1"/>
  <c r="AP71" i="1"/>
  <c r="F87" i="1"/>
  <c r="AQ71" i="1"/>
  <c r="F88" i="1"/>
  <c r="F95" i="1"/>
  <c r="AS71" i="1"/>
  <c r="F96" i="1"/>
  <c r="AT71" i="1"/>
  <c r="F85" i="1"/>
  <c r="AX71" i="1"/>
  <c r="F89" i="1"/>
  <c r="AZ71" i="1"/>
  <c r="F91" i="1"/>
  <c r="BB71" i="1"/>
  <c r="F94" i="1"/>
  <c r="BC71" i="1"/>
  <c r="F103" i="1"/>
  <c r="BD71" i="1"/>
  <c r="EG71" i="1"/>
  <c r="P82" i="1"/>
  <c r="EH71" i="1"/>
  <c r="P87" i="1"/>
  <c r="EP78" i="1"/>
  <c r="EP184" i="1" s="1"/>
  <c r="FY71" i="1"/>
  <c r="P88" i="1"/>
  <c r="EI71" i="1"/>
  <c r="P95" i="1"/>
  <c r="EK71" i="1"/>
  <c r="P96" i="1"/>
  <c r="EL71" i="1"/>
  <c r="ER71" i="1"/>
  <c r="P89" i="1"/>
  <c r="P91" i="1"/>
  <c r="ET71" i="1"/>
  <c r="P94" i="1"/>
  <c r="EU71" i="1"/>
  <c r="P103" i="1"/>
  <c r="EV71" i="1"/>
  <c r="O110" i="1"/>
  <c r="F119" i="1"/>
  <c r="P110" i="1"/>
  <c r="F120" i="1"/>
  <c r="Q110" i="1"/>
  <c r="F129" i="1"/>
  <c r="R110" i="1"/>
  <c r="F131" i="1"/>
  <c r="S110" i="1"/>
  <c r="F132" i="1"/>
  <c r="T110" i="1"/>
  <c r="F138" i="1"/>
  <c r="U110" i="1"/>
  <c r="F139" i="1"/>
  <c r="F140" i="1"/>
  <c r="V110" i="1"/>
  <c r="W110" i="1"/>
  <c r="F141" i="1"/>
  <c r="F143" i="1"/>
  <c r="X110" i="1"/>
  <c r="Y110" i="1"/>
  <c r="F144" i="1"/>
  <c r="F121" i="1"/>
  <c r="AO110" i="1"/>
  <c r="AP110" i="1"/>
  <c r="F126" i="1"/>
  <c r="AQ110" i="1"/>
  <c r="F127" i="1"/>
  <c r="F145" i="1"/>
  <c r="AR110" i="1"/>
  <c r="AS110" i="1"/>
  <c r="F134" i="1"/>
  <c r="AT110" i="1"/>
  <c r="F135" i="1"/>
  <c r="AU110" i="1"/>
  <c r="F136" i="1"/>
  <c r="F122" i="1"/>
  <c r="AV110" i="1"/>
  <c r="F123" i="1"/>
  <c r="AW110" i="1"/>
  <c r="AX110" i="1"/>
  <c r="F124" i="1"/>
  <c r="AY110" i="1"/>
  <c r="F125" i="1"/>
  <c r="AZ110" i="1"/>
  <c r="F128" i="1"/>
  <c r="BA110" i="1"/>
  <c r="F137" i="1"/>
  <c r="BB110" i="1"/>
  <c r="F130" i="1"/>
  <c r="BC110" i="1"/>
  <c r="F133" i="1"/>
  <c r="BD110" i="1"/>
  <c r="F142" i="1"/>
  <c r="DG110" i="1"/>
  <c r="P119" i="1"/>
  <c r="DH110" i="1"/>
  <c r="P120" i="1"/>
  <c r="DI110" i="1"/>
  <c r="P129" i="1"/>
  <c r="DJ110" i="1"/>
  <c r="P131" i="1"/>
  <c r="P132" i="1"/>
  <c r="DK110" i="1"/>
  <c r="DL110" i="1"/>
  <c r="P138" i="1"/>
  <c r="DM110" i="1"/>
  <c r="P139" i="1"/>
  <c r="DN110" i="1"/>
  <c r="P140" i="1"/>
  <c r="DO110" i="1"/>
  <c r="P141" i="1"/>
  <c r="DP110" i="1"/>
  <c r="P143" i="1"/>
  <c r="DQ110" i="1"/>
  <c r="P144" i="1"/>
  <c r="EG110" i="1"/>
  <c r="P121" i="1"/>
  <c r="EH110" i="1"/>
  <c r="P126" i="1"/>
  <c r="EI110" i="1"/>
  <c r="P127" i="1"/>
  <c r="EJ110" i="1"/>
  <c r="P145" i="1"/>
  <c r="EK110" i="1"/>
  <c r="P134" i="1"/>
  <c r="EL110" i="1"/>
  <c r="P135" i="1"/>
  <c r="EM110" i="1"/>
  <c r="P136" i="1"/>
  <c r="EN110" i="1"/>
  <c r="P122" i="1"/>
  <c r="EO110" i="1"/>
  <c r="P123" i="1"/>
  <c r="P124" i="1"/>
  <c r="EP110" i="1"/>
  <c r="EQ110" i="1"/>
  <c r="P125" i="1"/>
  <c r="P128" i="1"/>
  <c r="ER110" i="1"/>
  <c r="ES110" i="1"/>
  <c r="P137" i="1"/>
  <c r="ET110" i="1"/>
  <c r="P130" i="1"/>
  <c r="P133" i="1"/>
  <c r="EU110" i="1"/>
  <c r="EV110" i="1"/>
  <c r="P142" i="1"/>
  <c r="CP151" i="1"/>
  <c r="O151" i="1" s="1"/>
  <c r="AC154" i="1"/>
  <c r="GK151" i="1"/>
  <c r="AE154" i="1"/>
  <c r="Q154" i="1"/>
  <c r="AD149" i="1"/>
  <c r="S154" i="1"/>
  <c r="AF149" i="1"/>
  <c r="Y154" i="1"/>
  <c r="AL149" i="1"/>
  <c r="X154" i="1"/>
  <c r="AK149" i="1"/>
  <c r="T149" i="1"/>
  <c r="F175" i="1"/>
  <c r="U149" i="1"/>
  <c r="F176" i="1"/>
  <c r="V149" i="1"/>
  <c r="F177" i="1"/>
  <c r="F178" i="1"/>
  <c r="W149" i="1"/>
  <c r="BA149" i="1"/>
  <c r="F174" i="1"/>
  <c r="P178" i="1"/>
  <c r="DO149" i="1"/>
  <c r="CP152" i="1"/>
  <c r="O152" i="1" s="1"/>
  <c r="DU154" i="1"/>
  <c r="DI154" i="1"/>
  <c r="DV149" i="1"/>
  <c r="DW154" i="1"/>
  <c r="GK152" i="1"/>
  <c r="DP154" i="1"/>
  <c r="EC149" i="1"/>
  <c r="DK154" i="1"/>
  <c r="DX149" i="1"/>
  <c r="DQ154" i="1"/>
  <c r="ED149" i="1"/>
  <c r="DL149" i="1"/>
  <c r="P175" i="1"/>
  <c r="DM149" i="1"/>
  <c r="P176" i="1"/>
  <c r="P177" i="1"/>
  <c r="DN149" i="1"/>
  <c r="P174" i="1"/>
  <c r="ES149" i="1"/>
  <c r="F158" i="1"/>
  <c r="AO149" i="1"/>
  <c r="AP149" i="1"/>
  <c r="F163" i="1"/>
  <c r="F164" i="1"/>
  <c r="AQ149" i="1"/>
  <c r="F172" i="1"/>
  <c r="AT149" i="1"/>
  <c r="AU149" i="1"/>
  <c r="F173" i="1"/>
  <c r="F161" i="1"/>
  <c r="AX149" i="1"/>
  <c r="AZ149" i="1"/>
  <c r="F165" i="1"/>
  <c r="BB149" i="1"/>
  <c r="F167" i="1"/>
  <c r="BC149" i="1"/>
  <c r="F170" i="1"/>
  <c r="F179" i="1"/>
  <c r="BD149" i="1"/>
  <c r="P158" i="1"/>
  <c r="EG149" i="1"/>
  <c r="P163" i="1"/>
  <c r="EH149" i="1"/>
  <c r="EI149" i="1"/>
  <c r="P164" i="1"/>
  <c r="P172" i="1"/>
  <c r="EL149" i="1"/>
  <c r="P173" i="1"/>
  <c r="EM149" i="1"/>
  <c r="EP149" i="1"/>
  <c r="P161" i="1"/>
  <c r="P165" i="1"/>
  <c r="ER149" i="1"/>
  <c r="ET149" i="1"/>
  <c r="P167" i="1"/>
  <c r="P170" i="1"/>
  <c r="EU149" i="1"/>
  <c r="P179" i="1"/>
  <c r="EV149" i="1"/>
  <c r="AG26" i="1"/>
  <c r="T39" i="1"/>
  <c r="AH26" i="1"/>
  <c r="U39" i="1"/>
  <c r="AI26" i="1"/>
  <c r="V39" i="1"/>
  <c r="W39" i="1"/>
  <c r="AJ26" i="1"/>
  <c r="CJ26" i="1"/>
  <c r="BA39" i="1"/>
  <c r="DY26" i="1"/>
  <c r="DL39" i="1"/>
  <c r="DZ26" i="1"/>
  <c r="DM39" i="1"/>
  <c r="DN39" i="1"/>
  <c r="EA26" i="1"/>
  <c r="DO39" i="1"/>
  <c r="EB26" i="1"/>
  <c r="GB26" i="1"/>
  <c r="ES39" i="1"/>
  <c r="AG71" i="1"/>
  <c r="T78" i="1"/>
  <c r="U78" i="1"/>
  <c r="AH71" i="1"/>
  <c r="AI71" i="1"/>
  <c r="V78" i="1"/>
  <c r="W78" i="1"/>
  <c r="AJ71" i="1"/>
  <c r="BA78" i="1"/>
  <c r="CJ71" i="1"/>
  <c r="DY71" i="1"/>
  <c r="DL78" i="1"/>
  <c r="DZ71" i="1"/>
  <c r="DM78" i="1"/>
  <c r="DN78" i="1"/>
  <c r="EA71" i="1"/>
  <c r="DO78" i="1"/>
  <c r="EB71" i="1"/>
  <c r="ES78" i="1"/>
  <c r="GB71" i="1"/>
  <c r="AL39" i="1"/>
  <c r="CP32" i="1"/>
  <c r="O32" i="1" s="1"/>
  <c r="GM32" i="1" s="1"/>
  <c r="GP32" i="1" s="1"/>
  <c r="CP33" i="1"/>
  <c r="O33" i="1" s="1"/>
  <c r="GM33" i="1" s="1"/>
  <c r="GP33" i="1" s="1"/>
  <c r="CP34" i="1"/>
  <c r="O34" i="1" s="1"/>
  <c r="GM34" i="1" s="1"/>
  <c r="GP34" i="1" s="1"/>
  <c r="CP35" i="1"/>
  <c r="O35" i="1" s="1"/>
  <c r="GM35" i="1" s="1"/>
  <c r="GP35" i="1" s="1"/>
  <c r="CP37" i="1"/>
  <c r="O37" i="1" s="1"/>
  <c r="GM37" i="1" s="1"/>
  <c r="GP37" i="1" s="1"/>
  <c r="AE78" i="1"/>
  <c r="AD78" i="1"/>
  <c r="AL78" i="1"/>
  <c r="AK78" i="1"/>
  <c r="DV78" i="1"/>
  <c r="GM113" i="1"/>
  <c r="GP113" i="1" s="1"/>
  <c r="CP114" i="1"/>
  <c r="O114" i="1" s="1"/>
  <c r="GM114" i="1" s="1"/>
  <c r="GP114" i="1" s="1"/>
  <c r="CP115" i="1"/>
  <c r="O115" i="1" s="1"/>
  <c r="GM115" i="1" s="1"/>
  <c r="GP115" i="1" s="1"/>
  <c r="CP75" i="1"/>
  <c r="O75" i="1" s="1"/>
  <c r="GM75" i="1" s="1"/>
  <c r="GP75" i="1" s="1"/>
  <c r="AD39" i="1"/>
  <c r="CP30" i="1"/>
  <c r="O30" i="1" s="1"/>
  <c r="GM30" i="1" s="1"/>
  <c r="GP30" i="1" s="1"/>
  <c r="ED78" i="1"/>
  <c r="AE39" i="1"/>
  <c r="AK39" i="1"/>
  <c r="EC78" i="1"/>
  <c r="CP76" i="1"/>
  <c r="O76" i="1" s="1"/>
  <c r="GM76" i="1" s="1"/>
  <c r="GP76" i="1" s="1"/>
  <c r="AB39" i="1" l="1"/>
  <c r="GM28" i="1"/>
  <c r="AC26" i="1"/>
  <c r="CH39" i="1"/>
  <c r="CE39" i="1"/>
  <c r="P39" i="1"/>
  <c r="CF39" i="1"/>
  <c r="F54" i="1"/>
  <c r="S26" i="1"/>
  <c r="S184" i="1"/>
  <c r="DU26" i="1"/>
  <c r="FX39" i="1"/>
  <c r="FW39" i="1"/>
  <c r="FZ39" i="1"/>
  <c r="DH39" i="1"/>
  <c r="DT39" i="1"/>
  <c r="GM29" i="1"/>
  <c r="DI26" i="1"/>
  <c r="DI184" i="1"/>
  <c r="P51" i="1"/>
  <c r="DJ39" i="1"/>
  <c r="DW26" i="1"/>
  <c r="DP26" i="1"/>
  <c r="DP184" i="1"/>
  <c r="P65" i="1"/>
  <c r="P54" i="1"/>
  <c r="DK26" i="1"/>
  <c r="DK184" i="1"/>
  <c r="DQ184" i="1"/>
  <c r="P66" i="1"/>
  <c r="DQ26" i="1"/>
  <c r="AO214" i="1"/>
  <c r="AO22" i="1"/>
  <c r="F188" i="1"/>
  <c r="F193" i="1"/>
  <c r="G16" i="2" s="1"/>
  <c r="AP22" i="1"/>
  <c r="AP214" i="1"/>
  <c r="F194" i="1"/>
  <c r="AQ214" i="1"/>
  <c r="AQ22" i="1"/>
  <c r="AT214" i="1"/>
  <c r="AT22" i="1"/>
  <c r="F202" i="1"/>
  <c r="F16" i="2" s="1"/>
  <c r="AX22" i="1"/>
  <c r="F191" i="1"/>
  <c r="AX214" i="1"/>
  <c r="AZ214" i="1"/>
  <c r="F195" i="1"/>
  <c r="AZ22" i="1"/>
  <c r="BB22" i="1"/>
  <c r="BB214" i="1"/>
  <c r="F197" i="1"/>
  <c r="BC214" i="1"/>
  <c r="F200" i="1"/>
  <c r="BC22" i="1"/>
  <c r="BD22" i="1"/>
  <c r="F209" i="1"/>
  <c r="BD214" i="1"/>
  <c r="EG214" i="1"/>
  <c r="P188" i="1"/>
  <c r="EG22" i="1"/>
  <c r="EH22" i="1"/>
  <c r="EH214" i="1"/>
  <c r="P193" i="1"/>
  <c r="V16" i="2" s="1"/>
  <c r="EI22" i="1"/>
  <c r="P194" i="1"/>
  <c r="EI214" i="1"/>
  <c r="EL214" i="1"/>
  <c r="EL22" i="1"/>
  <c r="P202" i="1"/>
  <c r="U16" i="2" s="1"/>
  <c r="EP22" i="1"/>
  <c r="EP214" i="1"/>
  <c r="P191" i="1"/>
  <c r="ER22" i="1"/>
  <c r="ER214" i="1"/>
  <c r="P195" i="1"/>
  <c r="ET214" i="1"/>
  <c r="ET22" i="1"/>
  <c r="P197" i="1"/>
  <c r="EU22" i="1"/>
  <c r="P200" i="1"/>
  <c r="EU214" i="1"/>
  <c r="P209" i="1"/>
  <c r="EV22" i="1"/>
  <c r="EV214" i="1"/>
  <c r="CH78" i="1"/>
  <c r="CF78" i="1"/>
  <c r="CE78" i="1"/>
  <c r="P78" i="1"/>
  <c r="AC71" i="1"/>
  <c r="AB78" i="1"/>
  <c r="GM73" i="1"/>
  <c r="F93" i="1"/>
  <c r="S71" i="1"/>
  <c r="FW78" i="1"/>
  <c r="FZ78" i="1"/>
  <c r="FX78" i="1"/>
  <c r="DH78" i="1"/>
  <c r="DU71" i="1"/>
  <c r="DT78" i="1"/>
  <c r="GM74" i="1"/>
  <c r="DJ78" i="1"/>
  <c r="DW71" i="1"/>
  <c r="P93" i="1"/>
  <c r="DK71" i="1"/>
  <c r="EP71" i="1"/>
  <c r="P85" i="1"/>
  <c r="AB154" i="1"/>
  <c r="GM151" i="1"/>
  <c r="AC149" i="1"/>
  <c r="CH154" i="1"/>
  <c r="P154" i="1"/>
  <c r="CF154" i="1"/>
  <c r="CE154" i="1"/>
  <c r="R154" i="1"/>
  <c r="AE149" i="1"/>
  <c r="Q149" i="1"/>
  <c r="F166" i="1"/>
  <c r="S149" i="1"/>
  <c r="F169" i="1"/>
  <c r="Y149" i="1"/>
  <c r="F181" i="1"/>
  <c r="X149" i="1"/>
  <c r="F180" i="1"/>
  <c r="GM152" i="1"/>
  <c r="DT154" i="1"/>
  <c r="DH154" i="1"/>
  <c r="FZ154" i="1"/>
  <c r="FX154" i="1"/>
  <c r="DU149" i="1"/>
  <c r="FW154" i="1"/>
  <c r="P166" i="1"/>
  <c r="DI149" i="1"/>
  <c r="DW149" i="1"/>
  <c r="DJ154" i="1"/>
  <c r="P180" i="1"/>
  <c r="DP149" i="1"/>
  <c r="DK149" i="1"/>
  <c r="P169" i="1"/>
  <c r="DQ149" i="1"/>
  <c r="P181" i="1"/>
  <c r="F60" i="1"/>
  <c r="T26" i="1"/>
  <c r="T184" i="1"/>
  <c r="F61" i="1"/>
  <c r="U26" i="1"/>
  <c r="U184" i="1"/>
  <c r="F62" i="1"/>
  <c r="V26" i="1"/>
  <c r="V184" i="1"/>
  <c r="F63" i="1"/>
  <c r="W26" i="1"/>
  <c r="W184" i="1"/>
  <c r="BA184" i="1"/>
  <c r="F59" i="1"/>
  <c r="BA26" i="1"/>
  <c r="DL26" i="1"/>
  <c r="DL184" i="1"/>
  <c r="P60" i="1"/>
  <c r="P61" i="1"/>
  <c r="DM26" i="1"/>
  <c r="DM184" i="1"/>
  <c r="DN26" i="1"/>
  <c r="DN184" i="1"/>
  <c r="P62" i="1"/>
  <c r="DO26" i="1"/>
  <c r="DO184" i="1"/>
  <c r="P63" i="1"/>
  <c r="ES26" i="1"/>
  <c r="ES184" i="1"/>
  <c r="P59" i="1"/>
  <c r="F99" i="1"/>
  <c r="T71" i="1"/>
  <c r="F100" i="1"/>
  <c r="U71" i="1"/>
  <c r="F101" i="1"/>
  <c r="V71" i="1"/>
  <c r="F102" i="1"/>
  <c r="W71" i="1"/>
  <c r="F98" i="1"/>
  <c r="BA71" i="1"/>
  <c r="P99" i="1"/>
  <c r="DL71" i="1"/>
  <c r="P100" i="1"/>
  <c r="DM71" i="1"/>
  <c r="P101" i="1"/>
  <c r="DN71" i="1"/>
  <c r="P102" i="1"/>
  <c r="DO71" i="1"/>
  <c r="P98" i="1"/>
  <c r="ES71" i="1"/>
  <c r="AL26" i="1"/>
  <c r="Y39" i="1"/>
  <c r="AE71" i="1"/>
  <c r="R78" i="1"/>
  <c r="Q78" i="1"/>
  <c r="AD71" i="1"/>
  <c r="Y78" i="1"/>
  <c r="AL71" i="1"/>
  <c r="AK71" i="1"/>
  <c r="X78" i="1"/>
  <c r="DV71" i="1"/>
  <c r="DI78" i="1"/>
  <c r="Q39" i="1"/>
  <c r="AD26" i="1"/>
  <c r="ED71" i="1"/>
  <c r="DQ78" i="1"/>
  <c r="AE26" i="1"/>
  <c r="R39" i="1"/>
  <c r="AK26" i="1"/>
  <c r="X39" i="1"/>
  <c r="DP78" i="1"/>
  <c r="EC71" i="1"/>
  <c r="O39" i="1" l="1"/>
  <c r="AB26" i="1"/>
  <c r="CA39" i="1"/>
  <c r="GP28" i="1"/>
  <c r="CD39" i="1" s="1"/>
  <c r="AY39" i="1"/>
  <c r="CH26" i="1"/>
  <c r="AV39" i="1"/>
  <c r="CE26" i="1"/>
  <c r="P26" i="1"/>
  <c r="P184" i="1"/>
  <c r="F42" i="1"/>
  <c r="CF26" i="1"/>
  <c r="AW39" i="1"/>
  <c r="S214" i="1"/>
  <c r="F199" i="1"/>
  <c r="S22" i="1"/>
  <c r="EO39" i="1"/>
  <c r="FX26" i="1"/>
  <c r="EN39" i="1"/>
  <c r="FW26" i="1"/>
  <c r="FZ26" i="1"/>
  <c r="EQ39" i="1"/>
  <c r="P42" i="1"/>
  <c r="DH184" i="1"/>
  <c r="DH26" i="1"/>
  <c r="DT26" i="1"/>
  <c r="DG39" i="1"/>
  <c r="FS39" i="1"/>
  <c r="GP29" i="1"/>
  <c r="FV39" i="1" s="1"/>
  <c r="DI214" i="1"/>
  <c r="P196" i="1"/>
  <c r="DI22" i="1"/>
  <c r="DJ26" i="1"/>
  <c r="DJ184" i="1"/>
  <c r="P53" i="1"/>
  <c r="DP22" i="1"/>
  <c r="P210" i="1"/>
  <c r="DP214" i="1"/>
  <c r="DK22" i="1"/>
  <c r="P199" i="1"/>
  <c r="DK214" i="1"/>
  <c r="DQ22" i="1"/>
  <c r="P211" i="1"/>
  <c r="DQ214" i="1"/>
  <c r="AO18" i="1"/>
  <c r="F218" i="1"/>
  <c r="AP18" i="1"/>
  <c r="F223" i="1"/>
  <c r="AQ18" i="1"/>
  <c r="F224" i="1"/>
  <c r="AT18" i="1"/>
  <c r="F232" i="1"/>
  <c r="AX18" i="1"/>
  <c r="F221" i="1"/>
  <c r="AZ18" i="1"/>
  <c r="F225" i="1"/>
  <c r="F227" i="1"/>
  <c r="BB18" i="1"/>
  <c r="BC18" i="1"/>
  <c r="F230" i="1"/>
  <c r="F239" i="1"/>
  <c r="BD18" i="1"/>
  <c r="EG18" i="1"/>
  <c r="P218" i="1"/>
  <c r="EH18" i="1"/>
  <c r="P223" i="1"/>
  <c r="EI18" i="1"/>
  <c r="P224" i="1"/>
  <c r="EL18" i="1"/>
  <c r="P232" i="1"/>
  <c r="P221" i="1"/>
  <c r="EP18" i="1"/>
  <c r="ER18" i="1"/>
  <c r="P225" i="1"/>
  <c r="ET18" i="1"/>
  <c r="P227" i="1"/>
  <c r="EU18" i="1"/>
  <c r="P230" i="1"/>
  <c r="P239" i="1"/>
  <c r="EV18" i="1"/>
  <c r="AY78" i="1"/>
  <c r="CH71" i="1"/>
  <c r="AW78" i="1"/>
  <c r="CF71" i="1"/>
  <c r="AV78" i="1"/>
  <c r="CE71" i="1"/>
  <c r="F81" i="1"/>
  <c r="P71" i="1"/>
  <c r="AB71" i="1"/>
  <c r="O78" i="1"/>
  <c r="CA78" i="1"/>
  <c r="GP73" i="1"/>
  <c r="CD78" i="1" s="1"/>
  <c r="EN78" i="1"/>
  <c r="FW71" i="1"/>
  <c r="FZ71" i="1"/>
  <c r="EQ78" i="1"/>
  <c r="FX71" i="1"/>
  <c r="EO78" i="1"/>
  <c r="DH71" i="1"/>
  <c r="P81" i="1"/>
  <c r="DG78" i="1"/>
  <c r="DT71" i="1"/>
  <c r="FS78" i="1"/>
  <c r="GP74" i="1"/>
  <c r="FV78" i="1" s="1"/>
  <c r="P92" i="1"/>
  <c r="DJ71" i="1"/>
  <c r="O154" i="1"/>
  <c r="AB149" i="1"/>
  <c r="GN151" i="1"/>
  <c r="CB154" i="1" s="1"/>
  <c r="CA154" i="1"/>
  <c r="AY154" i="1"/>
  <c r="CH149" i="1"/>
  <c r="F157" i="1"/>
  <c r="P149" i="1"/>
  <c r="CF149" i="1"/>
  <c r="AW154" i="1"/>
  <c r="CE149" i="1"/>
  <c r="AV154" i="1"/>
  <c r="R149" i="1"/>
  <c r="F168" i="1"/>
  <c r="GN152" i="1"/>
  <c r="FT154" i="1" s="1"/>
  <c r="FS154" i="1"/>
  <c r="DT149" i="1"/>
  <c r="DG154" i="1"/>
  <c r="P157" i="1"/>
  <c r="DH149" i="1"/>
  <c r="FZ149" i="1"/>
  <c r="EQ154" i="1"/>
  <c r="EO154" i="1"/>
  <c r="FX149" i="1"/>
  <c r="EN154" i="1"/>
  <c r="FW149" i="1"/>
  <c r="DJ149" i="1"/>
  <c r="P168" i="1"/>
  <c r="F205" i="1"/>
  <c r="T22" i="1"/>
  <c r="T214" i="1"/>
  <c r="F206" i="1"/>
  <c r="U214" i="1"/>
  <c r="U22" i="1"/>
  <c r="V22" i="1"/>
  <c r="F207" i="1"/>
  <c r="V214" i="1"/>
  <c r="F208" i="1"/>
  <c r="W214" i="1"/>
  <c r="W22" i="1"/>
  <c r="BA214" i="1"/>
  <c r="BA22" i="1"/>
  <c r="F204" i="1"/>
  <c r="DL214" i="1"/>
  <c r="DL22" i="1"/>
  <c r="P205" i="1"/>
  <c r="DM22" i="1"/>
  <c r="DM214" i="1"/>
  <c r="P206" i="1"/>
  <c r="DN214" i="1"/>
  <c r="DN22" i="1"/>
  <c r="P207" i="1"/>
  <c r="P208" i="1"/>
  <c r="DO22" i="1"/>
  <c r="DO214" i="1"/>
  <c r="ES214" i="1"/>
  <c r="P204" i="1"/>
  <c r="ES22" i="1"/>
  <c r="F66" i="1"/>
  <c r="Y26" i="1"/>
  <c r="Y184" i="1"/>
  <c r="F92" i="1"/>
  <c r="R71" i="1"/>
  <c r="Q71" i="1"/>
  <c r="F90" i="1"/>
  <c r="F105" i="1"/>
  <c r="Y71" i="1"/>
  <c r="F104" i="1"/>
  <c r="X71" i="1"/>
  <c r="P90" i="1"/>
  <c r="DI71" i="1"/>
  <c r="Q26" i="1"/>
  <c r="Q184" i="1"/>
  <c r="F51" i="1"/>
  <c r="P105" i="1"/>
  <c r="DQ71" i="1"/>
  <c r="F53" i="1"/>
  <c r="R26" i="1"/>
  <c r="R184" i="1"/>
  <c r="F65" i="1"/>
  <c r="X26" i="1"/>
  <c r="X184" i="1"/>
  <c r="P104" i="1"/>
  <c r="DP71" i="1"/>
  <c r="O26" i="1" l="1"/>
  <c r="O184" i="1"/>
  <c r="F41" i="1"/>
  <c r="AR39" i="1"/>
  <c r="CA26" i="1"/>
  <c r="AU39" i="1"/>
  <c r="CD26" i="1"/>
  <c r="F47" i="1"/>
  <c r="AY26" i="1"/>
  <c r="AY184" i="1"/>
  <c r="AV26" i="1"/>
  <c r="AV184" i="1"/>
  <c r="F44" i="1"/>
  <c r="F187" i="1"/>
  <c r="P214" i="1"/>
  <c r="P22" i="1"/>
  <c r="F45" i="1"/>
  <c r="AW26" i="1"/>
  <c r="AW184" i="1"/>
  <c r="F229" i="1"/>
  <c r="S18" i="1"/>
  <c r="EO26" i="1"/>
  <c r="EO184" i="1"/>
  <c r="P45" i="1"/>
  <c r="EN26" i="1"/>
  <c r="EN184" i="1"/>
  <c r="P44" i="1"/>
  <c r="EQ26" i="1"/>
  <c r="EQ184" i="1"/>
  <c r="P47" i="1"/>
  <c r="DH22" i="1"/>
  <c r="P187" i="1"/>
  <c r="DH214" i="1"/>
  <c r="DG26" i="1"/>
  <c r="DG184" i="1"/>
  <c r="P41" i="1"/>
  <c r="FS26" i="1"/>
  <c r="EJ39" i="1"/>
  <c r="EM39" i="1"/>
  <c r="FV26" i="1"/>
  <c r="P226" i="1"/>
  <c r="DI18" i="1"/>
  <c r="DJ22" i="1"/>
  <c r="DJ214" i="1"/>
  <c r="P198" i="1"/>
  <c r="Y16" i="2" s="1"/>
  <c r="DP18" i="1"/>
  <c r="P240" i="1"/>
  <c r="P229" i="1"/>
  <c r="DK18" i="1"/>
  <c r="DQ18" i="1"/>
  <c r="P241" i="1"/>
  <c r="AY71" i="1"/>
  <c r="F86" i="1"/>
  <c r="AW71" i="1"/>
  <c r="F84" i="1"/>
  <c r="F83" i="1"/>
  <c r="AV71" i="1"/>
  <c r="F80" i="1"/>
  <c r="O71" i="1"/>
  <c r="AR78" i="1"/>
  <c r="CA71" i="1"/>
  <c r="AU78" i="1"/>
  <c r="CD71" i="1"/>
  <c r="EN71" i="1"/>
  <c r="P83" i="1"/>
  <c r="P86" i="1"/>
  <c r="EQ71" i="1"/>
  <c r="P84" i="1"/>
  <c r="EO71" i="1"/>
  <c r="P80" i="1"/>
  <c r="DG71" i="1"/>
  <c r="EJ78" i="1"/>
  <c r="FS71" i="1"/>
  <c r="EM78" i="1"/>
  <c r="FV71" i="1"/>
  <c r="O149" i="1"/>
  <c r="F156" i="1"/>
  <c r="CB149" i="1"/>
  <c r="AS154" i="1"/>
  <c r="CA149" i="1"/>
  <c r="AR154" i="1"/>
  <c r="AY149" i="1"/>
  <c r="F162" i="1"/>
  <c r="F160" i="1"/>
  <c r="AW149" i="1"/>
  <c r="F159" i="1"/>
  <c r="AV149" i="1"/>
  <c r="FT149" i="1"/>
  <c r="EK154" i="1"/>
  <c r="FS149" i="1"/>
  <c r="EJ154" i="1"/>
  <c r="P156" i="1"/>
  <c r="DG149" i="1"/>
  <c r="EQ149" i="1"/>
  <c r="P162" i="1"/>
  <c r="P160" i="1"/>
  <c r="EO149" i="1"/>
  <c r="P159" i="1"/>
  <c r="EN149" i="1"/>
  <c r="F235" i="1"/>
  <c r="T18" i="1"/>
  <c r="F236" i="1"/>
  <c r="U18" i="1"/>
  <c r="V18" i="1"/>
  <c r="F237" i="1"/>
  <c r="F238" i="1"/>
  <c r="W18" i="1"/>
  <c r="BA18" i="1"/>
  <c r="F234" i="1"/>
  <c r="P235" i="1"/>
  <c r="DL18" i="1"/>
  <c r="P236" i="1"/>
  <c r="DM18" i="1"/>
  <c r="P237" i="1"/>
  <c r="DN18" i="1"/>
  <c r="P238" i="1"/>
  <c r="DO18" i="1"/>
  <c r="ES18" i="1"/>
  <c r="P234" i="1"/>
  <c r="F211" i="1"/>
  <c r="Y214" i="1"/>
  <c r="Y22" i="1"/>
  <c r="Q214" i="1"/>
  <c r="Q22" i="1"/>
  <c r="F196" i="1"/>
  <c r="R214" i="1"/>
  <c r="R22" i="1"/>
  <c r="F198" i="1"/>
  <c r="J16" i="2" s="1"/>
  <c r="X214" i="1"/>
  <c r="X22" i="1"/>
  <c r="F210" i="1"/>
  <c r="O214" i="1" l="1"/>
  <c r="O22" i="1"/>
  <c r="F186" i="1"/>
  <c r="AR26" i="1"/>
  <c r="AR184" i="1"/>
  <c r="F67" i="1"/>
  <c r="AU26" i="1"/>
  <c r="F58" i="1"/>
  <c r="AU184" i="1"/>
  <c r="AY22" i="1"/>
  <c r="AY214" i="1"/>
  <c r="F192" i="1"/>
  <c r="AV214" i="1"/>
  <c r="AV22" i="1"/>
  <c r="F189" i="1"/>
  <c r="P18" i="1"/>
  <c r="F217" i="1"/>
  <c r="AW214" i="1"/>
  <c r="F190" i="1"/>
  <c r="AW22" i="1"/>
  <c r="EO22" i="1"/>
  <c r="EO214" i="1"/>
  <c r="P190" i="1"/>
  <c r="EN22" i="1"/>
  <c r="P189" i="1"/>
  <c r="EN214" i="1"/>
  <c r="EQ22" i="1"/>
  <c r="P192" i="1"/>
  <c r="EQ214" i="1"/>
  <c r="P217" i="1"/>
  <c r="DH18" i="1"/>
  <c r="DG214" i="1"/>
  <c r="P186" i="1"/>
  <c r="DG22" i="1"/>
  <c r="EJ26" i="1"/>
  <c r="EJ184" i="1"/>
  <c r="P67" i="1"/>
  <c r="EM184" i="1"/>
  <c r="P58" i="1"/>
  <c r="EM26" i="1"/>
  <c r="DJ18" i="1"/>
  <c r="P228" i="1"/>
  <c r="F106" i="1"/>
  <c r="AR71" i="1"/>
  <c r="F97" i="1"/>
  <c r="AU71" i="1"/>
  <c r="P106" i="1"/>
  <c r="EJ71" i="1"/>
  <c r="P97" i="1"/>
  <c r="EM71" i="1"/>
  <c r="AS184" i="1"/>
  <c r="AS149" i="1"/>
  <c r="F171" i="1"/>
  <c r="F182" i="1"/>
  <c r="AR149" i="1"/>
  <c r="EK184" i="1"/>
  <c r="EK149" i="1"/>
  <c r="P171" i="1"/>
  <c r="P182" i="1"/>
  <c r="EJ149" i="1"/>
  <c r="Y18" i="1"/>
  <c r="F241" i="1"/>
  <c r="Q18" i="1"/>
  <c r="F226" i="1"/>
  <c r="R18" i="1"/>
  <c r="F228" i="1"/>
  <c r="F240" i="1"/>
  <c r="X18" i="1"/>
  <c r="F216" i="1" l="1"/>
  <c r="O18" i="1"/>
  <c r="F212" i="1"/>
  <c r="AR22" i="1"/>
  <c r="AR214" i="1"/>
  <c r="AU214" i="1"/>
  <c r="F203" i="1"/>
  <c r="H16" i="2" s="1"/>
  <c r="AU22" i="1"/>
  <c r="AY18" i="1"/>
  <c r="F222" i="1"/>
  <c r="F219" i="1"/>
  <c r="AV18" i="1"/>
  <c r="F220" i="1"/>
  <c r="AW18" i="1"/>
  <c r="EO18" i="1"/>
  <c r="P220" i="1"/>
  <c r="EN18" i="1"/>
  <c r="P219" i="1"/>
  <c r="P222" i="1"/>
  <c r="EQ18" i="1"/>
  <c r="DG18" i="1"/>
  <c r="P216" i="1"/>
  <c r="EJ214" i="1"/>
  <c r="EJ22" i="1"/>
  <c r="P212" i="1"/>
  <c r="EM22" i="1"/>
  <c r="EM214" i="1"/>
  <c r="P203" i="1"/>
  <c r="W16" i="2" s="1"/>
  <c r="AS22" i="1"/>
  <c r="F201" i="1"/>
  <c r="E16" i="2" s="1"/>
  <c r="I16" i="2" s="1"/>
  <c r="N16" i="2" s="1"/>
  <c r="AS214" i="1"/>
  <c r="P201" i="1"/>
  <c r="T16" i="2" s="1"/>
  <c r="EK214" i="1"/>
  <c r="EK22" i="1"/>
  <c r="F242" i="1" l="1"/>
  <c r="AR18" i="1"/>
  <c r="AU18" i="1"/>
  <c r="F233" i="1"/>
  <c r="EJ18" i="1"/>
  <c r="P242" i="1"/>
  <c r="EM18" i="1"/>
  <c r="P233" i="1"/>
  <c r="AS18" i="1"/>
  <c r="F231" i="1"/>
  <c r="EK18" i="1"/>
  <c r="P231" i="1"/>
  <c r="X16" i="2"/>
  <c r="AC16" i="2" s="1"/>
</calcChain>
</file>

<file path=xl/sharedStrings.xml><?xml version="1.0" encoding="utf-8"?>
<sst xmlns="http://schemas.openxmlformats.org/spreadsheetml/2006/main" count="1983" uniqueCount="164">
  <si>
    <t>Smeta.RU  (495) 974-1589</t>
  </si>
  <si>
    <t>_PS_</t>
  </si>
  <si>
    <t>Smeta.RU</t>
  </si>
  <si>
    <t/>
  </si>
  <si>
    <t>09-01-04 Транспортировка_(2 этап)</t>
  </si>
  <si>
    <t>09-01-04 Транспортировка</t>
  </si>
  <si>
    <t>Сметные нормы списания</t>
  </si>
  <si>
    <t>Коды ОКП для ТСН-2001 МГЭ (История развития)</t>
  </si>
  <si>
    <t>Типовой расчет для ТСН-2001 МГЭ, Новая методика с выпуска доп. 43 (Строительство), Доп 73</t>
  </si>
  <si>
    <t>История развития для ТСН-2001 (МГЭ) 73 доп от 17.07.2024</t>
  </si>
  <si>
    <t>Поправки для ТСН-2001 от 16.04.2024 г. доп.72</t>
  </si>
  <si>
    <t>Территориальные сметные нормативы для Москвы (ТСН-2001)</t>
  </si>
  <si>
    <t>ТЕР</t>
  </si>
  <si>
    <t>Новая локальная смета</t>
  </si>
  <si>
    <t>Новый раздел</t>
  </si>
  <si>
    <t>Благоустройство</t>
  </si>
  <si>
    <t>1</t>
  </si>
  <si>
    <t>15.2-50-10</t>
  </si>
  <si>
    <t>Перевозка строительного мусора на расстояние до 50 км автосамосвалами грузоподъемностью до 10 т</t>
  </si>
  <si>
    <t>т</t>
  </si>
  <si>
    <t>ТСН-2001.15 Доп. 68, Сб. 2, т. 50, поз. 10</t>
  </si>
  <si>
    <t>Транспортные затраты</t>
  </si>
  <si>
    <t>ТСН-2001.15-1. Перевозка строительного мусора</t>
  </si>
  <si>
    <t>ТСН-2001.15-1-5</t>
  </si>
  <si>
    <t>2</t>
  </si>
  <si>
    <t>15.1-1300-02</t>
  </si>
  <si>
    <t>Лом асфальтовых и асфальтобетонных покрытий малоопасный</t>
  </si>
  <si>
    <t>1 Т</t>
  </si>
  <si>
    <t>ТСН-2001.15 Доп. 56, Сб. 1, т. 1300, поз. 2</t>
  </si>
  <si>
    <t>3</t>
  </si>
  <si>
    <t>15.1-1201-03</t>
  </si>
  <si>
    <t>Лом бетонных изделий, отходы бетона в кусковой форме, практически неопасные</t>
  </si>
  <si>
    <t>ТСН-2001.15 Доп. 56, Сб. 1, т. 1201, поз. 3</t>
  </si>
  <si>
    <t>4</t>
  </si>
  <si>
    <t>15.1-1106-02</t>
  </si>
  <si>
    <t>Отходы строительного щебня незагрязненные практически неопасные</t>
  </si>
  <si>
    <t>ТСН-2001.15 Доп. 68, Сб. 1, т. 1106, поз. 2</t>
  </si>
  <si>
    <t>5</t>
  </si>
  <si>
    <t>15.1-1200-01</t>
  </si>
  <si>
    <t>Лом бортовых камней, брусчатки, булыжных камней и прочие отходы изделий из природного камня, практически неопасный</t>
  </si>
  <si>
    <t>ТСН-2001.15 Доп. 56, Сб. 1, т. 1200, поз. 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</si>
  <si>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</si>
  <si>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</si>
  <si>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</si>
  <si>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</si>
  <si>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</si>
  <si>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</si>
  <si>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</si>
  <si>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</si>
  <si>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</si>
  <si>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</si>
  <si>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</si>
  <si>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</si>
  <si>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</si>
  <si>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</si>
  <si>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</si>
  <si>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</si>
  <si>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</si>
  <si>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</si>
  <si>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</si>
  <si>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</si>
  <si>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</si>
  <si>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</si>
  <si>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</si>
  <si>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</si>
  <si>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</si>
  <si>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</si>
  <si>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</si>
  <si>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</si>
  <si>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</si>
  <si>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</si>
  <si>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</si>
  <si>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</si>
  <si>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</si>
  <si>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</si>
  <si>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</si>
  <si>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</si>
  <si>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</si>
  <si>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</si>
  <si>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</si>
  <si>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</si>
  <si>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</si>
  <si>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</si>
  <si>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</si>
  <si>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</si>
  <si>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</si>
  <si>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</si>
  <si>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</si>
  <si>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</si>
  <si>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</si>
  <si>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</si>
  <si>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</si>
  <si>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</si>
  <si>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</si>
  <si>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</si>
  <si>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10 кВ и 0,4 кВ</t>
  </si>
  <si>
    <t>6</t>
  </si>
  <si>
    <t>15.2-53-4</t>
  </si>
  <si>
    <t>Перевозка грунтов скальных и дисперсных несвязных на расстояние до 53 км автосамосвалами грузоподъемностью до 10 т</t>
  </si>
  <si>
    <t>ТСН-2001.15 Доп. 68, Сб. 2, т. 53, поз. 4</t>
  </si>
  <si>
    <t>ТСН-2001.15-1. Перевозка грунта</t>
  </si>
  <si>
    <t>ТСН-2001.15-1-3</t>
  </si>
  <si>
    <t>7</t>
  </si>
  <si>
    <t>15.1-1102-01</t>
  </si>
  <si>
    <t>Отходы грунта при проведении открытых земляных работ практически неопасные</t>
  </si>
  <si>
    <t>ТСН-2001.15 Доп. 56, Сб. 1, т. 1102, поз. 1</t>
  </si>
  <si>
    <t>ТП</t>
  </si>
  <si>
    <t>Перевозка демонтируемого оборудования</t>
  </si>
  <si>
    <t>8</t>
  </si>
  <si>
    <t>6.66-0-10</t>
  </si>
  <si>
    <t>Транспортировка материалов и оборудования на 10 км от приобъектного склада до рабочей зоны Применительно</t>
  </si>
  <si>
    <t>ТСН-2001.6. Доп. 1-42. Сб. 66, т. 0, поз. 10</t>
  </si>
  <si>
    <t>Ремонтно-строительные работы</t>
  </si>
  <si>
    <t>ТСН-2001.6-66. 66-0</t>
  </si>
  <si>
    <t>ТСН-2001.6-66-1</t>
  </si>
  <si>
    <t>Инд_исп.Сводный</t>
  </si>
  <si>
    <t>Используется Индекс "по сводному"</t>
  </si>
  <si>
    <t>Базовый уровень цен</t>
  </si>
  <si>
    <t>Текущий уровень цен</t>
  </si>
  <si>
    <t>Сборник индексов</t>
  </si>
  <si>
    <t>Коэффициенты к ТСН-2001 МГЭ</t>
  </si>
  <si>
    <t>212</t>
  </si>
  <si>
    <t>_OBSM_</t>
  </si>
  <si>
    <t>9999990007</t>
  </si>
  <si>
    <t>Стоимость прочих машин (ЭСН)</t>
  </si>
  <si>
    <t>руб.</t>
  </si>
  <si>
    <t>(наименование стройки и/или объекта)</t>
  </si>
  <si>
    <t>(наименование работ и затрат)</t>
  </si>
  <si>
    <t>В базисном уровне цен</t>
  </si>
  <si>
    <t>В текущем уровне 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</si>
  <si>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</si>
  <si>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</si>
  <si>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</si>
  <si>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</si>
  <si>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</si>
  <si>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</si>
  <si>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</si>
  <si>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</si>
  <si>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</si>
  <si>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</si>
  <si>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</si>
  <si>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</si>
  <si>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</si>
  <si>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</si>
  <si>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</si>
  <si>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</si>
  <si>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</si>
  <si>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
затрат в
базисном
уровне цен,
руб.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</si>
  <si>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</si>
  <si>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</si>
  <si>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</si>
  <si>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Составлен(а) по ТСН-2001 с учетом Дополнения №: 73</t>
  </si>
  <si>
    <t>№ и период сборника коэффициентов (индексов) пересчета: Коэффициенты к ТСН-2001 МГЭ №212 III квартал 2024 года</t>
  </si>
  <si>
    <t>ЭМ</t>
  </si>
  <si>
    <t>Всего по позиции:</t>
  </si>
  <si>
    <t xml:space="preserve">   Итого по ТСН-2001.16</t>
  </si>
  <si>
    <t xml:space="preserve">   Итого возвратных сумм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</si>
  <si>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</si>
  <si>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</si>
  <si>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</si>
  <si>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</si>
  <si>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ПИР, СМР, ПНР, материалы, оборудование (за исключением замков, предоставляемых Заказчиком) по титулу: Строительство ТП-10/0,4кВ с тр-ми 2х400кВА, 4КЛ-10кВ от ТП-10/0,4кВ луч А,Б до КЛ-10кВ направлением ТП-10/0,4кВ № № 21782 - ТП-10/0,4кВ № 24478 луч А,Б, 8КЛ-0,4кВ от ТП-10/0,4кВ до ВРЩ-0,4кВ №1-3, в т.ч. ПИР: г.Москва, ул.Феодосийская, з/у 7 для нужд МКС – филиала ПАО «Россети Московский регион»</t>
  </si>
  <si>
    <t>ЛОКАЛЬНАЯ СМЕТА № 09-01-04</t>
  </si>
  <si>
    <t>Транспортировка грунта и мусора (2 этап)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</si>
</sst>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-\ #,##0.00"/>
    <numFmt numFmtId="165" formatCode="General;\-General;"/>
  </numFmts>
  <fonts count="19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/>
    </xf>
    <xf numFmtId="0" fontId="18" fillId="0" borderId="0" xfId="0" applyFont="1" applyAlignment="1">
      <alignment horizontal="right" wrapText="1"/>
    </xf>
    <xf numFmtId="165" fontId="12" fillId="0" borderId="0" xfId="0" applyNumberFormat="1" applyFont="1" applyAlignment="1">
      <alignment horizontal="right" wrapText="1"/>
    </xf>
    <xf numFmtId="164" fontId="12" fillId="0" borderId="0" xfId="0" applyNumberFormat="1" applyFont="1" applyAlignment="1">
      <alignment horizontal="right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165" fontId="12" fillId="0" borderId="1" xfId="0" applyNumberFormat="1" applyFont="1" applyBorder="1" applyAlignment="1">
      <alignment horizontal="right" wrapText="1"/>
    </xf>
    <xf numFmtId="164" fontId="16" fillId="0" borderId="2" xfId="0" applyNumberFormat="1" applyFont="1" applyBorder="1" applyAlignment="1">
      <alignment horizontal="right"/>
    </xf>
    <xf numFmtId="164" fontId="0" fillId="0" borderId="0" xfId="0" applyNumberFormat="1"/>
    <xf numFmtId="0" fontId="16" fillId="0" borderId="0" xfId="0" applyFont="1" applyAlignment="1">
      <alignment horizontal="right"/>
    </xf>
    <xf numFmtId="164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left" wrapText="1"/>
    </xf>
    <xf numFmtId="0" fontId="10" fillId="0" borderId="0" xfId="0" applyFont="1" applyAlignment="1">
      <alignment vertical="top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</cellXfs>
  <cellStyles count="2">
    <cellStyle name="Обычный" xfId="0" builtinId="0"/>
    <cellStyle name="Обычный 4" xfId="1" xr:uid="{FFA3F2C9-5F05-460C-BADD-A55347B0A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C02C-C39A-463E-B07B-A97DDA8346DA}">
  <sheetPr>
    <pageSetUpPr fitToPage="1"/>
  </sheetPr>
  <dimension ref="A1:AP75"/>
  <sheetViews>
    <sheetView tabSelected="1" topLeftCell="A8" zoomScaleNormal="100" workbookViewId="0">
      <selection activeCell="BC73" sqref="BC73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8.85546875" bestFit="1" customWidth="1"/>
    <col min="7" max="7" width="8.5703125" bestFit="1" customWidth="1"/>
    <col min="9" max="10" width="12" customWidth="1"/>
    <col min="11" max="11" width="10.140625" bestFit="1" customWidth="1"/>
    <col min="14" max="41" width="0" hidden="1" customWidth="1"/>
    <col min="42" max="42" width="129.7109375" hidden="1" customWidth="1"/>
    <col min="43" max="47" width="0" hidden="1" customWidth="1"/>
  </cols>
  <sheetData>
    <row r="1" spans="1:11" x14ac:dyDescent="0.2">
      <c r="A1" s="10" t="str">
        <f>Source!B1</f>
        <v>Smeta.RU  (495) 974-1589</v>
      </c>
    </row>
    <row r="2" spans="1:11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0" t="s">
        <v>150</v>
      </c>
      <c r="K2" s="30"/>
    </row>
    <row r="3" spans="1:11" ht="70.5" customHeight="1" x14ac:dyDescent="0.25">
      <c r="A3" s="12" t="s">
        <v>161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">
      <c r="A4" s="13" t="s">
        <v>126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.75" customHeight="1" x14ac:dyDescent="0.25">
      <c r="A6" s="12" t="s">
        <v>162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8" x14ac:dyDescent="0.25">
      <c r="A8" s="15" t="s">
        <v>163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x14ac:dyDescent="0.2">
      <c r="A9" s="16" t="s">
        <v>127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4.25" x14ac:dyDescent="0.2">
      <c r="A11" s="18" t="str">
        <f>CONCATENATE( "Основание: чертежи № ", Source!J12)</f>
        <v xml:space="preserve">Основание: чертежи № 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1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48.75" customHeight="1" x14ac:dyDescent="0.2">
      <c r="A13" s="11"/>
      <c r="B13" s="11"/>
      <c r="C13" s="11"/>
      <c r="D13" s="11"/>
      <c r="E13" s="11"/>
      <c r="F13" s="11"/>
      <c r="G13" s="11"/>
      <c r="H13" s="11"/>
      <c r="I13" s="20" t="s">
        <v>128</v>
      </c>
      <c r="J13" s="20" t="s">
        <v>129</v>
      </c>
      <c r="K13" s="11"/>
    </row>
    <row r="14" spans="1:11" ht="15" x14ac:dyDescent="0.25">
      <c r="A14" s="11"/>
      <c r="B14" s="11"/>
      <c r="C14" s="11"/>
      <c r="D14" s="11"/>
      <c r="E14" s="21" t="s">
        <v>130</v>
      </c>
      <c r="F14" s="21"/>
      <c r="G14" s="21"/>
      <c r="H14" s="21"/>
      <c r="I14" s="22">
        <f>I15+I16+I17+I18</f>
        <v>4.87</v>
      </c>
      <c r="J14" s="22">
        <f>J15+J16+J17+J18</f>
        <v>71.22</v>
      </c>
      <c r="K14" s="23" t="s">
        <v>157</v>
      </c>
    </row>
    <row r="15" spans="1:11" ht="14.25" x14ac:dyDescent="0.2">
      <c r="A15" s="11"/>
      <c r="B15" s="11"/>
      <c r="C15" s="11"/>
      <c r="D15" s="11"/>
      <c r="E15" s="24" t="s">
        <v>131</v>
      </c>
      <c r="F15" s="24"/>
      <c r="G15" s="24"/>
      <c r="H15" s="24"/>
      <c r="I15" s="25">
        <f>ROUND(SUM(X1:X68)/1000, 2)</f>
        <v>0</v>
      </c>
      <c r="J15" s="25">
        <f>ROUND((Source!P231)/1000, 2)</f>
        <v>0</v>
      </c>
      <c r="K15" s="11" t="s">
        <v>157</v>
      </c>
    </row>
    <row r="16" spans="1:11" ht="14.25" x14ac:dyDescent="0.2">
      <c r="A16" s="11"/>
      <c r="B16" s="11"/>
      <c r="C16" s="11"/>
      <c r="D16" s="11"/>
      <c r="E16" s="24" t="s">
        <v>132</v>
      </c>
      <c r="F16" s="24"/>
      <c r="G16" s="24"/>
      <c r="H16" s="24"/>
      <c r="I16" s="25">
        <f>ROUND(SUM(Y1:Y68)/1000, 2)</f>
        <v>0</v>
      </c>
      <c r="J16" s="25">
        <f>ROUND((Source!P232)/1000, 2)</f>
        <v>0</v>
      </c>
      <c r="K16" s="11" t="s">
        <v>157</v>
      </c>
    </row>
    <row r="17" spans="1:42" ht="14.25" x14ac:dyDescent="0.2">
      <c r="A17" s="11"/>
      <c r="B17" s="11"/>
      <c r="C17" s="11"/>
      <c r="D17" s="11"/>
      <c r="E17" s="24" t="s">
        <v>133</v>
      </c>
      <c r="F17" s="24"/>
      <c r="G17" s="24"/>
      <c r="H17" s="24"/>
      <c r="I17" s="25">
        <f>ROUND(SUM(Z1:Z68)/1000, 2)</f>
        <v>0</v>
      </c>
      <c r="J17" s="25">
        <f>ROUND((Source!P223)/1000, 2)</f>
        <v>0</v>
      </c>
      <c r="K17" s="11" t="s">
        <v>157</v>
      </c>
    </row>
    <row r="18" spans="1:42" ht="14.25" x14ac:dyDescent="0.2">
      <c r="A18" s="11"/>
      <c r="B18" s="11"/>
      <c r="C18" s="11"/>
      <c r="D18" s="11"/>
      <c r="E18" s="24" t="s">
        <v>134</v>
      </c>
      <c r="F18" s="24"/>
      <c r="G18" s="24"/>
      <c r="H18" s="24"/>
      <c r="I18" s="25">
        <f>ROUND(SUM(AA1:AA68)/1000, 2)</f>
        <v>4.87</v>
      </c>
      <c r="J18" s="25">
        <f>ROUND((Source!P233+Source!P234)/1000, 2)</f>
        <v>71.22</v>
      </c>
      <c r="K18" s="11" t="s">
        <v>157</v>
      </c>
    </row>
    <row r="19" spans="1:42" ht="14.25" x14ac:dyDescent="0.2">
      <c r="A19" s="11"/>
      <c r="B19" s="11"/>
      <c r="C19" s="11"/>
      <c r="D19" s="11"/>
      <c r="E19" s="24" t="s">
        <v>135</v>
      </c>
      <c r="F19" s="24"/>
      <c r="G19" s="24"/>
      <c r="H19" s="24"/>
      <c r="I19" s="25">
        <f>ROUND(SUM(W1:W68)/1000, 2)</f>
        <v>0</v>
      </c>
      <c r="J19" s="25">
        <f>((Source!P229 + Source!P228)/1000)</f>
        <v>0</v>
      </c>
      <c r="K19" s="11" t="s">
        <v>157</v>
      </c>
    </row>
    <row r="20" spans="1:42" ht="14.25" x14ac:dyDescent="0.2">
      <c r="A20" s="11"/>
      <c r="B20" s="11"/>
      <c r="C20" s="11"/>
      <c r="D20" s="11"/>
      <c r="E20" s="24" t="s">
        <v>136</v>
      </c>
      <c r="F20" s="24"/>
      <c r="G20" s="24"/>
      <c r="H20" s="24"/>
      <c r="I20" s="25">
        <f>SUM(AB1:AB68)</f>
        <v>0</v>
      </c>
      <c r="J20" s="25"/>
      <c r="K20" s="11" t="s">
        <v>137</v>
      </c>
    </row>
    <row r="21" spans="1:42" ht="14.25" hidden="1" x14ac:dyDescent="0.2">
      <c r="A21" s="11"/>
      <c r="B21" s="11"/>
      <c r="C21" s="11"/>
      <c r="D21" s="11"/>
      <c r="E21" s="24" t="s">
        <v>138</v>
      </c>
      <c r="F21" s="24"/>
      <c r="G21" s="24"/>
      <c r="H21" s="24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6" t="s">
        <v>80</v>
      </c>
      <c r="F22" s="26"/>
      <c r="G22" s="26"/>
      <c r="H22" s="26"/>
      <c r="I22" s="25">
        <f>ROUND(SUM(AE1:AE68)/1000, 2)</f>
        <v>0</v>
      </c>
      <c r="J22" s="25">
        <f>SUM(AF1:AF68)/1000</f>
        <v>0</v>
      </c>
      <c r="K22" s="11" t="s">
        <v>157</v>
      </c>
    </row>
    <row r="23" spans="1:42" ht="14.25" x14ac:dyDescent="0.2">
      <c r="A23" s="11"/>
      <c r="B23" s="11"/>
      <c r="C23" s="11"/>
      <c r="D23" s="11"/>
      <c r="E23" s="11"/>
      <c r="F23" s="27"/>
      <c r="G23" s="27"/>
      <c r="H23" s="27"/>
      <c r="I23" s="25"/>
      <c r="J23" s="25"/>
      <c r="K23" s="11"/>
    </row>
    <row r="24" spans="1:42" ht="14.25" x14ac:dyDescent="0.2">
      <c r="A24" s="11" t="s">
        <v>151</v>
      </c>
      <c r="B24" s="11"/>
      <c r="C24" s="11"/>
      <c r="D24" s="11"/>
      <c r="E24" s="11"/>
      <c r="F24" s="27"/>
      <c r="G24" s="27"/>
      <c r="H24" s="27"/>
      <c r="I24" s="25"/>
      <c r="J24" s="25"/>
      <c r="K24" s="11"/>
    </row>
    <row r="25" spans="1:42" ht="14.25" x14ac:dyDescent="0.2">
      <c r="A25" s="18" t="s">
        <v>152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1" t="s">
        <v>152</v>
      </c>
    </row>
    <row r="26" spans="1:42" ht="114" x14ac:dyDescent="0.2">
      <c r="A26" s="28" t="s">
        <v>139</v>
      </c>
      <c r="B26" s="28" t="s">
        <v>140</v>
      </c>
      <c r="C26" s="28" t="s">
        <v>141</v>
      </c>
      <c r="D26" s="28" t="s">
        <v>142</v>
      </c>
      <c r="E26" s="28" t="s">
        <v>143</v>
      </c>
      <c r="F26" s="28" t="s">
        <v>144</v>
      </c>
      <c r="G26" s="29" t="s">
        <v>145</v>
      </c>
      <c r="H26" s="29" t="s">
        <v>146</v>
      </c>
      <c r="I26" s="28" t="s">
        <v>147</v>
      </c>
      <c r="J26" s="28" t="s">
        <v>148</v>
      </c>
      <c r="K26" s="28" t="s">
        <v>149</v>
      </c>
    </row>
    <row r="27" spans="1:42" ht="14.25" x14ac:dyDescent="0.2">
      <c r="A27" s="28">
        <v>1</v>
      </c>
      <c r="B27" s="28">
        <v>2</v>
      </c>
      <c r="C27" s="28">
        <v>3</v>
      </c>
      <c r="D27" s="28">
        <v>4</v>
      </c>
      <c r="E27" s="28">
        <v>5</v>
      </c>
      <c r="F27" s="28">
        <v>6</v>
      </c>
      <c r="G27" s="28">
        <v>7</v>
      </c>
      <c r="H27" s="28">
        <v>8</v>
      </c>
      <c r="I27" s="28">
        <v>9</v>
      </c>
      <c r="J27" s="28">
        <v>10</v>
      </c>
      <c r="K27" s="28">
        <v>11</v>
      </c>
    </row>
    <row r="30" spans="1:42" ht="16.5" x14ac:dyDescent="0.25">
      <c r="A30" s="32" t="str">
        <f>CONCATENATE("Раздел: ",IF(Source!G24&lt;&gt;"Новый раздел", Source!G24, ""))</f>
        <v>Раздел: Благоустройство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42" ht="42.75" x14ac:dyDescent="0.2">
      <c r="A31" s="33">
        <v>1</v>
      </c>
      <c r="B31" s="33" t="str">
        <f>Source!F29</f>
        <v>15.2-50-10</v>
      </c>
      <c r="C31" s="33" t="s">
        <v>18</v>
      </c>
      <c r="D31" s="35" t="str">
        <f>Source!DW29</f>
        <v>т</v>
      </c>
      <c r="E31" s="34">
        <f>Source!I29</f>
        <v>10.55</v>
      </c>
      <c r="F31" s="37"/>
      <c r="G31" s="36"/>
      <c r="H31" s="34"/>
      <c r="I31" s="37"/>
      <c r="J31" s="34"/>
      <c r="K31" s="37"/>
      <c r="Q31">
        <f>ROUND((Source!DN29/100)*ROUND((ROUND((Source!AF29*Source!AV29*Source!I29),2)),2), 2)</f>
        <v>0</v>
      </c>
      <c r="R31">
        <f>Source!X29</f>
        <v>0</v>
      </c>
      <c r="S31">
        <f>ROUND((Source!DO29/100)*ROUND((ROUND((Source!AF29*Source!AV29*Source!I29),2)),2), 2)</f>
        <v>0</v>
      </c>
      <c r="T31">
        <f>Source!Y29</f>
        <v>0</v>
      </c>
      <c r="U31">
        <f>ROUND((175/100)*ROUND((ROUND((Source!AE29*Source!AV29*Source!I29),2)),2), 2)</f>
        <v>0</v>
      </c>
      <c r="V31">
        <f>ROUND((160/100)*ROUND(ROUND((ROUND((Source!AE29*Source!AV29*Source!I29),2)*Source!BS29),2), 2), 2)</f>
        <v>0</v>
      </c>
      <c r="AI31">
        <v>0</v>
      </c>
    </row>
    <row r="32" spans="1:42" ht="14.25" x14ac:dyDescent="0.2">
      <c r="A32" s="38"/>
      <c r="B32" s="38"/>
      <c r="C32" s="38" t="s">
        <v>153</v>
      </c>
      <c r="D32" s="39"/>
      <c r="E32" s="40"/>
      <c r="F32" s="41">
        <f>Source!AM29</f>
        <v>42.72</v>
      </c>
      <c r="G32" s="42" t="str">
        <f>Source!DE29</f>
        <v/>
      </c>
      <c r="H32" s="40">
        <f>Source!AV29</f>
        <v>1</v>
      </c>
      <c r="I32" s="41">
        <f>(ROUND((ROUND(((Source!ET29)*Source!AV29*Source!I29),2)),2)+ROUND((ROUND(((Source!AE29-(Source!EU29))*Source!AV29*Source!I29),2)),2))</f>
        <v>450.7</v>
      </c>
      <c r="J32" s="40">
        <f>IF(Source!BB29&lt;&gt; 0, Source!BB29, 1)</f>
        <v>15.67</v>
      </c>
      <c r="K32" s="41">
        <f>Source!Q29</f>
        <v>7062.47</v>
      </c>
    </row>
    <row r="33" spans="1:35" ht="15" x14ac:dyDescent="0.25">
      <c r="C33" s="23" t="s">
        <v>154</v>
      </c>
      <c r="H33" s="43">
        <f>I32+0</f>
        <v>450.7</v>
      </c>
      <c r="I33" s="43"/>
      <c r="J33" s="43">
        <f>K32+0</f>
        <v>7062.47</v>
      </c>
      <c r="K33" s="43"/>
      <c r="O33" s="44">
        <f>I32+0</f>
        <v>450.7</v>
      </c>
      <c r="P33" s="44">
        <f>K32+0</f>
        <v>7062.47</v>
      </c>
      <c r="X33">
        <f>IF(Source!BI29&lt;=1,I32-0, 0)</f>
        <v>0</v>
      </c>
      <c r="Y33">
        <f>IF(Source!BI29=2,I32-0, 0)</f>
        <v>0</v>
      </c>
      <c r="Z33">
        <f>IF(Source!BI29=3,I32-0, 0)</f>
        <v>0</v>
      </c>
      <c r="AA33">
        <f>IF(Source!BI29=4,I32,0)</f>
        <v>450.7</v>
      </c>
    </row>
    <row r="35" spans="1:35" ht="42.75" x14ac:dyDescent="0.2">
      <c r="A35" s="33">
        <v>2</v>
      </c>
      <c r="B35" s="33" t="str">
        <f>Source!F31</f>
        <v>15.1-1300-02</v>
      </c>
      <c r="C35" s="33" t="s">
        <v>26</v>
      </c>
      <c r="D35" s="35" t="str">
        <f>Source!DW31</f>
        <v>1 Т</v>
      </c>
      <c r="E35" s="34">
        <f>Source!I31</f>
        <v>10.55</v>
      </c>
      <c r="F35" s="37"/>
      <c r="G35" s="36"/>
      <c r="H35" s="34"/>
      <c r="I35" s="37"/>
      <c r="J35" s="34"/>
      <c r="K35" s="37"/>
      <c r="Q35">
        <f>ROUND((Source!DN31/100)*ROUND((ROUND((Source!AF31*Source!AV31*Source!I31),2)),2), 2)</f>
        <v>0</v>
      </c>
      <c r="R35">
        <f>Source!X31</f>
        <v>0</v>
      </c>
      <c r="S35">
        <f>ROUND((Source!DO31/100)*ROUND((ROUND((Source!AF31*Source!AV31*Source!I31),2)),2), 2)</f>
        <v>0</v>
      </c>
      <c r="T35">
        <f>Source!Y31</f>
        <v>0</v>
      </c>
      <c r="U35">
        <f>ROUND((175/100)*ROUND((ROUND((Source!AE31*Source!AV31*Source!I31),2)),2), 2)</f>
        <v>0</v>
      </c>
      <c r="V35">
        <f>ROUND((160/100)*ROUND(ROUND((ROUND((Source!AE31*Source!AV31*Source!I31),2)*Source!BS31),2), 2), 2)</f>
        <v>0</v>
      </c>
      <c r="AI35">
        <v>0</v>
      </c>
    </row>
    <row r="36" spans="1:35" ht="14.25" x14ac:dyDescent="0.2">
      <c r="A36" s="38"/>
      <c r="B36" s="38"/>
      <c r="C36" s="38" t="s">
        <v>153</v>
      </c>
      <c r="D36" s="39"/>
      <c r="E36" s="40"/>
      <c r="F36" s="41">
        <f>Source!AM31</f>
        <v>36.590000000000003</v>
      </c>
      <c r="G36" s="42" t="str">
        <f>Source!DE31</f>
        <v/>
      </c>
      <c r="H36" s="40">
        <f>Source!AV31</f>
        <v>1</v>
      </c>
      <c r="I36" s="41">
        <f>(ROUND((ROUND(((Source!ET31)*Source!AV31*Source!I31),2)),2)+ROUND((ROUND(((Source!AE31-(Source!EU31))*Source!AV31*Source!I31),2)),2))</f>
        <v>386.02</v>
      </c>
      <c r="J36" s="40">
        <f>IF(Source!BB31&lt;&gt; 0, Source!BB31, 1)</f>
        <v>8.1999999999999993</v>
      </c>
      <c r="K36" s="41">
        <f>Source!Q31</f>
        <v>3165.36</v>
      </c>
    </row>
    <row r="37" spans="1:35" ht="15" x14ac:dyDescent="0.25">
      <c r="C37" s="23" t="s">
        <v>154</v>
      </c>
      <c r="H37" s="43">
        <f>I36+0</f>
        <v>386.02</v>
      </c>
      <c r="I37" s="43"/>
      <c r="J37" s="43">
        <f>K36+0</f>
        <v>3165.36</v>
      </c>
      <c r="K37" s="43"/>
      <c r="O37" s="44">
        <f>I36+0</f>
        <v>386.02</v>
      </c>
      <c r="P37" s="44">
        <f>K36+0</f>
        <v>3165.36</v>
      </c>
      <c r="X37">
        <f>IF(Source!BI31&lt;=1,I36-0, 0)</f>
        <v>0</v>
      </c>
      <c r="Y37">
        <f>IF(Source!BI31=2,I36-0, 0)</f>
        <v>0</v>
      </c>
      <c r="Z37">
        <f>IF(Source!BI31=3,I36-0, 0)</f>
        <v>0</v>
      </c>
      <c r="AA37">
        <f>IF(Source!BI31=4,I36,0)</f>
        <v>386.02</v>
      </c>
    </row>
    <row r="40" spans="1:35" ht="15" x14ac:dyDescent="0.25">
      <c r="A40" s="47" t="str">
        <f>CONCATENATE("Итого по разделу: ",IF(Source!G39&lt;&gt;"Новый раздел", Source!G39, ""))</f>
        <v>Итого по разделу: Благоустройство</v>
      </c>
      <c r="B40" s="47"/>
      <c r="C40" s="47"/>
      <c r="D40" s="47"/>
      <c r="E40" s="47"/>
      <c r="F40" s="47"/>
      <c r="G40" s="47"/>
      <c r="H40" s="46">
        <f>SUM(O30:O39)</f>
        <v>836.72</v>
      </c>
      <c r="I40" s="45"/>
      <c r="J40" s="46">
        <f>SUM(P30:P39)</f>
        <v>10227.83</v>
      </c>
      <c r="K40" s="45"/>
    </row>
    <row r="41" spans="1:35" hidden="1" x14ac:dyDescent="0.2">
      <c r="A41" t="s">
        <v>155</v>
      </c>
      <c r="H41">
        <f>SUM(AC30:AC40)</f>
        <v>0</v>
      </c>
      <c r="J41">
        <f>SUM(AD30:AD40)</f>
        <v>0</v>
      </c>
    </row>
    <row r="42" spans="1:35" hidden="1" x14ac:dyDescent="0.2">
      <c r="A42" t="s">
        <v>156</v>
      </c>
      <c r="H42">
        <f>SUM(AE30:AE41)</f>
        <v>0</v>
      </c>
      <c r="J42">
        <f>SUM(AF30:AF41)</f>
        <v>0</v>
      </c>
    </row>
    <row r="44" spans="1:35" ht="16.5" x14ac:dyDescent="0.25">
      <c r="A44" s="32" t="str">
        <f>CONCATENATE("Раздел: ",IF(Source!G69&lt;&gt;"Новый раздел", Source!G69, ""))</f>
        <v>Раздел: 10 кВ и 0,4 кВ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35" ht="57" x14ac:dyDescent="0.2">
      <c r="A45" s="33">
        <v>6</v>
      </c>
      <c r="B45" s="33" t="str">
        <f>Source!F74</f>
        <v>15.2-53-4</v>
      </c>
      <c r="C45" s="33" t="s">
        <v>98</v>
      </c>
      <c r="D45" s="35" t="str">
        <f>Source!DW74</f>
        <v>т</v>
      </c>
      <c r="E45" s="34">
        <f>Source!I74</f>
        <v>69.86</v>
      </c>
      <c r="F45" s="37"/>
      <c r="G45" s="36"/>
      <c r="H45" s="34"/>
      <c r="I45" s="37"/>
      <c r="J45" s="34"/>
      <c r="K45" s="37"/>
      <c r="Q45">
        <f>ROUND((Source!DN74/100)*ROUND((ROUND((Source!AF74*Source!AV74*Source!I74),2)),2), 2)</f>
        <v>0</v>
      </c>
      <c r="R45">
        <f>Source!X74</f>
        <v>0</v>
      </c>
      <c r="S45">
        <f>ROUND((Source!DO74/100)*ROUND((ROUND((Source!AF74*Source!AV74*Source!I74),2)),2), 2)</f>
        <v>0</v>
      </c>
      <c r="T45">
        <f>Source!Y74</f>
        <v>0</v>
      </c>
      <c r="U45">
        <f>ROUND((175/100)*ROUND((ROUND((Source!AE74*Source!AV74*Source!I74),2)),2), 2)</f>
        <v>0</v>
      </c>
      <c r="V45">
        <f>ROUND((160/100)*ROUND(ROUND((ROUND((Source!AE74*Source!AV74*Source!I74),2)*Source!BS74),2), 2), 2)</f>
        <v>0</v>
      </c>
      <c r="AI45">
        <v>0</v>
      </c>
    </row>
    <row r="46" spans="1:35" x14ac:dyDescent="0.2">
      <c r="C46" s="48" t="str">
        <f>"Объем: "&amp;Source!I74&amp;"=(39,92)*"&amp;"1,75"</f>
        <v>Объем: 69,86=(39,92)*1,75</v>
      </c>
    </row>
    <row r="47" spans="1:35" ht="14.25" x14ac:dyDescent="0.2">
      <c r="A47" s="38"/>
      <c r="B47" s="38"/>
      <c r="C47" s="38" t="s">
        <v>153</v>
      </c>
      <c r="D47" s="39"/>
      <c r="E47" s="40"/>
      <c r="F47" s="41">
        <f>Source!AM74</f>
        <v>45.1</v>
      </c>
      <c r="G47" s="42" t="str">
        <f>Source!DE74</f>
        <v/>
      </c>
      <c r="H47" s="40">
        <f>Source!AV74</f>
        <v>1</v>
      </c>
      <c r="I47" s="41">
        <f>(ROUND((ROUND(((Source!ET74)*Source!AV74*Source!I74),2)),2)+ROUND((ROUND(((Source!AE74-(Source!EU74))*Source!AV74*Source!I74),2)),2))</f>
        <v>3150.69</v>
      </c>
      <c r="J47" s="40">
        <f>IF(Source!BB74&lt;&gt; 0, Source!BB74, 1)</f>
        <v>15.65</v>
      </c>
      <c r="K47" s="41">
        <f>Source!Q74</f>
        <v>49308.3</v>
      </c>
    </row>
    <row r="48" spans="1:35" ht="15" x14ac:dyDescent="0.25">
      <c r="C48" s="23" t="s">
        <v>154</v>
      </c>
      <c r="H48" s="43">
        <f>I47+0</f>
        <v>3150.69</v>
      </c>
      <c r="I48" s="43"/>
      <c r="J48" s="43">
        <f>K47+0</f>
        <v>49308.3</v>
      </c>
      <c r="K48" s="43"/>
      <c r="O48" s="44">
        <f>I47+0</f>
        <v>3150.69</v>
      </c>
      <c r="P48" s="44">
        <f>K47+0</f>
        <v>49308.3</v>
      </c>
      <c r="X48">
        <f>IF(Source!BI74&lt;=1,I47-0, 0)</f>
        <v>0</v>
      </c>
      <c r="Y48">
        <f>IF(Source!BI74=2,I47-0, 0)</f>
        <v>0</v>
      </c>
      <c r="Z48">
        <f>IF(Source!BI74=3,I47-0, 0)</f>
        <v>0</v>
      </c>
      <c r="AA48">
        <f>IF(Source!BI74=4,I47,0)</f>
        <v>3150.69</v>
      </c>
    </row>
    <row r="50" spans="1:35" ht="42.75" x14ac:dyDescent="0.2">
      <c r="A50" s="33">
        <v>7</v>
      </c>
      <c r="B50" s="33" t="str">
        <f>Source!F76</f>
        <v>15.1-1102-01</v>
      </c>
      <c r="C50" s="33" t="s">
        <v>104</v>
      </c>
      <c r="D50" s="35" t="str">
        <f>Source!DW76</f>
        <v>1 Т</v>
      </c>
      <c r="E50" s="34">
        <f>Source!I76</f>
        <v>69.86</v>
      </c>
      <c r="F50" s="37"/>
      <c r="G50" s="36"/>
      <c r="H50" s="34"/>
      <c r="I50" s="37"/>
      <c r="J50" s="34"/>
      <c r="K50" s="37"/>
      <c r="Q50">
        <f>ROUND((Source!DN76/100)*ROUND((ROUND((Source!AF76*Source!AV76*Source!I76),2)),2), 2)</f>
        <v>0</v>
      </c>
      <c r="R50">
        <f>Source!X76</f>
        <v>0</v>
      </c>
      <c r="S50">
        <f>ROUND((Source!DO76/100)*ROUND((ROUND((Source!AF76*Source!AV76*Source!I76),2)),2), 2)</f>
        <v>0</v>
      </c>
      <c r="T50">
        <f>Source!Y76</f>
        <v>0</v>
      </c>
      <c r="U50">
        <f>ROUND((175/100)*ROUND((ROUND((Source!AE76*Source!AV76*Source!I76),2)),2), 2)</f>
        <v>0</v>
      </c>
      <c r="V50">
        <f>ROUND((160/100)*ROUND(ROUND((ROUND((Source!AE76*Source!AV76*Source!I76),2)*Source!BS76),2), 2), 2)</f>
        <v>0</v>
      </c>
      <c r="AI50">
        <v>0</v>
      </c>
    </row>
    <row r="51" spans="1:35" ht="14.25" x14ac:dyDescent="0.2">
      <c r="A51" s="38"/>
      <c r="B51" s="38"/>
      <c r="C51" s="38" t="s">
        <v>153</v>
      </c>
      <c r="D51" s="39"/>
      <c r="E51" s="40"/>
      <c r="F51" s="41">
        <f>Source!AM76</f>
        <v>12.61</v>
      </c>
      <c r="G51" s="42" t="str">
        <f>Source!DE76</f>
        <v/>
      </c>
      <c r="H51" s="40">
        <f>Source!AV76</f>
        <v>1</v>
      </c>
      <c r="I51" s="41">
        <f>(ROUND((ROUND(((Source!ET76)*Source!AV76*Source!I76),2)),2)+ROUND((ROUND(((Source!AE76-(Source!EU76))*Source!AV76*Source!I76),2)),2))</f>
        <v>880.93</v>
      </c>
      <c r="J51" s="40">
        <f>IF(Source!BB76&lt;&gt; 0, Source!BB76, 1)</f>
        <v>13.26</v>
      </c>
      <c r="K51" s="41">
        <f>Source!Q76</f>
        <v>11681.13</v>
      </c>
    </row>
    <row r="52" spans="1:35" ht="15" x14ac:dyDescent="0.25">
      <c r="C52" s="23" t="s">
        <v>154</v>
      </c>
      <c r="H52" s="43">
        <f>I51+0</f>
        <v>880.93</v>
      </c>
      <c r="I52" s="43"/>
      <c r="J52" s="43">
        <f>K51+0</f>
        <v>11681.13</v>
      </c>
      <c r="K52" s="43"/>
      <c r="O52" s="44">
        <f>I51+0</f>
        <v>880.93</v>
      </c>
      <c r="P52" s="44">
        <f>K51+0</f>
        <v>11681.13</v>
      </c>
      <c r="X52">
        <f>IF(Source!BI76&lt;=1,I51-0, 0)</f>
        <v>0</v>
      </c>
      <c r="Y52">
        <f>IF(Source!BI76=2,I51-0, 0)</f>
        <v>0</v>
      </c>
      <c r="Z52">
        <f>IF(Source!BI76=3,I51-0, 0)</f>
        <v>0</v>
      </c>
      <c r="AA52">
        <f>IF(Source!BI76=4,I51,0)</f>
        <v>880.93</v>
      </c>
    </row>
    <row r="55" spans="1:35" ht="15" x14ac:dyDescent="0.25">
      <c r="A55" s="47" t="str">
        <f>CONCATENATE("Итого по разделу: ",IF(Source!G78&lt;&gt;"Новый раздел", Source!G78, ""))</f>
        <v>Итого по разделу: 10 кВ и 0,4 кВ</v>
      </c>
      <c r="B55" s="47"/>
      <c r="C55" s="47"/>
      <c r="D55" s="47"/>
      <c r="E55" s="47"/>
      <c r="F55" s="47"/>
      <c r="G55" s="47"/>
      <c r="H55" s="46">
        <f>SUM(O44:O54)</f>
        <v>4031.62</v>
      </c>
      <c r="I55" s="45"/>
      <c r="J55" s="46">
        <f>SUM(P44:P54)</f>
        <v>60989.43</v>
      </c>
      <c r="K55" s="45"/>
    </row>
    <row r="56" spans="1:35" hidden="1" x14ac:dyDescent="0.2">
      <c r="A56" t="s">
        <v>155</v>
      </c>
      <c r="H56">
        <f>SUM(AC44:AC55)</f>
        <v>0</v>
      </c>
      <c r="J56">
        <f>SUM(AD44:AD55)</f>
        <v>0</v>
      </c>
    </row>
    <row r="57" spans="1:35" hidden="1" x14ac:dyDescent="0.2">
      <c r="A57" t="s">
        <v>156</v>
      </c>
      <c r="H57">
        <f>SUM(AE44:AE56)</f>
        <v>0</v>
      </c>
      <c r="J57">
        <f>SUM(AF44:AF56)</f>
        <v>0</v>
      </c>
    </row>
    <row r="59" spans="1:35" hidden="1" x14ac:dyDescent="0.2">
      <c r="A59" t="s">
        <v>155</v>
      </c>
      <c r="H59" t="e">
        <f>SUM(#REF!)</f>
        <v>#REF!</v>
      </c>
      <c r="J59" t="e">
        <f>SUM(#REF!)</f>
        <v>#REF!</v>
      </c>
    </row>
    <row r="60" spans="1:35" hidden="1" x14ac:dyDescent="0.2">
      <c r="A60" t="s">
        <v>156</v>
      </c>
      <c r="H60">
        <f>SUM(AE59:AE59)</f>
        <v>0</v>
      </c>
      <c r="J60">
        <f>SUM(AF59:AF59)</f>
        <v>0</v>
      </c>
    </row>
    <row r="62" spans="1:35" ht="15" x14ac:dyDescent="0.25">
      <c r="A62" s="47" t="str">
        <f>CONCATENATE("Итого по локальной смете: ",IF(Source!G184&lt;&gt;"Новая локальная смета", Source!G184, ""))</f>
        <v xml:space="preserve">Итого по локальной смете: </v>
      </c>
      <c r="B62" s="47"/>
      <c r="C62" s="47"/>
      <c r="D62" s="47"/>
      <c r="E62" s="47"/>
      <c r="F62" s="47"/>
      <c r="G62" s="47"/>
      <c r="H62" s="46">
        <f>SUM(O29:O61)</f>
        <v>4868.34</v>
      </c>
      <c r="I62" s="45"/>
      <c r="J62" s="46">
        <f>SUM(P29:P61)</f>
        <v>71217.260000000009</v>
      </c>
      <c r="K62" s="45"/>
    </row>
    <row r="63" spans="1:35" hidden="1" x14ac:dyDescent="0.2">
      <c r="A63" t="s">
        <v>155</v>
      </c>
      <c r="H63">
        <f>SUM(AC29:AC62)</f>
        <v>0</v>
      </c>
      <c r="J63">
        <f>SUM(AD29:AD62)</f>
        <v>0</v>
      </c>
    </row>
    <row r="64" spans="1:35" hidden="1" x14ac:dyDescent="0.2">
      <c r="A64" t="s">
        <v>156</v>
      </c>
      <c r="H64">
        <f>SUM(AE29:AE63)</f>
        <v>0</v>
      </c>
      <c r="J64">
        <f>SUM(AF29:AF63)</f>
        <v>0</v>
      </c>
    </row>
    <row r="66" spans="1:11" ht="15" x14ac:dyDescent="0.25">
      <c r="A66" s="47" t="str">
        <f>CONCATENATE("Итого по смете: ",IF(Source!G214&lt;&gt;"Новый объект", Source!G214, ""))</f>
        <v>Итого по смете: 09-01-04 Транспортировка</v>
      </c>
      <c r="B66" s="47"/>
      <c r="C66" s="47"/>
      <c r="D66" s="47"/>
      <c r="E66" s="47"/>
      <c r="F66" s="47"/>
      <c r="G66" s="47"/>
      <c r="H66" s="46">
        <f>SUM(O1:O65)</f>
        <v>4868.34</v>
      </c>
      <c r="I66" s="45"/>
      <c r="J66" s="46">
        <f>SUM(P1:P65)</f>
        <v>71217.260000000009</v>
      </c>
      <c r="K66" s="45"/>
    </row>
    <row r="67" spans="1:11" hidden="1" x14ac:dyDescent="0.2">
      <c r="A67" t="s">
        <v>155</v>
      </c>
      <c r="H67">
        <f>SUM(AC1:AC66)</f>
        <v>0</v>
      </c>
      <c r="J67">
        <f>SUM(AD1:AD66)</f>
        <v>0</v>
      </c>
    </row>
    <row r="68" spans="1:11" hidden="1" x14ac:dyDescent="0.2">
      <c r="A68" t="s">
        <v>156</v>
      </c>
      <c r="H68">
        <f>SUM(AE1:AE67)</f>
        <v>0</v>
      </c>
      <c r="J68">
        <f>SUM(AF1:AF67)</f>
        <v>0</v>
      </c>
    </row>
    <row r="71" spans="1:11" ht="14.25" x14ac:dyDescent="0.2">
      <c r="A71" s="49" t="s">
        <v>158</v>
      </c>
      <c r="B71" s="49"/>
      <c r="C71" s="50" t="str">
        <f>IF(Source!AC12&lt;&gt;"", Source!AC12," ")</f>
        <v xml:space="preserve"> </v>
      </c>
      <c r="D71" s="50"/>
      <c r="E71" s="50"/>
      <c r="F71" s="50"/>
      <c r="G71" s="50"/>
      <c r="H71" s="24" t="str">
        <f>IF(Source!AB12&lt;&gt;"", Source!AB12," ")</f>
        <v xml:space="preserve"> </v>
      </c>
      <c r="I71" s="24"/>
      <c r="J71" s="24"/>
      <c r="K71" s="24"/>
    </row>
    <row r="72" spans="1:11" ht="14.25" x14ac:dyDescent="0.2">
      <c r="A72" s="11"/>
      <c r="B72" s="11"/>
      <c r="C72" s="13" t="s">
        <v>159</v>
      </c>
      <c r="D72" s="13"/>
      <c r="E72" s="13"/>
      <c r="F72" s="13"/>
      <c r="G72" s="13"/>
      <c r="H72" s="11"/>
      <c r="I72" s="11"/>
      <c r="J72" s="11"/>
      <c r="K72" s="11"/>
    </row>
    <row r="73" spans="1:11" ht="14.25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4.25" x14ac:dyDescent="0.2">
      <c r="A74" s="49" t="s">
        <v>160</v>
      </c>
      <c r="B74" s="49"/>
      <c r="C74" s="50" t="str">
        <f>IF(Source!AE12&lt;&gt;"", Source!AE12," ")</f>
        <v xml:space="preserve"> </v>
      </c>
      <c r="D74" s="50"/>
      <c r="E74" s="50"/>
      <c r="F74" s="50"/>
      <c r="G74" s="50"/>
      <c r="H74" s="24" t="str">
        <f>IF(Source!AD12&lt;&gt;"", Source!AD12," ")</f>
        <v xml:space="preserve"> </v>
      </c>
      <c r="I74" s="24"/>
      <c r="J74" s="24"/>
      <c r="K74" s="24"/>
    </row>
    <row r="75" spans="1:11" ht="14.25" x14ac:dyDescent="0.2">
      <c r="A75" s="11"/>
      <c r="B75" s="11"/>
      <c r="C75" s="13" t="s">
        <v>159</v>
      </c>
      <c r="D75" s="13"/>
      <c r="E75" s="13"/>
      <c r="F75" s="13"/>
      <c r="G75" s="13"/>
      <c r="H75" s="11"/>
      <c r="I75" s="11"/>
      <c r="J75" s="11"/>
      <c r="K75" s="11"/>
    </row>
  </sheetData>
  <mergeCells count="45">
    <mergeCell ref="A71:B71"/>
    <mergeCell ref="H71:K71"/>
    <mergeCell ref="C72:G72"/>
    <mergeCell ref="A74:B74"/>
    <mergeCell ref="H74:K74"/>
    <mergeCell ref="C75:G75"/>
    <mergeCell ref="J62:K62"/>
    <mergeCell ref="H62:I62"/>
    <mergeCell ref="A62:G62"/>
    <mergeCell ref="J66:K66"/>
    <mergeCell ref="H66:I66"/>
    <mergeCell ref="A66:G66"/>
    <mergeCell ref="A44:K44"/>
    <mergeCell ref="H48:I48"/>
    <mergeCell ref="J48:K48"/>
    <mergeCell ref="H52:I52"/>
    <mergeCell ref="J52:K52"/>
    <mergeCell ref="J55:K55"/>
    <mergeCell ref="H55:I55"/>
    <mergeCell ref="A55:G55"/>
    <mergeCell ref="A30:K30"/>
    <mergeCell ref="H33:I33"/>
    <mergeCell ref="J33:K33"/>
    <mergeCell ref="H37:I37"/>
    <mergeCell ref="J37:K37"/>
    <mergeCell ref="J40:K40"/>
    <mergeCell ref="H40:I40"/>
    <mergeCell ref="A40:G40"/>
    <mergeCell ref="E20:H20"/>
    <mergeCell ref="E21:H21"/>
    <mergeCell ref="E22:H22"/>
    <mergeCell ref="A25:K25"/>
    <mergeCell ref="J2:K2"/>
    <mergeCell ref="A6:K6"/>
    <mergeCell ref="A8:K8"/>
    <mergeCell ref="E14:H14"/>
    <mergeCell ref="E15:H15"/>
    <mergeCell ref="E16:H16"/>
    <mergeCell ref="E17:H17"/>
    <mergeCell ref="E18:H18"/>
    <mergeCell ref="E19:H19"/>
    <mergeCell ref="A3:K3"/>
    <mergeCell ref="A4:K4"/>
    <mergeCell ref="A9:K9"/>
    <mergeCell ref="A11:K11"/>
  </mergeCells>
  <pageMargins left="0.4" right="0.2" top="0.2" bottom="0.4" header="0.2" footer="0.2"/>
  <pageSetup paperSize="9" scale="71" fitToHeight="0" orientation="portrait" verticalDpi="0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1DF2-F642-4894-9508-A0F14384387E}">
  <dimension ref="A1:IU255"/>
  <sheetViews>
    <sheetView workbookViewId="0">
      <selection activeCell="A251" sqref="A251:AX251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1</v>
      </c>
    </row>
    <row r="12" spans="1:133" x14ac:dyDescent="0.2">
      <c r="A12" s="1">
        <v>1</v>
      </c>
      <c r="B12" s="1">
        <v>249</v>
      </c>
      <c r="C12" s="1">
        <v>1</v>
      </c>
      <c r="D12" s="1">
        <f>ROW(A214)</f>
        <v>214</v>
      </c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175</v>
      </c>
      <c r="S12" s="1">
        <v>160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B214</f>
        <v>249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09-01-04 Транспортировка_(2 этап)</v>
      </c>
      <c r="G18" s="3" t="str">
        <f t="shared" si="0"/>
        <v>09-01-04 Транспортировка</v>
      </c>
      <c r="H18" s="3"/>
      <c r="I18" s="3"/>
      <c r="J18" s="3"/>
      <c r="K18" s="3"/>
      <c r="L18" s="3"/>
      <c r="M18" s="3"/>
      <c r="N18" s="3"/>
      <c r="O18" s="3">
        <f t="shared" ref="O18:AT18" si="1">O214</f>
        <v>4868.34</v>
      </c>
      <c r="P18" s="3">
        <f t="shared" si="1"/>
        <v>0</v>
      </c>
      <c r="Q18" s="3">
        <f t="shared" si="1"/>
        <v>4868.34</v>
      </c>
      <c r="R18" s="3">
        <f t="shared" si="1"/>
        <v>0</v>
      </c>
      <c r="S18" s="3">
        <f t="shared" si="1"/>
        <v>0</v>
      </c>
      <c r="T18" s="3">
        <f t="shared" si="1"/>
        <v>0</v>
      </c>
      <c r="U18" s="3">
        <f t="shared" si="1"/>
        <v>0</v>
      </c>
      <c r="V18" s="3">
        <f t="shared" si="1"/>
        <v>0</v>
      </c>
      <c r="W18" s="3">
        <f t="shared" si="1"/>
        <v>0</v>
      </c>
      <c r="X18" s="3">
        <f t="shared" si="1"/>
        <v>0</v>
      </c>
      <c r="Y18" s="3">
        <f t="shared" si="1"/>
        <v>0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0</v>
      </c>
      <c r="AQ18" s="3">
        <f t="shared" si="1"/>
        <v>0</v>
      </c>
      <c r="AR18" s="3">
        <f t="shared" si="1"/>
        <v>4868.34</v>
      </c>
      <c r="AS18" s="3">
        <f t="shared" si="1"/>
        <v>0</v>
      </c>
      <c r="AT18" s="3">
        <f t="shared" si="1"/>
        <v>0</v>
      </c>
      <c r="AU18" s="3">
        <f t="shared" ref="AU18:BZ18" si="2">AU214</f>
        <v>4868.34</v>
      </c>
      <c r="AV18" s="3">
        <f t="shared" si="2"/>
        <v>0</v>
      </c>
      <c r="AW18" s="3">
        <f t="shared" si="2"/>
        <v>0</v>
      </c>
      <c r="AX18" s="3">
        <f t="shared" si="2"/>
        <v>0</v>
      </c>
      <c r="AY18" s="3">
        <f t="shared" si="2"/>
        <v>0</v>
      </c>
      <c r="AZ18" s="3">
        <f t="shared" si="2"/>
        <v>0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CA214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DG214</f>
        <v>71217.259999999995</v>
      </c>
      <c r="DH18" s="4">
        <f t="shared" si="4"/>
        <v>0</v>
      </c>
      <c r="DI18" s="4">
        <f t="shared" si="4"/>
        <v>71217.259999999995</v>
      </c>
      <c r="DJ18" s="4">
        <f t="shared" si="4"/>
        <v>0</v>
      </c>
      <c r="DK18" s="4">
        <f t="shared" si="4"/>
        <v>0</v>
      </c>
      <c r="DL18" s="4">
        <f t="shared" si="4"/>
        <v>0</v>
      </c>
      <c r="DM18" s="4">
        <f t="shared" si="4"/>
        <v>0</v>
      </c>
      <c r="DN18" s="4">
        <f t="shared" si="4"/>
        <v>0</v>
      </c>
      <c r="DO18" s="4">
        <f t="shared" si="4"/>
        <v>0</v>
      </c>
      <c r="DP18" s="4">
        <f t="shared" si="4"/>
        <v>0</v>
      </c>
      <c r="DQ18" s="4">
        <f t="shared" si="4"/>
        <v>0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0</v>
      </c>
      <c r="EI18" s="4">
        <f t="shared" si="4"/>
        <v>0</v>
      </c>
      <c r="EJ18" s="4">
        <f t="shared" si="4"/>
        <v>71217.259999999995</v>
      </c>
      <c r="EK18" s="4">
        <f t="shared" si="4"/>
        <v>0</v>
      </c>
      <c r="EL18" s="4">
        <f t="shared" si="4"/>
        <v>0</v>
      </c>
      <c r="EM18" s="4">
        <f t="shared" ref="EM18:FR18" si="5">EM214</f>
        <v>71217.259999999995</v>
      </c>
      <c r="EN18" s="4">
        <f t="shared" si="5"/>
        <v>0</v>
      </c>
      <c r="EO18" s="4">
        <f t="shared" si="5"/>
        <v>0</v>
      </c>
      <c r="EP18" s="4">
        <f t="shared" si="5"/>
        <v>0</v>
      </c>
      <c r="EQ18" s="4">
        <f t="shared" si="5"/>
        <v>0</v>
      </c>
      <c r="ER18" s="4">
        <f t="shared" si="5"/>
        <v>0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FS214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ROW(A184)</f>
        <v>184</v>
      </c>
      <c r="E20" s="1"/>
      <c r="F20" s="1" t="s">
        <v>13</v>
      </c>
      <c r="G20" s="1" t="s">
        <v>13</v>
      </c>
      <c r="H20" s="1" t="s">
        <v>3</v>
      </c>
      <c r="I20" s="1">
        <v>0</v>
      </c>
      <c r="J20" s="1" t="s">
        <v>3</v>
      </c>
      <c r="K20" s="1">
        <v>0</v>
      </c>
      <c r="L20" s="1" t="s">
        <v>13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B184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Новая локальная смета</v>
      </c>
      <c r="G22" s="3" t="str">
        <f t="shared" si="7"/>
        <v>Новая локальная смета</v>
      </c>
      <c r="H22" s="3"/>
      <c r="I22" s="3"/>
      <c r="J22" s="3"/>
      <c r="K22" s="3"/>
      <c r="L22" s="3"/>
      <c r="M22" s="3"/>
      <c r="N22" s="3"/>
      <c r="O22" s="3">
        <f t="shared" ref="O22:AT22" si="8">O184</f>
        <v>4868.34</v>
      </c>
      <c r="P22" s="3">
        <f t="shared" si="8"/>
        <v>0</v>
      </c>
      <c r="Q22" s="3">
        <f t="shared" si="8"/>
        <v>4868.34</v>
      </c>
      <c r="R22" s="3">
        <f t="shared" si="8"/>
        <v>0</v>
      </c>
      <c r="S22" s="3">
        <f t="shared" si="8"/>
        <v>0</v>
      </c>
      <c r="T22" s="3">
        <f t="shared" si="8"/>
        <v>0</v>
      </c>
      <c r="U22" s="3">
        <f t="shared" si="8"/>
        <v>0</v>
      </c>
      <c r="V22" s="3">
        <f t="shared" si="8"/>
        <v>0</v>
      </c>
      <c r="W22" s="3">
        <f t="shared" si="8"/>
        <v>0</v>
      </c>
      <c r="X22" s="3">
        <f t="shared" si="8"/>
        <v>0</v>
      </c>
      <c r="Y22" s="3">
        <f t="shared" si="8"/>
        <v>0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3">
        <f t="shared" si="8"/>
        <v>4868.34</v>
      </c>
      <c r="AS22" s="3">
        <f t="shared" si="8"/>
        <v>0</v>
      </c>
      <c r="AT22" s="3">
        <f t="shared" si="8"/>
        <v>0</v>
      </c>
      <c r="AU22" s="3">
        <f t="shared" ref="AU22:BZ22" si="9">AU184</f>
        <v>4868.34</v>
      </c>
      <c r="AV22" s="3">
        <f t="shared" si="9"/>
        <v>0</v>
      </c>
      <c r="AW22" s="3">
        <f t="shared" si="9"/>
        <v>0</v>
      </c>
      <c r="AX22" s="3">
        <f t="shared" si="9"/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CA184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DG184</f>
        <v>71217.259999999995</v>
      </c>
      <c r="DH22" s="4">
        <f t="shared" si="11"/>
        <v>0</v>
      </c>
      <c r="DI22" s="4">
        <f t="shared" si="11"/>
        <v>71217.259999999995</v>
      </c>
      <c r="DJ22" s="4">
        <f t="shared" si="11"/>
        <v>0</v>
      </c>
      <c r="DK22" s="4">
        <f t="shared" si="11"/>
        <v>0</v>
      </c>
      <c r="DL22" s="4">
        <f t="shared" si="11"/>
        <v>0</v>
      </c>
      <c r="DM22" s="4">
        <f t="shared" si="11"/>
        <v>0</v>
      </c>
      <c r="DN22" s="4">
        <f t="shared" si="11"/>
        <v>0</v>
      </c>
      <c r="DO22" s="4">
        <f t="shared" si="11"/>
        <v>0</v>
      </c>
      <c r="DP22" s="4">
        <f t="shared" si="11"/>
        <v>0</v>
      </c>
      <c r="DQ22" s="4">
        <f t="shared" si="11"/>
        <v>0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0</v>
      </c>
      <c r="EI22" s="4">
        <f t="shared" si="11"/>
        <v>0</v>
      </c>
      <c r="EJ22" s="4">
        <f t="shared" si="11"/>
        <v>71217.259999999995</v>
      </c>
      <c r="EK22" s="4">
        <f t="shared" si="11"/>
        <v>0</v>
      </c>
      <c r="EL22" s="4">
        <f t="shared" si="11"/>
        <v>0</v>
      </c>
      <c r="EM22" s="4">
        <f t="shared" ref="EM22:FR22" si="12">EM184</f>
        <v>71217.259999999995</v>
      </c>
      <c r="EN22" s="4">
        <f t="shared" si="12"/>
        <v>0</v>
      </c>
      <c r="EO22" s="4">
        <f t="shared" si="12"/>
        <v>0</v>
      </c>
      <c r="EP22" s="4">
        <f t="shared" si="12"/>
        <v>0</v>
      </c>
      <c r="EQ22" s="4">
        <f t="shared" si="12"/>
        <v>0</v>
      </c>
      <c r="ER22" s="4">
        <f t="shared" si="12"/>
        <v>0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FS184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ROW(A39)</f>
        <v>39</v>
      </c>
      <c r="E24" s="1"/>
      <c r="F24" s="1" t="s">
        <v>14</v>
      </c>
      <c r="G24" s="1" t="s">
        <v>15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B39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>Новый раздел</v>
      </c>
      <c r="G26" s="3" t="str">
        <f t="shared" si="14"/>
        <v>Благоустройство</v>
      </c>
      <c r="H26" s="3"/>
      <c r="I26" s="3"/>
      <c r="J26" s="3"/>
      <c r="K26" s="3"/>
      <c r="L26" s="3"/>
      <c r="M26" s="3"/>
      <c r="N26" s="3"/>
      <c r="O26" s="3">
        <f t="shared" ref="O26:AT26" si="15">O39</f>
        <v>836.72</v>
      </c>
      <c r="P26" s="3">
        <f t="shared" si="15"/>
        <v>0</v>
      </c>
      <c r="Q26" s="3">
        <f t="shared" si="15"/>
        <v>836.72</v>
      </c>
      <c r="R26" s="3">
        <f t="shared" si="15"/>
        <v>0</v>
      </c>
      <c r="S26" s="3">
        <f t="shared" si="15"/>
        <v>0</v>
      </c>
      <c r="T26" s="3">
        <f t="shared" si="15"/>
        <v>0</v>
      </c>
      <c r="U26" s="3">
        <f t="shared" si="15"/>
        <v>0</v>
      </c>
      <c r="V26" s="3">
        <f t="shared" si="15"/>
        <v>0</v>
      </c>
      <c r="W26" s="3">
        <f t="shared" si="15"/>
        <v>0</v>
      </c>
      <c r="X26" s="3">
        <f t="shared" si="15"/>
        <v>0</v>
      </c>
      <c r="Y26" s="3">
        <f t="shared" si="15"/>
        <v>0</v>
      </c>
      <c r="Z26" s="3">
        <f t="shared" si="15"/>
        <v>0</v>
      </c>
      <c r="AA26" s="3">
        <f t="shared" si="15"/>
        <v>0</v>
      </c>
      <c r="AB26" s="3">
        <f t="shared" si="15"/>
        <v>836.72</v>
      </c>
      <c r="AC26" s="3">
        <f t="shared" si="15"/>
        <v>0</v>
      </c>
      <c r="AD26" s="3">
        <f t="shared" si="15"/>
        <v>836.72</v>
      </c>
      <c r="AE26" s="3">
        <f t="shared" si="15"/>
        <v>0</v>
      </c>
      <c r="AF26" s="3">
        <f t="shared" si="15"/>
        <v>0</v>
      </c>
      <c r="AG26" s="3">
        <f t="shared" si="15"/>
        <v>0</v>
      </c>
      <c r="AH26" s="3">
        <f t="shared" si="15"/>
        <v>0</v>
      </c>
      <c r="AI26" s="3">
        <f t="shared" si="15"/>
        <v>0</v>
      </c>
      <c r="AJ26" s="3">
        <f t="shared" si="15"/>
        <v>0</v>
      </c>
      <c r="AK26" s="3">
        <f t="shared" si="15"/>
        <v>0</v>
      </c>
      <c r="AL26" s="3">
        <f t="shared" si="15"/>
        <v>0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836.72</v>
      </c>
      <c r="AS26" s="3">
        <f t="shared" si="15"/>
        <v>0</v>
      </c>
      <c r="AT26" s="3">
        <f t="shared" si="15"/>
        <v>0</v>
      </c>
      <c r="AU26" s="3">
        <f t="shared" ref="AU26:BZ26" si="16">AU39</f>
        <v>836.72</v>
      </c>
      <c r="AV26" s="3">
        <f t="shared" si="16"/>
        <v>0</v>
      </c>
      <c r="AW26" s="3">
        <f t="shared" si="16"/>
        <v>0</v>
      </c>
      <c r="AX26" s="3">
        <f t="shared" si="16"/>
        <v>0</v>
      </c>
      <c r="AY26" s="3">
        <f t="shared" si="16"/>
        <v>0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CA39</f>
        <v>836.72</v>
      </c>
      <c r="CB26" s="3">
        <f t="shared" si="17"/>
        <v>0</v>
      </c>
      <c r="CC26" s="3">
        <f t="shared" si="17"/>
        <v>0</v>
      </c>
      <c r="CD26" s="3">
        <f t="shared" si="17"/>
        <v>836.72</v>
      </c>
      <c r="CE26" s="3">
        <f t="shared" si="17"/>
        <v>0</v>
      </c>
      <c r="CF26" s="3">
        <f t="shared" si="17"/>
        <v>0</v>
      </c>
      <c r="CG26" s="3">
        <f t="shared" si="17"/>
        <v>0</v>
      </c>
      <c r="CH26" s="3">
        <f t="shared" si="17"/>
        <v>0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DG39</f>
        <v>10227.83</v>
      </c>
      <c r="DH26" s="4">
        <f t="shared" si="18"/>
        <v>0</v>
      </c>
      <c r="DI26" s="4">
        <f t="shared" si="18"/>
        <v>10227.83</v>
      </c>
      <c r="DJ26" s="4">
        <f t="shared" si="18"/>
        <v>0</v>
      </c>
      <c r="DK26" s="4">
        <f t="shared" si="18"/>
        <v>0</v>
      </c>
      <c r="DL26" s="4">
        <f t="shared" si="18"/>
        <v>0</v>
      </c>
      <c r="DM26" s="4">
        <f t="shared" si="18"/>
        <v>0</v>
      </c>
      <c r="DN26" s="4">
        <f t="shared" si="18"/>
        <v>0</v>
      </c>
      <c r="DO26" s="4">
        <f t="shared" si="18"/>
        <v>0</v>
      </c>
      <c r="DP26" s="4">
        <f t="shared" si="18"/>
        <v>0</v>
      </c>
      <c r="DQ26" s="4">
        <f t="shared" si="18"/>
        <v>0</v>
      </c>
      <c r="DR26" s="4">
        <f t="shared" si="18"/>
        <v>0</v>
      </c>
      <c r="DS26" s="4">
        <f t="shared" si="18"/>
        <v>0</v>
      </c>
      <c r="DT26" s="4">
        <f t="shared" si="18"/>
        <v>10227.83</v>
      </c>
      <c r="DU26" s="4">
        <f t="shared" si="18"/>
        <v>0</v>
      </c>
      <c r="DV26" s="4">
        <f t="shared" si="18"/>
        <v>10227.83</v>
      </c>
      <c r="DW26" s="4">
        <f t="shared" si="18"/>
        <v>0</v>
      </c>
      <c r="DX26" s="4">
        <f t="shared" si="18"/>
        <v>0</v>
      </c>
      <c r="DY26" s="4">
        <f t="shared" si="18"/>
        <v>0</v>
      </c>
      <c r="DZ26" s="4">
        <f t="shared" si="18"/>
        <v>0</v>
      </c>
      <c r="EA26" s="4">
        <f t="shared" si="18"/>
        <v>0</v>
      </c>
      <c r="EB26" s="4">
        <f t="shared" si="18"/>
        <v>0</v>
      </c>
      <c r="EC26" s="4">
        <f t="shared" si="18"/>
        <v>0</v>
      </c>
      <c r="ED26" s="4">
        <f t="shared" si="18"/>
        <v>0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10227.83</v>
      </c>
      <c r="EK26" s="4">
        <f t="shared" si="18"/>
        <v>0</v>
      </c>
      <c r="EL26" s="4">
        <f t="shared" si="18"/>
        <v>0</v>
      </c>
      <c r="EM26" s="4">
        <f t="shared" ref="EM26:FR26" si="19">EM39</f>
        <v>10227.83</v>
      </c>
      <c r="EN26" s="4">
        <f t="shared" si="19"/>
        <v>0</v>
      </c>
      <c r="EO26" s="4">
        <f t="shared" si="19"/>
        <v>0</v>
      </c>
      <c r="EP26" s="4">
        <f t="shared" si="19"/>
        <v>0</v>
      </c>
      <c r="EQ26" s="4">
        <f t="shared" si="19"/>
        <v>0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FS39</f>
        <v>10227.83</v>
      </c>
      <c r="FT26" s="4">
        <f t="shared" si="20"/>
        <v>0</v>
      </c>
      <c r="FU26" s="4">
        <f t="shared" si="20"/>
        <v>0</v>
      </c>
      <c r="FV26" s="4">
        <f t="shared" si="20"/>
        <v>10227.83</v>
      </c>
      <c r="FW26" s="4">
        <f t="shared" si="20"/>
        <v>0</v>
      </c>
      <c r="FX26" s="4">
        <f t="shared" si="20"/>
        <v>0</v>
      </c>
      <c r="FY26" s="4">
        <f t="shared" si="20"/>
        <v>0</v>
      </c>
      <c r="FZ26" s="4">
        <f t="shared" si="20"/>
        <v>0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16</v>
      </c>
      <c r="F28" s="2" t="s">
        <v>17</v>
      </c>
      <c r="G28" s="2" t="s">
        <v>18</v>
      </c>
      <c r="H28" s="2" t="s">
        <v>19</v>
      </c>
      <c r="I28" s="2">
        <v>10.55</v>
      </c>
      <c r="J28" s="2">
        <v>0</v>
      </c>
      <c r="K28" s="2">
        <v>10.55</v>
      </c>
      <c r="L28" s="2"/>
      <c r="M28" s="2"/>
      <c r="N28" s="2"/>
      <c r="O28" s="2">
        <f t="shared" ref="O28:O37" si="21">ROUND(CP28,2)</f>
        <v>450.7</v>
      </c>
      <c r="P28" s="2">
        <f t="shared" ref="P28:P37" si="22">ROUND((ROUND((AC28*AW28*I28),2)*BC28),2)</f>
        <v>0</v>
      </c>
      <c r="Q28" s="2">
        <f t="shared" ref="Q28:Q37" si="23">(ROUND((ROUND(((ET28)*AV28*I28),2)*BB28),2)+ROUND((ROUND(((AE28-(EU28))*AV28*I28),2)*BS28),2))</f>
        <v>450.7</v>
      </c>
      <c r="R28" s="2">
        <f t="shared" ref="R28:R37" si="24">ROUND((ROUND((AE28*AV28*I28),2)*BS28),2)</f>
        <v>0</v>
      </c>
      <c r="S28" s="2">
        <f t="shared" ref="S28:S37" si="25">ROUND((ROUND((AF28*AV28*I28),2)*BA28),2)</f>
        <v>0</v>
      </c>
      <c r="T28" s="2">
        <f t="shared" ref="T28:T37" si="26">ROUND(CU28*I28,2)</f>
        <v>0</v>
      </c>
      <c r="U28" s="2">
        <f t="shared" ref="U28:U37" si="27">CV28*I28</f>
        <v>0</v>
      </c>
      <c r="V28" s="2">
        <f t="shared" ref="V28:V37" si="28">CW28*I28</f>
        <v>0</v>
      </c>
      <c r="W28" s="2">
        <f t="shared" ref="W28:W37" si="29">ROUND(CX28*I28,2)</f>
        <v>0</v>
      </c>
      <c r="X28" s="2">
        <f t="shared" ref="X28:X37" si="30">ROUND(CY28,2)</f>
        <v>0</v>
      </c>
      <c r="Y28" s="2">
        <f t="shared" ref="Y28:Y37" si="31">ROUND(CZ28,2)</f>
        <v>0</v>
      </c>
      <c r="Z28" s="2"/>
      <c r="AA28" s="2">
        <v>57734472</v>
      </c>
      <c r="AB28" s="2">
        <f t="shared" ref="AB28:AB37" si="32">ROUND((AC28+AD28+AF28),6)</f>
        <v>42.72</v>
      </c>
      <c r="AC28" s="2">
        <f t="shared" ref="AC28:AC37" si="33">ROUND((ES28),6)</f>
        <v>0</v>
      </c>
      <c r="AD28" s="2">
        <f t="shared" ref="AD28:AD37" si="34">ROUND((((ET28)-(EU28))+AE28),6)</f>
        <v>42.72</v>
      </c>
      <c r="AE28" s="2">
        <f t="shared" ref="AE28:AE37" si="35">ROUND((EU28),6)</f>
        <v>0</v>
      </c>
      <c r="AF28" s="2">
        <f t="shared" ref="AF28:AF37" si="36">ROUND((EV28),6)</f>
        <v>0</v>
      </c>
      <c r="AG28" s="2">
        <f t="shared" ref="AG28:AG37" si="37">ROUND((AP28),6)</f>
        <v>0</v>
      </c>
      <c r="AH28" s="2">
        <f t="shared" ref="AH28:AH37" si="38">(EW28)</f>
        <v>0</v>
      </c>
      <c r="AI28" s="2">
        <f t="shared" ref="AI28:AI37" si="39">(EX28)</f>
        <v>0</v>
      </c>
      <c r="AJ28" s="2">
        <f t="shared" ref="AJ28:AJ37" si="40">(AS28)</f>
        <v>0</v>
      </c>
      <c r="AK28" s="2">
        <v>42.72</v>
      </c>
      <c r="AL28" s="2">
        <v>0</v>
      </c>
      <c r="AM28" s="2">
        <v>42.72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1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4</v>
      </c>
      <c r="BJ28" s="2" t="s">
        <v>20</v>
      </c>
      <c r="BK28" s="2"/>
      <c r="BL28" s="2"/>
      <c r="BM28" s="2">
        <v>1113</v>
      </c>
      <c r="BN28" s="2">
        <v>0</v>
      </c>
      <c r="BO28" s="2" t="s">
        <v>3</v>
      </c>
      <c r="BP28" s="2">
        <v>0</v>
      </c>
      <c r="BQ28" s="2">
        <v>150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0</v>
      </c>
      <c r="CA28" s="2">
        <v>0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</v>
      </c>
      <c r="CO28" s="2">
        <v>0</v>
      </c>
      <c r="CP28" s="2">
        <f t="shared" ref="CP28:CP37" si="41">(P28+Q28+S28)</f>
        <v>450.7</v>
      </c>
      <c r="CQ28" s="2">
        <f t="shared" ref="CQ28:CQ37" si="42">ROUND((ROUND((AC28*AW28*1),2)*BC28),2)</f>
        <v>0</v>
      </c>
      <c r="CR28" s="2">
        <f t="shared" ref="CR28:CR37" si="43">(ROUND((ROUND(((ET28)*AV28*1),2)*BB28),2)+ROUND((ROUND(((AE28-(EU28))*AV28*1),2)*BS28),2))</f>
        <v>42.72</v>
      </c>
      <c r="CS28" s="2">
        <f t="shared" ref="CS28:CS37" si="44">ROUND((ROUND((AE28*AV28*1),2)*BS28),2)</f>
        <v>0</v>
      </c>
      <c r="CT28" s="2">
        <f t="shared" ref="CT28:CT37" si="45">ROUND((ROUND((AF28*AV28*1),2)*BA28),2)</f>
        <v>0</v>
      </c>
      <c r="CU28" s="2">
        <f t="shared" ref="CU28:CU37" si="46">AG28</f>
        <v>0</v>
      </c>
      <c r="CV28" s="2">
        <f t="shared" ref="CV28:CV37" si="47">(AH28*AV28)</f>
        <v>0</v>
      </c>
      <c r="CW28" s="2">
        <f t="shared" ref="CW28:CW37" si="48">AI28</f>
        <v>0</v>
      </c>
      <c r="CX28" s="2">
        <f t="shared" ref="CX28:CX37" si="49">AJ28</f>
        <v>0</v>
      </c>
      <c r="CY28" s="2">
        <f>((S28*BZ28)/100)</f>
        <v>0</v>
      </c>
      <c r="CZ28" s="2">
        <f>((S28*CA28)/100)</f>
        <v>0</v>
      </c>
      <c r="DA28" s="2"/>
      <c r="DB28" s="2"/>
      <c r="DC28" s="2" t="s">
        <v>3</v>
      </c>
      <c r="DD28" s="2" t="s">
        <v>3</v>
      </c>
      <c r="DE28" s="2" t="s">
        <v>3</v>
      </c>
      <c r="DF28" s="2" t="s">
        <v>3</v>
      </c>
      <c r="DG28" s="2" t="s">
        <v>3</v>
      </c>
      <c r="DH28" s="2" t="s">
        <v>3</v>
      </c>
      <c r="DI28" s="2" t="s">
        <v>3</v>
      </c>
      <c r="DJ28" s="2" t="s">
        <v>3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1009</v>
      </c>
      <c r="DV28" s="2" t="s">
        <v>19</v>
      </c>
      <c r="DW28" s="2" t="s">
        <v>19</v>
      </c>
      <c r="DX28" s="2">
        <v>1000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51697152</v>
      </c>
      <c r="EF28" s="2">
        <v>150</v>
      </c>
      <c r="EG28" s="2" t="s">
        <v>21</v>
      </c>
      <c r="EH28" s="2">
        <v>0</v>
      </c>
      <c r="EI28" s="2" t="s">
        <v>3</v>
      </c>
      <c r="EJ28" s="2">
        <v>4</v>
      </c>
      <c r="EK28" s="2">
        <v>1113</v>
      </c>
      <c r="EL28" s="2" t="s">
        <v>22</v>
      </c>
      <c r="EM28" s="2" t="s">
        <v>23</v>
      </c>
      <c r="EN28" s="2"/>
      <c r="EO28" s="2" t="s">
        <v>3</v>
      </c>
      <c r="EP28" s="2"/>
      <c r="EQ28" s="2">
        <v>131072</v>
      </c>
      <c r="ER28" s="2">
        <v>42.72</v>
      </c>
      <c r="ES28" s="2">
        <v>0</v>
      </c>
      <c r="ET28" s="2">
        <v>42.72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0</v>
      </c>
      <c r="FY28" s="2">
        <v>0</v>
      </c>
      <c r="FZ28" s="2"/>
      <c r="GA28" s="2" t="s">
        <v>3</v>
      </c>
      <c r="GB28" s="2"/>
      <c r="GC28" s="2"/>
      <c r="GD28" s="2">
        <v>1</v>
      </c>
      <c r="GE28" s="2"/>
      <c r="GF28" s="2">
        <v>-444714868</v>
      </c>
      <c r="GG28" s="2">
        <v>2</v>
      </c>
      <c r="GH28" s="2">
        <v>1</v>
      </c>
      <c r="GI28" s="2">
        <v>-2</v>
      </c>
      <c r="GJ28" s="2">
        <v>0</v>
      </c>
      <c r="GK28" s="2">
        <v>0</v>
      </c>
      <c r="GL28" s="2">
        <f t="shared" ref="GL28:GL37" si="50">ROUND(IF(AND(BH28=3,BI28=3,FS28&lt;&gt;0),P28,0),2)</f>
        <v>0</v>
      </c>
      <c r="GM28" s="2">
        <f>ROUND(O28+X28+Y28,2)+GX28</f>
        <v>450.7</v>
      </c>
      <c r="GN28" s="2">
        <f t="shared" ref="GN28:GN37" si="51">IF(OR(BI28=0,BI28=1),GM28-GX28,0)</f>
        <v>0</v>
      </c>
      <c r="GO28" s="2">
        <f t="shared" ref="GO28:GO37" si="52">IF(BI28=2,GM28-GX28,0)</f>
        <v>0</v>
      </c>
      <c r="GP28" s="2">
        <f t="shared" ref="GP28:GP37" si="53">IF(BI28=4,GM28-GX28,0)</f>
        <v>450.7</v>
      </c>
      <c r="GQ28" s="2"/>
      <c r="GR28" s="2">
        <v>0</v>
      </c>
      <c r="GS28" s="2">
        <v>0</v>
      </c>
      <c r="GT28" s="2">
        <v>0</v>
      </c>
      <c r="GU28" s="2" t="s">
        <v>3</v>
      </c>
      <c r="GV28" s="2">
        <f t="shared" ref="GV28:GV37" si="54">ROUND((GT28),6)</f>
        <v>0</v>
      </c>
      <c r="GW28" s="2">
        <v>1</v>
      </c>
      <c r="GX28" s="2">
        <f t="shared" ref="GX28:GX37" si="55">ROUND(HC28*I28,2)</f>
        <v>0</v>
      </c>
      <c r="GY28" s="2"/>
      <c r="GZ28" s="2"/>
      <c r="HA28" s="2">
        <v>0</v>
      </c>
      <c r="HB28" s="2">
        <v>0</v>
      </c>
      <c r="HC28" s="2">
        <f t="shared" ref="HC28:HC37" si="56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C29">
        <f>ROW(SmtRes!A2)</f>
        <v>2</v>
      </c>
      <c r="D29">
        <f>ROW(EtalonRes!A2)</f>
        <v>2</v>
      </c>
      <c r="E29" t="s">
        <v>16</v>
      </c>
      <c r="F29" t="s">
        <v>17</v>
      </c>
      <c r="G29" t="s">
        <v>18</v>
      </c>
      <c r="H29" t="s">
        <v>19</v>
      </c>
      <c r="I29">
        <v>10.55</v>
      </c>
      <c r="J29">
        <v>0</v>
      </c>
      <c r="K29">
        <v>10.55</v>
      </c>
      <c r="O29">
        <f t="shared" si="21"/>
        <v>7062.47</v>
      </c>
      <c r="P29">
        <f t="shared" si="22"/>
        <v>0</v>
      </c>
      <c r="Q29">
        <f t="shared" si="23"/>
        <v>7062.47</v>
      </c>
      <c r="R29">
        <f t="shared" si="24"/>
        <v>0</v>
      </c>
      <c r="S29">
        <f t="shared" si="25"/>
        <v>0</v>
      </c>
      <c r="T29">
        <f t="shared" si="26"/>
        <v>0</v>
      </c>
      <c r="U29">
        <f t="shared" si="27"/>
        <v>0</v>
      </c>
      <c r="V29">
        <f t="shared" si="28"/>
        <v>0</v>
      </c>
      <c r="W29">
        <f t="shared" si="29"/>
        <v>0</v>
      </c>
      <c r="X29">
        <f t="shared" si="30"/>
        <v>0</v>
      </c>
      <c r="Y29">
        <f t="shared" si="31"/>
        <v>0</v>
      </c>
      <c r="AA29">
        <v>57734470</v>
      </c>
      <c r="AB29">
        <f t="shared" si="32"/>
        <v>42.72</v>
      </c>
      <c r="AC29">
        <f t="shared" si="33"/>
        <v>0</v>
      </c>
      <c r="AD29">
        <f t="shared" si="34"/>
        <v>42.72</v>
      </c>
      <c r="AE29">
        <f t="shared" si="35"/>
        <v>0</v>
      </c>
      <c r="AF29">
        <f t="shared" si="36"/>
        <v>0</v>
      </c>
      <c r="AG29">
        <f t="shared" si="37"/>
        <v>0</v>
      </c>
      <c r="AH29">
        <f t="shared" si="38"/>
        <v>0</v>
      </c>
      <c r="AI29">
        <f t="shared" si="39"/>
        <v>0</v>
      </c>
      <c r="AJ29">
        <f t="shared" si="40"/>
        <v>0</v>
      </c>
      <c r="AK29">
        <v>42.72</v>
      </c>
      <c r="AL29">
        <v>0</v>
      </c>
      <c r="AM29">
        <v>42.72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95</v>
      </c>
      <c r="AU29">
        <v>65</v>
      </c>
      <c r="AV29">
        <v>1</v>
      </c>
      <c r="AW29">
        <v>1</v>
      </c>
      <c r="AZ29">
        <v>1</v>
      </c>
      <c r="BA29">
        <v>1</v>
      </c>
      <c r="BB29">
        <v>15.67</v>
      </c>
      <c r="BC29">
        <v>1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4</v>
      </c>
      <c r="BJ29" t="s">
        <v>20</v>
      </c>
      <c r="BM29">
        <v>1113</v>
      </c>
      <c r="BN29">
        <v>0</v>
      </c>
      <c r="BO29" t="s">
        <v>17</v>
      </c>
      <c r="BP29">
        <v>1</v>
      </c>
      <c r="BQ29">
        <v>150</v>
      </c>
      <c r="BR29">
        <v>0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95</v>
      </c>
      <c r="CA29">
        <v>65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3</v>
      </c>
      <c r="CO29">
        <v>0</v>
      </c>
      <c r="CP29">
        <f t="shared" si="41"/>
        <v>7062.47</v>
      </c>
      <c r="CQ29">
        <f t="shared" si="42"/>
        <v>0</v>
      </c>
      <c r="CR29">
        <f t="shared" si="43"/>
        <v>669.42</v>
      </c>
      <c r="CS29">
        <f t="shared" si="44"/>
        <v>0</v>
      </c>
      <c r="CT29">
        <f t="shared" si="45"/>
        <v>0</v>
      </c>
      <c r="CU29">
        <f t="shared" si="46"/>
        <v>0</v>
      </c>
      <c r="CV29">
        <f t="shared" si="47"/>
        <v>0</v>
      </c>
      <c r="CW29">
        <f t="shared" si="48"/>
        <v>0</v>
      </c>
      <c r="CX29">
        <f t="shared" si="49"/>
        <v>0</v>
      </c>
      <c r="CY29">
        <f>S29*(BZ29/100)</f>
        <v>0</v>
      </c>
      <c r="CZ29">
        <f>S29*(CA29/100)</f>
        <v>0</v>
      </c>
      <c r="DC29" t="s">
        <v>3</v>
      </c>
      <c r="DD29" t="s">
        <v>3</v>
      </c>
      <c r="DE29" t="s">
        <v>3</v>
      </c>
      <c r="DF29" t="s">
        <v>3</v>
      </c>
      <c r="DG29" t="s">
        <v>3</v>
      </c>
      <c r="DH29" t="s">
        <v>3</v>
      </c>
      <c r="DI29" t="s">
        <v>3</v>
      </c>
      <c r="DJ29" t="s">
        <v>3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1009</v>
      </c>
      <c r="DV29" t="s">
        <v>19</v>
      </c>
      <c r="DW29" t="s">
        <v>19</v>
      </c>
      <c r="DX29">
        <v>1000</v>
      </c>
      <c r="DZ29" t="s">
        <v>3</v>
      </c>
      <c r="EA29" t="s">
        <v>3</v>
      </c>
      <c r="EB29" t="s">
        <v>3</v>
      </c>
      <c r="EC29" t="s">
        <v>3</v>
      </c>
      <c r="EE29">
        <v>51697152</v>
      </c>
      <c r="EF29">
        <v>150</v>
      </c>
      <c r="EG29" t="s">
        <v>21</v>
      </c>
      <c r="EH29">
        <v>0</v>
      </c>
      <c r="EI29" t="s">
        <v>3</v>
      </c>
      <c r="EJ29">
        <v>4</v>
      </c>
      <c r="EK29">
        <v>1113</v>
      </c>
      <c r="EL29" t="s">
        <v>22</v>
      </c>
      <c r="EM29" t="s">
        <v>23</v>
      </c>
      <c r="EO29" t="s">
        <v>3</v>
      </c>
      <c r="EQ29">
        <v>131072</v>
      </c>
      <c r="ER29">
        <v>42.72</v>
      </c>
      <c r="ES29">
        <v>0</v>
      </c>
      <c r="ET29">
        <v>42.72</v>
      </c>
      <c r="EU29">
        <v>0</v>
      </c>
      <c r="EV29">
        <v>0</v>
      </c>
      <c r="EW29">
        <v>0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0</v>
      </c>
      <c r="FY29">
        <v>0</v>
      </c>
      <c r="GA29" t="s">
        <v>3</v>
      </c>
      <c r="GD29">
        <v>0</v>
      </c>
      <c r="GF29">
        <v>-444714868</v>
      </c>
      <c r="GG29">
        <v>2</v>
      </c>
      <c r="GH29">
        <v>1</v>
      </c>
      <c r="GI29">
        <v>2</v>
      </c>
      <c r="GJ29">
        <v>0</v>
      </c>
      <c r="GK29">
        <f>ROUND(R29*(S12)/100,2)</f>
        <v>0</v>
      </c>
      <c r="GL29">
        <f t="shared" si="50"/>
        <v>0</v>
      </c>
      <c r="GM29">
        <f>ROUND(O29+X29+Y29+GK29,2)+GX29</f>
        <v>7062.47</v>
      </c>
      <c r="GN29">
        <f t="shared" si="51"/>
        <v>0</v>
      </c>
      <c r="GO29">
        <f t="shared" si="52"/>
        <v>0</v>
      </c>
      <c r="GP29">
        <f t="shared" si="53"/>
        <v>7062.47</v>
      </c>
      <c r="GR29">
        <v>0</v>
      </c>
      <c r="GS29">
        <v>3</v>
      </c>
      <c r="GT29">
        <v>0</v>
      </c>
      <c r="GU29" t="s">
        <v>3</v>
      </c>
      <c r="GV29">
        <f t="shared" si="54"/>
        <v>0</v>
      </c>
      <c r="GW29">
        <v>1</v>
      </c>
      <c r="GX29">
        <f t="shared" si="55"/>
        <v>0</v>
      </c>
      <c r="HA29">
        <v>0</v>
      </c>
      <c r="HB29">
        <v>0</v>
      </c>
      <c r="HC29">
        <f t="shared" si="56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/>
      <c r="D30" s="2">
        <f>ROW(EtalonRes!A3)</f>
        <v>3</v>
      </c>
      <c r="E30" s="2" t="s">
        <v>24</v>
      </c>
      <c r="F30" s="2" t="s">
        <v>25</v>
      </c>
      <c r="G30" s="2" t="s">
        <v>26</v>
      </c>
      <c r="H30" s="2" t="s">
        <v>27</v>
      </c>
      <c r="I30" s="2">
        <v>10.55</v>
      </c>
      <c r="J30" s="2">
        <v>0</v>
      </c>
      <c r="K30" s="2">
        <v>10.55</v>
      </c>
      <c r="L30" s="2"/>
      <c r="M30" s="2"/>
      <c r="N30" s="2"/>
      <c r="O30" s="2">
        <f t="shared" si="21"/>
        <v>386.02</v>
      </c>
      <c r="P30" s="2">
        <f t="shared" si="22"/>
        <v>0</v>
      </c>
      <c r="Q30" s="2">
        <f t="shared" si="23"/>
        <v>386.02</v>
      </c>
      <c r="R30" s="2">
        <f t="shared" si="24"/>
        <v>0</v>
      </c>
      <c r="S30" s="2">
        <f t="shared" si="25"/>
        <v>0</v>
      </c>
      <c r="T30" s="2">
        <f t="shared" si="26"/>
        <v>0</v>
      </c>
      <c r="U30" s="2">
        <f t="shared" si="27"/>
        <v>0</v>
      </c>
      <c r="V30" s="2">
        <f t="shared" si="28"/>
        <v>0</v>
      </c>
      <c r="W30" s="2">
        <f t="shared" si="29"/>
        <v>0</v>
      </c>
      <c r="X30" s="2">
        <f t="shared" si="30"/>
        <v>0</v>
      </c>
      <c r="Y30" s="2">
        <f t="shared" si="31"/>
        <v>0</v>
      </c>
      <c r="Z30" s="2"/>
      <c r="AA30" s="2">
        <v>57734472</v>
      </c>
      <c r="AB30" s="2">
        <f t="shared" si="32"/>
        <v>36.590000000000003</v>
      </c>
      <c r="AC30" s="2">
        <f t="shared" si="33"/>
        <v>0</v>
      </c>
      <c r="AD30" s="2">
        <f t="shared" si="34"/>
        <v>36.590000000000003</v>
      </c>
      <c r="AE30" s="2">
        <f t="shared" si="35"/>
        <v>0</v>
      </c>
      <c r="AF30" s="2">
        <f t="shared" si="36"/>
        <v>0</v>
      </c>
      <c r="AG30" s="2">
        <f t="shared" si="37"/>
        <v>0</v>
      </c>
      <c r="AH30" s="2">
        <f t="shared" si="38"/>
        <v>0</v>
      </c>
      <c r="AI30" s="2">
        <f t="shared" si="39"/>
        <v>0</v>
      </c>
      <c r="AJ30" s="2">
        <f t="shared" si="40"/>
        <v>0</v>
      </c>
      <c r="AK30" s="2">
        <v>36.590000000000003</v>
      </c>
      <c r="AL30" s="2">
        <v>0</v>
      </c>
      <c r="AM30" s="2">
        <v>36.590000000000003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4</v>
      </c>
      <c r="BJ30" s="2" t="s">
        <v>28</v>
      </c>
      <c r="BK30" s="2"/>
      <c r="BL30" s="2"/>
      <c r="BM30" s="2">
        <v>1113</v>
      </c>
      <c r="BN30" s="2">
        <v>0</v>
      </c>
      <c r="BO30" s="2" t="s">
        <v>3</v>
      </c>
      <c r="BP30" s="2">
        <v>0</v>
      </c>
      <c r="BQ30" s="2">
        <v>150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0</v>
      </c>
      <c r="CA30" s="2">
        <v>0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41"/>
        <v>386.02</v>
      </c>
      <c r="CQ30" s="2">
        <f t="shared" si="42"/>
        <v>0</v>
      </c>
      <c r="CR30" s="2">
        <f t="shared" si="43"/>
        <v>36.590000000000003</v>
      </c>
      <c r="CS30" s="2">
        <f t="shared" si="44"/>
        <v>0</v>
      </c>
      <c r="CT30" s="2">
        <f t="shared" si="45"/>
        <v>0</v>
      </c>
      <c r="CU30" s="2">
        <f t="shared" si="46"/>
        <v>0</v>
      </c>
      <c r="CV30" s="2">
        <f t="shared" si="47"/>
        <v>0</v>
      </c>
      <c r="CW30" s="2">
        <f t="shared" si="48"/>
        <v>0</v>
      </c>
      <c r="CX30" s="2">
        <f t="shared" si="49"/>
        <v>0</v>
      </c>
      <c r="CY30" s="2">
        <f>((S30*BZ30)/100)</f>
        <v>0</v>
      </c>
      <c r="CZ30" s="2">
        <f>((S30*CA30)/100)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27</v>
      </c>
      <c r="DW30" s="2" t="s">
        <v>27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51697152</v>
      </c>
      <c r="EF30" s="2">
        <v>150</v>
      </c>
      <c r="EG30" s="2" t="s">
        <v>21</v>
      </c>
      <c r="EH30" s="2">
        <v>0</v>
      </c>
      <c r="EI30" s="2" t="s">
        <v>3</v>
      </c>
      <c r="EJ30" s="2">
        <v>4</v>
      </c>
      <c r="EK30" s="2">
        <v>1113</v>
      </c>
      <c r="EL30" s="2" t="s">
        <v>22</v>
      </c>
      <c r="EM30" s="2" t="s">
        <v>23</v>
      </c>
      <c r="EN30" s="2"/>
      <c r="EO30" s="2" t="s">
        <v>3</v>
      </c>
      <c r="EP30" s="2"/>
      <c r="EQ30" s="2">
        <v>131072</v>
      </c>
      <c r="ER30" s="2">
        <v>36.590000000000003</v>
      </c>
      <c r="ES30" s="2">
        <v>0</v>
      </c>
      <c r="ET30" s="2">
        <v>36.590000000000003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0</v>
      </c>
      <c r="FY30" s="2">
        <v>0</v>
      </c>
      <c r="FZ30" s="2"/>
      <c r="GA30" s="2" t="s">
        <v>3</v>
      </c>
      <c r="GB30" s="2"/>
      <c r="GC30" s="2"/>
      <c r="GD30" s="2">
        <v>1</v>
      </c>
      <c r="GE30" s="2"/>
      <c r="GF30" s="2">
        <v>1137320751</v>
      </c>
      <c r="GG30" s="2">
        <v>2</v>
      </c>
      <c r="GH30" s="2">
        <v>1</v>
      </c>
      <c r="GI30" s="2">
        <v>-2</v>
      </c>
      <c r="GJ30" s="2">
        <v>0</v>
      </c>
      <c r="GK30" s="2">
        <v>0</v>
      </c>
      <c r="GL30" s="2">
        <f t="shared" si="50"/>
        <v>0</v>
      </c>
      <c r="GM30" s="2">
        <f>ROUND(O30+X30+Y30,2)+GX30</f>
        <v>386.02</v>
      </c>
      <c r="GN30" s="2">
        <f t="shared" si="51"/>
        <v>0</v>
      </c>
      <c r="GO30" s="2">
        <f t="shared" si="52"/>
        <v>0</v>
      </c>
      <c r="GP30" s="2">
        <f t="shared" si="53"/>
        <v>386.02</v>
      </c>
      <c r="GQ30" s="2"/>
      <c r="GR30" s="2">
        <v>0</v>
      </c>
      <c r="GS30" s="2">
        <v>0</v>
      </c>
      <c r="GT30" s="2">
        <v>0</v>
      </c>
      <c r="GU30" s="2" t="s">
        <v>3</v>
      </c>
      <c r="GV30" s="2">
        <f t="shared" si="54"/>
        <v>0</v>
      </c>
      <c r="GW30" s="2">
        <v>1</v>
      </c>
      <c r="GX30" s="2">
        <f t="shared" si="55"/>
        <v>0</v>
      </c>
      <c r="GY30" s="2"/>
      <c r="GZ30" s="2"/>
      <c r="HA30" s="2">
        <v>0</v>
      </c>
      <c r="HB30" s="2">
        <v>0</v>
      </c>
      <c r="HC30" s="2">
        <f t="shared" si="56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D31">
        <f>ROW(EtalonRes!A4)</f>
        <v>4</v>
      </c>
      <c r="E31" t="s">
        <v>24</v>
      </c>
      <c r="F31" t="s">
        <v>25</v>
      </c>
      <c r="G31" t="s">
        <v>26</v>
      </c>
      <c r="H31" t="s">
        <v>27</v>
      </c>
      <c r="I31">
        <v>10.55</v>
      </c>
      <c r="J31">
        <v>0</v>
      </c>
      <c r="K31">
        <v>10.55</v>
      </c>
      <c r="O31">
        <f t="shared" si="21"/>
        <v>3165.36</v>
      </c>
      <c r="P31">
        <f t="shared" si="22"/>
        <v>0</v>
      </c>
      <c r="Q31">
        <f t="shared" si="23"/>
        <v>3165.36</v>
      </c>
      <c r="R31">
        <f t="shared" si="24"/>
        <v>0</v>
      </c>
      <c r="S31">
        <f t="shared" si="25"/>
        <v>0</v>
      </c>
      <c r="T31">
        <f t="shared" si="26"/>
        <v>0</v>
      </c>
      <c r="U31">
        <f t="shared" si="27"/>
        <v>0</v>
      </c>
      <c r="V31">
        <f t="shared" si="28"/>
        <v>0</v>
      </c>
      <c r="W31">
        <f t="shared" si="29"/>
        <v>0</v>
      </c>
      <c r="X31">
        <f t="shared" si="30"/>
        <v>0</v>
      </c>
      <c r="Y31">
        <f t="shared" si="31"/>
        <v>0</v>
      </c>
      <c r="AA31">
        <v>57734470</v>
      </c>
      <c r="AB31">
        <f t="shared" si="32"/>
        <v>36.590000000000003</v>
      </c>
      <c r="AC31">
        <f t="shared" si="33"/>
        <v>0</v>
      </c>
      <c r="AD31">
        <f t="shared" si="34"/>
        <v>36.590000000000003</v>
      </c>
      <c r="AE31">
        <f t="shared" si="35"/>
        <v>0</v>
      </c>
      <c r="AF31">
        <f t="shared" si="36"/>
        <v>0</v>
      </c>
      <c r="AG31">
        <f t="shared" si="37"/>
        <v>0</v>
      </c>
      <c r="AH31">
        <f t="shared" si="38"/>
        <v>0</v>
      </c>
      <c r="AI31">
        <f t="shared" si="39"/>
        <v>0</v>
      </c>
      <c r="AJ31">
        <f t="shared" si="40"/>
        <v>0</v>
      </c>
      <c r="AK31">
        <v>36.590000000000003</v>
      </c>
      <c r="AL31">
        <v>0</v>
      </c>
      <c r="AM31">
        <v>36.590000000000003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95</v>
      </c>
      <c r="AU31">
        <v>65</v>
      </c>
      <c r="AV31">
        <v>1</v>
      </c>
      <c r="AW31">
        <v>1</v>
      </c>
      <c r="AZ31">
        <v>1</v>
      </c>
      <c r="BA31">
        <v>1</v>
      </c>
      <c r="BB31">
        <v>8.1999999999999993</v>
      </c>
      <c r="BC31">
        <v>1</v>
      </c>
      <c r="BD31" t="s">
        <v>3</v>
      </c>
      <c r="BE31" t="s">
        <v>3</v>
      </c>
      <c r="BF31" t="s">
        <v>3</v>
      </c>
      <c r="BG31" t="s">
        <v>3</v>
      </c>
      <c r="BH31">
        <v>0</v>
      </c>
      <c r="BI31">
        <v>4</v>
      </c>
      <c r="BJ31" t="s">
        <v>28</v>
      </c>
      <c r="BM31">
        <v>1113</v>
      </c>
      <c r="BN31">
        <v>0</v>
      </c>
      <c r="BO31" t="s">
        <v>25</v>
      </c>
      <c r="BP31">
        <v>1</v>
      </c>
      <c r="BQ31">
        <v>150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95</v>
      </c>
      <c r="CA31">
        <v>65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41"/>
        <v>3165.36</v>
      </c>
      <c r="CQ31">
        <f t="shared" si="42"/>
        <v>0</v>
      </c>
      <c r="CR31">
        <f t="shared" si="43"/>
        <v>300.04000000000002</v>
      </c>
      <c r="CS31">
        <f t="shared" si="44"/>
        <v>0</v>
      </c>
      <c r="CT31">
        <f t="shared" si="45"/>
        <v>0</v>
      </c>
      <c r="CU31">
        <f t="shared" si="46"/>
        <v>0</v>
      </c>
      <c r="CV31">
        <f t="shared" si="47"/>
        <v>0</v>
      </c>
      <c r="CW31">
        <f t="shared" si="48"/>
        <v>0</v>
      </c>
      <c r="CX31">
        <f t="shared" si="49"/>
        <v>0</v>
      </c>
      <c r="CY31">
        <f>S31*(BZ31/100)</f>
        <v>0</v>
      </c>
      <c r="CZ31">
        <f>S31*(CA31/100)</f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1013</v>
      </c>
      <c r="DV31" t="s">
        <v>27</v>
      </c>
      <c r="DW31" t="s">
        <v>27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51697152</v>
      </c>
      <c r="EF31">
        <v>150</v>
      </c>
      <c r="EG31" t="s">
        <v>21</v>
      </c>
      <c r="EH31">
        <v>0</v>
      </c>
      <c r="EI31" t="s">
        <v>3</v>
      </c>
      <c r="EJ31">
        <v>4</v>
      </c>
      <c r="EK31">
        <v>1113</v>
      </c>
      <c r="EL31" t="s">
        <v>22</v>
      </c>
      <c r="EM31" t="s">
        <v>23</v>
      </c>
      <c r="EO31" t="s">
        <v>3</v>
      </c>
      <c r="EQ31">
        <v>131072</v>
      </c>
      <c r="ER31">
        <v>36.590000000000003</v>
      </c>
      <c r="ES31">
        <v>0</v>
      </c>
      <c r="ET31">
        <v>36.590000000000003</v>
      </c>
      <c r="EU31">
        <v>0</v>
      </c>
      <c r="EV31">
        <v>0</v>
      </c>
      <c r="EW31">
        <v>0</v>
      </c>
      <c r="EX31">
        <v>0</v>
      </c>
      <c r="EY31">
        <v>0</v>
      </c>
      <c r="FQ31">
        <v>0</v>
      </c>
      <c r="FR31">
        <v>0</v>
      </c>
      <c r="FS31">
        <v>0</v>
      </c>
      <c r="FX31">
        <v>0</v>
      </c>
      <c r="FY31">
        <v>0</v>
      </c>
      <c r="GA31" t="s">
        <v>3</v>
      </c>
      <c r="GD31">
        <v>0</v>
      </c>
      <c r="GF31">
        <v>1137320751</v>
      </c>
      <c r="GG31">
        <v>2</v>
      </c>
      <c r="GH31">
        <v>1</v>
      </c>
      <c r="GI31">
        <v>2</v>
      </c>
      <c r="GJ31">
        <v>0</v>
      </c>
      <c r="GK31">
        <f>ROUND(R31*(S12)/100,2)</f>
        <v>0</v>
      </c>
      <c r="GL31">
        <f t="shared" si="50"/>
        <v>0</v>
      </c>
      <c r="GM31">
        <f>ROUND(O31+X31+Y31+GK31,2)+GX31</f>
        <v>3165.36</v>
      </c>
      <c r="GN31">
        <f t="shared" si="51"/>
        <v>0</v>
      </c>
      <c r="GO31">
        <f t="shared" si="52"/>
        <v>0</v>
      </c>
      <c r="GP31">
        <f t="shared" si="53"/>
        <v>3165.36</v>
      </c>
      <c r="GR31">
        <v>0</v>
      </c>
      <c r="GS31">
        <v>3</v>
      </c>
      <c r="GT31">
        <v>0</v>
      </c>
      <c r="GU31" t="s">
        <v>3</v>
      </c>
      <c r="GV31">
        <f t="shared" si="54"/>
        <v>0</v>
      </c>
      <c r="GW31">
        <v>1</v>
      </c>
      <c r="GX31">
        <f t="shared" si="55"/>
        <v>0</v>
      </c>
      <c r="HA31">
        <v>0</v>
      </c>
      <c r="HB31">
        <v>0</v>
      </c>
      <c r="HC31">
        <f t="shared" si="56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/>
      <c r="D32" s="2">
        <f>ROW(EtalonRes!A5)</f>
        <v>5</v>
      </c>
      <c r="E32" s="2" t="s">
        <v>29</v>
      </c>
      <c r="F32" s="2" t="s">
        <v>30</v>
      </c>
      <c r="G32" s="2" t="s">
        <v>31</v>
      </c>
      <c r="H32" s="2" t="s">
        <v>27</v>
      </c>
      <c r="I32" s="2">
        <v>0</v>
      </c>
      <c r="J32" s="2">
        <v>0</v>
      </c>
      <c r="K32" s="2">
        <v>0</v>
      </c>
      <c r="L32" s="2"/>
      <c r="M32" s="2"/>
      <c r="N32" s="2"/>
      <c r="O32" s="2">
        <f t="shared" si="21"/>
        <v>0</v>
      </c>
      <c r="P32" s="2">
        <f t="shared" si="22"/>
        <v>0</v>
      </c>
      <c r="Q32" s="2">
        <f t="shared" si="23"/>
        <v>0</v>
      </c>
      <c r="R32" s="2">
        <f t="shared" si="24"/>
        <v>0</v>
      </c>
      <c r="S32" s="2">
        <f t="shared" si="25"/>
        <v>0</v>
      </c>
      <c r="T32" s="2">
        <f t="shared" si="26"/>
        <v>0</v>
      </c>
      <c r="U32" s="2">
        <f t="shared" si="27"/>
        <v>0</v>
      </c>
      <c r="V32" s="2">
        <f t="shared" si="28"/>
        <v>0</v>
      </c>
      <c r="W32" s="2">
        <f t="shared" si="29"/>
        <v>0</v>
      </c>
      <c r="X32" s="2">
        <f t="shared" si="30"/>
        <v>0</v>
      </c>
      <c r="Y32" s="2">
        <f t="shared" si="31"/>
        <v>0</v>
      </c>
      <c r="Z32" s="2"/>
      <c r="AA32" s="2">
        <v>57734472</v>
      </c>
      <c r="AB32" s="2">
        <f t="shared" si="32"/>
        <v>22.57</v>
      </c>
      <c r="AC32" s="2">
        <f t="shared" si="33"/>
        <v>0</v>
      </c>
      <c r="AD32" s="2">
        <f t="shared" si="34"/>
        <v>22.57</v>
      </c>
      <c r="AE32" s="2">
        <f t="shared" si="35"/>
        <v>0</v>
      </c>
      <c r="AF32" s="2">
        <f t="shared" si="36"/>
        <v>0</v>
      </c>
      <c r="AG32" s="2">
        <f t="shared" si="37"/>
        <v>0</v>
      </c>
      <c r="AH32" s="2">
        <f t="shared" si="38"/>
        <v>0</v>
      </c>
      <c r="AI32" s="2">
        <f t="shared" si="39"/>
        <v>0</v>
      </c>
      <c r="AJ32" s="2">
        <f t="shared" si="40"/>
        <v>0</v>
      </c>
      <c r="AK32" s="2">
        <v>22.57</v>
      </c>
      <c r="AL32" s="2">
        <v>0</v>
      </c>
      <c r="AM32" s="2">
        <v>22.57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1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4</v>
      </c>
      <c r="BJ32" s="2" t="s">
        <v>32</v>
      </c>
      <c r="BK32" s="2"/>
      <c r="BL32" s="2"/>
      <c r="BM32" s="2">
        <v>1113</v>
      </c>
      <c r="BN32" s="2">
        <v>0</v>
      </c>
      <c r="BO32" s="2" t="s">
        <v>3</v>
      </c>
      <c r="BP32" s="2">
        <v>0</v>
      </c>
      <c r="BQ32" s="2">
        <v>150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0</v>
      </c>
      <c r="CA32" s="2">
        <v>0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41"/>
        <v>0</v>
      </c>
      <c r="CQ32" s="2">
        <f t="shared" si="42"/>
        <v>0</v>
      </c>
      <c r="CR32" s="2">
        <f t="shared" si="43"/>
        <v>22.57</v>
      </c>
      <c r="CS32" s="2">
        <f t="shared" si="44"/>
        <v>0</v>
      </c>
      <c r="CT32" s="2">
        <f t="shared" si="45"/>
        <v>0</v>
      </c>
      <c r="CU32" s="2">
        <f t="shared" si="46"/>
        <v>0</v>
      </c>
      <c r="CV32" s="2">
        <f t="shared" si="47"/>
        <v>0</v>
      </c>
      <c r="CW32" s="2">
        <f t="shared" si="48"/>
        <v>0</v>
      </c>
      <c r="CX32" s="2">
        <f t="shared" si="49"/>
        <v>0</v>
      </c>
      <c r="CY32" s="2">
        <f>((S32*BZ32)/100)</f>
        <v>0</v>
      </c>
      <c r="CZ32" s="2">
        <f>((S32*CA32)/100)</f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27</v>
      </c>
      <c r="DW32" s="2" t="s">
        <v>27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51697152</v>
      </c>
      <c r="EF32" s="2">
        <v>150</v>
      </c>
      <c r="EG32" s="2" t="s">
        <v>21</v>
      </c>
      <c r="EH32" s="2">
        <v>0</v>
      </c>
      <c r="EI32" s="2" t="s">
        <v>3</v>
      </c>
      <c r="EJ32" s="2">
        <v>4</v>
      </c>
      <c r="EK32" s="2">
        <v>1113</v>
      </c>
      <c r="EL32" s="2" t="s">
        <v>22</v>
      </c>
      <c r="EM32" s="2" t="s">
        <v>23</v>
      </c>
      <c r="EN32" s="2"/>
      <c r="EO32" s="2" t="s">
        <v>3</v>
      </c>
      <c r="EP32" s="2"/>
      <c r="EQ32" s="2">
        <v>131072</v>
      </c>
      <c r="ER32" s="2">
        <v>22.57</v>
      </c>
      <c r="ES32" s="2">
        <v>0</v>
      </c>
      <c r="ET32" s="2">
        <v>22.57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0</v>
      </c>
      <c r="FY32" s="2">
        <v>0</v>
      </c>
      <c r="FZ32" s="2"/>
      <c r="GA32" s="2" t="s">
        <v>3</v>
      </c>
      <c r="GB32" s="2"/>
      <c r="GC32" s="2"/>
      <c r="GD32" s="2">
        <v>1</v>
      </c>
      <c r="GE32" s="2"/>
      <c r="GF32" s="2">
        <v>-1150173431</v>
      </c>
      <c r="GG32" s="2">
        <v>2</v>
      </c>
      <c r="GH32" s="2">
        <v>1</v>
      </c>
      <c r="GI32" s="2">
        <v>-2</v>
      </c>
      <c r="GJ32" s="2">
        <v>0</v>
      </c>
      <c r="GK32" s="2">
        <v>0</v>
      </c>
      <c r="GL32" s="2">
        <f t="shared" si="50"/>
        <v>0</v>
      </c>
      <c r="GM32" s="2">
        <f>ROUND(O32+X32+Y32,2)+GX32</f>
        <v>0</v>
      </c>
      <c r="GN32" s="2">
        <f t="shared" si="51"/>
        <v>0</v>
      </c>
      <c r="GO32" s="2">
        <f t="shared" si="52"/>
        <v>0</v>
      </c>
      <c r="GP32" s="2">
        <f t="shared" si="53"/>
        <v>0</v>
      </c>
      <c r="GQ32" s="2"/>
      <c r="GR32" s="2">
        <v>0</v>
      </c>
      <c r="GS32" s="2">
        <v>0</v>
      </c>
      <c r="GT32" s="2">
        <v>0</v>
      </c>
      <c r="GU32" s="2" t="s">
        <v>3</v>
      </c>
      <c r="GV32" s="2">
        <f t="shared" si="54"/>
        <v>0</v>
      </c>
      <c r="GW32" s="2">
        <v>1</v>
      </c>
      <c r="GX32" s="2">
        <f t="shared" si="55"/>
        <v>0</v>
      </c>
      <c r="GY32" s="2"/>
      <c r="GZ32" s="2"/>
      <c r="HA32" s="2">
        <v>0</v>
      </c>
      <c r="HB32" s="2">
        <v>0</v>
      </c>
      <c r="HC32" s="2">
        <f t="shared" si="56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D33">
        <f>ROW(EtalonRes!A6)</f>
        <v>6</v>
      </c>
      <c r="E33" t="s">
        <v>29</v>
      </c>
      <c r="F33" t="s">
        <v>30</v>
      </c>
      <c r="G33" t="s">
        <v>31</v>
      </c>
      <c r="H33" t="s">
        <v>27</v>
      </c>
      <c r="I33">
        <v>0</v>
      </c>
      <c r="J33">
        <v>0</v>
      </c>
      <c r="K33">
        <v>0</v>
      </c>
      <c r="O33">
        <f t="shared" si="21"/>
        <v>0</v>
      </c>
      <c r="P33">
        <f t="shared" si="22"/>
        <v>0</v>
      </c>
      <c r="Q33">
        <f t="shared" si="23"/>
        <v>0</v>
      </c>
      <c r="R33">
        <f t="shared" si="24"/>
        <v>0</v>
      </c>
      <c r="S33">
        <f t="shared" si="25"/>
        <v>0</v>
      </c>
      <c r="T33">
        <f t="shared" si="26"/>
        <v>0</v>
      </c>
      <c r="U33">
        <f t="shared" si="27"/>
        <v>0</v>
      </c>
      <c r="V33">
        <f t="shared" si="28"/>
        <v>0</v>
      </c>
      <c r="W33">
        <f t="shared" si="29"/>
        <v>0</v>
      </c>
      <c r="X33">
        <f t="shared" si="30"/>
        <v>0</v>
      </c>
      <c r="Y33">
        <f t="shared" si="31"/>
        <v>0</v>
      </c>
      <c r="AA33">
        <v>57734470</v>
      </c>
      <c r="AB33">
        <f t="shared" si="32"/>
        <v>22.57</v>
      </c>
      <c r="AC33">
        <f t="shared" si="33"/>
        <v>0</v>
      </c>
      <c r="AD33">
        <f t="shared" si="34"/>
        <v>22.57</v>
      </c>
      <c r="AE33">
        <f t="shared" si="35"/>
        <v>0</v>
      </c>
      <c r="AF33">
        <f t="shared" si="36"/>
        <v>0</v>
      </c>
      <c r="AG33">
        <f t="shared" si="37"/>
        <v>0</v>
      </c>
      <c r="AH33">
        <f t="shared" si="38"/>
        <v>0</v>
      </c>
      <c r="AI33">
        <f t="shared" si="39"/>
        <v>0</v>
      </c>
      <c r="AJ33">
        <f t="shared" si="40"/>
        <v>0</v>
      </c>
      <c r="AK33">
        <v>22.57</v>
      </c>
      <c r="AL33">
        <v>0</v>
      </c>
      <c r="AM33">
        <v>22.57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95</v>
      </c>
      <c r="AU33">
        <v>65</v>
      </c>
      <c r="AV33">
        <v>1</v>
      </c>
      <c r="AW33">
        <v>1</v>
      </c>
      <c r="AZ33">
        <v>1</v>
      </c>
      <c r="BA33">
        <v>1</v>
      </c>
      <c r="BB33">
        <v>6.48</v>
      </c>
      <c r="BC33">
        <v>1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4</v>
      </c>
      <c r="BJ33" t="s">
        <v>32</v>
      </c>
      <c r="BM33">
        <v>1113</v>
      </c>
      <c r="BN33">
        <v>0</v>
      </c>
      <c r="BO33" t="s">
        <v>30</v>
      </c>
      <c r="BP33">
        <v>1</v>
      </c>
      <c r="BQ33">
        <v>150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95</v>
      </c>
      <c r="CA33">
        <v>65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3</v>
      </c>
      <c r="CO33">
        <v>0</v>
      </c>
      <c r="CP33">
        <f t="shared" si="41"/>
        <v>0</v>
      </c>
      <c r="CQ33">
        <f t="shared" si="42"/>
        <v>0</v>
      </c>
      <c r="CR33">
        <f t="shared" si="43"/>
        <v>146.25</v>
      </c>
      <c r="CS33">
        <f t="shared" si="44"/>
        <v>0</v>
      </c>
      <c r="CT33">
        <f t="shared" si="45"/>
        <v>0</v>
      </c>
      <c r="CU33">
        <f t="shared" si="46"/>
        <v>0</v>
      </c>
      <c r="CV33">
        <f t="shared" si="47"/>
        <v>0</v>
      </c>
      <c r="CW33">
        <f t="shared" si="48"/>
        <v>0</v>
      </c>
      <c r="CX33">
        <f t="shared" si="49"/>
        <v>0</v>
      </c>
      <c r="CY33">
        <f>S33*(BZ33/100)</f>
        <v>0</v>
      </c>
      <c r="CZ33">
        <f>S33*(CA33/100)</f>
        <v>0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1013</v>
      </c>
      <c r="DV33" t="s">
        <v>27</v>
      </c>
      <c r="DW33" t="s">
        <v>27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51697152</v>
      </c>
      <c r="EF33">
        <v>150</v>
      </c>
      <c r="EG33" t="s">
        <v>21</v>
      </c>
      <c r="EH33">
        <v>0</v>
      </c>
      <c r="EI33" t="s">
        <v>3</v>
      </c>
      <c r="EJ33">
        <v>4</v>
      </c>
      <c r="EK33">
        <v>1113</v>
      </c>
      <c r="EL33" t="s">
        <v>22</v>
      </c>
      <c r="EM33" t="s">
        <v>23</v>
      </c>
      <c r="EO33" t="s">
        <v>3</v>
      </c>
      <c r="EQ33">
        <v>131072</v>
      </c>
      <c r="ER33">
        <v>22.57</v>
      </c>
      <c r="ES33">
        <v>0</v>
      </c>
      <c r="ET33">
        <v>22.57</v>
      </c>
      <c r="EU33">
        <v>0</v>
      </c>
      <c r="EV33">
        <v>0</v>
      </c>
      <c r="EW33">
        <v>0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0</v>
      </c>
      <c r="FY33">
        <v>0</v>
      </c>
      <c r="GA33" t="s">
        <v>3</v>
      </c>
      <c r="GD33">
        <v>0</v>
      </c>
      <c r="GF33">
        <v>-1150173431</v>
      </c>
      <c r="GG33">
        <v>2</v>
      </c>
      <c r="GH33">
        <v>1</v>
      </c>
      <c r="GI33">
        <v>2</v>
      </c>
      <c r="GJ33">
        <v>0</v>
      </c>
      <c r="GK33">
        <f>ROUND(R33*(S12)/100,2)</f>
        <v>0</v>
      </c>
      <c r="GL33">
        <f t="shared" si="50"/>
        <v>0</v>
      </c>
      <c r="GM33">
        <f>ROUND(O33+X33+Y33+GK33,2)+GX33</f>
        <v>0</v>
      </c>
      <c r="GN33">
        <f t="shared" si="51"/>
        <v>0</v>
      </c>
      <c r="GO33">
        <f t="shared" si="52"/>
        <v>0</v>
      </c>
      <c r="GP33">
        <f t="shared" si="53"/>
        <v>0</v>
      </c>
      <c r="GR33">
        <v>0</v>
      </c>
      <c r="GS33">
        <v>3</v>
      </c>
      <c r="GT33">
        <v>0</v>
      </c>
      <c r="GU33" t="s">
        <v>3</v>
      </c>
      <c r="GV33">
        <f t="shared" si="54"/>
        <v>0</v>
      </c>
      <c r="GW33">
        <v>1</v>
      </c>
      <c r="GX33">
        <f t="shared" si="55"/>
        <v>0</v>
      </c>
      <c r="HA33">
        <v>0</v>
      </c>
      <c r="HB33">
        <v>0</v>
      </c>
      <c r="HC33">
        <f t="shared" si="56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17</v>
      </c>
      <c r="B34" s="2">
        <v>1</v>
      </c>
      <c r="C34" s="2"/>
      <c r="D34" s="2">
        <f>ROW(EtalonRes!A7)</f>
        <v>7</v>
      </c>
      <c r="E34" s="2" t="s">
        <v>33</v>
      </c>
      <c r="F34" s="2" t="s">
        <v>34</v>
      </c>
      <c r="G34" s="2" t="s">
        <v>35</v>
      </c>
      <c r="H34" s="2" t="s">
        <v>27</v>
      </c>
      <c r="I34" s="2">
        <v>0</v>
      </c>
      <c r="J34" s="2">
        <v>0</v>
      </c>
      <c r="K34" s="2">
        <v>0</v>
      </c>
      <c r="L34" s="2"/>
      <c r="M34" s="2"/>
      <c r="N34" s="2"/>
      <c r="O34" s="2">
        <f t="shared" si="21"/>
        <v>0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0</v>
      </c>
      <c r="T34" s="2">
        <f t="shared" si="26"/>
        <v>0</v>
      </c>
      <c r="U34" s="2">
        <f t="shared" si="27"/>
        <v>0</v>
      </c>
      <c r="V34" s="2">
        <f t="shared" si="28"/>
        <v>0</v>
      </c>
      <c r="W34" s="2">
        <f t="shared" si="29"/>
        <v>0</v>
      </c>
      <c r="X34" s="2">
        <f t="shared" si="30"/>
        <v>0</v>
      </c>
      <c r="Y34" s="2">
        <f t="shared" si="31"/>
        <v>0</v>
      </c>
      <c r="Z34" s="2"/>
      <c r="AA34" s="2">
        <v>57734472</v>
      </c>
      <c r="AB34" s="2">
        <f t="shared" si="32"/>
        <v>17.84</v>
      </c>
      <c r="AC34" s="2">
        <f t="shared" si="33"/>
        <v>0</v>
      </c>
      <c r="AD34" s="2">
        <f t="shared" si="34"/>
        <v>17.84</v>
      </c>
      <c r="AE34" s="2">
        <f t="shared" si="35"/>
        <v>0</v>
      </c>
      <c r="AF34" s="2">
        <f t="shared" si="36"/>
        <v>0</v>
      </c>
      <c r="AG34" s="2">
        <f t="shared" si="37"/>
        <v>0</v>
      </c>
      <c r="AH34" s="2">
        <f t="shared" si="38"/>
        <v>0</v>
      </c>
      <c r="AI34" s="2">
        <f t="shared" si="39"/>
        <v>0</v>
      </c>
      <c r="AJ34" s="2">
        <f t="shared" si="40"/>
        <v>0</v>
      </c>
      <c r="AK34" s="2">
        <v>17.84</v>
      </c>
      <c r="AL34" s="2">
        <v>0</v>
      </c>
      <c r="AM34" s="2">
        <v>17.84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4</v>
      </c>
      <c r="BJ34" s="2" t="s">
        <v>36</v>
      </c>
      <c r="BK34" s="2"/>
      <c r="BL34" s="2"/>
      <c r="BM34" s="2">
        <v>1113</v>
      </c>
      <c r="BN34" s="2">
        <v>0</v>
      </c>
      <c r="BO34" s="2" t="s">
        <v>3</v>
      </c>
      <c r="BP34" s="2">
        <v>0</v>
      </c>
      <c r="BQ34" s="2">
        <v>150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0</v>
      </c>
      <c r="CA34" s="2">
        <v>0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41"/>
        <v>0</v>
      </c>
      <c r="CQ34" s="2">
        <f t="shared" si="42"/>
        <v>0</v>
      </c>
      <c r="CR34" s="2">
        <f t="shared" si="43"/>
        <v>17.84</v>
      </c>
      <c r="CS34" s="2">
        <f t="shared" si="44"/>
        <v>0</v>
      </c>
      <c r="CT34" s="2">
        <f t="shared" si="45"/>
        <v>0</v>
      </c>
      <c r="CU34" s="2">
        <f t="shared" si="46"/>
        <v>0</v>
      </c>
      <c r="CV34" s="2">
        <f t="shared" si="47"/>
        <v>0</v>
      </c>
      <c r="CW34" s="2">
        <f t="shared" si="48"/>
        <v>0</v>
      </c>
      <c r="CX34" s="2">
        <f t="shared" si="49"/>
        <v>0</v>
      </c>
      <c r="CY34" s="2">
        <f>((S34*BZ34)/100)</f>
        <v>0</v>
      </c>
      <c r="CZ34" s="2">
        <f>((S34*CA34)/100)</f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27</v>
      </c>
      <c r="DW34" s="2" t="s">
        <v>27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51697152</v>
      </c>
      <c r="EF34" s="2">
        <v>150</v>
      </c>
      <c r="EG34" s="2" t="s">
        <v>21</v>
      </c>
      <c r="EH34" s="2">
        <v>0</v>
      </c>
      <c r="EI34" s="2" t="s">
        <v>3</v>
      </c>
      <c r="EJ34" s="2">
        <v>4</v>
      </c>
      <c r="EK34" s="2">
        <v>1113</v>
      </c>
      <c r="EL34" s="2" t="s">
        <v>22</v>
      </c>
      <c r="EM34" s="2" t="s">
        <v>23</v>
      </c>
      <c r="EN34" s="2"/>
      <c r="EO34" s="2" t="s">
        <v>3</v>
      </c>
      <c r="EP34" s="2"/>
      <c r="EQ34" s="2">
        <v>131072</v>
      </c>
      <c r="ER34" s="2">
        <v>17.84</v>
      </c>
      <c r="ES34" s="2">
        <v>0</v>
      </c>
      <c r="ET34" s="2">
        <v>17.84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0</v>
      </c>
      <c r="FY34" s="2">
        <v>0</v>
      </c>
      <c r="FZ34" s="2"/>
      <c r="GA34" s="2" t="s">
        <v>3</v>
      </c>
      <c r="GB34" s="2"/>
      <c r="GC34" s="2"/>
      <c r="GD34" s="2">
        <v>1</v>
      </c>
      <c r="GE34" s="2"/>
      <c r="GF34" s="2">
        <v>821670597</v>
      </c>
      <c r="GG34" s="2">
        <v>2</v>
      </c>
      <c r="GH34" s="2">
        <v>1</v>
      </c>
      <c r="GI34" s="2">
        <v>-2</v>
      </c>
      <c r="GJ34" s="2">
        <v>0</v>
      </c>
      <c r="GK34" s="2">
        <v>0</v>
      </c>
      <c r="GL34" s="2">
        <f t="shared" si="50"/>
        <v>0</v>
      </c>
      <c r="GM34" s="2">
        <f>ROUND(O34+X34+Y34,2)+GX34</f>
        <v>0</v>
      </c>
      <c r="GN34" s="2">
        <f t="shared" si="51"/>
        <v>0</v>
      </c>
      <c r="GO34" s="2">
        <f t="shared" si="52"/>
        <v>0</v>
      </c>
      <c r="GP34" s="2">
        <f t="shared" si="53"/>
        <v>0</v>
      </c>
      <c r="GQ34" s="2"/>
      <c r="GR34" s="2">
        <v>0</v>
      </c>
      <c r="GS34" s="2">
        <v>0</v>
      </c>
      <c r="GT34" s="2">
        <v>0</v>
      </c>
      <c r="GU34" s="2" t="s">
        <v>3</v>
      </c>
      <c r="GV34" s="2">
        <f t="shared" si="54"/>
        <v>0</v>
      </c>
      <c r="GW34" s="2">
        <v>1</v>
      </c>
      <c r="GX34" s="2">
        <f t="shared" si="55"/>
        <v>0</v>
      </c>
      <c r="GY34" s="2"/>
      <c r="GZ34" s="2"/>
      <c r="HA34" s="2">
        <v>0</v>
      </c>
      <c r="HB34" s="2">
        <v>0</v>
      </c>
      <c r="HC34" s="2">
        <f t="shared" si="56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17</v>
      </c>
      <c r="B35">
        <v>1</v>
      </c>
      <c r="D35">
        <f>ROW(EtalonRes!A8)</f>
        <v>8</v>
      </c>
      <c r="E35" t="s">
        <v>33</v>
      </c>
      <c r="F35" t="s">
        <v>34</v>
      </c>
      <c r="G35" t="s">
        <v>35</v>
      </c>
      <c r="H35" t="s">
        <v>27</v>
      </c>
      <c r="I35">
        <v>0</v>
      </c>
      <c r="J35">
        <v>0</v>
      </c>
      <c r="K35">
        <v>0</v>
      </c>
      <c r="O35">
        <f t="shared" si="21"/>
        <v>0</v>
      </c>
      <c r="P35">
        <f t="shared" si="22"/>
        <v>0</v>
      </c>
      <c r="Q35">
        <f t="shared" si="23"/>
        <v>0</v>
      </c>
      <c r="R35">
        <f t="shared" si="24"/>
        <v>0</v>
      </c>
      <c r="S35">
        <f t="shared" si="25"/>
        <v>0</v>
      </c>
      <c r="T35">
        <f t="shared" si="26"/>
        <v>0</v>
      </c>
      <c r="U35">
        <f t="shared" si="27"/>
        <v>0</v>
      </c>
      <c r="V35">
        <f t="shared" si="28"/>
        <v>0</v>
      </c>
      <c r="W35">
        <f t="shared" si="29"/>
        <v>0</v>
      </c>
      <c r="X35">
        <f t="shared" si="30"/>
        <v>0</v>
      </c>
      <c r="Y35">
        <f t="shared" si="31"/>
        <v>0</v>
      </c>
      <c r="AA35">
        <v>57734470</v>
      </c>
      <c r="AB35">
        <f t="shared" si="32"/>
        <v>17.84</v>
      </c>
      <c r="AC35">
        <f t="shared" si="33"/>
        <v>0</v>
      </c>
      <c r="AD35">
        <f t="shared" si="34"/>
        <v>17.84</v>
      </c>
      <c r="AE35">
        <f t="shared" si="35"/>
        <v>0</v>
      </c>
      <c r="AF35">
        <f t="shared" si="36"/>
        <v>0</v>
      </c>
      <c r="AG35">
        <f t="shared" si="37"/>
        <v>0</v>
      </c>
      <c r="AH35">
        <f t="shared" si="38"/>
        <v>0</v>
      </c>
      <c r="AI35">
        <f t="shared" si="39"/>
        <v>0</v>
      </c>
      <c r="AJ35">
        <f t="shared" si="40"/>
        <v>0</v>
      </c>
      <c r="AK35">
        <v>17.84</v>
      </c>
      <c r="AL35">
        <v>0</v>
      </c>
      <c r="AM35">
        <v>17.84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95</v>
      </c>
      <c r="AU35">
        <v>65</v>
      </c>
      <c r="AV35">
        <v>1</v>
      </c>
      <c r="AW35">
        <v>1</v>
      </c>
      <c r="AZ35">
        <v>1</v>
      </c>
      <c r="BA35">
        <v>1</v>
      </c>
      <c r="BB35">
        <v>12.3</v>
      </c>
      <c r="BC35">
        <v>1</v>
      </c>
      <c r="BD35" t="s">
        <v>3</v>
      </c>
      <c r="BE35" t="s">
        <v>3</v>
      </c>
      <c r="BF35" t="s">
        <v>3</v>
      </c>
      <c r="BG35" t="s">
        <v>3</v>
      </c>
      <c r="BH35">
        <v>0</v>
      </c>
      <c r="BI35">
        <v>4</v>
      </c>
      <c r="BJ35" t="s">
        <v>36</v>
      </c>
      <c r="BM35">
        <v>1113</v>
      </c>
      <c r="BN35">
        <v>0</v>
      </c>
      <c r="BO35" t="s">
        <v>34</v>
      </c>
      <c r="BP35">
        <v>1</v>
      </c>
      <c r="BQ35">
        <v>150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95</v>
      </c>
      <c r="CA35">
        <v>65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41"/>
        <v>0</v>
      </c>
      <c r="CQ35">
        <f t="shared" si="42"/>
        <v>0</v>
      </c>
      <c r="CR35">
        <f t="shared" si="43"/>
        <v>219.43</v>
      </c>
      <c r="CS35">
        <f t="shared" si="44"/>
        <v>0</v>
      </c>
      <c r="CT35">
        <f t="shared" si="45"/>
        <v>0</v>
      </c>
      <c r="CU35">
        <f t="shared" si="46"/>
        <v>0</v>
      </c>
      <c r="CV35">
        <f t="shared" si="47"/>
        <v>0</v>
      </c>
      <c r="CW35">
        <f t="shared" si="48"/>
        <v>0</v>
      </c>
      <c r="CX35">
        <f t="shared" si="49"/>
        <v>0</v>
      </c>
      <c r="CY35">
        <f>S35*(BZ35/100)</f>
        <v>0</v>
      </c>
      <c r="CZ35">
        <f>S35*(CA35/100)</f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1013</v>
      </c>
      <c r="DV35" t="s">
        <v>27</v>
      </c>
      <c r="DW35" t="s">
        <v>27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51697152</v>
      </c>
      <c r="EF35">
        <v>150</v>
      </c>
      <c r="EG35" t="s">
        <v>21</v>
      </c>
      <c r="EH35">
        <v>0</v>
      </c>
      <c r="EI35" t="s">
        <v>3</v>
      </c>
      <c r="EJ35">
        <v>4</v>
      </c>
      <c r="EK35">
        <v>1113</v>
      </c>
      <c r="EL35" t="s">
        <v>22</v>
      </c>
      <c r="EM35" t="s">
        <v>23</v>
      </c>
      <c r="EO35" t="s">
        <v>3</v>
      </c>
      <c r="EQ35">
        <v>131072</v>
      </c>
      <c r="ER35">
        <v>17.84</v>
      </c>
      <c r="ES35">
        <v>0</v>
      </c>
      <c r="ET35">
        <v>17.84</v>
      </c>
      <c r="EU35">
        <v>0</v>
      </c>
      <c r="EV35">
        <v>0</v>
      </c>
      <c r="EW35">
        <v>0</v>
      </c>
      <c r="EX35">
        <v>0</v>
      </c>
      <c r="EY35">
        <v>0</v>
      </c>
      <c r="FQ35">
        <v>0</v>
      </c>
      <c r="FR35">
        <v>0</v>
      </c>
      <c r="FS35">
        <v>0</v>
      </c>
      <c r="FX35">
        <v>0</v>
      </c>
      <c r="FY35">
        <v>0</v>
      </c>
      <c r="GA35" t="s">
        <v>3</v>
      </c>
      <c r="GD35">
        <v>0</v>
      </c>
      <c r="GF35">
        <v>821670597</v>
      </c>
      <c r="GG35">
        <v>2</v>
      </c>
      <c r="GH35">
        <v>1</v>
      </c>
      <c r="GI35">
        <v>2</v>
      </c>
      <c r="GJ35">
        <v>0</v>
      </c>
      <c r="GK35">
        <f>ROUND(R35*(S12)/100,2)</f>
        <v>0</v>
      </c>
      <c r="GL35">
        <f t="shared" si="50"/>
        <v>0</v>
      </c>
      <c r="GM35">
        <f>ROUND(O35+X35+Y35+GK35,2)+GX35</f>
        <v>0</v>
      </c>
      <c r="GN35">
        <f t="shared" si="51"/>
        <v>0</v>
      </c>
      <c r="GO35">
        <f t="shared" si="52"/>
        <v>0</v>
      </c>
      <c r="GP35">
        <f t="shared" si="53"/>
        <v>0</v>
      </c>
      <c r="GR35">
        <v>0</v>
      </c>
      <c r="GS35">
        <v>3</v>
      </c>
      <c r="GT35">
        <v>0</v>
      </c>
      <c r="GU35" t="s">
        <v>3</v>
      </c>
      <c r="GV35">
        <f t="shared" si="54"/>
        <v>0</v>
      </c>
      <c r="GW35">
        <v>1</v>
      </c>
      <c r="GX35">
        <f t="shared" si="55"/>
        <v>0</v>
      </c>
      <c r="HA35">
        <v>0</v>
      </c>
      <c r="HB35">
        <v>0</v>
      </c>
      <c r="HC35">
        <f t="shared" si="56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/>
      <c r="D36" s="2">
        <f>ROW(EtalonRes!A9)</f>
        <v>9</v>
      </c>
      <c r="E36" s="2" t="s">
        <v>37</v>
      </c>
      <c r="F36" s="2" t="s">
        <v>38</v>
      </c>
      <c r="G36" s="2" t="s">
        <v>39</v>
      </c>
      <c r="H36" s="2" t="s">
        <v>27</v>
      </c>
      <c r="I36" s="2">
        <v>0</v>
      </c>
      <c r="J36" s="2">
        <v>0</v>
      </c>
      <c r="K36" s="2">
        <v>0</v>
      </c>
      <c r="L36" s="2"/>
      <c r="M36" s="2"/>
      <c r="N36" s="2"/>
      <c r="O36" s="2">
        <f t="shared" si="21"/>
        <v>0</v>
      </c>
      <c r="P36" s="2">
        <f t="shared" si="22"/>
        <v>0</v>
      </c>
      <c r="Q36" s="2">
        <f t="shared" si="23"/>
        <v>0</v>
      </c>
      <c r="R36" s="2">
        <f t="shared" si="24"/>
        <v>0</v>
      </c>
      <c r="S36" s="2">
        <f t="shared" si="25"/>
        <v>0</v>
      </c>
      <c r="T36" s="2">
        <f t="shared" si="26"/>
        <v>0</v>
      </c>
      <c r="U36" s="2">
        <f t="shared" si="27"/>
        <v>0</v>
      </c>
      <c r="V36" s="2">
        <f t="shared" si="28"/>
        <v>0</v>
      </c>
      <c r="W36" s="2">
        <f t="shared" si="29"/>
        <v>0</v>
      </c>
      <c r="X36" s="2">
        <f t="shared" si="30"/>
        <v>0</v>
      </c>
      <c r="Y36" s="2">
        <f t="shared" si="31"/>
        <v>0</v>
      </c>
      <c r="Z36" s="2"/>
      <c r="AA36" s="2">
        <v>57734472</v>
      </c>
      <c r="AB36" s="2">
        <f t="shared" si="32"/>
        <v>21.71</v>
      </c>
      <c r="AC36" s="2">
        <f t="shared" si="33"/>
        <v>0</v>
      </c>
      <c r="AD36" s="2">
        <f t="shared" si="34"/>
        <v>21.71</v>
      </c>
      <c r="AE36" s="2">
        <f t="shared" si="35"/>
        <v>0</v>
      </c>
      <c r="AF36" s="2">
        <f t="shared" si="36"/>
        <v>0</v>
      </c>
      <c r="AG36" s="2">
        <f t="shared" si="37"/>
        <v>0</v>
      </c>
      <c r="AH36" s="2">
        <f t="shared" si="38"/>
        <v>0</v>
      </c>
      <c r="AI36" s="2">
        <f t="shared" si="39"/>
        <v>0</v>
      </c>
      <c r="AJ36" s="2">
        <f t="shared" si="40"/>
        <v>0</v>
      </c>
      <c r="AK36" s="2">
        <v>21.71</v>
      </c>
      <c r="AL36" s="2">
        <v>0</v>
      </c>
      <c r="AM36" s="2">
        <v>21.71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1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4</v>
      </c>
      <c r="BJ36" s="2" t="s">
        <v>40</v>
      </c>
      <c r="BK36" s="2"/>
      <c r="BL36" s="2"/>
      <c r="BM36" s="2">
        <v>1113</v>
      </c>
      <c r="BN36" s="2">
        <v>0</v>
      </c>
      <c r="BO36" s="2" t="s">
        <v>3</v>
      </c>
      <c r="BP36" s="2">
        <v>0</v>
      </c>
      <c r="BQ36" s="2">
        <v>150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0</v>
      </c>
      <c r="CA36" s="2">
        <v>0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41"/>
        <v>0</v>
      </c>
      <c r="CQ36" s="2">
        <f t="shared" si="42"/>
        <v>0</v>
      </c>
      <c r="CR36" s="2">
        <f t="shared" si="43"/>
        <v>21.71</v>
      </c>
      <c r="CS36" s="2">
        <f t="shared" si="44"/>
        <v>0</v>
      </c>
      <c r="CT36" s="2">
        <f t="shared" si="45"/>
        <v>0</v>
      </c>
      <c r="CU36" s="2">
        <f t="shared" si="46"/>
        <v>0</v>
      </c>
      <c r="CV36" s="2">
        <f t="shared" si="47"/>
        <v>0</v>
      </c>
      <c r="CW36" s="2">
        <f t="shared" si="48"/>
        <v>0</v>
      </c>
      <c r="CX36" s="2">
        <f t="shared" si="49"/>
        <v>0</v>
      </c>
      <c r="CY36" s="2">
        <f>((S36*BZ36)/100)</f>
        <v>0</v>
      </c>
      <c r="CZ36" s="2">
        <f>((S36*CA36)/100)</f>
        <v>0</v>
      </c>
      <c r="DA36" s="2"/>
      <c r="DB36" s="2"/>
      <c r="DC36" s="2" t="s">
        <v>3</v>
      </c>
      <c r="DD36" s="2" t="s">
        <v>3</v>
      </c>
      <c r="DE36" s="2" t="s">
        <v>3</v>
      </c>
      <c r="DF36" s="2" t="s">
        <v>3</v>
      </c>
      <c r="DG36" s="2" t="s">
        <v>3</v>
      </c>
      <c r="DH36" s="2" t="s">
        <v>3</v>
      </c>
      <c r="DI36" s="2" t="s">
        <v>3</v>
      </c>
      <c r="DJ36" s="2" t="s">
        <v>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27</v>
      </c>
      <c r="DW36" s="2" t="s">
        <v>27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51697152</v>
      </c>
      <c r="EF36" s="2">
        <v>150</v>
      </c>
      <c r="EG36" s="2" t="s">
        <v>21</v>
      </c>
      <c r="EH36" s="2">
        <v>0</v>
      </c>
      <c r="EI36" s="2" t="s">
        <v>3</v>
      </c>
      <c r="EJ36" s="2">
        <v>4</v>
      </c>
      <c r="EK36" s="2">
        <v>1113</v>
      </c>
      <c r="EL36" s="2" t="s">
        <v>22</v>
      </c>
      <c r="EM36" s="2" t="s">
        <v>23</v>
      </c>
      <c r="EN36" s="2"/>
      <c r="EO36" s="2" t="s">
        <v>3</v>
      </c>
      <c r="EP36" s="2"/>
      <c r="EQ36" s="2">
        <v>131072</v>
      </c>
      <c r="ER36" s="2">
        <v>21.71</v>
      </c>
      <c r="ES36" s="2">
        <v>0</v>
      </c>
      <c r="ET36" s="2">
        <v>21.71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0</v>
      </c>
      <c r="FY36" s="2">
        <v>0</v>
      </c>
      <c r="FZ36" s="2"/>
      <c r="GA36" s="2" t="s">
        <v>3</v>
      </c>
      <c r="GB36" s="2"/>
      <c r="GC36" s="2"/>
      <c r="GD36" s="2">
        <v>1</v>
      </c>
      <c r="GE36" s="2"/>
      <c r="GF36" s="2">
        <v>-2025383143</v>
      </c>
      <c r="GG36" s="2">
        <v>2</v>
      </c>
      <c r="GH36" s="2">
        <v>1</v>
      </c>
      <c r="GI36" s="2">
        <v>-2</v>
      </c>
      <c r="GJ36" s="2">
        <v>0</v>
      </c>
      <c r="GK36" s="2">
        <v>0</v>
      </c>
      <c r="GL36" s="2">
        <f t="shared" si="50"/>
        <v>0</v>
      </c>
      <c r="GM36" s="2">
        <f>ROUND(O36+X36+Y36,2)+GX36</f>
        <v>0</v>
      </c>
      <c r="GN36" s="2">
        <f t="shared" si="51"/>
        <v>0</v>
      </c>
      <c r="GO36" s="2">
        <f t="shared" si="52"/>
        <v>0</v>
      </c>
      <c r="GP36" s="2">
        <f t="shared" si="53"/>
        <v>0</v>
      </c>
      <c r="GQ36" s="2"/>
      <c r="GR36" s="2">
        <v>0</v>
      </c>
      <c r="GS36" s="2">
        <v>0</v>
      </c>
      <c r="GT36" s="2">
        <v>0</v>
      </c>
      <c r="GU36" s="2" t="s">
        <v>3</v>
      </c>
      <c r="GV36" s="2">
        <f t="shared" si="54"/>
        <v>0</v>
      </c>
      <c r="GW36" s="2">
        <v>1</v>
      </c>
      <c r="GX36" s="2">
        <f t="shared" si="55"/>
        <v>0</v>
      </c>
      <c r="GY36" s="2"/>
      <c r="GZ36" s="2"/>
      <c r="HA36" s="2">
        <v>0</v>
      </c>
      <c r="HB36" s="2">
        <v>0</v>
      </c>
      <c r="HC36" s="2">
        <f t="shared" si="56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D37">
        <f>ROW(EtalonRes!A10)</f>
        <v>10</v>
      </c>
      <c r="E37" t="s">
        <v>37</v>
      </c>
      <c r="F37" t="s">
        <v>38</v>
      </c>
      <c r="G37" t="s">
        <v>39</v>
      </c>
      <c r="H37" t="s">
        <v>27</v>
      </c>
      <c r="I37">
        <v>0</v>
      </c>
      <c r="J37">
        <v>0</v>
      </c>
      <c r="K37">
        <v>0</v>
      </c>
      <c r="O37">
        <f t="shared" si="21"/>
        <v>0</v>
      </c>
      <c r="P37">
        <f t="shared" si="22"/>
        <v>0</v>
      </c>
      <c r="Q37">
        <f t="shared" si="23"/>
        <v>0</v>
      </c>
      <c r="R37">
        <f t="shared" si="24"/>
        <v>0</v>
      </c>
      <c r="S37">
        <f t="shared" si="25"/>
        <v>0</v>
      </c>
      <c r="T37">
        <f t="shared" si="26"/>
        <v>0</v>
      </c>
      <c r="U37">
        <f t="shared" si="27"/>
        <v>0</v>
      </c>
      <c r="V37">
        <f t="shared" si="28"/>
        <v>0</v>
      </c>
      <c r="W37">
        <f t="shared" si="29"/>
        <v>0</v>
      </c>
      <c r="X37">
        <f t="shared" si="30"/>
        <v>0</v>
      </c>
      <c r="Y37">
        <f t="shared" si="31"/>
        <v>0</v>
      </c>
      <c r="AA37">
        <v>57734470</v>
      </c>
      <c r="AB37">
        <f t="shared" si="32"/>
        <v>21.71</v>
      </c>
      <c r="AC37">
        <f t="shared" si="33"/>
        <v>0</v>
      </c>
      <c r="AD37">
        <f t="shared" si="34"/>
        <v>21.71</v>
      </c>
      <c r="AE37">
        <f t="shared" si="35"/>
        <v>0</v>
      </c>
      <c r="AF37">
        <f t="shared" si="36"/>
        <v>0</v>
      </c>
      <c r="AG37">
        <f t="shared" si="37"/>
        <v>0</v>
      </c>
      <c r="AH37">
        <f t="shared" si="38"/>
        <v>0</v>
      </c>
      <c r="AI37">
        <f t="shared" si="39"/>
        <v>0</v>
      </c>
      <c r="AJ37">
        <f t="shared" si="40"/>
        <v>0</v>
      </c>
      <c r="AK37">
        <v>21.71</v>
      </c>
      <c r="AL37">
        <v>0</v>
      </c>
      <c r="AM37">
        <v>21.71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95</v>
      </c>
      <c r="AU37">
        <v>65</v>
      </c>
      <c r="AV37">
        <v>1</v>
      </c>
      <c r="AW37">
        <v>1</v>
      </c>
      <c r="AZ37">
        <v>1</v>
      </c>
      <c r="BA37">
        <v>1</v>
      </c>
      <c r="BB37">
        <v>9</v>
      </c>
      <c r="BC37">
        <v>1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4</v>
      </c>
      <c r="BJ37" t="s">
        <v>40</v>
      </c>
      <c r="BM37">
        <v>1113</v>
      </c>
      <c r="BN37">
        <v>0</v>
      </c>
      <c r="BO37" t="s">
        <v>38</v>
      </c>
      <c r="BP37">
        <v>1</v>
      </c>
      <c r="BQ37">
        <v>150</v>
      </c>
      <c r="BR37">
        <v>0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95</v>
      </c>
      <c r="CA37">
        <v>65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3</v>
      </c>
      <c r="CO37">
        <v>0</v>
      </c>
      <c r="CP37">
        <f t="shared" si="41"/>
        <v>0</v>
      </c>
      <c r="CQ37">
        <f t="shared" si="42"/>
        <v>0</v>
      </c>
      <c r="CR37">
        <f t="shared" si="43"/>
        <v>195.39</v>
      </c>
      <c r="CS37">
        <f t="shared" si="44"/>
        <v>0</v>
      </c>
      <c r="CT37">
        <f t="shared" si="45"/>
        <v>0</v>
      </c>
      <c r="CU37">
        <f t="shared" si="46"/>
        <v>0</v>
      </c>
      <c r="CV37">
        <f t="shared" si="47"/>
        <v>0</v>
      </c>
      <c r="CW37">
        <f t="shared" si="48"/>
        <v>0</v>
      </c>
      <c r="CX37">
        <f t="shared" si="49"/>
        <v>0</v>
      </c>
      <c r="CY37">
        <f>S37*(BZ37/100)</f>
        <v>0</v>
      </c>
      <c r="CZ37">
        <f>S37*(CA37/100)</f>
        <v>0</v>
      </c>
      <c r="DC37" t="s">
        <v>3</v>
      </c>
      <c r="DD37" t="s">
        <v>3</v>
      </c>
      <c r="DE37" t="s">
        <v>3</v>
      </c>
      <c r="DF37" t="s">
        <v>3</v>
      </c>
      <c r="DG37" t="s">
        <v>3</v>
      </c>
      <c r="DH37" t="s">
        <v>3</v>
      </c>
      <c r="DI37" t="s">
        <v>3</v>
      </c>
      <c r="DJ37" t="s">
        <v>3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1013</v>
      </c>
      <c r="DV37" t="s">
        <v>27</v>
      </c>
      <c r="DW37" t="s">
        <v>27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51697152</v>
      </c>
      <c r="EF37">
        <v>150</v>
      </c>
      <c r="EG37" t="s">
        <v>21</v>
      </c>
      <c r="EH37">
        <v>0</v>
      </c>
      <c r="EI37" t="s">
        <v>3</v>
      </c>
      <c r="EJ37">
        <v>4</v>
      </c>
      <c r="EK37">
        <v>1113</v>
      </c>
      <c r="EL37" t="s">
        <v>22</v>
      </c>
      <c r="EM37" t="s">
        <v>23</v>
      </c>
      <c r="EO37" t="s">
        <v>3</v>
      </c>
      <c r="EQ37">
        <v>131072</v>
      </c>
      <c r="ER37">
        <v>21.71</v>
      </c>
      <c r="ES37">
        <v>0</v>
      </c>
      <c r="ET37">
        <v>21.71</v>
      </c>
      <c r="EU37">
        <v>0</v>
      </c>
      <c r="EV37">
        <v>0</v>
      </c>
      <c r="EW37">
        <v>0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0</v>
      </c>
      <c r="FY37">
        <v>0</v>
      </c>
      <c r="GA37" t="s">
        <v>3</v>
      </c>
      <c r="GD37">
        <v>0</v>
      </c>
      <c r="GF37">
        <v>-2025383143</v>
      </c>
      <c r="GG37">
        <v>2</v>
      </c>
      <c r="GH37">
        <v>1</v>
      </c>
      <c r="GI37">
        <v>2</v>
      </c>
      <c r="GJ37">
        <v>0</v>
      </c>
      <c r="GK37">
        <f>ROUND(R37*(S12)/100,2)</f>
        <v>0</v>
      </c>
      <c r="GL37">
        <f t="shared" si="50"/>
        <v>0</v>
      </c>
      <c r="GM37">
        <f>ROUND(O37+X37+Y37+GK37,2)+GX37</f>
        <v>0</v>
      </c>
      <c r="GN37">
        <f t="shared" si="51"/>
        <v>0</v>
      </c>
      <c r="GO37">
        <f t="shared" si="52"/>
        <v>0</v>
      </c>
      <c r="GP37">
        <f t="shared" si="53"/>
        <v>0</v>
      </c>
      <c r="GR37">
        <v>0</v>
      </c>
      <c r="GS37">
        <v>3</v>
      </c>
      <c r="GT37">
        <v>0</v>
      </c>
      <c r="GU37" t="s">
        <v>3</v>
      </c>
      <c r="GV37">
        <f t="shared" si="54"/>
        <v>0</v>
      </c>
      <c r="GW37">
        <v>1</v>
      </c>
      <c r="GX37">
        <f t="shared" si="55"/>
        <v>0</v>
      </c>
      <c r="HA37">
        <v>0</v>
      </c>
      <c r="HB37">
        <v>0</v>
      </c>
      <c r="HC37">
        <f t="shared" si="56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9" spans="1:255" x14ac:dyDescent="0.2">
      <c r="A39" s="3">
        <v>51</v>
      </c>
      <c r="B39" s="3">
        <f>B24</f>
        <v>1</v>
      </c>
      <c r="C39" s="3">
        <f>A24</f>
        <v>4</v>
      </c>
      <c r="D39" s="3">
        <f>ROW(A24)</f>
        <v>24</v>
      </c>
      <c r="E39" s="3"/>
      <c r="F39" s="3" t="str">
        <f>IF(F24&lt;&gt;"",F24,"")</f>
        <v>Новый раздел</v>
      </c>
      <c r="G39" s="3" t="str">
        <f>IF(G24&lt;&gt;"",G24,"")</f>
        <v>Благоустройство</v>
      </c>
      <c r="H39" s="3">
        <v>0</v>
      </c>
      <c r="I39" s="3"/>
      <c r="J39" s="3"/>
      <c r="K39" s="3"/>
      <c r="L39" s="3"/>
      <c r="M39" s="3"/>
      <c r="N39" s="3"/>
      <c r="O39" s="3">
        <f t="shared" ref="O39:T39" si="57">ROUND(AB39,2)</f>
        <v>836.72</v>
      </c>
      <c r="P39" s="3">
        <f t="shared" si="57"/>
        <v>0</v>
      </c>
      <c r="Q39" s="3">
        <f t="shared" si="57"/>
        <v>836.72</v>
      </c>
      <c r="R39" s="3">
        <f t="shared" si="57"/>
        <v>0</v>
      </c>
      <c r="S39" s="3">
        <f t="shared" si="57"/>
        <v>0</v>
      </c>
      <c r="T39" s="3">
        <f t="shared" si="57"/>
        <v>0</v>
      </c>
      <c r="U39" s="3">
        <f>AH39</f>
        <v>0</v>
      </c>
      <c r="V39" s="3">
        <f>AI39</f>
        <v>0</v>
      </c>
      <c r="W39" s="3">
        <f>ROUND(AJ39,2)</f>
        <v>0</v>
      </c>
      <c r="X39" s="3">
        <f>ROUND(AK39,2)</f>
        <v>0</v>
      </c>
      <c r="Y39" s="3">
        <f>ROUND(AL39,2)</f>
        <v>0</v>
      </c>
      <c r="Z39" s="3"/>
      <c r="AA39" s="3"/>
      <c r="AB39" s="3">
        <f>ROUND(SUMIF(AA28:AA37,"=57734472",O28:O37),2)</f>
        <v>836.72</v>
      </c>
      <c r="AC39" s="3">
        <f>ROUND(SUMIF(AA28:AA37,"=57734472",P28:P37),2)</f>
        <v>0</v>
      </c>
      <c r="AD39" s="3">
        <f>ROUND(SUMIF(AA28:AA37,"=57734472",Q28:Q37),2)</f>
        <v>836.72</v>
      </c>
      <c r="AE39" s="3">
        <f>ROUND(SUMIF(AA28:AA37,"=57734472",R28:R37),2)</f>
        <v>0</v>
      </c>
      <c r="AF39" s="3">
        <f>ROUND(SUMIF(AA28:AA37,"=57734472",S28:S37),2)</f>
        <v>0</v>
      </c>
      <c r="AG39" s="3">
        <f>ROUND(SUMIF(AA28:AA37,"=57734472",T28:T37),2)</f>
        <v>0</v>
      </c>
      <c r="AH39" s="3">
        <f>SUMIF(AA28:AA37,"=57734472",U28:U37)</f>
        <v>0</v>
      </c>
      <c r="AI39" s="3">
        <f>SUMIF(AA28:AA37,"=57734472",V28:V37)</f>
        <v>0</v>
      </c>
      <c r="AJ39" s="3">
        <f>ROUND(SUMIF(AA28:AA37,"=57734472",W28:W37),2)</f>
        <v>0</v>
      </c>
      <c r="AK39" s="3">
        <f>ROUND(SUMIF(AA28:AA37,"=57734472",X28:X37),2)</f>
        <v>0</v>
      </c>
      <c r="AL39" s="3">
        <f>ROUND(SUMIF(AA28:AA37,"=57734472",Y28:Y37),2)</f>
        <v>0</v>
      </c>
      <c r="AM39" s="3"/>
      <c r="AN39" s="3"/>
      <c r="AO39" s="3">
        <f t="shared" ref="AO39:BD39" si="58">ROUND(BX39,2)</f>
        <v>0</v>
      </c>
      <c r="AP39" s="3">
        <f t="shared" si="58"/>
        <v>0</v>
      </c>
      <c r="AQ39" s="3">
        <f t="shared" si="58"/>
        <v>0</v>
      </c>
      <c r="AR39" s="3">
        <f t="shared" si="58"/>
        <v>836.72</v>
      </c>
      <c r="AS39" s="3">
        <f t="shared" si="58"/>
        <v>0</v>
      </c>
      <c r="AT39" s="3">
        <f t="shared" si="58"/>
        <v>0</v>
      </c>
      <c r="AU39" s="3">
        <f t="shared" si="58"/>
        <v>836.72</v>
      </c>
      <c r="AV39" s="3">
        <f t="shared" si="58"/>
        <v>0</v>
      </c>
      <c r="AW39" s="3">
        <f t="shared" si="58"/>
        <v>0</v>
      </c>
      <c r="AX39" s="3">
        <f t="shared" si="58"/>
        <v>0</v>
      </c>
      <c r="AY39" s="3">
        <f t="shared" si="58"/>
        <v>0</v>
      </c>
      <c r="AZ39" s="3">
        <f t="shared" si="58"/>
        <v>0</v>
      </c>
      <c r="BA39" s="3">
        <f t="shared" si="58"/>
        <v>0</v>
      </c>
      <c r="BB39" s="3">
        <f t="shared" si="58"/>
        <v>0</v>
      </c>
      <c r="BC39" s="3">
        <f t="shared" si="58"/>
        <v>0</v>
      </c>
      <c r="BD39" s="3">
        <f t="shared" si="58"/>
        <v>0</v>
      </c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>
        <f>ROUND(SUMIF(AA28:AA37,"=57734472",FQ28:FQ37),2)</f>
        <v>0</v>
      </c>
      <c r="BY39" s="3">
        <f>ROUND(SUMIF(AA28:AA37,"=57734472",FR28:FR37),2)</f>
        <v>0</v>
      </c>
      <c r="BZ39" s="3">
        <f>ROUND(SUMIF(AA28:AA37,"=57734472",GL28:GL37),2)</f>
        <v>0</v>
      </c>
      <c r="CA39" s="3">
        <f>ROUND(SUMIF(AA28:AA37,"=57734472",GM28:GM37),2)</f>
        <v>836.72</v>
      </c>
      <c r="CB39" s="3">
        <f>ROUND(SUMIF(AA28:AA37,"=57734472",GN28:GN37),2)</f>
        <v>0</v>
      </c>
      <c r="CC39" s="3">
        <f>ROUND(SUMIF(AA28:AA37,"=57734472",GO28:GO37),2)</f>
        <v>0</v>
      </c>
      <c r="CD39" s="3">
        <f>ROUND(SUMIF(AA28:AA37,"=57734472",GP28:GP37),2)</f>
        <v>836.72</v>
      </c>
      <c r="CE39" s="3">
        <f>AC39-BX39</f>
        <v>0</v>
      </c>
      <c r="CF39" s="3">
        <f>AC39-BY39</f>
        <v>0</v>
      </c>
      <c r="CG39" s="3">
        <f>BX39-BZ39</f>
        <v>0</v>
      </c>
      <c r="CH39" s="3">
        <f>AC39-BX39-BY39+BZ39</f>
        <v>0</v>
      </c>
      <c r="CI39" s="3">
        <f>BY39-BZ39</f>
        <v>0</v>
      </c>
      <c r="CJ39" s="3">
        <f>ROUND(SUMIF(AA28:AA37,"=57734472",GX28:GX37),2)</f>
        <v>0</v>
      </c>
      <c r="CK39" s="3">
        <f>ROUND(SUMIF(AA28:AA37,"=57734472",GY28:GY37),2)</f>
        <v>0</v>
      </c>
      <c r="CL39" s="3">
        <f>ROUND(SUMIF(AA28:AA37,"=57734472",GZ28:GZ37),2)</f>
        <v>0</v>
      </c>
      <c r="CM39" s="3">
        <f>ROUND(SUMIF(AA28:AA37,"=57734472",HD28:HD37),2)</f>
        <v>0</v>
      </c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4">
        <f t="shared" ref="DG39:DL39" si="59">ROUND(DT39,2)</f>
        <v>10227.83</v>
      </c>
      <c r="DH39" s="4">
        <f t="shared" si="59"/>
        <v>0</v>
      </c>
      <c r="DI39" s="4">
        <f t="shared" si="59"/>
        <v>10227.83</v>
      </c>
      <c r="DJ39" s="4">
        <f t="shared" si="59"/>
        <v>0</v>
      </c>
      <c r="DK39" s="4">
        <f t="shared" si="59"/>
        <v>0</v>
      </c>
      <c r="DL39" s="4">
        <f t="shared" si="59"/>
        <v>0</v>
      </c>
      <c r="DM39" s="4">
        <f>DZ39</f>
        <v>0</v>
      </c>
      <c r="DN39" s="4">
        <f>EA39</f>
        <v>0</v>
      </c>
      <c r="DO39" s="4">
        <f>ROUND(EB39,2)</f>
        <v>0</v>
      </c>
      <c r="DP39" s="4">
        <f>ROUND(EC39,2)</f>
        <v>0</v>
      </c>
      <c r="DQ39" s="4">
        <f>ROUND(ED39,2)</f>
        <v>0</v>
      </c>
      <c r="DR39" s="4"/>
      <c r="DS39" s="4"/>
      <c r="DT39" s="4">
        <f>ROUND(SUMIF(AA28:AA37,"=57734470",O28:O37),2)</f>
        <v>10227.83</v>
      </c>
      <c r="DU39" s="4">
        <f>ROUND(SUMIF(AA28:AA37,"=57734470",P28:P37),2)</f>
        <v>0</v>
      </c>
      <c r="DV39" s="4">
        <f>ROUND(SUMIF(AA28:AA37,"=57734470",Q28:Q37),2)</f>
        <v>10227.83</v>
      </c>
      <c r="DW39" s="4">
        <f>ROUND(SUMIF(AA28:AA37,"=57734470",R28:R37),2)</f>
        <v>0</v>
      </c>
      <c r="DX39" s="4">
        <f>ROUND(SUMIF(AA28:AA37,"=57734470",S28:S37),2)</f>
        <v>0</v>
      </c>
      <c r="DY39" s="4">
        <f>ROUND(SUMIF(AA28:AA37,"=57734470",T28:T37),2)</f>
        <v>0</v>
      </c>
      <c r="DZ39" s="4">
        <f>SUMIF(AA28:AA37,"=57734470",U28:U37)</f>
        <v>0</v>
      </c>
      <c r="EA39" s="4">
        <f>SUMIF(AA28:AA37,"=57734470",V28:V37)</f>
        <v>0</v>
      </c>
      <c r="EB39" s="4">
        <f>ROUND(SUMIF(AA28:AA37,"=57734470",W28:W37),2)</f>
        <v>0</v>
      </c>
      <c r="EC39" s="4">
        <f>ROUND(SUMIF(AA28:AA37,"=57734470",X28:X37),2)</f>
        <v>0</v>
      </c>
      <c r="ED39" s="4">
        <f>ROUND(SUMIF(AA28:AA37,"=57734470",Y28:Y37),2)</f>
        <v>0</v>
      </c>
      <c r="EE39" s="4"/>
      <c r="EF39" s="4"/>
      <c r="EG39" s="4">
        <f t="shared" ref="EG39:EV39" si="60">ROUND(FP39,2)</f>
        <v>0</v>
      </c>
      <c r="EH39" s="4">
        <f t="shared" si="60"/>
        <v>0</v>
      </c>
      <c r="EI39" s="4">
        <f t="shared" si="60"/>
        <v>0</v>
      </c>
      <c r="EJ39" s="4">
        <f t="shared" si="60"/>
        <v>10227.83</v>
      </c>
      <c r="EK39" s="4">
        <f t="shared" si="60"/>
        <v>0</v>
      </c>
      <c r="EL39" s="4">
        <f t="shared" si="60"/>
        <v>0</v>
      </c>
      <c r="EM39" s="4">
        <f t="shared" si="60"/>
        <v>10227.83</v>
      </c>
      <c r="EN39" s="4">
        <f t="shared" si="60"/>
        <v>0</v>
      </c>
      <c r="EO39" s="4">
        <f t="shared" si="60"/>
        <v>0</v>
      </c>
      <c r="EP39" s="4">
        <f t="shared" si="60"/>
        <v>0</v>
      </c>
      <c r="EQ39" s="4">
        <f t="shared" si="60"/>
        <v>0</v>
      </c>
      <c r="ER39" s="4">
        <f t="shared" si="60"/>
        <v>0</v>
      </c>
      <c r="ES39" s="4">
        <f t="shared" si="60"/>
        <v>0</v>
      </c>
      <c r="ET39" s="4">
        <f t="shared" si="60"/>
        <v>0</v>
      </c>
      <c r="EU39" s="4">
        <f t="shared" si="60"/>
        <v>0</v>
      </c>
      <c r="EV39" s="4">
        <f t="shared" si="60"/>
        <v>0</v>
      </c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>
        <f>ROUND(SUMIF(AA28:AA37,"=57734470",FQ28:FQ37),2)</f>
        <v>0</v>
      </c>
      <c r="FQ39" s="4">
        <f>ROUND(SUMIF(AA28:AA37,"=57734470",FR28:FR37),2)</f>
        <v>0</v>
      </c>
      <c r="FR39" s="4">
        <f>ROUND(SUMIF(AA28:AA37,"=57734470",GL28:GL37),2)</f>
        <v>0</v>
      </c>
      <c r="FS39" s="4">
        <f>ROUND(SUMIF(AA28:AA37,"=57734470",GM28:GM37),2)</f>
        <v>10227.83</v>
      </c>
      <c r="FT39" s="4">
        <f>ROUND(SUMIF(AA28:AA37,"=57734470",GN28:GN37),2)</f>
        <v>0</v>
      </c>
      <c r="FU39" s="4">
        <f>ROUND(SUMIF(AA28:AA37,"=57734470",GO28:GO37),2)</f>
        <v>0</v>
      </c>
      <c r="FV39" s="4">
        <f>ROUND(SUMIF(AA28:AA37,"=57734470",GP28:GP37),2)</f>
        <v>10227.83</v>
      </c>
      <c r="FW39" s="4">
        <f>DU39-FP39</f>
        <v>0</v>
      </c>
      <c r="FX39" s="4">
        <f>DU39-FQ39</f>
        <v>0</v>
      </c>
      <c r="FY39" s="4">
        <f>FP39-FR39</f>
        <v>0</v>
      </c>
      <c r="FZ39" s="4">
        <f>DU39-FP39-FQ39+FR39</f>
        <v>0</v>
      </c>
      <c r="GA39" s="4">
        <f>FQ39-FR39</f>
        <v>0</v>
      </c>
      <c r="GB39" s="4">
        <f>ROUND(SUMIF(AA28:AA37,"=57734470",GX28:GX37),2)</f>
        <v>0</v>
      </c>
      <c r="GC39" s="4">
        <f>ROUND(SUMIF(AA28:AA37,"=57734470",GY28:GY37),2)</f>
        <v>0</v>
      </c>
      <c r="GD39" s="4">
        <f>ROUND(SUMIF(AA28:AA37,"=57734470",GZ28:GZ37),2)</f>
        <v>0</v>
      </c>
      <c r="GE39" s="4">
        <f>ROUND(SUMIF(AA28:AA37,"=57734470",HD28:HD37),2)</f>
        <v>0</v>
      </c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>
        <v>0</v>
      </c>
    </row>
    <row r="41" spans="1:255" x14ac:dyDescent="0.2">
      <c r="A41" s="5">
        <v>50</v>
      </c>
      <c r="B41" s="5">
        <v>0</v>
      </c>
      <c r="C41" s="5">
        <v>0</v>
      </c>
      <c r="D41" s="5">
        <v>1</v>
      </c>
      <c r="E41" s="5">
        <v>201</v>
      </c>
      <c r="F41" s="5">
        <f>ROUND(Source!O39,O41)</f>
        <v>836.72</v>
      </c>
      <c r="G41" s="5" t="s">
        <v>41</v>
      </c>
      <c r="H41" s="5" t="s">
        <v>42</v>
      </c>
      <c r="I41" s="5"/>
      <c r="J41" s="5"/>
      <c r="K41" s="5">
        <v>201</v>
      </c>
      <c r="L41" s="5">
        <v>1</v>
      </c>
      <c r="M41" s="5">
        <v>3</v>
      </c>
      <c r="N41" s="5" t="s">
        <v>3</v>
      </c>
      <c r="O41" s="5">
        <v>2</v>
      </c>
      <c r="P41" s="5">
        <f>ROUND(Source!DG39,O41)</f>
        <v>10227.83</v>
      </c>
      <c r="Q41" s="5"/>
      <c r="R41" s="5"/>
      <c r="S41" s="5"/>
      <c r="T41" s="5"/>
      <c r="U41" s="5"/>
      <c r="V41" s="5"/>
      <c r="W41" s="5">
        <v>836.72</v>
      </c>
      <c r="X41" s="5">
        <v>1</v>
      </c>
      <c r="Y41" s="5">
        <v>836.72</v>
      </c>
      <c r="Z41" s="5">
        <v>10227.83</v>
      </c>
      <c r="AA41" s="5">
        <v>1</v>
      </c>
      <c r="AB41" s="5">
        <v>10227.83</v>
      </c>
    </row>
    <row r="42" spans="1:255" x14ac:dyDescent="0.2">
      <c r="A42" s="5">
        <v>50</v>
      </c>
      <c r="B42" s="5">
        <v>0</v>
      </c>
      <c r="C42" s="5">
        <v>0</v>
      </c>
      <c r="D42" s="5">
        <v>1</v>
      </c>
      <c r="E42" s="5">
        <v>202</v>
      </c>
      <c r="F42" s="5">
        <f>ROUND(Source!P39,O42)</f>
        <v>0</v>
      </c>
      <c r="G42" s="5" t="s">
        <v>43</v>
      </c>
      <c r="H42" s="5" t="s">
        <v>44</v>
      </c>
      <c r="I42" s="5"/>
      <c r="J42" s="5"/>
      <c r="K42" s="5">
        <v>202</v>
      </c>
      <c r="L42" s="5">
        <v>2</v>
      </c>
      <c r="M42" s="5">
        <v>3</v>
      </c>
      <c r="N42" s="5" t="s">
        <v>3</v>
      </c>
      <c r="O42" s="5">
        <v>2</v>
      </c>
      <c r="P42" s="5">
        <f>ROUND(Source!DH39,O42)</f>
        <v>0</v>
      </c>
      <c r="Q42" s="5"/>
      <c r="R42" s="5"/>
      <c r="S42" s="5"/>
      <c r="T42" s="5"/>
      <c r="U42" s="5"/>
      <c r="V42" s="5"/>
      <c r="W42" s="5">
        <v>0</v>
      </c>
      <c r="X42" s="5">
        <v>1</v>
      </c>
      <c r="Y42" s="5">
        <v>0</v>
      </c>
      <c r="Z42" s="5">
        <v>0</v>
      </c>
      <c r="AA42" s="5">
        <v>1</v>
      </c>
      <c r="AB42" s="5">
        <v>0</v>
      </c>
    </row>
    <row r="43" spans="1:255" x14ac:dyDescent="0.2">
      <c r="A43" s="5">
        <v>50</v>
      </c>
      <c r="B43" s="5">
        <v>0</v>
      </c>
      <c r="C43" s="5">
        <v>0</v>
      </c>
      <c r="D43" s="5">
        <v>1</v>
      </c>
      <c r="E43" s="5">
        <v>222</v>
      </c>
      <c r="F43" s="5">
        <f>ROUND(Source!AO39,O43)</f>
        <v>0</v>
      </c>
      <c r="G43" s="5" t="s">
        <v>45</v>
      </c>
      <c r="H43" s="5" t="s">
        <v>46</v>
      </c>
      <c r="I43" s="5"/>
      <c r="J43" s="5"/>
      <c r="K43" s="5">
        <v>222</v>
      </c>
      <c r="L43" s="5">
        <v>3</v>
      </c>
      <c r="M43" s="5">
        <v>3</v>
      </c>
      <c r="N43" s="5" t="s">
        <v>3</v>
      </c>
      <c r="O43" s="5">
        <v>2</v>
      </c>
      <c r="P43" s="5">
        <f>ROUND(Source!EG39,O43)</f>
        <v>0</v>
      </c>
      <c r="Q43" s="5"/>
      <c r="R43" s="5"/>
      <c r="S43" s="5"/>
      <c r="T43" s="5"/>
      <c r="U43" s="5"/>
      <c r="V43" s="5"/>
      <c r="W43" s="5">
        <v>0</v>
      </c>
      <c r="X43" s="5">
        <v>1</v>
      </c>
      <c r="Y43" s="5">
        <v>0</v>
      </c>
      <c r="Z43" s="5">
        <v>0</v>
      </c>
      <c r="AA43" s="5">
        <v>1</v>
      </c>
      <c r="AB43" s="5">
        <v>0</v>
      </c>
    </row>
    <row r="44" spans="1:255" x14ac:dyDescent="0.2">
      <c r="A44" s="5">
        <v>50</v>
      </c>
      <c r="B44" s="5">
        <v>0</v>
      </c>
      <c r="C44" s="5">
        <v>0</v>
      </c>
      <c r="D44" s="5">
        <v>1</v>
      </c>
      <c r="E44" s="5">
        <v>225</v>
      </c>
      <c r="F44" s="5">
        <f>ROUND(Source!AV39,O44)</f>
        <v>0</v>
      </c>
      <c r="G44" s="5" t="s">
        <v>47</v>
      </c>
      <c r="H44" s="5" t="s">
        <v>48</v>
      </c>
      <c r="I44" s="5"/>
      <c r="J44" s="5"/>
      <c r="K44" s="5">
        <v>225</v>
      </c>
      <c r="L44" s="5">
        <v>4</v>
      </c>
      <c r="M44" s="5">
        <v>3</v>
      </c>
      <c r="N44" s="5" t="s">
        <v>3</v>
      </c>
      <c r="O44" s="5">
        <v>2</v>
      </c>
      <c r="P44" s="5">
        <f>ROUND(Source!EN39,O44)</f>
        <v>0</v>
      </c>
      <c r="Q44" s="5"/>
      <c r="R44" s="5"/>
      <c r="S44" s="5"/>
      <c r="T44" s="5"/>
      <c r="U44" s="5"/>
      <c r="V44" s="5"/>
      <c r="W44" s="5">
        <v>0</v>
      </c>
      <c r="X44" s="5">
        <v>1</v>
      </c>
      <c r="Y44" s="5">
        <v>0</v>
      </c>
      <c r="Z44" s="5">
        <v>0</v>
      </c>
      <c r="AA44" s="5">
        <v>1</v>
      </c>
      <c r="AB44" s="5">
        <v>0</v>
      </c>
    </row>
    <row r="45" spans="1:255" x14ac:dyDescent="0.2">
      <c r="A45" s="5">
        <v>50</v>
      </c>
      <c r="B45" s="5">
        <v>0</v>
      </c>
      <c r="C45" s="5">
        <v>0</v>
      </c>
      <c r="D45" s="5">
        <v>1</v>
      </c>
      <c r="E45" s="5">
        <v>226</v>
      </c>
      <c r="F45" s="5">
        <f>ROUND(Source!AW39,O45)</f>
        <v>0</v>
      </c>
      <c r="G45" s="5" t="s">
        <v>49</v>
      </c>
      <c r="H45" s="5" t="s">
        <v>50</v>
      </c>
      <c r="I45" s="5"/>
      <c r="J45" s="5"/>
      <c r="K45" s="5">
        <v>226</v>
      </c>
      <c r="L45" s="5">
        <v>5</v>
      </c>
      <c r="M45" s="5">
        <v>3</v>
      </c>
      <c r="N45" s="5" t="s">
        <v>3</v>
      </c>
      <c r="O45" s="5">
        <v>2</v>
      </c>
      <c r="P45" s="5">
        <f>ROUND(Source!EO39,O45)</f>
        <v>0</v>
      </c>
      <c r="Q45" s="5"/>
      <c r="R45" s="5"/>
      <c r="S45" s="5"/>
      <c r="T45" s="5"/>
      <c r="U45" s="5"/>
      <c r="V45" s="5"/>
      <c r="W45" s="5">
        <v>0</v>
      </c>
      <c r="X45" s="5">
        <v>1</v>
      </c>
      <c r="Y45" s="5">
        <v>0</v>
      </c>
      <c r="Z45" s="5">
        <v>0</v>
      </c>
      <c r="AA45" s="5">
        <v>1</v>
      </c>
      <c r="AB45" s="5">
        <v>0</v>
      </c>
    </row>
    <row r="46" spans="1:255" x14ac:dyDescent="0.2">
      <c r="A46" s="5">
        <v>50</v>
      </c>
      <c r="B46" s="5">
        <v>0</v>
      </c>
      <c r="C46" s="5">
        <v>0</v>
      </c>
      <c r="D46" s="5">
        <v>1</v>
      </c>
      <c r="E46" s="5">
        <v>227</v>
      </c>
      <c r="F46" s="5">
        <f>ROUND(Source!AX39,O46)</f>
        <v>0</v>
      </c>
      <c r="G46" s="5" t="s">
        <v>51</v>
      </c>
      <c r="H46" s="5" t="s">
        <v>52</v>
      </c>
      <c r="I46" s="5"/>
      <c r="J46" s="5"/>
      <c r="K46" s="5">
        <v>227</v>
      </c>
      <c r="L46" s="5">
        <v>6</v>
      </c>
      <c r="M46" s="5">
        <v>3</v>
      </c>
      <c r="N46" s="5" t="s">
        <v>3</v>
      </c>
      <c r="O46" s="5">
        <v>2</v>
      </c>
      <c r="P46" s="5">
        <f>ROUND(Source!EP39,O46)</f>
        <v>0</v>
      </c>
      <c r="Q46" s="5"/>
      <c r="R46" s="5"/>
      <c r="S46" s="5"/>
      <c r="T46" s="5"/>
      <c r="U46" s="5"/>
      <c r="V46" s="5"/>
      <c r="W46" s="5">
        <v>0</v>
      </c>
      <c r="X46" s="5">
        <v>1</v>
      </c>
      <c r="Y46" s="5">
        <v>0</v>
      </c>
      <c r="Z46" s="5">
        <v>0</v>
      </c>
      <c r="AA46" s="5">
        <v>1</v>
      </c>
      <c r="AB46" s="5">
        <v>0</v>
      </c>
    </row>
    <row r="47" spans="1:255" x14ac:dyDescent="0.2">
      <c r="A47" s="5">
        <v>50</v>
      </c>
      <c r="B47" s="5">
        <v>0</v>
      </c>
      <c r="C47" s="5">
        <v>0</v>
      </c>
      <c r="D47" s="5">
        <v>1</v>
      </c>
      <c r="E47" s="5">
        <v>228</v>
      </c>
      <c r="F47" s="5">
        <f>ROUND(Source!AY39,O47)</f>
        <v>0</v>
      </c>
      <c r="G47" s="5" t="s">
        <v>53</v>
      </c>
      <c r="H47" s="5" t="s">
        <v>54</v>
      </c>
      <c r="I47" s="5"/>
      <c r="J47" s="5"/>
      <c r="K47" s="5">
        <v>228</v>
      </c>
      <c r="L47" s="5">
        <v>7</v>
      </c>
      <c r="M47" s="5">
        <v>3</v>
      </c>
      <c r="N47" s="5" t="s">
        <v>3</v>
      </c>
      <c r="O47" s="5">
        <v>2</v>
      </c>
      <c r="P47" s="5">
        <f>ROUND(Source!EQ39,O47)</f>
        <v>0</v>
      </c>
      <c r="Q47" s="5"/>
      <c r="R47" s="5"/>
      <c r="S47" s="5"/>
      <c r="T47" s="5"/>
      <c r="U47" s="5"/>
      <c r="V47" s="5"/>
      <c r="W47" s="5">
        <v>0</v>
      </c>
      <c r="X47" s="5">
        <v>1</v>
      </c>
      <c r="Y47" s="5">
        <v>0</v>
      </c>
      <c r="Z47" s="5">
        <v>0</v>
      </c>
      <c r="AA47" s="5">
        <v>1</v>
      </c>
      <c r="AB47" s="5">
        <v>0</v>
      </c>
    </row>
    <row r="48" spans="1:255" x14ac:dyDescent="0.2">
      <c r="A48" s="5">
        <v>50</v>
      </c>
      <c r="B48" s="5">
        <v>0</v>
      </c>
      <c r="C48" s="5">
        <v>0</v>
      </c>
      <c r="D48" s="5">
        <v>1</v>
      </c>
      <c r="E48" s="5">
        <v>216</v>
      </c>
      <c r="F48" s="5">
        <f>ROUND(Source!AP39,O48)</f>
        <v>0</v>
      </c>
      <c r="G48" s="5" t="s">
        <v>55</v>
      </c>
      <c r="H48" s="5" t="s">
        <v>56</v>
      </c>
      <c r="I48" s="5"/>
      <c r="J48" s="5"/>
      <c r="K48" s="5">
        <v>216</v>
      </c>
      <c r="L48" s="5">
        <v>8</v>
      </c>
      <c r="M48" s="5">
        <v>3</v>
      </c>
      <c r="N48" s="5" t="s">
        <v>3</v>
      </c>
      <c r="O48" s="5">
        <v>2</v>
      </c>
      <c r="P48" s="5">
        <f>ROUND(Source!EH39,O48)</f>
        <v>0</v>
      </c>
      <c r="Q48" s="5"/>
      <c r="R48" s="5"/>
      <c r="S48" s="5"/>
      <c r="T48" s="5"/>
      <c r="U48" s="5"/>
      <c r="V48" s="5"/>
      <c r="W48" s="5">
        <v>0</v>
      </c>
      <c r="X48" s="5">
        <v>1</v>
      </c>
      <c r="Y48" s="5">
        <v>0</v>
      </c>
      <c r="Z48" s="5">
        <v>0</v>
      </c>
      <c r="AA48" s="5">
        <v>1</v>
      </c>
      <c r="AB48" s="5">
        <v>0</v>
      </c>
    </row>
    <row r="49" spans="1:28" x14ac:dyDescent="0.2">
      <c r="A49" s="5">
        <v>50</v>
      </c>
      <c r="B49" s="5">
        <v>0</v>
      </c>
      <c r="C49" s="5">
        <v>0</v>
      </c>
      <c r="D49" s="5">
        <v>1</v>
      </c>
      <c r="E49" s="5">
        <v>223</v>
      </c>
      <c r="F49" s="5">
        <f>ROUND(Source!AQ39,O49)</f>
        <v>0</v>
      </c>
      <c r="G49" s="5" t="s">
        <v>57</v>
      </c>
      <c r="H49" s="5" t="s">
        <v>58</v>
      </c>
      <c r="I49" s="5"/>
      <c r="J49" s="5"/>
      <c r="K49" s="5">
        <v>223</v>
      </c>
      <c r="L49" s="5">
        <v>9</v>
      </c>
      <c r="M49" s="5">
        <v>3</v>
      </c>
      <c r="N49" s="5" t="s">
        <v>3</v>
      </c>
      <c r="O49" s="5">
        <v>2</v>
      </c>
      <c r="P49" s="5">
        <f>ROUND(Source!EI39,O49)</f>
        <v>0</v>
      </c>
      <c r="Q49" s="5"/>
      <c r="R49" s="5"/>
      <c r="S49" s="5"/>
      <c r="T49" s="5"/>
      <c r="U49" s="5"/>
      <c r="V49" s="5"/>
      <c r="W49" s="5">
        <v>0</v>
      </c>
      <c r="X49" s="5">
        <v>1</v>
      </c>
      <c r="Y49" s="5">
        <v>0</v>
      </c>
      <c r="Z49" s="5">
        <v>0</v>
      </c>
      <c r="AA49" s="5">
        <v>1</v>
      </c>
      <c r="AB49" s="5">
        <v>0</v>
      </c>
    </row>
    <row r="50" spans="1:28" x14ac:dyDescent="0.2">
      <c r="A50" s="5">
        <v>50</v>
      </c>
      <c r="B50" s="5">
        <v>0</v>
      </c>
      <c r="C50" s="5">
        <v>0</v>
      </c>
      <c r="D50" s="5">
        <v>1</v>
      </c>
      <c r="E50" s="5">
        <v>229</v>
      </c>
      <c r="F50" s="5">
        <f>ROUND(Source!AZ39,O50)</f>
        <v>0</v>
      </c>
      <c r="G50" s="5" t="s">
        <v>59</v>
      </c>
      <c r="H50" s="5" t="s">
        <v>60</v>
      </c>
      <c r="I50" s="5"/>
      <c r="J50" s="5"/>
      <c r="K50" s="5">
        <v>229</v>
      </c>
      <c r="L50" s="5">
        <v>10</v>
      </c>
      <c r="M50" s="5">
        <v>3</v>
      </c>
      <c r="N50" s="5" t="s">
        <v>3</v>
      </c>
      <c r="O50" s="5">
        <v>2</v>
      </c>
      <c r="P50" s="5">
        <f>ROUND(Source!ER39,O50)</f>
        <v>0</v>
      </c>
      <c r="Q50" s="5"/>
      <c r="R50" s="5"/>
      <c r="S50" s="5"/>
      <c r="T50" s="5"/>
      <c r="U50" s="5"/>
      <c r="V50" s="5"/>
      <c r="W50" s="5">
        <v>0</v>
      </c>
      <c r="X50" s="5">
        <v>1</v>
      </c>
      <c r="Y50" s="5">
        <v>0</v>
      </c>
      <c r="Z50" s="5">
        <v>0</v>
      </c>
      <c r="AA50" s="5">
        <v>1</v>
      </c>
      <c r="AB50" s="5">
        <v>0</v>
      </c>
    </row>
    <row r="51" spans="1:28" x14ac:dyDescent="0.2">
      <c r="A51" s="5">
        <v>50</v>
      </c>
      <c r="B51" s="5">
        <v>0</v>
      </c>
      <c r="C51" s="5">
        <v>0</v>
      </c>
      <c r="D51" s="5">
        <v>1</v>
      </c>
      <c r="E51" s="5">
        <v>203</v>
      </c>
      <c r="F51" s="5">
        <f>ROUND(Source!Q39,O51)</f>
        <v>836.72</v>
      </c>
      <c r="G51" s="5" t="s">
        <v>61</v>
      </c>
      <c r="H51" s="5" t="s">
        <v>62</v>
      </c>
      <c r="I51" s="5"/>
      <c r="J51" s="5"/>
      <c r="K51" s="5">
        <v>203</v>
      </c>
      <c r="L51" s="5">
        <v>11</v>
      </c>
      <c r="M51" s="5">
        <v>3</v>
      </c>
      <c r="N51" s="5" t="s">
        <v>3</v>
      </c>
      <c r="O51" s="5">
        <v>2</v>
      </c>
      <c r="P51" s="5">
        <f>ROUND(Source!DI39,O51)</f>
        <v>10227.83</v>
      </c>
      <c r="Q51" s="5"/>
      <c r="R51" s="5"/>
      <c r="S51" s="5"/>
      <c r="T51" s="5"/>
      <c r="U51" s="5"/>
      <c r="V51" s="5"/>
      <c r="W51" s="5">
        <v>836.72</v>
      </c>
      <c r="X51" s="5">
        <v>1</v>
      </c>
      <c r="Y51" s="5">
        <v>836.72</v>
      </c>
      <c r="Z51" s="5">
        <v>10227.83</v>
      </c>
      <c r="AA51" s="5">
        <v>1</v>
      </c>
      <c r="AB51" s="5">
        <v>10227.83</v>
      </c>
    </row>
    <row r="52" spans="1:28" x14ac:dyDescent="0.2">
      <c r="A52" s="5">
        <v>50</v>
      </c>
      <c r="B52" s="5">
        <v>0</v>
      </c>
      <c r="C52" s="5">
        <v>0</v>
      </c>
      <c r="D52" s="5">
        <v>1</v>
      </c>
      <c r="E52" s="5">
        <v>231</v>
      </c>
      <c r="F52" s="5">
        <f>ROUND(Source!BB39,O52)</f>
        <v>0</v>
      </c>
      <c r="G52" s="5" t="s">
        <v>63</v>
      </c>
      <c r="H52" s="5" t="s">
        <v>64</v>
      </c>
      <c r="I52" s="5"/>
      <c r="J52" s="5"/>
      <c r="K52" s="5">
        <v>231</v>
      </c>
      <c r="L52" s="5">
        <v>12</v>
      </c>
      <c r="M52" s="5">
        <v>3</v>
      </c>
      <c r="N52" s="5" t="s">
        <v>3</v>
      </c>
      <c r="O52" s="5">
        <v>2</v>
      </c>
      <c r="P52" s="5">
        <f>ROUND(Source!ET39,O52)</f>
        <v>0</v>
      </c>
      <c r="Q52" s="5"/>
      <c r="R52" s="5"/>
      <c r="S52" s="5"/>
      <c r="T52" s="5"/>
      <c r="U52" s="5"/>
      <c r="V52" s="5"/>
      <c r="W52" s="5">
        <v>0</v>
      </c>
      <c r="X52" s="5">
        <v>1</v>
      </c>
      <c r="Y52" s="5">
        <v>0</v>
      </c>
      <c r="Z52" s="5">
        <v>0</v>
      </c>
      <c r="AA52" s="5">
        <v>1</v>
      </c>
      <c r="AB52" s="5">
        <v>0</v>
      </c>
    </row>
    <row r="53" spans="1:28" x14ac:dyDescent="0.2">
      <c r="A53" s="5">
        <v>50</v>
      </c>
      <c r="B53" s="5">
        <v>0</v>
      </c>
      <c r="C53" s="5">
        <v>0</v>
      </c>
      <c r="D53" s="5">
        <v>1</v>
      </c>
      <c r="E53" s="5">
        <v>204</v>
      </c>
      <c r="F53" s="5">
        <f>ROUND(Source!R39,O53)</f>
        <v>0</v>
      </c>
      <c r="G53" s="5" t="s">
        <v>65</v>
      </c>
      <c r="H53" s="5" t="s">
        <v>66</v>
      </c>
      <c r="I53" s="5"/>
      <c r="J53" s="5"/>
      <c r="K53" s="5">
        <v>204</v>
      </c>
      <c r="L53" s="5">
        <v>13</v>
      </c>
      <c r="M53" s="5">
        <v>3</v>
      </c>
      <c r="N53" s="5" t="s">
        <v>3</v>
      </c>
      <c r="O53" s="5">
        <v>2</v>
      </c>
      <c r="P53" s="5">
        <f>ROUND(Source!DJ39,O53)</f>
        <v>0</v>
      </c>
      <c r="Q53" s="5"/>
      <c r="R53" s="5"/>
      <c r="S53" s="5"/>
      <c r="T53" s="5"/>
      <c r="U53" s="5"/>
      <c r="V53" s="5"/>
      <c r="W53" s="5">
        <v>0</v>
      </c>
      <c r="X53" s="5">
        <v>1</v>
      </c>
      <c r="Y53" s="5">
        <v>0</v>
      </c>
      <c r="Z53" s="5">
        <v>0</v>
      </c>
      <c r="AA53" s="5">
        <v>1</v>
      </c>
      <c r="AB53" s="5">
        <v>0</v>
      </c>
    </row>
    <row r="54" spans="1:28" x14ac:dyDescent="0.2">
      <c r="A54" s="5">
        <v>50</v>
      </c>
      <c r="B54" s="5">
        <v>0</v>
      </c>
      <c r="C54" s="5">
        <v>0</v>
      </c>
      <c r="D54" s="5">
        <v>1</v>
      </c>
      <c r="E54" s="5">
        <v>205</v>
      </c>
      <c r="F54" s="5">
        <f>ROUND(Source!S39,O54)</f>
        <v>0</v>
      </c>
      <c r="G54" s="5" t="s">
        <v>67</v>
      </c>
      <c r="H54" s="5" t="s">
        <v>68</v>
      </c>
      <c r="I54" s="5"/>
      <c r="J54" s="5"/>
      <c r="K54" s="5">
        <v>205</v>
      </c>
      <c r="L54" s="5">
        <v>14</v>
      </c>
      <c r="M54" s="5">
        <v>3</v>
      </c>
      <c r="N54" s="5" t="s">
        <v>3</v>
      </c>
      <c r="O54" s="5">
        <v>2</v>
      </c>
      <c r="P54" s="5">
        <f>ROUND(Source!DK39,O54)</f>
        <v>0</v>
      </c>
      <c r="Q54" s="5"/>
      <c r="R54" s="5"/>
      <c r="S54" s="5"/>
      <c r="T54" s="5"/>
      <c r="U54" s="5"/>
      <c r="V54" s="5"/>
      <c r="W54" s="5">
        <v>0</v>
      </c>
      <c r="X54" s="5">
        <v>1</v>
      </c>
      <c r="Y54" s="5">
        <v>0</v>
      </c>
      <c r="Z54" s="5">
        <v>0</v>
      </c>
      <c r="AA54" s="5">
        <v>1</v>
      </c>
      <c r="AB54" s="5">
        <v>0</v>
      </c>
    </row>
    <row r="55" spans="1:28" x14ac:dyDescent="0.2">
      <c r="A55" s="5">
        <v>50</v>
      </c>
      <c r="B55" s="5">
        <v>0</v>
      </c>
      <c r="C55" s="5">
        <v>0</v>
      </c>
      <c r="D55" s="5">
        <v>1</v>
      </c>
      <c r="E55" s="5">
        <v>232</v>
      </c>
      <c r="F55" s="5">
        <f>ROUND(Source!BC39,O55)</f>
        <v>0</v>
      </c>
      <c r="G55" s="5" t="s">
        <v>69</v>
      </c>
      <c r="H55" s="5" t="s">
        <v>70</v>
      </c>
      <c r="I55" s="5"/>
      <c r="J55" s="5"/>
      <c r="K55" s="5">
        <v>232</v>
      </c>
      <c r="L55" s="5">
        <v>15</v>
      </c>
      <c r="M55" s="5">
        <v>3</v>
      </c>
      <c r="N55" s="5" t="s">
        <v>3</v>
      </c>
      <c r="O55" s="5">
        <v>2</v>
      </c>
      <c r="P55" s="5">
        <f>ROUND(Source!EU39,O55)</f>
        <v>0</v>
      </c>
      <c r="Q55" s="5"/>
      <c r="R55" s="5"/>
      <c r="S55" s="5"/>
      <c r="T55" s="5"/>
      <c r="U55" s="5"/>
      <c r="V55" s="5"/>
      <c r="W55" s="5">
        <v>0</v>
      </c>
      <c r="X55" s="5">
        <v>1</v>
      </c>
      <c r="Y55" s="5">
        <v>0</v>
      </c>
      <c r="Z55" s="5">
        <v>0</v>
      </c>
      <c r="AA55" s="5">
        <v>1</v>
      </c>
      <c r="AB55" s="5">
        <v>0</v>
      </c>
    </row>
    <row r="56" spans="1:28" x14ac:dyDescent="0.2">
      <c r="A56" s="5">
        <v>50</v>
      </c>
      <c r="B56" s="5">
        <v>0</v>
      </c>
      <c r="C56" s="5">
        <v>0</v>
      </c>
      <c r="D56" s="5">
        <v>1</v>
      </c>
      <c r="E56" s="5">
        <v>214</v>
      </c>
      <c r="F56" s="5">
        <f>ROUND(Source!AS39,O56)</f>
        <v>0</v>
      </c>
      <c r="G56" s="5" t="s">
        <v>71</v>
      </c>
      <c r="H56" s="5" t="s">
        <v>72</v>
      </c>
      <c r="I56" s="5"/>
      <c r="J56" s="5"/>
      <c r="K56" s="5">
        <v>214</v>
      </c>
      <c r="L56" s="5">
        <v>16</v>
      </c>
      <c r="M56" s="5">
        <v>3</v>
      </c>
      <c r="N56" s="5" t="s">
        <v>3</v>
      </c>
      <c r="O56" s="5">
        <v>2</v>
      </c>
      <c r="P56" s="5">
        <f>ROUND(Source!EK39,O56)</f>
        <v>0</v>
      </c>
      <c r="Q56" s="5"/>
      <c r="R56" s="5"/>
      <c r="S56" s="5"/>
      <c r="T56" s="5"/>
      <c r="U56" s="5"/>
      <c r="V56" s="5"/>
      <c r="W56" s="5">
        <v>0</v>
      </c>
      <c r="X56" s="5">
        <v>1</v>
      </c>
      <c r="Y56" s="5">
        <v>0</v>
      </c>
      <c r="Z56" s="5">
        <v>0</v>
      </c>
      <c r="AA56" s="5">
        <v>1</v>
      </c>
      <c r="AB56" s="5">
        <v>0</v>
      </c>
    </row>
    <row r="57" spans="1:28" x14ac:dyDescent="0.2">
      <c r="A57" s="5">
        <v>50</v>
      </c>
      <c r="B57" s="5">
        <v>0</v>
      </c>
      <c r="C57" s="5">
        <v>0</v>
      </c>
      <c r="D57" s="5">
        <v>1</v>
      </c>
      <c r="E57" s="5">
        <v>215</v>
      </c>
      <c r="F57" s="5">
        <f>ROUND(Source!AT39,O57)</f>
        <v>0</v>
      </c>
      <c r="G57" s="5" t="s">
        <v>73</v>
      </c>
      <c r="H57" s="5" t="s">
        <v>74</v>
      </c>
      <c r="I57" s="5"/>
      <c r="J57" s="5"/>
      <c r="K57" s="5">
        <v>215</v>
      </c>
      <c r="L57" s="5">
        <v>17</v>
      </c>
      <c r="M57" s="5">
        <v>3</v>
      </c>
      <c r="N57" s="5" t="s">
        <v>3</v>
      </c>
      <c r="O57" s="5">
        <v>2</v>
      </c>
      <c r="P57" s="5">
        <f>ROUND(Source!EL39,O57)</f>
        <v>0</v>
      </c>
      <c r="Q57" s="5"/>
      <c r="R57" s="5"/>
      <c r="S57" s="5"/>
      <c r="T57" s="5"/>
      <c r="U57" s="5"/>
      <c r="V57" s="5"/>
      <c r="W57" s="5">
        <v>0</v>
      </c>
      <c r="X57" s="5">
        <v>1</v>
      </c>
      <c r="Y57" s="5">
        <v>0</v>
      </c>
      <c r="Z57" s="5">
        <v>0</v>
      </c>
      <c r="AA57" s="5">
        <v>1</v>
      </c>
      <c r="AB57" s="5">
        <v>0</v>
      </c>
    </row>
    <row r="58" spans="1:28" x14ac:dyDescent="0.2">
      <c r="A58" s="5">
        <v>50</v>
      </c>
      <c r="B58" s="5">
        <v>0</v>
      </c>
      <c r="C58" s="5">
        <v>0</v>
      </c>
      <c r="D58" s="5">
        <v>1</v>
      </c>
      <c r="E58" s="5">
        <v>217</v>
      </c>
      <c r="F58" s="5">
        <f>ROUND(Source!AU39,O58)</f>
        <v>836.72</v>
      </c>
      <c r="G58" s="5" t="s">
        <v>75</v>
      </c>
      <c r="H58" s="5" t="s">
        <v>76</v>
      </c>
      <c r="I58" s="5"/>
      <c r="J58" s="5"/>
      <c r="K58" s="5">
        <v>217</v>
      </c>
      <c r="L58" s="5">
        <v>18</v>
      </c>
      <c r="M58" s="5">
        <v>3</v>
      </c>
      <c r="N58" s="5" t="s">
        <v>3</v>
      </c>
      <c r="O58" s="5">
        <v>2</v>
      </c>
      <c r="P58" s="5">
        <f>ROUND(Source!EM39,O58)</f>
        <v>10227.83</v>
      </c>
      <c r="Q58" s="5"/>
      <c r="R58" s="5"/>
      <c r="S58" s="5"/>
      <c r="T58" s="5"/>
      <c r="U58" s="5"/>
      <c r="V58" s="5"/>
      <c r="W58" s="5">
        <v>836.72</v>
      </c>
      <c r="X58" s="5">
        <v>1</v>
      </c>
      <c r="Y58" s="5">
        <v>836.72</v>
      </c>
      <c r="Z58" s="5">
        <v>10227.83</v>
      </c>
      <c r="AA58" s="5">
        <v>1</v>
      </c>
      <c r="AB58" s="5">
        <v>10227.83</v>
      </c>
    </row>
    <row r="59" spans="1:28" x14ac:dyDescent="0.2">
      <c r="A59" s="5">
        <v>50</v>
      </c>
      <c r="B59" s="5">
        <v>0</v>
      </c>
      <c r="C59" s="5">
        <v>0</v>
      </c>
      <c r="D59" s="5">
        <v>1</v>
      </c>
      <c r="E59" s="5">
        <v>230</v>
      </c>
      <c r="F59" s="5">
        <f>ROUND(Source!BA39,O59)</f>
        <v>0</v>
      </c>
      <c r="G59" s="5" t="s">
        <v>77</v>
      </c>
      <c r="H59" s="5" t="s">
        <v>78</v>
      </c>
      <c r="I59" s="5"/>
      <c r="J59" s="5"/>
      <c r="K59" s="5">
        <v>230</v>
      </c>
      <c r="L59" s="5">
        <v>19</v>
      </c>
      <c r="M59" s="5">
        <v>3</v>
      </c>
      <c r="N59" s="5" t="s">
        <v>3</v>
      </c>
      <c r="O59" s="5">
        <v>2</v>
      </c>
      <c r="P59" s="5">
        <f>ROUND(Source!ES39,O59)</f>
        <v>0</v>
      </c>
      <c r="Q59" s="5"/>
      <c r="R59" s="5"/>
      <c r="S59" s="5"/>
      <c r="T59" s="5"/>
      <c r="U59" s="5"/>
      <c r="V59" s="5"/>
      <c r="W59" s="5">
        <v>0</v>
      </c>
      <c r="X59" s="5">
        <v>1</v>
      </c>
      <c r="Y59" s="5">
        <v>0</v>
      </c>
      <c r="Z59" s="5">
        <v>0</v>
      </c>
      <c r="AA59" s="5">
        <v>1</v>
      </c>
      <c r="AB59" s="5">
        <v>0</v>
      </c>
    </row>
    <row r="60" spans="1:28" x14ac:dyDescent="0.2">
      <c r="A60" s="5">
        <v>50</v>
      </c>
      <c r="B60" s="5">
        <v>0</v>
      </c>
      <c r="C60" s="5">
        <v>0</v>
      </c>
      <c r="D60" s="5">
        <v>1</v>
      </c>
      <c r="E60" s="5">
        <v>206</v>
      </c>
      <c r="F60" s="5">
        <f>ROUND(Source!T39,O60)</f>
        <v>0</v>
      </c>
      <c r="G60" s="5" t="s">
        <v>79</v>
      </c>
      <c r="H60" s="5" t="s">
        <v>80</v>
      </c>
      <c r="I60" s="5"/>
      <c r="J60" s="5"/>
      <c r="K60" s="5">
        <v>206</v>
      </c>
      <c r="L60" s="5">
        <v>20</v>
      </c>
      <c r="M60" s="5">
        <v>3</v>
      </c>
      <c r="N60" s="5" t="s">
        <v>3</v>
      </c>
      <c r="O60" s="5">
        <v>2</v>
      </c>
      <c r="P60" s="5">
        <f>ROUND(Source!DL39,O60)</f>
        <v>0</v>
      </c>
      <c r="Q60" s="5"/>
      <c r="R60" s="5"/>
      <c r="S60" s="5"/>
      <c r="T60" s="5"/>
      <c r="U60" s="5"/>
      <c r="V60" s="5"/>
      <c r="W60" s="5">
        <v>0</v>
      </c>
      <c r="X60" s="5">
        <v>1</v>
      </c>
      <c r="Y60" s="5">
        <v>0</v>
      </c>
      <c r="Z60" s="5">
        <v>0</v>
      </c>
      <c r="AA60" s="5">
        <v>1</v>
      </c>
      <c r="AB60" s="5">
        <v>0</v>
      </c>
    </row>
    <row r="61" spans="1:28" x14ac:dyDescent="0.2">
      <c r="A61" s="5">
        <v>50</v>
      </c>
      <c r="B61" s="5">
        <v>0</v>
      </c>
      <c r="C61" s="5">
        <v>0</v>
      </c>
      <c r="D61" s="5">
        <v>1</v>
      </c>
      <c r="E61" s="5">
        <v>207</v>
      </c>
      <c r="F61" s="5">
        <f>Source!U39</f>
        <v>0</v>
      </c>
      <c r="G61" s="5" t="s">
        <v>81</v>
      </c>
      <c r="H61" s="5" t="s">
        <v>82</v>
      </c>
      <c r="I61" s="5"/>
      <c r="J61" s="5"/>
      <c r="K61" s="5">
        <v>207</v>
      </c>
      <c r="L61" s="5">
        <v>21</v>
      </c>
      <c r="M61" s="5">
        <v>3</v>
      </c>
      <c r="N61" s="5" t="s">
        <v>3</v>
      </c>
      <c r="O61" s="5">
        <v>-1</v>
      </c>
      <c r="P61" s="5">
        <f>Source!DM39</f>
        <v>0</v>
      </c>
      <c r="Q61" s="5"/>
      <c r="R61" s="5"/>
      <c r="S61" s="5"/>
      <c r="T61" s="5"/>
      <c r="U61" s="5"/>
      <c r="V61" s="5"/>
      <c r="W61" s="5">
        <v>0</v>
      </c>
      <c r="X61" s="5">
        <v>1</v>
      </c>
      <c r="Y61" s="5">
        <v>0</v>
      </c>
      <c r="Z61" s="5">
        <v>0</v>
      </c>
      <c r="AA61" s="5">
        <v>1</v>
      </c>
      <c r="AB61" s="5">
        <v>0</v>
      </c>
    </row>
    <row r="62" spans="1:28" x14ac:dyDescent="0.2">
      <c r="A62" s="5">
        <v>50</v>
      </c>
      <c r="B62" s="5">
        <v>0</v>
      </c>
      <c r="C62" s="5">
        <v>0</v>
      </c>
      <c r="D62" s="5">
        <v>1</v>
      </c>
      <c r="E62" s="5">
        <v>208</v>
      </c>
      <c r="F62" s="5">
        <f>Source!V39</f>
        <v>0</v>
      </c>
      <c r="G62" s="5" t="s">
        <v>83</v>
      </c>
      <c r="H62" s="5" t="s">
        <v>84</v>
      </c>
      <c r="I62" s="5"/>
      <c r="J62" s="5"/>
      <c r="K62" s="5">
        <v>208</v>
      </c>
      <c r="L62" s="5">
        <v>22</v>
      </c>
      <c r="M62" s="5">
        <v>3</v>
      </c>
      <c r="N62" s="5" t="s">
        <v>3</v>
      </c>
      <c r="O62" s="5">
        <v>-1</v>
      </c>
      <c r="P62" s="5">
        <f>Source!DN39</f>
        <v>0</v>
      </c>
      <c r="Q62" s="5"/>
      <c r="R62" s="5"/>
      <c r="S62" s="5"/>
      <c r="T62" s="5"/>
      <c r="U62" s="5"/>
      <c r="V62" s="5"/>
      <c r="W62" s="5">
        <v>0</v>
      </c>
      <c r="X62" s="5">
        <v>1</v>
      </c>
      <c r="Y62" s="5">
        <v>0</v>
      </c>
      <c r="Z62" s="5">
        <v>0</v>
      </c>
      <c r="AA62" s="5">
        <v>1</v>
      </c>
      <c r="AB62" s="5">
        <v>0</v>
      </c>
    </row>
    <row r="63" spans="1:28" x14ac:dyDescent="0.2">
      <c r="A63" s="5">
        <v>50</v>
      </c>
      <c r="B63" s="5">
        <v>0</v>
      </c>
      <c r="C63" s="5">
        <v>0</v>
      </c>
      <c r="D63" s="5">
        <v>1</v>
      </c>
      <c r="E63" s="5">
        <v>209</v>
      </c>
      <c r="F63" s="5">
        <f>ROUND(Source!W39,O63)</f>
        <v>0</v>
      </c>
      <c r="G63" s="5" t="s">
        <v>85</v>
      </c>
      <c r="H63" s="5" t="s">
        <v>86</v>
      </c>
      <c r="I63" s="5"/>
      <c r="J63" s="5"/>
      <c r="K63" s="5">
        <v>209</v>
      </c>
      <c r="L63" s="5">
        <v>23</v>
      </c>
      <c r="M63" s="5">
        <v>3</v>
      </c>
      <c r="N63" s="5" t="s">
        <v>3</v>
      </c>
      <c r="O63" s="5">
        <v>2</v>
      </c>
      <c r="P63" s="5">
        <f>ROUND(Source!DO39,O63)</f>
        <v>0</v>
      </c>
      <c r="Q63" s="5"/>
      <c r="R63" s="5"/>
      <c r="S63" s="5"/>
      <c r="T63" s="5"/>
      <c r="U63" s="5"/>
      <c r="V63" s="5"/>
      <c r="W63" s="5">
        <v>0</v>
      </c>
      <c r="X63" s="5">
        <v>1</v>
      </c>
      <c r="Y63" s="5">
        <v>0</v>
      </c>
      <c r="Z63" s="5">
        <v>0</v>
      </c>
      <c r="AA63" s="5">
        <v>1</v>
      </c>
      <c r="AB63" s="5">
        <v>0</v>
      </c>
    </row>
    <row r="64" spans="1:28" x14ac:dyDescent="0.2">
      <c r="A64" s="5">
        <v>50</v>
      </c>
      <c r="B64" s="5">
        <v>0</v>
      </c>
      <c r="C64" s="5">
        <v>0</v>
      </c>
      <c r="D64" s="5">
        <v>1</v>
      </c>
      <c r="E64" s="5">
        <v>233</v>
      </c>
      <c r="F64" s="5">
        <f>ROUND(Source!BD39,O64)</f>
        <v>0</v>
      </c>
      <c r="G64" s="5" t="s">
        <v>87</v>
      </c>
      <c r="H64" s="5" t="s">
        <v>88</v>
      </c>
      <c r="I64" s="5"/>
      <c r="J64" s="5"/>
      <c r="K64" s="5">
        <v>233</v>
      </c>
      <c r="L64" s="5">
        <v>24</v>
      </c>
      <c r="M64" s="5">
        <v>3</v>
      </c>
      <c r="N64" s="5" t="s">
        <v>3</v>
      </c>
      <c r="O64" s="5">
        <v>2</v>
      </c>
      <c r="P64" s="5">
        <f>ROUND(Source!EV39,O64)</f>
        <v>0</v>
      </c>
      <c r="Q64" s="5"/>
      <c r="R64" s="5"/>
      <c r="S64" s="5"/>
      <c r="T64" s="5"/>
      <c r="U64" s="5"/>
      <c r="V64" s="5"/>
      <c r="W64" s="5">
        <v>0</v>
      </c>
      <c r="X64" s="5">
        <v>1</v>
      </c>
      <c r="Y64" s="5">
        <v>0</v>
      </c>
      <c r="Z64" s="5">
        <v>0</v>
      </c>
      <c r="AA64" s="5">
        <v>1</v>
      </c>
      <c r="AB64" s="5">
        <v>0</v>
      </c>
    </row>
    <row r="65" spans="1:255" x14ac:dyDescent="0.2">
      <c r="A65" s="5">
        <v>50</v>
      </c>
      <c r="B65" s="5">
        <v>0</v>
      </c>
      <c r="C65" s="5">
        <v>0</v>
      </c>
      <c r="D65" s="5">
        <v>1</v>
      </c>
      <c r="E65" s="5">
        <v>210</v>
      </c>
      <c r="F65" s="5">
        <f>ROUND(Source!X39,O65)</f>
        <v>0</v>
      </c>
      <c r="G65" s="5" t="s">
        <v>89</v>
      </c>
      <c r="H65" s="5" t="s">
        <v>90</v>
      </c>
      <c r="I65" s="5"/>
      <c r="J65" s="5"/>
      <c r="K65" s="5">
        <v>210</v>
      </c>
      <c r="L65" s="5">
        <v>25</v>
      </c>
      <c r="M65" s="5">
        <v>3</v>
      </c>
      <c r="N65" s="5" t="s">
        <v>3</v>
      </c>
      <c r="O65" s="5">
        <v>2</v>
      </c>
      <c r="P65" s="5">
        <f>ROUND(Source!DP39,O65)</f>
        <v>0</v>
      </c>
      <c r="Q65" s="5"/>
      <c r="R65" s="5"/>
      <c r="S65" s="5"/>
      <c r="T65" s="5"/>
      <c r="U65" s="5"/>
      <c r="V65" s="5"/>
      <c r="W65" s="5">
        <v>0</v>
      </c>
      <c r="X65" s="5">
        <v>1</v>
      </c>
      <c r="Y65" s="5">
        <v>0</v>
      </c>
      <c r="Z65" s="5">
        <v>0</v>
      </c>
      <c r="AA65" s="5">
        <v>1</v>
      </c>
      <c r="AB65" s="5">
        <v>0</v>
      </c>
    </row>
    <row r="66" spans="1:255" x14ac:dyDescent="0.2">
      <c r="A66" s="5">
        <v>50</v>
      </c>
      <c r="B66" s="5">
        <v>0</v>
      </c>
      <c r="C66" s="5">
        <v>0</v>
      </c>
      <c r="D66" s="5">
        <v>1</v>
      </c>
      <c r="E66" s="5">
        <v>211</v>
      </c>
      <c r="F66" s="5">
        <f>ROUND(Source!Y39,O66)</f>
        <v>0</v>
      </c>
      <c r="G66" s="5" t="s">
        <v>91</v>
      </c>
      <c r="H66" s="5" t="s">
        <v>92</v>
      </c>
      <c r="I66" s="5"/>
      <c r="J66" s="5"/>
      <c r="K66" s="5">
        <v>211</v>
      </c>
      <c r="L66" s="5">
        <v>26</v>
      </c>
      <c r="M66" s="5">
        <v>3</v>
      </c>
      <c r="N66" s="5" t="s">
        <v>3</v>
      </c>
      <c r="O66" s="5">
        <v>2</v>
      </c>
      <c r="P66" s="5">
        <f>ROUND(Source!DQ39,O66)</f>
        <v>0</v>
      </c>
      <c r="Q66" s="5"/>
      <c r="R66" s="5"/>
      <c r="S66" s="5"/>
      <c r="T66" s="5"/>
      <c r="U66" s="5"/>
      <c r="V66" s="5"/>
      <c r="W66" s="5">
        <v>0</v>
      </c>
      <c r="X66" s="5">
        <v>1</v>
      </c>
      <c r="Y66" s="5">
        <v>0</v>
      </c>
      <c r="Z66" s="5">
        <v>0</v>
      </c>
      <c r="AA66" s="5">
        <v>1</v>
      </c>
      <c r="AB66" s="5">
        <v>0</v>
      </c>
    </row>
    <row r="67" spans="1:255" x14ac:dyDescent="0.2">
      <c r="A67" s="5">
        <v>50</v>
      </c>
      <c r="B67" s="5">
        <v>0</v>
      </c>
      <c r="C67" s="5">
        <v>0</v>
      </c>
      <c r="D67" s="5">
        <v>1</v>
      </c>
      <c r="E67" s="5">
        <v>224</v>
      </c>
      <c r="F67" s="5">
        <f>ROUND(Source!AR39,O67)</f>
        <v>836.72</v>
      </c>
      <c r="G67" s="5" t="s">
        <v>93</v>
      </c>
      <c r="H67" s="5" t="s">
        <v>94</v>
      </c>
      <c r="I67" s="5"/>
      <c r="J67" s="5"/>
      <c r="K67" s="5">
        <v>224</v>
      </c>
      <c r="L67" s="5">
        <v>27</v>
      </c>
      <c r="M67" s="5">
        <v>3</v>
      </c>
      <c r="N67" s="5" t="s">
        <v>3</v>
      </c>
      <c r="O67" s="5">
        <v>2</v>
      </c>
      <c r="P67" s="5">
        <f>ROUND(Source!EJ39,O67)</f>
        <v>10227.83</v>
      </c>
      <c r="Q67" s="5"/>
      <c r="R67" s="5"/>
      <c r="S67" s="5"/>
      <c r="T67" s="5"/>
      <c r="U67" s="5"/>
      <c r="V67" s="5"/>
      <c r="W67" s="5">
        <v>836.72</v>
      </c>
      <c r="X67" s="5">
        <v>1</v>
      </c>
      <c r="Y67" s="5">
        <v>836.72</v>
      </c>
      <c r="Z67" s="5">
        <v>10227.83</v>
      </c>
      <c r="AA67" s="5">
        <v>1</v>
      </c>
      <c r="AB67" s="5">
        <v>10227.83</v>
      </c>
    </row>
    <row r="69" spans="1:255" x14ac:dyDescent="0.2">
      <c r="A69" s="1">
        <v>4</v>
      </c>
      <c r="B69" s="1">
        <v>1</v>
      </c>
      <c r="C69" s="1"/>
      <c r="D69" s="1">
        <f>ROW(A78)</f>
        <v>78</v>
      </c>
      <c r="E69" s="1"/>
      <c r="F69" s="1" t="s">
        <v>14</v>
      </c>
      <c r="G69" s="1" t="s">
        <v>95</v>
      </c>
      <c r="H69" s="1" t="s">
        <v>3</v>
      </c>
      <c r="I69" s="1">
        <v>0</v>
      </c>
      <c r="J69" s="1"/>
      <c r="K69" s="1">
        <v>-1</v>
      </c>
      <c r="L69" s="1"/>
      <c r="M69" s="1" t="s">
        <v>3</v>
      </c>
      <c r="N69" s="1"/>
      <c r="O69" s="1"/>
      <c r="P69" s="1"/>
      <c r="Q69" s="1"/>
      <c r="R69" s="1"/>
      <c r="S69" s="1">
        <v>0</v>
      </c>
      <c r="T69" s="1">
        <v>0</v>
      </c>
      <c r="U69" s="1" t="s">
        <v>3</v>
      </c>
      <c r="V69" s="1">
        <v>0</v>
      </c>
      <c r="W69" s="1"/>
      <c r="X69" s="1"/>
      <c r="Y69" s="1"/>
      <c r="Z69" s="1"/>
      <c r="AA69" s="1"/>
      <c r="AB69" s="1" t="s">
        <v>3</v>
      </c>
      <c r="AC69" s="1" t="s">
        <v>3</v>
      </c>
      <c r="AD69" s="1" t="s">
        <v>3</v>
      </c>
      <c r="AE69" s="1" t="s">
        <v>3</v>
      </c>
      <c r="AF69" s="1" t="s">
        <v>3</v>
      </c>
      <c r="AG69" s="1" t="s">
        <v>3</v>
      </c>
      <c r="AH69" s="1"/>
      <c r="AI69" s="1"/>
      <c r="AJ69" s="1"/>
      <c r="AK69" s="1"/>
      <c r="AL69" s="1"/>
      <c r="AM69" s="1"/>
      <c r="AN69" s="1"/>
      <c r="AO69" s="1"/>
      <c r="AP69" s="1" t="s">
        <v>3</v>
      </c>
      <c r="AQ69" s="1" t="s">
        <v>3</v>
      </c>
      <c r="AR69" s="1" t="s">
        <v>3</v>
      </c>
      <c r="AS69" s="1"/>
      <c r="AT69" s="1"/>
      <c r="AU69" s="1"/>
      <c r="AV69" s="1"/>
      <c r="AW69" s="1"/>
      <c r="AX69" s="1"/>
      <c r="AY69" s="1"/>
      <c r="AZ69" s="1" t="s">
        <v>3</v>
      </c>
      <c r="BA69" s="1"/>
      <c r="BB69" s="1" t="s">
        <v>3</v>
      </c>
      <c r="BC69" s="1" t="s">
        <v>3</v>
      </c>
      <c r="BD69" s="1" t="s">
        <v>3</v>
      </c>
      <c r="BE69" s="1" t="s">
        <v>3</v>
      </c>
      <c r="BF69" s="1" t="s">
        <v>3</v>
      </c>
      <c r="BG69" s="1" t="s">
        <v>3</v>
      </c>
      <c r="BH69" s="1" t="s">
        <v>3</v>
      </c>
      <c r="BI69" s="1" t="s">
        <v>3</v>
      </c>
      <c r="BJ69" s="1" t="s">
        <v>3</v>
      </c>
      <c r="BK69" s="1" t="s">
        <v>3</v>
      </c>
      <c r="BL69" s="1" t="s">
        <v>3</v>
      </c>
      <c r="BM69" s="1" t="s">
        <v>3</v>
      </c>
      <c r="BN69" s="1" t="s">
        <v>3</v>
      </c>
      <c r="BO69" s="1" t="s">
        <v>3</v>
      </c>
      <c r="BP69" s="1" t="s">
        <v>3</v>
      </c>
      <c r="BQ69" s="1"/>
      <c r="BR69" s="1"/>
      <c r="BS69" s="1"/>
      <c r="BT69" s="1"/>
      <c r="BU69" s="1"/>
      <c r="BV69" s="1"/>
      <c r="BW69" s="1"/>
      <c r="BX69" s="1">
        <v>0</v>
      </c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>
        <v>0</v>
      </c>
    </row>
    <row r="71" spans="1:255" x14ac:dyDescent="0.2">
      <c r="A71" s="3">
        <v>52</v>
      </c>
      <c r="B71" s="3">
        <f t="shared" ref="B71:G71" si="61">B78</f>
        <v>1</v>
      </c>
      <c r="C71" s="3">
        <f t="shared" si="61"/>
        <v>4</v>
      </c>
      <c r="D71" s="3">
        <f t="shared" si="61"/>
        <v>69</v>
      </c>
      <c r="E71" s="3">
        <f t="shared" si="61"/>
        <v>0</v>
      </c>
      <c r="F71" s="3" t="str">
        <f t="shared" si="61"/>
        <v>Новый раздел</v>
      </c>
      <c r="G71" s="3" t="str">
        <f t="shared" si="61"/>
        <v>10 кВ и 0,4 кВ</v>
      </c>
      <c r="H71" s="3"/>
      <c r="I71" s="3"/>
      <c r="J71" s="3"/>
      <c r="K71" s="3"/>
      <c r="L71" s="3"/>
      <c r="M71" s="3"/>
      <c r="N71" s="3"/>
      <c r="O71" s="3">
        <f t="shared" ref="O71:AT71" si="62">O78</f>
        <v>4031.62</v>
      </c>
      <c r="P71" s="3">
        <f t="shared" si="62"/>
        <v>0</v>
      </c>
      <c r="Q71" s="3">
        <f t="shared" si="62"/>
        <v>4031.62</v>
      </c>
      <c r="R71" s="3">
        <f t="shared" si="62"/>
        <v>0</v>
      </c>
      <c r="S71" s="3">
        <f t="shared" si="62"/>
        <v>0</v>
      </c>
      <c r="T71" s="3">
        <f t="shared" si="62"/>
        <v>0</v>
      </c>
      <c r="U71" s="3">
        <f t="shared" si="62"/>
        <v>0</v>
      </c>
      <c r="V71" s="3">
        <f t="shared" si="62"/>
        <v>0</v>
      </c>
      <c r="W71" s="3">
        <f t="shared" si="62"/>
        <v>0</v>
      </c>
      <c r="X71" s="3">
        <f t="shared" si="62"/>
        <v>0</v>
      </c>
      <c r="Y71" s="3">
        <f t="shared" si="62"/>
        <v>0</v>
      </c>
      <c r="Z71" s="3">
        <f t="shared" si="62"/>
        <v>0</v>
      </c>
      <c r="AA71" s="3">
        <f t="shared" si="62"/>
        <v>0</v>
      </c>
      <c r="AB71" s="3">
        <f t="shared" si="62"/>
        <v>4031.62</v>
      </c>
      <c r="AC71" s="3">
        <f t="shared" si="62"/>
        <v>0</v>
      </c>
      <c r="AD71" s="3">
        <f t="shared" si="62"/>
        <v>4031.62</v>
      </c>
      <c r="AE71" s="3">
        <f t="shared" si="62"/>
        <v>0</v>
      </c>
      <c r="AF71" s="3">
        <f t="shared" si="62"/>
        <v>0</v>
      </c>
      <c r="AG71" s="3">
        <f t="shared" si="62"/>
        <v>0</v>
      </c>
      <c r="AH71" s="3">
        <f t="shared" si="62"/>
        <v>0</v>
      </c>
      <c r="AI71" s="3">
        <f t="shared" si="62"/>
        <v>0</v>
      </c>
      <c r="AJ71" s="3">
        <f t="shared" si="62"/>
        <v>0</v>
      </c>
      <c r="AK71" s="3">
        <f t="shared" si="62"/>
        <v>0</v>
      </c>
      <c r="AL71" s="3">
        <f t="shared" si="62"/>
        <v>0</v>
      </c>
      <c r="AM71" s="3">
        <f t="shared" si="62"/>
        <v>0</v>
      </c>
      <c r="AN71" s="3">
        <f t="shared" si="62"/>
        <v>0</v>
      </c>
      <c r="AO71" s="3">
        <f t="shared" si="62"/>
        <v>0</v>
      </c>
      <c r="AP71" s="3">
        <f t="shared" si="62"/>
        <v>0</v>
      </c>
      <c r="AQ71" s="3">
        <f t="shared" si="62"/>
        <v>0</v>
      </c>
      <c r="AR71" s="3">
        <f t="shared" si="62"/>
        <v>4031.62</v>
      </c>
      <c r="AS71" s="3">
        <f t="shared" si="62"/>
        <v>0</v>
      </c>
      <c r="AT71" s="3">
        <f t="shared" si="62"/>
        <v>0</v>
      </c>
      <c r="AU71" s="3">
        <f t="shared" ref="AU71:BZ71" si="63">AU78</f>
        <v>4031.62</v>
      </c>
      <c r="AV71" s="3">
        <f t="shared" si="63"/>
        <v>0</v>
      </c>
      <c r="AW71" s="3">
        <f t="shared" si="63"/>
        <v>0</v>
      </c>
      <c r="AX71" s="3">
        <f t="shared" si="63"/>
        <v>0</v>
      </c>
      <c r="AY71" s="3">
        <f t="shared" si="63"/>
        <v>0</v>
      </c>
      <c r="AZ71" s="3">
        <f t="shared" si="63"/>
        <v>0</v>
      </c>
      <c r="BA71" s="3">
        <f t="shared" si="63"/>
        <v>0</v>
      </c>
      <c r="BB71" s="3">
        <f t="shared" si="63"/>
        <v>0</v>
      </c>
      <c r="BC71" s="3">
        <f t="shared" si="63"/>
        <v>0</v>
      </c>
      <c r="BD71" s="3">
        <f t="shared" si="63"/>
        <v>0</v>
      </c>
      <c r="BE71" s="3">
        <f t="shared" si="63"/>
        <v>0</v>
      </c>
      <c r="BF71" s="3">
        <f t="shared" si="63"/>
        <v>0</v>
      </c>
      <c r="BG71" s="3">
        <f t="shared" si="63"/>
        <v>0</v>
      </c>
      <c r="BH71" s="3">
        <f t="shared" si="63"/>
        <v>0</v>
      </c>
      <c r="BI71" s="3">
        <f t="shared" si="63"/>
        <v>0</v>
      </c>
      <c r="BJ71" s="3">
        <f t="shared" si="63"/>
        <v>0</v>
      </c>
      <c r="BK71" s="3">
        <f t="shared" si="63"/>
        <v>0</v>
      </c>
      <c r="BL71" s="3">
        <f t="shared" si="63"/>
        <v>0</v>
      </c>
      <c r="BM71" s="3">
        <f t="shared" si="63"/>
        <v>0</v>
      </c>
      <c r="BN71" s="3">
        <f t="shared" si="63"/>
        <v>0</v>
      </c>
      <c r="BO71" s="3">
        <f t="shared" si="63"/>
        <v>0</v>
      </c>
      <c r="BP71" s="3">
        <f t="shared" si="63"/>
        <v>0</v>
      </c>
      <c r="BQ71" s="3">
        <f t="shared" si="63"/>
        <v>0</v>
      </c>
      <c r="BR71" s="3">
        <f t="shared" si="63"/>
        <v>0</v>
      </c>
      <c r="BS71" s="3">
        <f t="shared" si="63"/>
        <v>0</v>
      </c>
      <c r="BT71" s="3">
        <f t="shared" si="63"/>
        <v>0</v>
      </c>
      <c r="BU71" s="3">
        <f t="shared" si="63"/>
        <v>0</v>
      </c>
      <c r="BV71" s="3">
        <f t="shared" si="63"/>
        <v>0</v>
      </c>
      <c r="BW71" s="3">
        <f t="shared" si="63"/>
        <v>0</v>
      </c>
      <c r="BX71" s="3">
        <f t="shared" si="63"/>
        <v>0</v>
      </c>
      <c r="BY71" s="3">
        <f t="shared" si="63"/>
        <v>0</v>
      </c>
      <c r="BZ71" s="3">
        <f t="shared" si="63"/>
        <v>0</v>
      </c>
      <c r="CA71" s="3">
        <f t="shared" ref="CA71:DF71" si="64">CA78</f>
        <v>4031.62</v>
      </c>
      <c r="CB71" s="3">
        <f t="shared" si="64"/>
        <v>0</v>
      </c>
      <c r="CC71" s="3">
        <f t="shared" si="64"/>
        <v>0</v>
      </c>
      <c r="CD71" s="3">
        <f t="shared" si="64"/>
        <v>4031.62</v>
      </c>
      <c r="CE71" s="3">
        <f t="shared" si="64"/>
        <v>0</v>
      </c>
      <c r="CF71" s="3">
        <f t="shared" si="64"/>
        <v>0</v>
      </c>
      <c r="CG71" s="3">
        <f t="shared" si="64"/>
        <v>0</v>
      </c>
      <c r="CH71" s="3">
        <f t="shared" si="64"/>
        <v>0</v>
      </c>
      <c r="CI71" s="3">
        <f t="shared" si="64"/>
        <v>0</v>
      </c>
      <c r="CJ71" s="3">
        <f t="shared" si="64"/>
        <v>0</v>
      </c>
      <c r="CK71" s="3">
        <f t="shared" si="64"/>
        <v>0</v>
      </c>
      <c r="CL71" s="3">
        <f t="shared" si="64"/>
        <v>0</v>
      </c>
      <c r="CM71" s="3">
        <f t="shared" si="64"/>
        <v>0</v>
      </c>
      <c r="CN71" s="3">
        <f t="shared" si="64"/>
        <v>0</v>
      </c>
      <c r="CO71" s="3">
        <f t="shared" si="64"/>
        <v>0</v>
      </c>
      <c r="CP71" s="3">
        <f t="shared" si="64"/>
        <v>0</v>
      </c>
      <c r="CQ71" s="3">
        <f t="shared" si="64"/>
        <v>0</v>
      </c>
      <c r="CR71" s="3">
        <f t="shared" si="64"/>
        <v>0</v>
      </c>
      <c r="CS71" s="3">
        <f t="shared" si="64"/>
        <v>0</v>
      </c>
      <c r="CT71" s="3">
        <f t="shared" si="64"/>
        <v>0</v>
      </c>
      <c r="CU71" s="3">
        <f t="shared" si="64"/>
        <v>0</v>
      </c>
      <c r="CV71" s="3">
        <f t="shared" si="64"/>
        <v>0</v>
      </c>
      <c r="CW71" s="3">
        <f t="shared" si="64"/>
        <v>0</v>
      </c>
      <c r="CX71" s="3">
        <f t="shared" si="64"/>
        <v>0</v>
      </c>
      <c r="CY71" s="3">
        <f t="shared" si="64"/>
        <v>0</v>
      </c>
      <c r="CZ71" s="3">
        <f t="shared" si="64"/>
        <v>0</v>
      </c>
      <c r="DA71" s="3">
        <f t="shared" si="64"/>
        <v>0</v>
      </c>
      <c r="DB71" s="3">
        <f t="shared" si="64"/>
        <v>0</v>
      </c>
      <c r="DC71" s="3">
        <f t="shared" si="64"/>
        <v>0</v>
      </c>
      <c r="DD71" s="3">
        <f t="shared" si="64"/>
        <v>0</v>
      </c>
      <c r="DE71" s="3">
        <f t="shared" si="64"/>
        <v>0</v>
      </c>
      <c r="DF71" s="3">
        <f t="shared" si="64"/>
        <v>0</v>
      </c>
      <c r="DG71" s="4">
        <f t="shared" ref="DG71:EL71" si="65">DG78</f>
        <v>60989.43</v>
      </c>
      <c r="DH71" s="4">
        <f t="shared" si="65"/>
        <v>0</v>
      </c>
      <c r="DI71" s="4">
        <f t="shared" si="65"/>
        <v>60989.43</v>
      </c>
      <c r="DJ71" s="4">
        <f t="shared" si="65"/>
        <v>0</v>
      </c>
      <c r="DK71" s="4">
        <f t="shared" si="65"/>
        <v>0</v>
      </c>
      <c r="DL71" s="4">
        <f t="shared" si="65"/>
        <v>0</v>
      </c>
      <c r="DM71" s="4">
        <f t="shared" si="65"/>
        <v>0</v>
      </c>
      <c r="DN71" s="4">
        <f t="shared" si="65"/>
        <v>0</v>
      </c>
      <c r="DO71" s="4">
        <f t="shared" si="65"/>
        <v>0</v>
      </c>
      <c r="DP71" s="4">
        <f t="shared" si="65"/>
        <v>0</v>
      </c>
      <c r="DQ71" s="4">
        <f t="shared" si="65"/>
        <v>0</v>
      </c>
      <c r="DR71" s="4">
        <f t="shared" si="65"/>
        <v>0</v>
      </c>
      <c r="DS71" s="4">
        <f t="shared" si="65"/>
        <v>0</v>
      </c>
      <c r="DT71" s="4">
        <f t="shared" si="65"/>
        <v>60989.43</v>
      </c>
      <c r="DU71" s="4">
        <f t="shared" si="65"/>
        <v>0</v>
      </c>
      <c r="DV71" s="4">
        <f t="shared" si="65"/>
        <v>60989.43</v>
      </c>
      <c r="DW71" s="4">
        <f t="shared" si="65"/>
        <v>0</v>
      </c>
      <c r="DX71" s="4">
        <f t="shared" si="65"/>
        <v>0</v>
      </c>
      <c r="DY71" s="4">
        <f t="shared" si="65"/>
        <v>0</v>
      </c>
      <c r="DZ71" s="4">
        <f t="shared" si="65"/>
        <v>0</v>
      </c>
      <c r="EA71" s="4">
        <f t="shared" si="65"/>
        <v>0</v>
      </c>
      <c r="EB71" s="4">
        <f t="shared" si="65"/>
        <v>0</v>
      </c>
      <c r="EC71" s="4">
        <f t="shared" si="65"/>
        <v>0</v>
      </c>
      <c r="ED71" s="4">
        <f t="shared" si="65"/>
        <v>0</v>
      </c>
      <c r="EE71" s="4">
        <f t="shared" si="65"/>
        <v>0</v>
      </c>
      <c r="EF71" s="4">
        <f t="shared" si="65"/>
        <v>0</v>
      </c>
      <c r="EG71" s="4">
        <f t="shared" si="65"/>
        <v>0</v>
      </c>
      <c r="EH71" s="4">
        <f t="shared" si="65"/>
        <v>0</v>
      </c>
      <c r="EI71" s="4">
        <f t="shared" si="65"/>
        <v>0</v>
      </c>
      <c r="EJ71" s="4">
        <f t="shared" si="65"/>
        <v>60989.43</v>
      </c>
      <c r="EK71" s="4">
        <f t="shared" si="65"/>
        <v>0</v>
      </c>
      <c r="EL71" s="4">
        <f t="shared" si="65"/>
        <v>0</v>
      </c>
      <c r="EM71" s="4">
        <f t="shared" ref="EM71:FR71" si="66">EM78</f>
        <v>60989.43</v>
      </c>
      <c r="EN71" s="4">
        <f t="shared" si="66"/>
        <v>0</v>
      </c>
      <c r="EO71" s="4">
        <f t="shared" si="66"/>
        <v>0</v>
      </c>
      <c r="EP71" s="4">
        <f t="shared" si="66"/>
        <v>0</v>
      </c>
      <c r="EQ71" s="4">
        <f t="shared" si="66"/>
        <v>0</v>
      </c>
      <c r="ER71" s="4">
        <f t="shared" si="66"/>
        <v>0</v>
      </c>
      <c r="ES71" s="4">
        <f t="shared" si="66"/>
        <v>0</v>
      </c>
      <c r="ET71" s="4">
        <f t="shared" si="66"/>
        <v>0</v>
      </c>
      <c r="EU71" s="4">
        <f t="shared" si="66"/>
        <v>0</v>
      </c>
      <c r="EV71" s="4">
        <f t="shared" si="66"/>
        <v>0</v>
      </c>
      <c r="EW71" s="4">
        <f t="shared" si="66"/>
        <v>0</v>
      </c>
      <c r="EX71" s="4">
        <f t="shared" si="66"/>
        <v>0</v>
      </c>
      <c r="EY71" s="4">
        <f t="shared" si="66"/>
        <v>0</v>
      </c>
      <c r="EZ71" s="4">
        <f t="shared" si="66"/>
        <v>0</v>
      </c>
      <c r="FA71" s="4">
        <f t="shared" si="66"/>
        <v>0</v>
      </c>
      <c r="FB71" s="4">
        <f t="shared" si="66"/>
        <v>0</v>
      </c>
      <c r="FC71" s="4">
        <f t="shared" si="66"/>
        <v>0</v>
      </c>
      <c r="FD71" s="4">
        <f t="shared" si="66"/>
        <v>0</v>
      </c>
      <c r="FE71" s="4">
        <f t="shared" si="66"/>
        <v>0</v>
      </c>
      <c r="FF71" s="4">
        <f t="shared" si="66"/>
        <v>0</v>
      </c>
      <c r="FG71" s="4">
        <f t="shared" si="66"/>
        <v>0</v>
      </c>
      <c r="FH71" s="4">
        <f t="shared" si="66"/>
        <v>0</v>
      </c>
      <c r="FI71" s="4">
        <f t="shared" si="66"/>
        <v>0</v>
      </c>
      <c r="FJ71" s="4">
        <f t="shared" si="66"/>
        <v>0</v>
      </c>
      <c r="FK71" s="4">
        <f t="shared" si="66"/>
        <v>0</v>
      </c>
      <c r="FL71" s="4">
        <f t="shared" si="66"/>
        <v>0</v>
      </c>
      <c r="FM71" s="4">
        <f t="shared" si="66"/>
        <v>0</v>
      </c>
      <c r="FN71" s="4">
        <f t="shared" si="66"/>
        <v>0</v>
      </c>
      <c r="FO71" s="4">
        <f t="shared" si="66"/>
        <v>0</v>
      </c>
      <c r="FP71" s="4">
        <f t="shared" si="66"/>
        <v>0</v>
      </c>
      <c r="FQ71" s="4">
        <f t="shared" si="66"/>
        <v>0</v>
      </c>
      <c r="FR71" s="4">
        <f t="shared" si="66"/>
        <v>0</v>
      </c>
      <c r="FS71" s="4">
        <f t="shared" ref="FS71:GX71" si="67">FS78</f>
        <v>60989.43</v>
      </c>
      <c r="FT71" s="4">
        <f t="shared" si="67"/>
        <v>0</v>
      </c>
      <c r="FU71" s="4">
        <f t="shared" si="67"/>
        <v>0</v>
      </c>
      <c r="FV71" s="4">
        <f t="shared" si="67"/>
        <v>60989.43</v>
      </c>
      <c r="FW71" s="4">
        <f t="shared" si="67"/>
        <v>0</v>
      </c>
      <c r="FX71" s="4">
        <f t="shared" si="67"/>
        <v>0</v>
      </c>
      <c r="FY71" s="4">
        <f t="shared" si="67"/>
        <v>0</v>
      </c>
      <c r="FZ71" s="4">
        <f t="shared" si="67"/>
        <v>0</v>
      </c>
      <c r="GA71" s="4">
        <f t="shared" si="67"/>
        <v>0</v>
      </c>
      <c r="GB71" s="4">
        <f t="shared" si="67"/>
        <v>0</v>
      </c>
      <c r="GC71" s="4">
        <f t="shared" si="67"/>
        <v>0</v>
      </c>
      <c r="GD71" s="4">
        <f t="shared" si="67"/>
        <v>0</v>
      </c>
      <c r="GE71" s="4">
        <f t="shared" si="67"/>
        <v>0</v>
      </c>
      <c r="GF71" s="4">
        <f t="shared" si="67"/>
        <v>0</v>
      </c>
      <c r="GG71" s="4">
        <f t="shared" si="67"/>
        <v>0</v>
      </c>
      <c r="GH71" s="4">
        <f t="shared" si="67"/>
        <v>0</v>
      </c>
      <c r="GI71" s="4">
        <f t="shared" si="67"/>
        <v>0</v>
      </c>
      <c r="GJ71" s="4">
        <f t="shared" si="67"/>
        <v>0</v>
      </c>
      <c r="GK71" s="4">
        <f t="shared" si="67"/>
        <v>0</v>
      </c>
      <c r="GL71" s="4">
        <f t="shared" si="67"/>
        <v>0</v>
      </c>
      <c r="GM71" s="4">
        <f t="shared" si="67"/>
        <v>0</v>
      </c>
      <c r="GN71" s="4">
        <f t="shared" si="67"/>
        <v>0</v>
      </c>
      <c r="GO71" s="4">
        <f t="shared" si="67"/>
        <v>0</v>
      </c>
      <c r="GP71" s="4">
        <f t="shared" si="67"/>
        <v>0</v>
      </c>
      <c r="GQ71" s="4">
        <f t="shared" si="67"/>
        <v>0</v>
      </c>
      <c r="GR71" s="4">
        <f t="shared" si="67"/>
        <v>0</v>
      </c>
      <c r="GS71" s="4">
        <f t="shared" si="67"/>
        <v>0</v>
      </c>
      <c r="GT71" s="4">
        <f t="shared" si="67"/>
        <v>0</v>
      </c>
      <c r="GU71" s="4">
        <f t="shared" si="67"/>
        <v>0</v>
      </c>
      <c r="GV71" s="4">
        <f t="shared" si="67"/>
        <v>0</v>
      </c>
      <c r="GW71" s="4">
        <f t="shared" si="67"/>
        <v>0</v>
      </c>
      <c r="GX71" s="4">
        <f t="shared" si="67"/>
        <v>0</v>
      </c>
    </row>
    <row r="73" spans="1:255" x14ac:dyDescent="0.2">
      <c r="A73" s="2">
        <v>17</v>
      </c>
      <c r="B73" s="2">
        <v>1</v>
      </c>
      <c r="C73" s="2"/>
      <c r="D73" s="2">
        <f>ROW(EtalonRes!A11)</f>
        <v>11</v>
      </c>
      <c r="E73" s="2" t="s">
        <v>96</v>
      </c>
      <c r="F73" s="2" t="s">
        <v>97</v>
      </c>
      <c r="G73" s="2" t="s">
        <v>98</v>
      </c>
      <c r="H73" s="2" t="s">
        <v>19</v>
      </c>
      <c r="I73" s="2">
        <f>ROUND((39.92)*1.75,9)</f>
        <v>69.86</v>
      </c>
      <c r="J73" s="2">
        <v>0</v>
      </c>
      <c r="K73" s="2">
        <f>ROUND((39.92)*1.75,9)</f>
        <v>69.86</v>
      </c>
      <c r="L73" s="2"/>
      <c r="M73" s="2"/>
      <c r="N73" s="2"/>
      <c r="O73" s="2">
        <f>ROUND(CP73,2)</f>
        <v>3150.69</v>
      </c>
      <c r="P73" s="2">
        <f>ROUND((ROUND((AC73*AW73*I73),2)*BC73),2)</f>
        <v>0</v>
      </c>
      <c r="Q73" s="2">
        <f>(ROUND((ROUND(((ET73)*AV73*I73),2)*BB73),2)+ROUND((ROUND(((AE73-(EU73))*AV73*I73),2)*BS73),2))</f>
        <v>3150.69</v>
      </c>
      <c r="R73" s="2">
        <f>ROUND((ROUND((AE73*AV73*I73),2)*BS73),2)</f>
        <v>0</v>
      </c>
      <c r="S73" s="2">
        <f>ROUND((ROUND((AF73*AV73*I73),2)*BA73),2)</f>
        <v>0</v>
      </c>
      <c r="T73" s="2">
        <f>ROUND(CU73*I73,2)</f>
        <v>0</v>
      </c>
      <c r="U73" s="2">
        <f>CV73*I73</f>
        <v>0</v>
      </c>
      <c r="V73" s="2">
        <f>CW73*I73</f>
        <v>0</v>
      </c>
      <c r="W73" s="2">
        <f>ROUND(CX73*I73,2)</f>
        <v>0</v>
      </c>
      <c r="X73" s="2">
        <f t="shared" ref="X73:Y76" si="68">ROUND(CY73,2)</f>
        <v>0</v>
      </c>
      <c r="Y73" s="2">
        <f t="shared" si="68"/>
        <v>0</v>
      </c>
      <c r="Z73" s="2"/>
      <c r="AA73" s="2">
        <v>57734472</v>
      </c>
      <c r="AB73" s="2">
        <f>ROUND((AC73+AD73+AF73),6)</f>
        <v>45.1</v>
      </c>
      <c r="AC73" s="2">
        <f>ROUND((ES73),6)</f>
        <v>0</v>
      </c>
      <c r="AD73" s="2">
        <f>ROUND((((ET73)-(EU73))+AE73),6)</f>
        <v>45.1</v>
      </c>
      <c r="AE73" s="2">
        <f t="shared" ref="AE73:AF76" si="69">ROUND((EU73),6)</f>
        <v>0</v>
      </c>
      <c r="AF73" s="2">
        <f t="shared" si="69"/>
        <v>0</v>
      </c>
      <c r="AG73" s="2">
        <f>ROUND((AP73),6)</f>
        <v>0</v>
      </c>
      <c r="AH73" s="2">
        <f t="shared" ref="AH73:AI76" si="70">(EW73)</f>
        <v>0</v>
      </c>
      <c r="AI73" s="2">
        <f t="shared" si="70"/>
        <v>0</v>
      </c>
      <c r="AJ73" s="2">
        <f>(AS73)</f>
        <v>0</v>
      </c>
      <c r="AK73" s="2">
        <v>45.1</v>
      </c>
      <c r="AL73" s="2">
        <v>0</v>
      </c>
      <c r="AM73" s="2">
        <v>45.1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1</v>
      </c>
      <c r="AW73" s="2">
        <v>1</v>
      </c>
      <c r="AX73" s="2"/>
      <c r="AY73" s="2"/>
      <c r="AZ73" s="2">
        <v>1</v>
      </c>
      <c r="BA73" s="2">
        <v>1</v>
      </c>
      <c r="BB73" s="2">
        <v>1</v>
      </c>
      <c r="BC73" s="2">
        <v>1</v>
      </c>
      <c r="BD73" s="2" t="s">
        <v>3</v>
      </c>
      <c r="BE73" s="2" t="s">
        <v>3</v>
      </c>
      <c r="BF73" s="2" t="s">
        <v>3</v>
      </c>
      <c r="BG73" s="2" t="s">
        <v>3</v>
      </c>
      <c r="BH73" s="2">
        <v>0</v>
      </c>
      <c r="BI73" s="2">
        <v>4</v>
      </c>
      <c r="BJ73" s="2" t="s">
        <v>99</v>
      </c>
      <c r="BK73" s="2"/>
      <c r="BL73" s="2"/>
      <c r="BM73" s="2">
        <v>1111</v>
      </c>
      <c r="BN73" s="2">
        <v>0</v>
      </c>
      <c r="BO73" s="2" t="s">
        <v>3</v>
      </c>
      <c r="BP73" s="2">
        <v>0</v>
      </c>
      <c r="BQ73" s="2">
        <v>150</v>
      </c>
      <c r="BR73" s="2">
        <v>0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 t="s">
        <v>3</v>
      </c>
      <c r="BZ73" s="2">
        <v>0</v>
      </c>
      <c r="CA73" s="2">
        <v>0</v>
      </c>
      <c r="CB73" s="2" t="s">
        <v>3</v>
      </c>
      <c r="CC73" s="2"/>
      <c r="CD73" s="2"/>
      <c r="CE73" s="2">
        <v>30</v>
      </c>
      <c r="CF73" s="2">
        <v>0</v>
      </c>
      <c r="CG73" s="2">
        <v>0</v>
      </c>
      <c r="CH73" s="2"/>
      <c r="CI73" s="2"/>
      <c r="CJ73" s="2"/>
      <c r="CK73" s="2"/>
      <c r="CL73" s="2"/>
      <c r="CM73" s="2">
        <v>0</v>
      </c>
      <c r="CN73" s="2" t="s">
        <v>3</v>
      </c>
      <c r="CO73" s="2">
        <v>0</v>
      </c>
      <c r="CP73" s="2">
        <f>(P73+Q73+S73)</f>
        <v>3150.69</v>
      </c>
      <c r="CQ73" s="2">
        <f>ROUND((ROUND((AC73*AW73*1),2)*BC73),2)</f>
        <v>0</v>
      </c>
      <c r="CR73" s="2">
        <f>(ROUND((ROUND(((ET73)*AV73*1),2)*BB73),2)+ROUND((ROUND(((AE73-(EU73))*AV73*1),2)*BS73),2))</f>
        <v>45.1</v>
      </c>
      <c r="CS73" s="2">
        <f>ROUND((ROUND((AE73*AV73*1),2)*BS73),2)</f>
        <v>0</v>
      </c>
      <c r="CT73" s="2">
        <f>ROUND((ROUND((AF73*AV73*1),2)*BA73),2)</f>
        <v>0</v>
      </c>
      <c r="CU73" s="2">
        <f>AG73</f>
        <v>0</v>
      </c>
      <c r="CV73" s="2">
        <f>(AH73*AV73)</f>
        <v>0</v>
      </c>
      <c r="CW73" s="2">
        <f t="shared" ref="CW73:CX76" si="71">AI73</f>
        <v>0</v>
      </c>
      <c r="CX73" s="2">
        <f t="shared" si="71"/>
        <v>0</v>
      </c>
      <c r="CY73" s="2">
        <f>((S73*BZ73)/100)</f>
        <v>0</v>
      </c>
      <c r="CZ73" s="2">
        <f>((S73*CA73)/100)</f>
        <v>0</v>
      </c>
      <c r="DA73" s="2"/>
      <c r="DB73" s="2"/>
      <c r="DC73" s="2" t="s">
        <v>3</v>
      </c>
      <c r="DD73" s="2" t="s">
        <v>3</v>
      </c>
      <c r="DE73" s="2" t="s">
        <v>3</v>
      </c>
      <c r="DF73" s="2" t="s">
        <v>3</v>
      </c>
      <c r="DG73" s="2" t="s">
        <v>3</v>
      </c>
      <c r="DH73" s="2" t="s">
        <v>3</v>
      </c>
      <c r="DI73" s="2" t="s">
        <v>3</v>
      </c>
      <c r="DJ73" s="2" t="s">
        <v>3</v>
      </c>
      <c r="DK73" s="2" t="s">
        <v>3</v>
      </c>
      <c r="DL73" s="2" t="s">
        <v>3</v>
      </c>
      <c r="DM73" s="2" t="s">
        <v>3</v>
      </c>
      <c r="DN73" s="2">
        <v>0</v>
      </c>
      <c r="DO73" s="2">
        <v>0</v>
      </c>
      <c r="DP73" s="2">
        <v>1</v>
      </c>
      <c r="DQ73" s="2">
        <v>1</v>
      </c>
      <c r="DR73" s="2"/>
      <c r="DS73" s="2"/>
      <c r="DT73" s="2"/>
      <c r="DU73" s="2">
        <v>1009</v>
      </c>
      <c r="DV73" s="2" t="s">
        <v>19</v>
      </c>
      <c r="DW73" s="2" t="s">
        <v>19</v>
      </c>
      <c r="DX73" s="2">
        <v>1000</v>
      </c>
      <c r="DY73" s="2"/>
      <c r="DZ73" s="2" t="s">
        <v>3</v>
      </c>
      <c r="EA73" s="2" t="s">
        <v>3</v>
      </c>
      <c r="EB73" s="2" t="s">
        <v>3</v>
      </c>
      <c r="EC73" s="2" t="s">
        <v>3</v>
      </c>
      <c r="ED73" s="2"/>
      <c r="EE73" s="2">
        <v>51697150</v>
      </c>
      <c r="EF73" s="2">
        <v>150</v>
      </c>
      <c r="EG73" s="2" t="s">
        <v>21</v>
      </c>
      <c r="EH73" s="2">
        <v>0</v>
      </c>
      <c r="EI73" s="2" t="s">
        <v>3</v>
      </c>
      <c r="EJ73" s="2">
        <v>4</v>
      </c>
      <c r="EK73" s="2">
        <v>1111</v>
      </c>
      <c r="EL73" s="2" t="s">
        <v>100</v>
      </c>
      <c r="EM73" s="2" t="s">
        <v>101</v>
      </c>
      <c r="EN73" s="2"/>
      <c r="EO73" s="2" t="s">
        <v>3</v>
      </c>
      <c r="EP73" s="2"/>
      <c r="EQ73" s="2">
        <v>131072</v>
      </c>
      <c r="ER73" s="2">
        <v>45.1</v>
      </c>
      <c r="ES73" s="2">
        <v>0</v>
      </c>
      <c r="ET73" s="2">
        <v>45.1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>
        <v>0</v>
      </c>
      <c r="FR73" s="2">
        <v>0</v>
      </c>
      <c r="FS73" s="2">
        <v>0</v>
      </c>
      <c r="FT73" s="2"/>
      <c r="FU73" s="2"/>
      <c r="FV73" s="2"/>
      <c r="FW73" s="2"/>
      <c r="FX73" s="2">
        <v>0</v>
      </c>
      <c r="FY73" s="2">
        <v>0</v>
      </c>
      <c r="FZ73" s="2"/>
      <c r="GA73" s="2" t="s">
        <v>3</v>
      </c>
      <c r="GB73" s="2"/>
      <c r="GC73" s="2"/>
      <c r="GD73" s="2">
        <v>1</v>
      </c>
      <c r="GE73" s="2"/>
      <c r="GF73" s="2">
        <v>-1114147576</v>
      </c>
      <c r="GG73" s="2">
        <v>2</v>
      </c>
      <c r="GH73" s="2">
        <v>1</v>
      </c>
      <c r="GI73" s="2">
        <v>-2</v>
      </c>
      <c r="GJ73" s="2">
        <v>0</v>
      </c>
      <c r="GK73" s="2">
        <v>0</v>
      </c>
      <c r="GL73" s="2">
        <f>ROUND(IF(AND(BH73=3,BI73=3,FS73&lt;&gt;0),P73,0),2)</f>
        <v>0</v>
      </c>
      <c r="GM73" s="2">
        <f>ROUND(O73+X73+Y73,2)+GX73</f>
        <v>3150.69</v>
      </c>
      <c r="GN73" s="2">
        <f>IF(OR(BI73=0,BI73=1),GM73-GX73,0)</f>
        <v>0</v>
      </c>
      <c r="GO73" s="2">
        <f>IF(BI73=2,GM73-GX73,0)</f>
        <v>0</v>
      </c>
      <c r="GP73" s="2">
        <f>IF(BI73=4,GM73-GX73,0)</f>
        <v>3150.69</v>
      </c>
      <c r="GQ73" s="2"/>
      <c r="GR73" s="2">
        <v>0</v>
      </c>
      <c r="GS73" s="2">
        <v>0</v>
      </c>
      <c r="GT73" s="2">
        <v>0</v>
      </c>
      <c r="GU73" s="2" t="s">
        <v>3</v>
      </c>
      <c r="GV73" s="2">
        <f>ROUND((GT73),6)</f>
        <v>0</v>
      </c>
      <c r="GW73" s="2">
        <v>1</v>
      </c>
      <c r="GX73" s="2">
        <f>ROUND(HC73*I73,2)</f>
        <v>0</v>
      </c>
      <c r="GY73" s="2"/>
      <c r="GZ73" s="2"/>
      <c r="HA73" s="2">
        <v>0</v>
      </c>
      <c r="HB73" s="2">
        <v>0</v>
      </c>
      <c r="HC73" s="2">
        <f>GV73*GW73</f>
        <v>0</v>
      </c>
      <c r="HD73" s="2"/>
      <c r="HE73" s="2" t="s">
        <v>3</v>
      </c>
      <c r="HF73" s="2" t="s">
        <v>3</v>
      </c>
      <c r="HG73" s="2"/>
      <c r="HH73" s="2"/>
      <c r="HI73" s="2"/>
      <c r="HJ73" s="2"/>
      <c r="HK73" s="2"/>
      <c r="HL73" s="2"/>
      <c r="HM73" s="2" t="s">
        <v>3</v>
      </c>
      <c r="HN73" s="2" t="s">
        <v>3</v>
      </c>
      <c r="HO73" s="2" t="s">
        <v>3</v>
      </c>
      <c r="HP73" s="2" t="s">
        <v>3</v>
      </c>
      <c r="HQ73" s="2" t="s">
        <v>3</v>
      </c>
      <c r="HR73" s="2"/>
      <c r="HS73" s="2">
        <v>0</v>
      </c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>
        <v>0</v>
      </c>
      <c r="IL73" s="2"/>
      <c r="IM73" s="2"/>
      <c r="IN73" s="2"/>
      <c r="IO73" s="2"/>
      <c r="IP73" s="2"/>
      <c r="IQ73" s="2"/>
      <c r="IR73" s="2"/>
      <c r="IS73" s="2"/>
      <c r="IT73" s="2"/>
      <c r="IU73" s="2"/>
    </row>
    <row r="74" spans="1:255" x14ac:dyDescent="0.2">
      <c r="A74">
        <v>17</v>
      </c>
      <c r="B74">
        <v>1</v>
      </c>
      <c r="D74">
        <f>ROW(EtalonRes!A12)</f>
        <v>12</v>
      </c>
      <c r="E74" t="s">
        <v>96</v>
      </c>
      <c r="F74" t="s">
        <v>97</v>
      </c>
      <c r="G74" t="s">
        <v>98</v>
      </c>
      <c r="H74" t="s">
        <v>19</v>
      </c>
      <c r="I74">
        <f>ROUND((39.92)*1.75,9)</f>
        <v>69.86</v>
      </c>
      <c r="J74">
        <v>0</v>
      </c>
      <c r="K74">
        <f>ROUND((39.92)*1.75,9)</f>
        <v>69.86</v>
      </c>
      <c r="O74">
        <f>ROUND(CP74,2)</f>
        <v>49308.3</v>
      </c>
      <c r="P74">
        <f>ROUND((ROUND((AC74*AW74*I74),2)*BC74),2)</f>
        <v>0</v>
      </c>
      <c r="Q74">
        <f>(ROUND((ROUND(((ET74)*AV74*I74),2)*BB74),2)+ROUND((ROUND(((AE74-(EU74))*AV74*I74),2)*BS74),2))</f>
        <v>49308.3</v>
      </c>
      <c r="R74">
        <f>ROUND((ROUND((AE74*AV74*I74),2)*BS74),2)</f>
        <v>0</v>
      </c>
      <c r="S74">
        <f>ROUND((ROUND((AF74*AV74*I74),2)*BA74),2)</f>
        <v>0</v>
      </c>
      <c r="T74">
        <f>ROUND(CU74*I74,2)</f>
        <v>0</v>
      </c>
      <c r="U74">
        <f>CV74*I74</f>
        <v>0</v>
      </c>
      <c r="V74">
        <f>CW74*I74</f>
        <v>0</v>
      </c>
      <c r="W74">
        <f>ROUND(CX74*I74,2)</f>
        <v>0</v>
      </c>
      <c r="X74">
        <f t="shared" si="68"/>
        <v>0</v>
      </c>
      <c r="Y74">
        <f t="shared" si="68"/>
        <v>0</v>
      </c>
      <c r="AA74">
        <v>57734470</v>
      </c>
      <c r="AB74">
        <f>ROUND((AC74+AD74+AF74),6)</f>
        <v>45.1</v>
      </c>
      <c r="AC74">
        <f>ROUND((ES74),6)</f>
        <v>0</v>
      </c>
      <c r="AD74">
        <f>ROUND((((ET74)-(EU74))+AE74),6)</f>
        <v>45.1</v>
      </c>
      <c r="AE74">
        <f t="shared" si="69"/>
        <v>0</v>
      </c>
      <c r="AF74">
        <f t="shared" si="69"/>
        <v>0</v>
      </c>
      <c r="AG74">
        <f>ROUND((AP74),6)</f>
        <v>0</v>
      </c>
      <c r="AH74">
        <f t="shared" si="70"/>
        <v>0</v>
      </c>
      <c r="AI74">
        <f t="shared" si="70"/>
        <v>0</v>
      </c>
      <c r="AJ74">
        <f>(AS74)</f>
        <v>0</v>
      </c>
      <c r="AK74">
        <v>45.1</v>
      </c>
      <c r="AL74">
        <v>0</v>
      </c>
      <c r="AM74">
        <v>45.1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95</v>
      </c>
      <c r="AU74">
        <v>65</v>
      </c>
      <c r="AV74">
        <v>1</v>
      </c>
      <c r="AW74">
        <v>1</v>
      </c>
      <c r="AZ74">
        <v>1</v>
      </c>
      <c r="BA74">
        <v>1</v>
      </c>
      <c r="BB74">
        <v>15.65</v>
      </c>
      <c r="BC74">
        <v>1</v>
      </c>
      <c r="BD74" t="s">
        <v>3</v>
      </c>
      <c r="BE74" t="s">
        <v>3</v>
      </c>
      <c r="BF74" t="s">
        <v>3</v>
      </c>
      <c r="BG74" t="s">
        <v>3</v>
      </c>
      <c r="BH74">
        <v>0</v>
      </c>
      <c r="BI74">
        <v>4</v>
      </c>
      <c r="BJ74" t="s">
        <v>99</v>
      </c>
      <c r="BM74">
        <v>1111</v>
      </c>
      <c r="BN74">
        <v>0</v>
      </c>
      <c r="BO74" t="s">
        <v>97</v>
      </c>
      <c r="BP74">
        <v>1</v>
      </c>
      <c r="BQ74">
        <v>150</v>
      </c>
      <c r="BR74">
        <v>0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 t="s">
        <v>3</v>
      </c>
      <c r="BZ74">
        <v>95</v>
      </c>
      <c r="CA74">
        <v>65</v>
      </c>
      <c r="CB74" t="s">
        <v>3</v>
      </c>
      <c r="CE74">
        <v>30</v>
      </c>
      <c r="CF74">
        <v>0</v>
      </c>
      <c r="CG74">
        <v>0</v>
      </c>
      <c r="CM74">
        <v>0</v>
      </c>
      <c r="CN74" t="s">
        <v>3</v>
      </c>
      <c r="CO74">
        <v>0</v>
      </c>
      <c r="CP74">
        <f>(P74+Q74+S74)</f>
        <v>49308.3</v>
      </c>
      <c r="CQ74">
        <f>ROUND((ROUND((AC74*AW74*1),2)*BC74),2)</f>
        <v>0</v>
      </c>
      <c r="CR74">
        <f>(ROUND((ROUND(((ET74)*AV74*1),2)*BB74),2)+ROUND((ROUND(((AE74-(EU74))*AV74*1),2)*BS74),2))</f>
        <v>705.82</v>
      </c>
      <c r="CS74">
        <f>ROUND((ROUND((AE74*AV74*1),2)*BS74),2)</f>
        <v>0</v>
      </c>
      <c r="CT74">
        <f>ROUND((ROUND((AF74*AV74*1),2)*BA74),2)</f>
        <v>0</v>
      </c>
      <c r="CU74">
        <f>AG74</f>
        <v>0</v>
      </c>
      <c r="CV74">
        <f>(AH74*AV74)</f>
        <v>0</v>
      </c>
      <c r="CW74">
        <f t="shared" si="71"/>
        <v>0</v>
      </c>
      <c r="CX74">
        <f t="shared" si="71"/>
        <v>0</v>
      </c>
      <c r="CY74">
        <f>S74*(BZ74/100)</f>
        <v>0</v>
      </c>
      <c r="CZ74">
        <f>S74*(CA74/100)</f>
        <v>0</v>
      </c>
      <c r="DC74" t="s">
        <v>3</v>
      </c>
      <c r="DD74" t="s">
        <v>3</v>
      </c>
      <c r="DE74" t="s">
        <v>3</v>
      </c>
      <c r="DF74" t="s">
        <v>3</v>
      </c>
      <c r="DG74" t="s">
        <v>3</v>
      </c>
      <c r="DH74" t="s">
        <v>3</v>
      </c>
      <c r="DI74" t="s">
        <v>3</v>
      </c>
      <c r="DJ74" t="s">
        <v>3</v>
      </c>
      <c r="DK74" t="s">
        <v>3</v>
      </c>
      <c r="DL74" t="s">
        <v>3</v>
      </c>
      <c r="DM74" t="s">
        <v>3</v>
      </c>
      <c r="DN74">
        <v>0</v>
      </c>
      <c r="DO74">
        <v>0</v>
      </c>
      <c r="DP74">
        <v>1</v>
      </c>
      <c r="DQ74">
        <v>1</v>
      </c>
      <c r="DU74">
        <v>1009</v>
      </c>
      <c r="DV74" t="s">
        <v>19</v>
      </c>
      <c r="DW74" t="s">
        <v>19</v>
      </c>
      <c r="DX74">
        <v>1000</v>
      </c>
      <c r="DZ74" t="s">
        <v>3</v>
      </c>
      <c r="EA74" t="s">
        <v>3</v>
      </c>
      <c r="EB74" t="s">
        <v>3</v>
      </c>
      <c r="EC74" t="s">
        <v>3</v>
      </c>
      <c r="EE74">
        <v>51697150</v>
      </c>
      <c r="EF74">
        <v>150</v>
      </c>
      <c r="EG74" t="s">
        <v>21</v>
      </c>
      <c r="EH74">
        <v>0</v>
      </c>
      <c r="EI74" t="s">
        <v>3</v>
      </c>
      <c r="EJ74">
        <v>4</v>
      </c>
      <c r="EK74">
        <v>1111</v>
      </c>
      <c r="EL74" t="s">
        <v>100</v>
      </c>
      <c r="EM74" t="s">
        <v>101</v>
      </c>
      <c r="EO74" t="s">
        <v>3</v>
      </c>
      <c r="EQ74">
        <v>131072</v>
      </c>
      <c r="ER74">
        <v>45.1</v>
      </c>
      <c r="ES74">
        <v>0</v>
      </c>
      <c r="ET74">
        <v>45.1</v>
      </c>
      <c r="EU74">
        <v>0</v>
      </c>
      <c r="EV74">
        <v>0</v>
      </c>
      <c r="EW74">
        <v>0</v>
      </c>
      <c r="EX74">
        <v>0</v>
      </c>
      <c r="EY74">
        <v>0</v>
      </c>
      <c r="FQ74">
        <v>0</v>
      </c>
      <c r="FR74">
        <v>0</v>
      </c>
      <c r="FS74">
        <v>0</v>
      </c>
      <c r="FX74">
        <v>0</v>
      </c>
      <c r="FY74">
        <v>0</v>
      </c>
      <c r="GA74" t="s">
        <v>3</v>
      </c>
      <c r="GD74">
        <v>0</v>
      </c>
      <c r="GF74">
        <v>-1114147576</v>
      </c>
      <c r="GG74">
        <v>2</v>
      </c>
      <c r="GH74">
        <v>1</v>
      </c>
      <c r="GI74">
        <v>2</v>
      </c>
      <c r="GJ74">
        <v>0</v>
      </c>
      <c r="GK74">
        <f>ROUND(R74*(S12)/100,2)</f>
        <v>0</v>
      </c>
      <c r="GL74">
        <f>ROUND(IF(AND(BH74=3,BI74=3,FS74&lt;&gt;0),P74,0),2)</f>
        <v>0</v>
      </c>
      <c r="GM74">
        <f>ROUND(O74+X74+Y74+GK74,2)+GX74</f>
        <v>49308.3</v>
      </c>
      <c r="GN74">
        <f>IF(OR(BI74=0,BI74=1),GM74-GX74,0)</f>
        <v>0</v>
      </c>
      <c r="GO74">
        <f>IF(BI74=2,GM74-GX74,0)</f>
        <v>0</v>
      </c>
      <c r="GP74">
        <f>IF(BI74=4,GM74-GX74,0)</f>
        <v>49308.3</v>
      </c>
      <c r="GR74">
        <v>0</v>
      </c>
      <c r="GS74">
        <v>3</v>
      </c>
      <c r="GT74">
        <v>0</v>
      </c>
      <c r="GU74" t="s">
        <v>3</v>
      </c>
      <c r="GV74">
        <f>ROUND((GT74),6)</f>
        <v>0</v>
      </c>
      <c r="GW74">
        <v>1</v>
      </c>
      <c r="GX74">
        <f>ROUND(HC74*I74,2)</f>
        <v>0</v>
      </c>
      <c r="HA74">
        <v>0</v>
      </c>
      <c r="HB74">
        <v>0</v>
      </c>
      <c r="HC74">
        <f>GV74*GW74</f>
        <v>0</v>
      </c>
      <c r="HE74" t="s">
        <v>3</v>
      </c>
      <c r="HF74" t="s">
        <v>3</v>
      </c>
      <c r="HM74" t="s">
        <v>3</v>
      </c>
      <c r="HN74" t="s">
        <v>3</v>
      </c>
      <c r="HO74" t="s">
        <v>3</v>
      </c>
      <c r="HP74" t="s">
        <v>3</v>
      </c>
      <c r="HQ74" t="s">
        <v>3</v>
      </c>
      <c r="HS74">
        <v>0</v>
      </c>
      <c r="IK74">
        <v>0</v>
      </c>
    </row>
    <row r="75" spans="1:255" x14ac:dyDescent="0.2">
      <c r="A75" s="2">
        <v>17</v>
      </c>
      <c r="B75" s="2">
        <v>1</v>
      </c>
      <c r="C75" s="2"/>
      <c r="D75" s="2">
        <f>ROW(EtalonRes!A13)</f>
        <v>13</v>
      </c>
      <c r="E75" s="2" t="s">
        <v>102</v>
      </c>
      <c r="F75" s="2" t="s">
        <v>103</v>
      </c>
      <c r="G75" s="2" t="s">
        <v>104</v>
      </c>
      <c r="H75" s="2" t="s">
        <v>27</v>
      </c>
      <c r="I75" s="2">
        <f>ROUND(I73,9)</f>
        <v>69.86</v>
      </c>
      <c r="J75" s="2">
        <v>0</v>
      </c>
      <c r="K75" s="2">
        <f>ROUND(I73,9)</f>
        <v>69.86</v>
      </c>
      <c r="L75" s="2"/>
      <c r="M75" s="2"/>
      <c r="N75" s="2"/>
      <c r="O75" s="2">
        <f>ROUND(CP75,2)</f>
        <v>880.93</v>
      </c>
      <c r="P75" s="2">
        <f>ROUND((ROUND((AC75*AW75*I75),2)*BC75),2)</f>
        <v>0</v>
      </c>
      <c r="Q75" s="2">
        <f>(ROUND((ROUND(((ET75)*AV75*I75),2)*BB75),2)+ROUND((ROUND(((AE75-(EU75))*AV75*I75),2)*BS75),2))</f>
        <v>880.93</v>
      </c>
      <c r="R75" s="2">
        <f>ROUND((ROUND((AE75*AV75*I75),2)*BS75),2)</f>
        <v>0</v>
      </c>
      <c r="S75" s="2">
        <f>ROUND((ROUND((AF75*AV75*I75),2)*BA75),2)</f>
        <v>0</v>
      </c>
      <c r="T75" s="2">
        <f>ROUND(CU75*I75,2)</f>
        <v>0</v>
      </c>
      <c r="U75" s="2">
        <f>CV75*I75</f>
        <v>0</v>
      </c>
      <c r="V75" s="2">
        <f>CW75*I75</f>
        <v>0</v>
      </c>
      <c r="W75" s="2">
        <f>ROUND(CX75*I75,2)</f>
        <v>0</v>
      </c>
      <c r="X75" s="2">
        <f t="shared" si="68"/>
        <v>0</v>
      </c>
      <c r="Y75" s="2">
        <f t="shared" si="68"/>
        <v>0</v>
      </c>
      <c r="Z75" s="2"/>
      <c r="AA75" s="2">
        <v>57734472</v>
      </c>
      <c r="AB75" s="2">
        <f>ROUND((AC75+AD75+AF75),6)</f>
        <v>12.61</v>
      </c>
      <c r="AC75" s="2">
        <f>ROUND((ES75),6)</f>
        <v>0</v>
      </c>
      <c r="AD75" s="2">
        <f>ROUND((((ET75)-(EU75))+AE75),6)</f>
        <v>12.61</v>
      </c>
      <c r="AE75" s="2">
        <f t="shared" si="69"/>
        <v>0</v>
      </c>
      <c r="AF75" s="2">
        <f t="shared" si="69"/>
        <v>0</v>
      </c>
      <c r="AG75" s="2">
        <f>ROUND((AP75),6)</f>
        <v>0</v>
      </c>
      <c r="AH75" s="2">
        <f t="shared" si="70"/>
        <v>0</v>
      </c>
      <c r="AI75" s="2">
        <f t="shared" si="70"/>
        <v>0</v>
      </c>
      <c r="AJ75" s="2">
        <f>(AS75)</f>
        <v>0</v>
      </c>
      <c r="AK75" s="2">
        <v>12.61</v>
      </c>
      <c r="AL75" s="2">
        <v>0</v>
      </c>
      <c r="AM75" s="2">
        <v>12.61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1</v>
      </c>
      <c r="AW75" s="2">
        <v>1</v>
      </c>
      <c r="AX75" s="2"/>
      <c r="AY75" s="2"/>
      <c r="AZ75" s="2">
        <v>1</v>
      </c>
      <c r="BA75" s="2">
        <v>1</v>
      </c>
      <c r="BB75" s="2">
        <v>1</v>
      </c>
      <c r="BC75" s="2">
        <v>1</v>
      </c>
      <c r="BD75" s="2" t="s">
        <v>3</v>
      </c>
      <c r="BE75" s="2" t="s">
        <v>3</v>
      </c>
      <c r="BF75" s="2" t="s">
        <v>3</v>
      </c>
      <c r="BG75" s="2" t="s">
        <v>3</v>
      </c>
      <c r="BH75" s="2">
        <v>0</v>
      </c>
      <c r="BI75" s="2">
        <v>4</v>
      </c>
      <c r="BJ75" s="2" t="s">
        <v>105</v>
      </c>
      <c r="BK75" s="2"/>
      <c r="BL75" s="2"/>
      <c r="BM75" s="2">
        <v>1113</v>
      </c>
      <c r="BN75" s="2">
        <v>0</v>
      </c>
      <c r="BO75" s="2" t="s">
        <v>3</v>
      </c>
      <c r="BP75" s="2">
        <v>0</v>
      </c>
      <c r="BQ75" s="2">
        <v>150</v>
      </c>
      <c r="BR75" s="2">
        <v>0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 t="s">
        <v>3</v>
      </c>
      <c r="BZ75" s="2">
        <v>0</v>
      </c>
      <c r="CA75" s="2">
        <v>0</v>
      </c>
      <c r="CB75" s="2" t="s">
        <v>3</v>
      </c>
      <c r="CC75" s="2"/>
      <c r="CD75" s="2"/>
      <c r="CE75" s="2">
        <v>30</v>
      </c>
      <c r="CF75" s="2">
        <v>0</v>
      </c>
      <c r="CG75" s="2">
        <v>0</v>
      </c>
      <c r="CH75" s="2"/>
      <c r="CI75" s="2"/>
      <c r="CJ75" s="2"/>
      <c r="CK75" s="2"/>
      <c r="CL75" s="2"/>
      <c r="CM75" s="2">
        <v>0</v>
      </c>
      <c r="CN75" s="2" t="s">
        <v>3</v>
      </c>
      <c r="CO75" s="2">
        <v>0</v>
      </c>
      <c r="CP75" s="2">
        <f>(P75+Q75+S75)</f>
        <v>880.93</v>
      </c>
      <c r="CQ75" s="2">
        <f>ROUND((ROUND((AC75*AW75*1),2)*BC75),2)</f>
        <v>0</v>
      </c>
      <c r="CR75" s="2">
        <f>(ROUND((ROUND(((ET75)*AV75*1),2)*BB75),2)+ROUND((ROUND(((AE75-(EU75))*AV75*1),2)*BS75),2))</f>
        <v>12.61</v>
      </c>
      <c r="CS75" s="2">
        <f>ROUND((ROUND((AE75*AV75*1),2)*BS75),2)</f>
        <v>0</v>
      </c>
      <c r="CT75" s="2">
        <f>ROUND((ROUND((AF75*AV75*1),2)*BA75),2)</f>
        <v>0</v>
      </c>
      <c r="CU75" s="2">
        <f>AG75</f>
        <v>0</v>
      </c>
      <c r="CV75" s="2">
        <f>(AH75*AV75)</f>
        <v>0</v>
      </c>
      <c r="CW75" s="2">
        <f t="shared" si="71"/>
        <v>0</v>
      </c>
      <c r="CX75" s="2">
        <f t="shared" si="71"/>
        <v>0</v>
      </c>
      <c r="CY75" s="2">
        <f>((S75*BZ75)/100)</f>
        <v>0</v>
      </c>
      <c r="CZ75" s="2">
        <f>((S75*CA75)/100)</f>
        <v>0</v>
      </c>
      <c r="DA75" s="2"/>
      <c r="DB75" s="2"/>
      <c r="DC75" s="2" t="s">
        <v>3</v>
      </c>
      <c r="DD75" s="2" t="s">
        <v>3</v>
      </c>
      <c r="DE75" s="2" t="s">
        <v>3</v>
      </c>
      <c r="DF75" s="2" t="s">
        <v>3</v>
      </c>
      <c r="DG75" s="2" t="s">
        <v>3</v>
      </c>
      <c r="DH75" s="2" t="s">
        <v>3</v>
      </c>
      <c r="DI75" s="2" t="s">
        <v>3</v>
      </c>
      <c r="DJ75" s="2" t="s">
        <v>3</v>
      </c>
      <c r="DK75" s="2" t="s">
        <v>3</v>
      </c>
      <c r="DL75" s="2" t="s">
        <v>3</v>
      </c>
      <c r="DM75" s="2" t="s">
        <v>3</v>
      </c>
      <c r="DN75" s="2">
        <v>0</v>
      </c>
      <c r="DO75" s="2">
        <v>0</v>
      </c>
      <c r="DP75" s="2">
        <v>1</v>
      </c>
      <c r="DQ75" s="2">
        <v>1</v>
      </c>
      <c r="DR75" s="2"/>
      <c r="DS75" s="2"/>
      <c r="DT75" s="2"/>
      <c r="DU75" s="2">
        <v>1013</v>
      </c>
      <c r="DV75" s="2" t="s">
        <v>27</v>
      </c>
      <c r="DW75" s="2" t="s">
        <v>27</v>
      </c>
      <c r="DX75" s="2">
        <v>1</v>
      </c>
      <c r="DY75" s="2"/>
      <c r="DZ75" s="2" t="s">
        <v>3</v>
      </c>
      <c r="EA75" s="2" t="s">
        <v>3</v>
      </c>
      <c r="EB75" s="2" t="s">
        <v>3</v>
      </c>
      <c r="EC75" s="2" t="s">
        <v>3</v>
      </c>
      <c r="ED75" s="2"/>
      <c r="EE75" s="2">
        <v>51697152</v>
      </c>
      <c r="EF75" s="2">
        <v>150</v>
      </c>
      <c r="EG75" s="2" t="s">
        <v>21</v>
      </c>
      <c r="EH75" s="2">
        <v>0</v>
      </c>
      <c r="EI75" s="2" t="s">
        <v>3</v>
      </c>
      <c r="EJ75" s="2">
        <v>4</v>
      </c>
      <c r="EK75" s="2">
        <v>1113</v>
      </c>
      <c r="EL75" s="2" t="s">
        <v>22</v>
      </c>
      <c r="EM75" s="2" t="s">
        <v>23</v>
      </c>
      <c r="EN75" s="2"/>
      <c r="EO75" s="2" t="s">
        <v>3</v>
      </c>
      <c r="EP75" s="2"/>
      <c r="EQ75" s="2">
        <v>131072</v>
      </c>
      <c r="ER75" s="2">
        <v>12.61</v>
      </c>
      <c r="ES75" s="2">
        <v>0</v>
      </c>
      <c r="ET75" s="2">
        <v>12.61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>
        <v>0</v>
      </c>
      <c r="FR75" s="2">
        <v>0</v>
      </c>
      <c r="FS75" s="2">
        <v>0</v>
      </c>
      <c r="FT75" s="2"/>
      <c r="FU75" s="2"/>
      <c r="FV75" s="2"/>
      <c r="FW75" s="2"/>
      <c r="FX75" s="2">
        <v>0</v>
      </c>
      <c r="FY75" s="2">
        <v>0</v>
      </c>
      <c r="FZ75" s="2"/>
      <c r="GA75" s="2" t="s">
        <v>3</v>
      </c>
      <c r="GB75" s="2"/>
      <c r="GC75" s="2"/>
      <c r="GD75" s="2">
        <v>1</v>
      </c>
      <c r="GE75" s="2"/>
      <c r="GF75" s="2">
        <v>1823831914</v>
      </c>
      <c r="GG75" s="2">
        <v>2</v>
      </c>
      <c r="GH75" s="2">
        <v>1</v>
      </c>
      <c r="GI75" s="2">
        <v>-2</v>
      </c>
      <c r="GJ75" s="2">
        <v>0</v>
      </c>
      <c r="GK75" s="2">
        <v>0</v>
      </c>
      <c r="GL75" s="2">
        <f>ROUND(IF(AND(BH75=3,BI75=3,FS75&lt;&gt;0),P75,0),2)</f>
        <v>0</v>
      </c>
      <c r="GM75" s="2">
        <f>ROUND(O75+X75+Y75,2)+GX75</f>
        <v>880.93</v>
      </c>
      <c r="GN75" s="2">
        <f>IF(OR(BI75=0,BI75=1),GM75-GX75,0)</f>
        <v>0</v>
      </c>
      <c r="GO75" s="2">
        <f>IF(BI75=2,GM75-GX75,0)</f>
        <v>0</v>
      </c>
      <c r="GP75" s="2">
        <f>IF(BI75=4,GM75-GX75,0)</f>
        <v>880.93</v>
      </c>
      <c r="GQ75" s="2"/>
      <c r="GR75" s="2">
        <v>0</v>
      </c>
      <c r="GS75" s="2">
        <v>0</v>
      </c>
      <c r="GT75" s="2">
        <v>0</v>
      </c>
      <c r="GU75" s="2" t="s">
        <v>3</v>
      </c>
      <c r="GV75" s="2">
        <f>ROUND((GT75),6)</f>
        <v>0</v>
      </c>
      <c r="GW75" s="2">
        <v>1</v>
      </c>
      <c r="GX75" s="2">
        <f>ROUND(HC75*I75,2)</f>
        <v>0</v>
      </c>
      <c r="GY75" s="2"/>
      <c r="GZ75" s="2"/>
      <c r="HA75" s="2">
        <v>0</v>
      </c>
      <c r="HB75" s="2">
        <v>0</v>
      </c>
      <c r="HC75" s="2">
        <f>GV75*GW75</f>
        <v>0</v>
      </c>
      <c r="HD75" s="2"/>
      <c r="HE75" s="2" t="s">
        <v>3</v>
      </c>
      <c r="HF75" s="2" t="s">
        <v>3</v>
      </c>
      <c r="HG75" s="2"/>
      <c r="HH75" s="2"/>
      <c r="HI75" s="2"/>
      <c r="HJ75" s="2"/>
      <c r="HK75" s="2"/>
      <c r="HL75" s="2"/>
      <c r="HM75" s="2" t="s">
        <v>3</v>
      </c>
      <c r="HN75" s="2" t="s">
        <v>3</v>
      </c>
      <c r="HO75" s="2" t="s">
        <v>3</v>
      </c>
      <c r="HP75" s="2" t="s">
        <v>3</v>
      </c>
      <c r="HQ75" s="2" t="s">
        <v>3</v>
      </c>
      <c r="HR75" s="2"/>
      <c r="HS75" s="2">
        <v>0</v>
      </c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>
        <v>0</v>
      </c>
      <c r="IL75" s="2"/>
      <c r="IM75" s="2"/>
      <c r="IN75" s="2"/>
      <c r="IO75" s="2"/>
      <c r="IP75" s="2"/>
      <c r="IQ75" s="2"/>
      <c r="IR75" s="2"/>
      <c r="IS75" s="2"/>
      <c r="IT75" s="2"/>
      <c r="IU75" s="2"/>
    </row>
    <row r="76" spans="1:255" x14ac:dyDescent="0.2">
      <c r="A76">
        <v>17</v>
      </c>
      <c r="B76">
        <v>1</v>
      </c>
      <c r="D76">
        <f>ROW(EtalonRes!A14)</f>
        <v>14</v>
      </c>
      <c r="E76" t="s">
        <v>102</v>
      </c>
      <c r="F76" t="s">
        <v>103</v>
      </c>
      <c r="G76" t="s">
        <v>104</v>
      </c>
      <c r="H76" t="s">
        <v>27</v>
      </c>
      <c r="I76">
        <f>ROUND(I74,9)</f>
        <v>69.86</v>
      </c>
      <c r="J76">
        <v>0</v>
      </c>
      <c r="K76">
        <f>ROUND(I74,9)</f>
        <v>69.86</v>
      </c>
      <c r="O76">
        <f>ROUND(CP76,2)</f>
        <v>11681.13</v>
      </c>
      <c r="P76">
        <f>ROUND((ROUND((AC76*AW76*I76),2)*BC76),2)</f>
        <v>0</v>
      </c>
      <c r="Q76">
        <f>(ROUND((ROUND(((ET76)*AV76*I76),2)*BB76),2)+ROUND((ROUND(((AE76-(EU76))*AV76*I76),2)*BS76),2))</f>
        <v>11681.13</v>
      </c>
      <c r="R76">
        <f>ROUND((ROUND((AE76*AV76*I76),2)*BS76),2)</f>
        <v>0</v>
      </c>
      <c r="S76">
        <f>ROUND((ROUND((AF76*AV76*I76),2)*BA76),2)</f>
        <v>0</v>
      </c>
      <c r="T76">
        <f>ROUND(CU76*I76,2)</f>
        <v>0</v>
      </c>
      <c r="U76">
        <f>CV76*I76</f>
        <v>0</v>
      </c>
      <c r="V76">
        <f>CW76*I76</f>
        <v>0</v>
      </c>
      <c r="W76">
        <f>ROUND(CX76*I76,2)</f>
        <v>0</v>
      </c>
      <c r="X76">
        <f t="shared" si="68"/>
        <v>0</v>
      </c>
      <c r="Y76">
        <f t="shared" si="68"/>
        <v>0</v>
      </c>
      <c r="AA76">
        <v>57734470</v>
      </c>
      <c r="AB76">
        <f>ROUND((AC76+AD76+AF76),6)</f>
        <v>12.61</v>
      </c>
      <c r="AC76">
        <f>ROUND((ES76),6)</f>
        <v>0</v>
      </c>
      <c r="AD76">
        <f>ROUND((((ET76)-(EU76))+AE76),6)</f>
        <v>12.61</v>
      </c>
      <c r="AE76">
        <f t="shared" si="69"/>
        <v>0</v>
      </c>
      <c r="AF76">
        <f t="shared" si="69"/>
        <v>0</v>
      </c>
      <c r="AG76">
        <f>ROUND((AP76),6)</f>
        <v>0</v>
      </c>
      <c r="AH76">
        <f t="shared" si="70"/>
        <v>0</v>
      </c>
      <c r="AI76">
        <f t="shared" si="70"/>
        <v>0</v>
      </c>
      <c r="AJ76">
        <f>(AS76)</f>
        <v>0</v>
      </c>
      <c r="AK76">
        <v>12.61</v>
      </c>
      <c r="AL76">
        <v>0</v>
      </c>
      <c r="AM76">
        <v>12.61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95</v>
      </c>
      <c r="AU76">
        <v>65</v>
      </c>
      <c r="AV76">
        <v>1</v>
      </c>
      <c r="AW76">
        <v>1</v>
      </c>
      <c r="AZ76">
        <v>1</v>
      </c>
      <c r="BA76">
        <v>1</v>
      </c>
      <c r="BB76">
        <v>13.26</v>
      </c>
      <c r="BC76">
        <v>1</v>
      </c>
      <c r="BD76" t="s">
        <v>3</v>
      </c>
      <c r="BE76" t="s">
        <v>3</v>
      </c>
      <c r="BF76" t="s">
        <v>3</v>
      </c>
      <c r="BG76" t="s">
        <v>3</v>
      </c>
      <c r="BH76">
        <v>0</v>
      </c>
      <c r="BI76">
        <v>4</v>
      </c>
      <c r="BJ76" t="s">
        <v>105</v>
      </c>
      <c r="BM76">
        <v>1113</v>
      </c>
      <c r="BN76">
        <v>0</v>
      </c>
      <c r="BO76" t="s">
        <v>103</v>
      </c>
      <c r="BP76">
        <v>1</v>
      </c>
      <c r="BQ76">
        <v>150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 t="s">
        <v>3</v>
      </c>
      <c r="BZ76">
        <v>95</v>
      </c>
      <c r="CA76">
        <v>65</v>
      </c>
      <c r="CB76" t="s">
        <v>3</v>
      </c>
      <c r="CE76">
        <v>30</v>
      </c>
      <c r="CF76">
        <v>0</v>
      </c>
      <c r="CG76">
        <v>0</v>
      </c>
      <c r="CM76">
        <v>0</v>
      </c>
      <c r="CN76" t="s">
        <v>3</v>
      </c>
      <c r="CO76">
        <v>0</v>
      </c>
      <c r="CP76">
        <f>(P76+Q76+S76)</f>
        <v>11681.13</v>
      </c>
      <c r="CQ76">
        <f>ROUND((ROUND((AC76*AW76*1),2)*BC76),2)</f>
        <v>0</v>
      </c>
      <c r="CR76">
        <f>(ROUND((ROUND(((ET76)*AV76*1),2)*BB76),2)+ROUND((ROUND(((AE76-(EU76))*AV76*1),2)*BS76),2))</f>
        <v>167.21</v>
      </c>
      <c r="CS76">
        <f>ROUND((ROUND((AE76*AV76*1),2)*BS76),2)</f>
        <v>0</v>
      </c>
      <c r="CT76">
        <f>ROUND((ROUND((AF76*AV76*1),2)*BA76),2)</f>
        <v>0</v>
      </c>
      <c r="CU76">
        <f>AG76</f>
        <v>0</v>
      </c>
      <c r="CV76">
        <f>(AH76*AV76)</f>
        <v>0</v>
      </c>
      <c r="CW76">
        <f t="shared" si="71"/>
        <v>0</v>
      </c>
      <c r="CX76">
        <f t="shared" si="71"/>
        <v>0</v>
      </c>
      <c r="CY76">
        <f>S76*(BZ76/100)</f>
        <v>0</v>
      </c>
      <c r="CZ76">
        <f>S76*(CA76/100)</f>
        <v>0</v>
      </c>
      <c r="DC76" t="s">
        <v>3</v>
      </c>
      <c r="DD76" t="s">
        <v>3</v>
      </c>
      <c r="DE76" t="s">
        <v>3</v>
      </c>
      <c r="DF76" t="s">
        <v>3</v>
      </c>
      <c r="DG76" t="s">
        <v>3</v>
      </c>
      <c r="DH76" t="s">
        <v>3</v>
      </c>
      <c r="DI76" t="s">
        <v>3</v>
      </c>
      <c r="DJ76" t="s">
        <v>3</v>
      </c>
      <c r="DK76" t="s">
        <v>3</v>
      </c>
      <c r="DL76" t="s">
        <v>3</v>
      </c>
      <c r="DM76" t="s">
        <v>3</v>
      </c>
      <c r="DN76">
        <v>0</v>
      </c>
      <c r="DO76">
        <v>0</v>
      </c>
      <c r="DP76">
        <v>1</v>
      </c>
      <c r="DQ76">
        <v>1</v>
      </c>
      <c r="DU76">
        <v>1013</v>
      </c>
      <c r="DV76" t="s">
        <v>27</v>
      </c>
      <c r="DW76" t="s">
        <v>27</v>
      </c>
      <c r="DX76">
        <v>1</v>
      </c>
      <c r="DZ76" t="s">
        <v>3</v>
      </c>
      <c r="EA76" t="s">
        <v>3</v>
      </c>
      <c r="EB76" t="s">
        <v>3</v>
      </c>
      <c r="EC76" t="s">
        <v>3</v>
      </c>
      <c r="EE76">
        <v>51697152</v>
      </c>
      <c r="EF76">
        <v>150</v>
      </c>
      <c r="EG76" t="s">
        <v>21</v>
      </c>
      <c r="EH76">
        <v>0</v>
      </c>
      <c r="EI76" t="s">
        <v>3</v>
      </c>
      <c r="EJ76">
        <v>4</v>
      </c>
      <c r="EK76">
        <v>1113</v>
      </c>
      <c r="EL76" t="s">
        <v>22</v>
      </c>
      <c r="EM76" t="s">
        <v>23</v>
      </c>
      <c r="EO76" t="s">
        <v>3</v>
      </c>
      <c r="EQ76">
        <v>131072</v>
      </c>
      <c r="ER76">
        <v>12.61</v>
      </c>
      <c r="ES76">
        <v>0</v>
      </c>
      <c r="ET76">
        <v>12.61</v>
      </c>
      <c r="EU76">
        <v>0</v>
      </c>
      <c r="EV76">
        <v>0</v>
      </c>
      <c r="EW76">
        <v>0</v>
      </c>
      <c r="EX76">
        <v>0</v>
      </c>
      <c r="EY76">
        <v>0</v>
      </c>
      <c r="FQ76">
        <v>0</v>
      </c>
      <c r="FR76">
        <v>0</v>
      </c>
      <c r="FS76">
        <v>0</v>
      </c>
      <c r="FX76">
        <v>0</v>
      </c>
      <c r="FY76">
        <v>0</v>
      </c>
      <c r="GA76" t="s">
        <v>3</v>
      </c>
      <c r="GD76">
        <v>0</v>
      </c>
      <c r="GF76">
        <v>1823831914</v>
      </c>
      <c r="GG76">
        <v>2</v>
      </c>
      <c r="GH76">
        <v>1</v>
      </c>
      <c r="GI76">
        <v>2</v>
      </c>
      <c r="GJ76">
        <v>0</v>
      </c>
      <c r="GK76">
        <f>ROUND(R76*(S12)/100,2)</f>
        <v>0</v>
      </c>
      <c r="GL76">
        <f>ROUND(IF(AND(BH76=3,BI76=3,FS76&lt;&gt;0),P76,0),2)</f>
        <v>0</v>
      </c>
      <c r="GM76">
        <f>ROUND(O76+X76+Y76+GK76,2)+GX76</f>
        <v>11681.13</v>
      </c>
      <c r="GN76">
        <f>IF(OR(BI76=0,BI76=1),GM76-GX76,0)</f>
        <v>0</v>
      </c>
      <c r="GO76">
        <f>IF(BI76=2,GM76-GX76,0)</f>
        <v>0</v>
      </c>
      <c r="GP76">
        <f>IF(BI76=4,GM76-GX76,0)</f>
        <v>11681.13</v>
      </c>
      <c r="GR76">
        <v>0</v>
      </c>
      <c r="GS76">
        <v>3</v>
      </c>
      <c r="GT76">
        <v>0</v>
      </c>
      <c r="GU76" t="s">
        <v>3</v>
      </c>
      <c r="GV76">
        <f>ROUND((GT76),6)</f>
        <v>0</v>
      </c>
      <c r="GW76">
        <v>1</v>
      </c>
      <c r="GX76">
        <f>ROUND(HC76*I76,2)</f>
        <v>0</v>
      </c>
      <c r="HA76">
        <v>0</v>
      </c>
      <c r="HB76">
        <v>0</v>
      </c>
      <c r="HC76">
        <f>GV76*GW76</f>
        <v>0</v>
      </c>
      <c r="HE76" t="s">
        <v>3</v>
      </c>
      <c r="HF76" t="s">
        <v>3</v>
      </c>
      <c r="HM76" t="s">
        <v>3</v>
      </c>
      <c r="HN76" t="s">
        <v>3</v>
      </c>
      <c r="HO76" t="s">
        <v>3</v>
      </c>
      <c r="HP76" t="s">
        <v>3</v>
      </c>
      <c r="HQ76" t="s">
        <v>3</v>
      </c>
      <c r="HS76">
        <v>0</v>
      </c>
      <c r="IK76">
        <v>0</v>
      </c>
    </row>
    <row r="78" spans="1:255" x14ac:dyDescent="0.2">
      <c r="A78" s="3">
        <v>51</v>
      </c>
      <c r="B78" s="3">
        <f>B69</f>
        <v>1</v>
      </c>
      <c r="C78" s="3">
        <f>A69</f>
        <v>4</v>
      </c>
      <c r="D78" s="3">
        <f>ROW(A69)</f>
        <v>69</v>
      </c>
      <c r="E78" s="3"/>
      <c r="F78" s="3" t="str">
        <f>IF(F69&lt;&gt;"",F69,"")</f>
        <v>Новый раздел</v>
      </c>
      <c r="G78" s="3" t="str">
        <f>IF(G69&lt;&gt;"",G69,"")</f>
        <v>10 кВ и 0,4 кВ</v>
      </c>
      <c r="H78" s="3">
        <v>0</v>
      </c>
      <c r="I78" s="3"/>
      <c r="J78" s="3"/>
      <c r="K78" s="3"/>
      <c r="L78" s="3"/>
      <c r="M78" s="3"/>
      <c r="N78" s="3"/>
      <c r="O78" s="3">
        <f t="shared" ref="O78:T78" si="72">ROUND(AB78,2)</f>
        <v>4031.62</v>
      </c>
      <c r="P78" s="3">
        <f t="shared" si="72"/>
        <v>0</v>
      </c>
      <c r="Q78" s="3">
        <f t="shared" si="72"/>
        <v>4031.62</v>
      </c>
      <c r="R78" s="3">
        <f t="shared" si="72"/>
        <v>0</v>
      </c>
      <c r="S78" s="3">
        <f t="shared" si="72"/>
        <v>0</v>
      </c>
      <c r="T78" s="3">
        <f t="shared" si="72"/>
        <v>0</v>
      </c>
      <c r="U78" s="3">
        <f>AH78</f>
        <v>0</v>
      </c>
      <c r="V78" s="3">
        <f>AI78</f>
        <v>0</v>
      </c>
      <c r="W78" s="3">
        <f>ROUND(AJ78,2)</f>
        <v>0</v>
      </c>
      <c r="X78" s="3">
        <f>ROUND(AK78,2)</f>
        <v>0</v>
      </c>
      <c r="Y78" s="3">
        <f>ROUND(AL78,2)</f>
        <v>0</v>
      </c>
      <c r="Z78" s="3"/>
      <c r="AA78" s="3"/>
      <c r="AB78" s="3">
        <f>ROUND(SUMIF(AA73:AA76,"=57734472",O73:O76),2)</f>
        <v>4031.62</v>
      </c>
      <c r="AC78" s="3">
        <f>ROUND(SUMIF(AA73:AA76,"=57734472",P73:P76),2)</f>
        <v>0</v>
      </c>
      <c r="AD78" s="3">
        <f>ROUND(SUMIF(AA73:AA76,"=57734472",Q73:Q76),2)</f>
        <v>4031.62</v>
      </c>
      <c r="AE78" s="3">
        <f>ROUND(SUMIF(AA73:AA76,"=57734472",R73:R76),2)</f>
        <v>0</v>
      </c>
      <c r="AF78" s="3">
        <f>ROUND(SUMIF(AA73:AA76,"=57734472",S73:S76),2)</f>
        <v>0</v>
      </c>
      <c r="AG78" s="3">
        <f>ROUND(SUMIF(AA73:AA76,"=57734472",T73:T76),2)</f>
        <v>0</v>
      </c>
      <c r="AH78" s="3">
        <f>SUMIF(AA73:AA76,"=57734472",U73:U76)</f>
        <v>0</v>
      </c>
      <c r="AI78" s="3">
        <f>SUMIF(AA73:AA76,"=57734472",V73:V76)</f>
        <v>0</v>
      </c>
      <c r="AJ78" s="3">
        <f>ROUND(SUMIF(AA73:AA76,"=57734472",W73:W76),2)</f>
        <v>0</v>
      </c>
      <c r="AK78" s="3">
        <f>ROUND(SUMIF(AA73:AA76,"=57734472",X73:X76),2)</f>
        <v>0</v>
      </c>
      <c r="AL78" s="3">
        <f>ROUND(SUMIF(AA73:AA76,"=57734472",Y73:Y76),2)</f>
        <v>0</v>
      </c>
      <c r="AM78" s="3"/>
      <c r="AN78" s="3"/>
      <c r="AO78" s="3">
        <f t="shared" ref="AO78:BD78" si="73">ROUND(BX78,2)</f>
        <v>0</v>
      </c>
      <c r="AP78" s="3">
        <f t="shared" si="73"/>
        <v>0</v>
      </c>
      <c r="AQ78" s="3">
        <f t="shared" si="73"/>
        <v>0</v>
      </c>
      <c r="AR78" s="3">
        <f t="shared" si="73"/>
        <v>4031.62</v>
      </c>
      <c r="AS78" s="3">
        <f t="shared" si="73"/>
        <v>0</v>
      </c>
      <c r="AT78" s="3">
        <f t="shared" si="73"/>
        <v>0</v>
      </c>
      <c r="AU78" s="3">
        <f t="shared" si="73"/>
        <v>4031.62</v>
      </c>
      <c r="AV78" s="3">
        <f t="shared" si="73"/>
        <v>0</v>
      </c>
      <c r="AW78" s="3">
        <f t="shared" si="73"/>
        <v>0</v>
      </c>
      <c r="AX78" s="3">
        <f t="shared" si="73"/>
        <v>0</v>
      </c>
      <c r="AY78" s="3">
        <f t="shared" si="73"/>
        <v>0</v>
      </c>
      <c r="AZ78" s="3">
        <f t="shared" si="73"/>
        <v>0</v>
      </c>
      <c r="BA78" s="3">
        <f t="shared" si="73"/>
        <v>0</v>
      </c>
      <c r="BB78" s="3">
        <f t="shared" si="73"/>
        <v>0</v>
      </c>
      <c r="BC78" s="3">
        <f t="shared" si="73"/>
        <v>0</v>
      </c>
      <c r="BD78" s="3">
        <f t="shared" si="73"/>
        <v>0</v>
      </c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>
        <f>ROUND(SUMIF(AA73:AA76,"=57734472",FQ73:FQ76),2)</f>
        <v>0</v>
      </c>
      <c r="BY78" s="3">
        <f>ROUND(SUMIF(AA73:AA76,"=57734472",FR73:FR76),2)</f>
        <v>0</v>
      </c>
      <c r="BZ78" s="3">
        <f>ROUND(SUMIF(AA73:AA76,"=57734472",GL73:GL76),2)</f>
        <v>0</v>
      </c>
      <c r="CA78" s="3">
        <f>ROUND(SUMIF(AA73:AA76,"=57734472",GM73:GM76),2)</f>
        <v>4031.62</v>
      </c>
      <c r="CB78" s="3">
        <f>ROUND(SUMIF(AA73:AA76,"=57734472",GN73:GN76),2)</f>
        <v>0</v>
      </c>
      <c r="CC78" s="3">
        <f>ROUND(SUMIF(AA73:AA76,"=57734472",GO73:GO76),2)</f>
        <v>0</v>
      </c>
      <c r="CD78" s="3">
        <f>ROUND(SUMIF(AA73:AA76,"=57734472",GP73:GP76),2)</f>
        <v>4031.62</v>
      </c>
      <c r="CE78" s="3">
        <f>AC78-BX78</f>
        <v>0</v>
      </c>
      <c r="CF78" s="3">
        <f>AC78-BY78</f>
        <v>0</v>
      </c>
      <c r="CG78" s="3">
        <f>BX78-BZ78</f>
        <v>0</v>
      </c>
      <c r="CH78" s="3">
        <f>AC78-BX78-BY78+BZ78</f>
        <v>0</v>
      </c>
      <c r="CI78" s="3">
        <f>BY78-BZ78</f>
        <v>0</v>
      </c>
      <c r="CJ78" s="3">
        <f>ROUND(SUMIF(AA73:AA76,"=57734472",GX73:GX76),2)</f>
        <v>0</v>
      </c>
      <c r="CK78" s="3">
        <f>ROUND(SUMIF(AA73:AA76,"=57734472",GY73:GY76),2)</f>
        <v>0</v>
      </c>
      <c r="CL78" s="3">
        <f>ROUND(SUMIF(AA73:AA76,"=57734472",GZ73:GZ76),2)</f>
        <v>0</v>
      </c>
      <c r="CM78" s="3">
        <f>ROUND(SUMIF(AA73:AA76,"=57734472",HD73:HD76),2)</f>
        <v>0</v>
      </c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4">
        <f t="shared" ref="DG78:DL78" si="74">ROUND(DT78,2)</f>
        <v>60989.43</v>
      </c>
      <c r="DH78" s="4">
        <f t="shared" si="74"/>
        <v>0</v>
      </c>
      <c r="DI78" s="4">
        <f t="shared" si="74"/>
        <v>60989.43</v>
      </c>
      <c r="DJ78" s="4">
        <f t="shared" si="74"/>
        <v>0</v>
      </c>
      <c r="DK78" s="4">
        <f t="shared" si="74"/>
        <v>0</v>
      </c>
      <c r="DL78" s="4">
        <f t="shared" si="74"/>
        <v>0</v>
      </c>
      <c r="DM78" s="4">
        <f>DZ78</f>
        <v>0</v>
      </c>
      <c r="DN78" s="4">
        <f>EA78</f>
        <v>0</v>
      </c>
      <c r="DO78" s="4">
        <f>ROUND(EB78,2)</f>
        <v>0</v>
      </c>
      <c r="DP78" s="4">
        <f>ROUND(EC78,2)</f>
        <v>0</v>
      </c>
      <c r="DQ78" s="4">
        <f>ROUND(ED78,2)</f>
        <v>0</v>
      </c>
      <c r="DR78" s="4"/>
      <c r="DS78" s="4"/>
      <c r="DT78" s="4">
        <f>ROUND(SUMIF(AA73:AA76,"=57734470",O73:O76),2)</f>
        <v>60989.43</v>
      </c>
      <c r="DU78" s="4">
        <f>ROUND(SUMIF(AA73:AA76,"=57734470",P73:P76),2)</f>
        <v>0</v>
      </c>
      <c r="DV78" s="4">
        <f>ROUND(SUMIF(AA73:AA76,"=57734470",Q73:Q76),2)</f>
        <v>60989.43</v>
      </c>
      <c r="DW78" s="4">
        <f>ROUND(SUMIF(AA73:AA76,"=57734470",R73:R76),2)</f>
        <v>0</v>
      </c>
      <c r="DX78" s="4">
        <f>ROUND(SUMIF(AA73:AA76,"=57734470",S73:S76),2)</f>
        <v>0</v>
      </c>
      <c r="DY78" s="4">
        <f>ROUND(SUMIF(AA73:AA76,"=57734470",T73:T76),2)</f>
        <v>0</v>
      </c>
      <c r="DZ78" s="4">
        <f>SUMIF(AA73:AA76,"=57734470",U73:U76)</f>
        <v>0</v>
      </c>
      <c r="EA78" s="4">
        <f>SUMIF(AA73:AA76,"=57734470",V73:V76)</f>
        <v>0</v>
      </c>
      <c r="EB78" s="4">
        <f>ROUND(SUMIF(AA73:AA76,"=57734470",W73:W76),2)</f>
        <v>0</v>
      </c>
      <c r="EC78" s="4">
        <f>ROUND(SUMIF(AA73:AA76,"=57734470",X73:X76),2)</f>
        <v>0</v>
      </c>
      <c r="ED78" s="4">
        <f>ROUND(SUMIF(AA73:AA76,"=57734470",Y73:Y76),2)</f>
        <v>0</v>
      </c>
      <c r="EE78" s="4"/>
      <c r="EF78" s="4"/>
      <c r="EG78" s="4">
        <f t="shared" ref="EG78:EV78" si="75">ROUND(FP78,2)</f>
        <v>0</v>
      </c>
      <c r="EH78" s="4">
        <f t="shared" si="75"/>
        <v>0</v>
      </c>
      <c r="EI78" s="4">
        <f t="shared" si="75"/>
        <v>0</v>
      </c>
      <c r="EJ78" s="4">
        <f t="shared" si="75"/>
        <v>60989.43</v>
      </c>
      <c r="EK78" s="4">
        <f t="shared" si="75"/>
        <v>0</v>
      </c>
      <c r="EL78" s="4">
        <f t="shared" si="75"/>
        <v>0</v>
      </c>
      <c r="EM78" s="4">
        <f t="shared" si="75"/>
        <v>60989.43</v>
      </c>
      <c r="EN78" s="4">
        <f t="shared" si="75"/>
        <v>0</v>
      </c>
      <c r="EO78" s="4">
        <f t="shared" si="75"/>
        <v>0</v>
      </c>
      <c r="EP78" s="4">
        <f t="shared" si="75"/>
        <v>0</v>
      </c>
      <c r="EQ78" s="4">
        <f t="shared" si="75"/>
        <v>0</v>
      </c>
      <c r="ER78" s="4">
        <f t="shared" si="75"/>
        <v>0</v>
      </c>
      <c r="ES78" s="4">
        <f t="shared" si="75"/>
        <v>0</v>
      </c>
      <c r="ET78" s="4">
        <f t="shared" si="75"/>
        <v>0</v>
      </c>
      <c r="EU78" s="4">
        <f t="shared" si="75"/>
        <v>0</v>
      </c>
      <c r="EV78" s="4">
        <f t="shared" si="75"/>
        <v>0</v>
      </c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>
        <f>ROUND(SUMIF(AA73:AA76,"=57734470",FQ73:FQ76),2)</f>
        <v>0</v>
      </c>
      <c r="FQ78" s="4">
        <f>ROUND(SUMIF(AA73:AA76,"=57734470",FR73:FR76),2)</f>
        <v>0</v>
      </c>
      <c r="FR78" s="4">
        <f>ROUND(SUMIF(AA73:AA76,"=57734470",GL73:GL76),2)</f>
        <v>0</v>
      </c>
      <c r="FS78" s="4">
        <f>ROUND(SUMIF(AA73:AA76,"=57734470",GM73:GM76),2)</f>
        <v>60989.43</v>
      </c>
      <c r="FT78" s="4">
        <f>ROUND(SUMIF(AA73:AA76,"=57734470",GN73:GN76),2)</f>
        <v>0</v>
      </c>
      <c r="FU78" s="4">
        <f>ROUND(SUMIF(AA73:AA76,"=57734470",GO73:GO76),2)</f>
        <v>0</v>
      </c>
      <c r="FV78" s="4">
        <f>ROUND(SUMIF(AA73:AA76,"=57734470",GP73:GP76),2)</f>
        <v>60989.43</v>
      </c>
      <c r="FW78" s="4">
        <f>DU78-FP78</f>
        <v>0</v>
      </c>
      <c r="FX78" s="4">
        <f>DU78-FQ78</f>
        <v>0</v>
      </c>
      <c r="FY78" s="4">
        <f>FP78-FR78</f>
        <v>0</v>
      </c>
      <c r="FZ78" s="4">
        <f>DU78-FP78-FQ78+FR78</f>
        <v>0</v>
      </c>
      <c r="GA78" s="4">
        <f>FQ78-FR78</f>
        <v>0</v>
      </c>
      <c r="GB78" s="4">
        <f>ROUND(SUMIF(AA73:AA76,"=57734470",GX73:GX76),2)</f>
        <v>0</v>
      </c>
      <c r="GC78" s="4">
        <f>ROUND(SUMIF(AA73:AA76,"=57734470",GY73:GY76),2)</f>
        <v>0</v>
      </c>
      <c r="GD78" s="4">
        <f>ROUND(SUMIF(AA73:AA76,"=57734470",GZ73:GZ76),2)</f>
        <v>0</v>
      </c>
      <c r="GE78" s="4">
        <f>ROUND(SUMIF(AA73:AA76,"=57734470",HD73:HD76),2)</f>
        <v>0</v>
      </c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>
        <v>0</v>
      </c>
    </row>
    <row r="80" spans="1:255" x14ac:dyDescent="0.2">
      <c r="A80" s="5">
        <v>50</v>
      </c>
      <c r="B80" s="5">
        <v>0</v>
      </c>
      <c r="C80" s="5">
        <v>0</v>
      </c>
      <c r="D80" s="5">
        <v>1</v>
      </c>
      <c r="E80" s="5">
        <v>0</v>
      </c>
      <c r="F80" s="5">
        <f>ROUND(Source!O78,O80)</f>
        <v>4031.62</v>
      </c>
      <c r="G80" s="5" t="s">
        <v>41</v>
      </c>
      <c r="H80" s="5" t="s">
        <v>42</v>
      </c>
      <c r="I80" s="5"/>
      <c r="J80" s="5"/>
      <c r="K80" s="5">
        <v>201</v>
      </c>
      <c r="L80" s="5">
        <v>1</v>
      </c>
      <c r="M80" s="5">
        <v>3</v>
      </c>
      <c r="N80" s="5" t="s">
        <v>3</v>
      </c>
      <c r="O80" s="5">
        <v>2</v>
      </c>
      <c r="P80" s="5">
        <f>ROUND(Source!DG78,O80)</f>
        <v>60989.43</v>
      </c>
      <c r="Q80" s="5"/>
      <c r="R80" s="5"/>
      <c r="S80" s="5"/>
      <c r="T80" s="5"/>
      <c r="U80" s="5"/>
      <c r="V80" s="5"/>
      <c r="W80" s="5">
        <v>4031.62</v>
      </c>
      <c r="X80" s="5">
        <v>1</v>
      </c>
      <c r="Y80" s="5">
        <v>4031.62</v>
      </c>
      <c r="Z80" s="5">
        <v>60989.43</v>
      </c>
      <c r="AA80" s="5">
        <v>1</v>
      </c>
      <c r="AB80" s="5">
        <v>60989.43</v>
      </c>
    </row>
    <row r="81" spans="1:28" x14ac:dyDescent="0.2">
      <c r="A81" s="5">
        <v>50</v>
      </c>
      <c r="B81" s="5">
        <v>0</v>
      </c>
      <c r="C81" s="5">
        <v>0</v>
      </c>
      <c r="D81" s="5">
        <v>1</v>
      </c>
      <c r="E81" s="5">
        <v>0</v>
      </c>
      <c r="F81" s="5">
        <f>ROUND(Source!P78,O81)</f>
        <v>0</v>
      </c>
      <c r="G81" s="5" t="s">
        <v>43</v>
      </c>
      <c r="H81" s="5" t="s">
        <v>44</v>
      </c>
      <c r="I81" s="5"/>
      <c r="J81" s="5"/>
      <c r="K81" s="5">
        <v>202</v>
      </c>
      <c r="L81" s="5">
        <v>2</v>
      </c>
      <c r="M81" s="5">
        <v>3</v>
      </c>
      <c r="N81" s="5" t="s">
        <v>3</v>
      </c>
      <c r="O81" s="5">
        <v>2</v>
      </c>
      <c r="P81" s="5">
        <f>ROUND(Source!DH78,O81)</f>
        <v>0</v>
      </c>
      <c r="Q81" s="5"/>
      <c r="R81" s="5"/>
      <c r="S81" s="5"/>
      <c r="T81" s="5"/>
      <c r="U81" s="5"/>
      <c r="V81" s="5"/>
      <c r="W81" s="5">
        <v>0</v>
      </c>
      <c r="X81" s="5">
        <v>1</v>
      </c>
      <c r="Y81" s="5">
        <v>0</v>
      </c>
      <c r="Z81" s="5">
        <v>0</v>
      </c>
      <c r="AA81" s="5">
        <v>1</v>
      </c>
      <c r="AB81" s="5">
        <v>0</v>
      </c>
    </row>
    <row r="82" spans="1:28" x14ac:dyDescent="0.2">
      <c r="A82" s="5">
        <v>50</v>
      </c>
      <c r="B82" s="5">
        <v>0</v>
      </c>
      <c r="C82" s="5">
        <v>0</v>
      </c>
      <c r="D82" s="5">
        <v>1</v>
      </c>
      <c r="E82" s="5">
        <v>0</v>
      </c>
      <c r="F82" s="5">
        <f>ROUND(Source!AO78,O82)</f>
        <v>0</v>
      </c>
      <c r="G82" s="5" t="s">
        <v>45</v>
      </c>
      <c r="H82" s="5" t="s">
        <v>46</v>
      </c>
      <c r="I82" s="5"/>
      <c r="J82" s="5"/>
      <c r="K82" s="5">
        <v>222</v>
      </c>
      <c r="L82" s="5">
        <v>3</v>
      </c>
      <c r="M82" s="5">
        <v>3</v>
      </c>
      <c r="N82" s="5" t="s">
        <v>3</v>
      </c>
      <c r="O82" s="5">
        <v>2</v>
      </c>
      <c r="P82" s="5">
        <f>ROUND(Source!EG78,O82)</f>
        <v>0</v>
      </c>
      <c r="Q82" s="5"/>
      <c r="R82" s="5"/>
      <c r="S82" s="5"/>
      <c r="T82" s="5"/>
      <c r="U82" s="5"/>
      <c r="V82" s="5"/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0</v>
      </c>
    </row>
    <row r="83" spans="1:28" x14ac:dyDescent="0.2">
      <c r="A83" s="5">
        <v>50</v>
      </c>
      <c r="B83" s="5">
        <v>0</v>
      </c>
      <c r="C83" s="5">
        <v>0</v>
      </c>
      <c r="D83" s="5">
        <v>1</v>
      </c>
      <c r="E83" s="5">
        <v>0</v>
      </c>
      <c r="F83" s="5">
        <f>ROUND(Source!AV78,O83)</f>
        <v>0</v>
      </c>
      <c r="G83" s="5" t="s">
        <v>47</v>
      </c>
      <c r="H83" s="5" t="s">
        <v>48</v>
      </c>
      <c r="I83" s="5"/>
      <c r="J83" s="5"/>
      <c r="K83" s="5">
        <v>225</v>
      </c>
      <c r="L83" s="5">
        <v>4</v>
      </c>
      <c r="M83" s="5">
        <v>3</v>
      </c>
      <c r="N83" s="5" t="s">
        <v>3</v>
      </c>
      <c r="O83" s="5">
        <v>2</v>
      </c>
      <c r="P83" s="5">
        <f>ROUND(Source!EN78,O83)</f>
        <v>0</v>
      </c>
      <c r="Q83" s="5"/>
      <c r="R83" s="5"/>
      <c r="S83" s="5"/>
      <c r="T83" s="5"/>
      <c r="U83" s="5"/>
      <c r="V83" s="5"/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</row>
    <row r="84" spans="1:28" x14ac:dyDescent="0.2">
      <c r="A84" s="5">
        <v>50</v>
      </c>
      <c r="B84" s="5">
        <v>0</v>
      </c>
      <c r="C84" s="5">
        <v>0</v>
      </c>
      <c r="D84" s="5">
        <v>1</v>
      </c>
      <c r="E84" s="5">
        <v>0</v>
      </c>
      <c r="F84" s="5">
        <f>ROUND(Source!AW78,O84)</f>
        <v>0</v>
      </c>
      <c r="G84" s="5" t="s">
        <v>49</v>
      </c>
      <c r="H84" s="5" t="s">
        <v>50</v>
      </c>
      <c r="I84" s="5"/>
      <c r="J84" s="5"/>
      <c r="K84" s="5">
        <v>226</v>
      </c>
      <c r="L84" s="5">
        <v>5</v>
      </c>
      <c r="M84" s="5">
        <v>3</v>
      </c>
      <c r="N84" s="5" t="s">
        <v>3</v>
      </c>
      <c r="O84" s="5">
        <v>2</v>
      </c>
      <c r="P84" s="5">
        <f>ROUND(Source!EO78,O84)</f>
        <v>0</v>
      </c>
      <c r="Q84" s="5"/>
      <c r="R84" s="5"/>
      <c r="S84" s="5"/>
      <c r="T84" s="5"/>
      <c r="U84" s="5"/>
      <c r="V84" s="5"/>
      <c r="W84" s="5">
        <v>0</v>
      </c>
      <c r="X84" s="5">
        <v>1</v>
      </c>
      <c r="Y84" s="5">
        <v>0</v>
      </c>
      <c r="Z84" s="5">
        <v>0</v>
      </c>
      <c r="AA84" s="5">
        <v>1</v>
      </c>
      <c r="AB84" s="5">
        <v>0</v>
      </c>
    </row>
    <row r="85" spans="1:28" x14ac:dyDescent="0.2">
      <c r="A85" s="5">
        <v>50</v>
      </c>
      <c r="B85" s="5">
        <v>0</v>
      </c>
      <c r="C85" s="5">
        <v>0</v>
      </c>
      <c r="D85" s="5">
        <v>1</v>
      </c>
      <c r="E85" s="5">
        <v>0</v>
      </c>
      <c r="F85" s="5">
        <f>ROUND(Source!AX78,O85)</f>
        <v>0</v>
      </c>
      <c r="G85" s="5" t="s">
        <v>51</v>
      </c>
      <c r="H85" s="5" t="s">
        <v>52</v>
      </c>
      <c r="I85" s="5"/>
      <c r="J85" s="5"/>
      <c r="K85" s="5">
        <v>227</v>
      </c>
      <c r="L85" s="5">
        <v>6</v>
      </c>
      <c r="M85" s="5">
        <v>3</v>
      </c>
      <c r="N85" s="5" t="s">
        <v>3</v>
      </c>
      <c r="O85" s="5">
        <v>2</v>
      </c>
      <c r="P85" s="5">
        <f>ROUND(Source!EP78,O85)</f>
        <v>0</v>
      </c>
      <c r="Q85" s="5"/>
      <c r="R85" s="5"/>
      <c r="S85" s="5"/>
      <c r="T85" s="5"/>
      <c r="U85" s="5"/>
      <c r="V85" s="5"/>
      <c r="W85" s="5">
        <v>0</v>
      </c>
      <c r="X85" s="5">
        <v>1</v>
      </c>
      <c r="Y85" s="5">
        <v>0</v>
      </c>
      <c r="Z85" s="5">
        <v>0</v>
      </c>
      <c r="AA85" s="5">
        <v>1</v>
      </c>
      <c r="AB85" s="5">
        <v>0</v>
      </c>
    </row>
    <row r="86" spans="1:28" x14ac:dyDescent="0.2">
      <c r="A86" s="5">
        <v>50</v>
      </c>
      <c r="B86" s="5">
        <v>0</v>
      </c>
      <c r="C86" s="5">
        <v>0</v>
      </c>
      <c r="D86" s="5">
        <v>1</v>
      </c>
      <c r="E86" s="5">
        <v>0</v>
      </c>
      <c r="F86" s="5">
        <f>ROUND(Source!AY78,O86)</f>
        <v>0</v>
      </c>
      <c r="G86" s="5" t="s">
        <v>53</v>
      </c>
      <c r="H86" s="5" t="s">
        <v>54</v>
      </c>
      <c r="I86" s="5"/>
      <c r="J86" s="5"/>
      <c r="K86" s="5">
        <v>228</v>
      </c>
      <c r="L86" s="5">
        <v>7</v>
      </c>
      <c r="M86" s="5">
        <v>3</v>
      </c>
      <c r="N86" s="5" t="s">
        <v>3</v>
      </c>
      <c r="O86" s="5">
        <v>2</v>
      </c>
      <c r="P86" s="5">
        <f>ROUND(Source!EQ78,O86)</f>
        <v>0</v>
      </c>
      <c r="Q86" s="5"/>
      <c r="R86" s="5"/>
      <c r="S86" s="5"/>
      <c r="T86" s="5"/>
      <c r="U86" s="5"/>
      <c r="V86" s="5"/>
      <c r="W86" s="5">
        <v>0</v>
      </c>
      <c r="X86" s="5">
        <v>1</v>
      </c>
      <c r="Y86" s="5">
        <v>0</v>
      </c>
      <c r="Z86" s="5">
        <v>0</v>
      </c>
      <c r="AA86" s="5">
        <v>1</v>
      </c>
      <c r="AB86" s="5">
        <v>0</v>
      </c>
    </row>
    <row r="87" spans="1:28" x14ac:dyDescent="0.2">
      <c r="A87" s="5">
        <v>50</v>
      </c>
      <c r="B87" s="5">
        <v>0</v>
      </c>
      <c r="C87" s="5">
        <v>0</v>
      </c>
      <c r="D87" s="5">
        <v>1</v>
      </c>
      <c r="E87" s="5">
        <v>0</v>
      </c>
      <c r="F87" s="5">
        <f>ROUND(Source!AP78,O87)</f>
        <v>0</v>
      </c>
      <c r="G87" s="5" t="s">
        <v>55</v>
      </c>
      <c r="H87" s="5" t="s">
        <v>56</v>
      </c>
      <c r="I87" s="5"/>
      <c r="J87" s="5"/>
      <c r="K87" s="5">
        <v>216</v>
      </c>
      <c r="L87" s="5">
        <v>8</v>
      </c>
      <c r="M87" s="5">
        <v>3</v>
      </c>
      <c r="N87" s="5" t="s">
        <v>3</v>
      </c>
      <c r="O87" s="5">
        <v>2</v>
      </c>
      <c r="P87" s="5">
        <f>ROUND(Source!EH78,O87)</f>
        <v>0</v>
      </c>
      <c r="Q87" s="5"/>
      <c r="R87" s="5"/>
      <c r="S87" s="5"/>
      <c r="T87" s="5"/>
      <c r="U87" s="5"/>
      <c r="V87" s="5"/>
      <c r="W87" s="5">
        <v>0</v>
      </c>
      <c r="X87" s="5">
        <v>1</v>
      </c>
      <c r="Y87" s="5">
        <v>0</v>
      </c>
      <c r="Z87" s="5">
        <v>0</v>
      </c>
      <c r="AA87" s="5">
        <v>1</v>
      </c>
      <c r="AB87" s="5">
        <v>0</v>
      </c>
    </row>
    <row r="88" spans="1:28" x14ac:dyDescent="0.2">
      <c r="A88" s="5">
        <v>50</v>
      </c>
      <c r="B88" s="5">
        <v>0</v>
      </c>
      <c r="C88" s="5">
        <v>0</v>
      </c>
      <c r="D88" s="5">
        <v>1</v>
      </c>
      <c r="E88" s="5">
        <v>0</v>
      </c>
      <c r="F88" s="5">
        <f>ROUND(Source!AQ78,O88)</f>
        <v>0</v>
      </c>
      <c r="G88" s="5" t="s">
        <v>57</v>
      </c>
      <c r="H88" s="5" t="s">
        <v>58</v>
      </c>
      <c r="I88" s="5"/>
      <c r="J88" s="5"/>
      <c r="K88" s="5">
        <v>223</v>
      </c>
      <c r="L88" s="5">
        <v>9</v>
      </c>
      <c r="M88" s="5">
        <v>3</v>
      </c>
      <c r="N88" s="5" t="s">
        <v>3</v>
      </c>
      <c r="O88" s="5">
        <v>2</v>
      </c>
      <c r="P88" s="5">
        <f>ROUND(Source!EI78,O88)</f>
        <v>0</v>
      </c>
      <c r="Q88" s="5"/>
      <c r="R88" s="5"/>
      <c r="S88" s="5"/>
      <c r="T88" s="5"/>
      <c r="U88" s="5"/>
      <c r="V88" s="5"/>
      <c r="W88" s="5">
        <v>0</v>
      </c>
      <c r="X88" s="5">
        <v>1</v>
      </c>
      <c r="Y88" s="5">
        <v>0</v>
      </c>
      <c r="Z88" s="5">
        <v>0</v>
      </c>
      <c r="AA88" s="5">
        <v>1</v>
      </c>
      <c r="AB88" s="5">
        <v>0</v>
      </c>
    </row>
    <row r="89" spans="1:28" x14ac:dyDescent="0.2">
      <c r="A89" s="5">
        <v>50</v>
      </c>
      <c r="B89" s="5">
        <v>0</v>
      </c>
      <c r="C89" s="5">
        <v>0</v>
      </c>
      <c r="D89" s="5">
        <v>1</v>
      </c>
      <c r="E89" s="5">
        <v>0</v>
      </c>
      <c r="F89" s="5">
        <f>ROUND(Source!AZ78,O89)</f>
        <v>0</v>
      </c>
      <c r="G89" s="5" t="s">
        <v>59</v>
      </c>
      <c r="H89" s="5" t="s">
        <v>60</v>
      </c>
      <c r="I89" s="5"/>
      <c r="J89" s="5"/>
      <c r="K89" s="5">
        <v>229</v>
      </c>
      <c r="L89" s="5">
        <v>10</v>
      </c>
      <c r="M89" s="5">
        <v>3</v>
      </c>
      <c r="N89" s="5" t="s">
        <v>3</v>
      </c>
      <c r="O89" s="5">
        <v>2</v>
      </c>
      <c r="P89" s="5">
        <f>ROUND(Source!ER78,O89)</f>
        <v>0</v>
      </c>
      <c r="Q89" s="5"/>
      <c r="R89" s="5"/>
      <c r="S89" s="5"/>
      <c r="T89" s="5"/>
      <c r="U89" s="5"/>
      <c r="V89" s="5"/>
      <c r="W89" s="5">
        <v>0</v>
      </c>
      <c r="X89" s="5">
        <v>1</v>
      </c>
      <c r="Y89" s="5">
        <v>0</v>
      </c>
      <c r="Z89" s="5">
        <v>0</v>
      </c>
      <c r="AA89" s="5">
        <v>1</v>
      </c>
      <c r="AB89" s="5">
        <v>0</v>
      </c>
    </row>
    <row r="90" spans="1:28" x14ac:dyDescent="0.2">
      <c r="A90" s="5">
        <v>50</v>
      </c>
      <c r="B90" s="5">
        <v>0</v>
      </c>
      <c r="C90" s="5">
        <v>0</v>
      </c>
      <c r="D90" s="5">
        <v>1</v>
      </c>
      <c r="E90" s="5">
        <v>0</v>
      </c>
      <c r="F90" s="5">
        <f>ROUND(Source!Q78,O90)</f>
        <v>4031.62</v>
      </c>
      <c r="G90" s="5" t="s">
        <v>61</v>
      </c>
      <c r="H90" s="5" t="s">
        <v>62</v>
      </c>
      <c r="I90" s="5"/>
      <c r="J90" s="5"/>
      <c r="K90" s="5">
        <v>203</v>
      </c>
      <c r="L90" s="5">
        <v>11</v>
      </c>
      <c r="M90" s="5">
        <v>3</v>
      </c>
      <c r="N90" s="5" t="s">
        <v>3</v>
      </c>
      <c r="O90" s="5">
        <v>2</v>
      </c>
      <c r="P90" s="5">
        <f>ROUND(Source!DI78,O90)</f>
        <v>60989.43</v>
      </c>
      <c r="Q90" s="5"/>
      <c r="R90" s="5"/>
      <c r="S90" s="5"/>
      <c r="T90" s="5"/>
      <c r="U90" s="5"/>
      <c r="V90" s="5"/>
      <c r="W90" s="5">
        <v>4031.62</v>
      </c>
      <c r="X90" s="5">
        <v>1</v>
      </c>
      <c r="Y90" s="5">
        <v>4031.62</v>
      </c>
      <c r="Z90" s="5">
        <v>60989.43</v>
      </c>
      <c r="AA90" s="5">
        <v>1</v>
      </c>
      <c r="AB90" s="5">
        <v>60989.43</v>
      </c>
    </row>
    <row r="91" spans="1:28" x14ac:dyDescent="0.2">
      <c r="A91" s="5">
        <v>50</v>
      </c>
      <c r="B91" s="5">
        <v>0</v>
      </c>
      <c r="C91" s="5">
        <v>0</v>
      </c>
      <c r="D91" s="5">
        <v>1</v>
      </c>
      <c r="E91" s="5">
        <v>0</v>
      </c>
      <c r="F91" s="5">
        <f>ROUND(Source!BB78,O91)</f>
        <v>0</v>
      </c>
      <c r="G91" s="5" t="s">
        <v>63</v>
      </c>
      <c r="H91" s="5" t="s">
        <v>64</v>
      </c>
      <c r="I91" s="5"/>
      <c r="J91" s="5"/>
      <c r="K91" s="5">
        <v>231</v>
      </c>
      <c r="L91" s="5">
        <v>12</v>
      </c>
      <c r="M91" s="5">
        <v>3</v>
      </c>
      <c r="N91" s="5" t="s">
        <v>3</v>
      </c>
      <c r="O91" s="5">
        <v>2</v>
      </c>
      <c r="P91" s="5">
        <f>ROUND(Source!ET78,O91)</f>
        <v>0</v>
      </c>
      <c r="Q91" s="5"/>
      <c r="R91" s="5"/>
      <c r="S91" s="5"/>
      <c r="T91" s="5"/>
      <c r="U91" s="5"/>
      <c r="V91" s="5"/>
      <c r="W91" s="5">
        <v>0</v>
      </c>
      <c r="X91" s="5">
        <v>1</v>
      </c>
      <c r="Y91" s="5">
        <v>0</v>
      </c>
      <c r="Z91" s="5">
        <v>0</v>
      </c>
      <c r="AA91" s="5">
        <v>1</v>
      </c>
      <c r="AB91" s="5">
        <v>0</v>
      </c>
    </row>
    <row r="92" spans="1:28" x14ac:dyDescent="0.2">
      <c r="A92" s="5">
        <v>50</v>
      </c>
      <c r="B92" s="5">
        <v>0</v>
      </c>
      <c r="C92" s="5">
        <v>0</v>
      </c>
      <c r="D92" s="5">
        <v>1</v>
      </c>
      <c r="E92" s="5">
        <v>0</v>
      </c>
      <c r="F92" s="5">
        <f>ROUND(Source!R78,O92)</f>
        <v>0</v>
      </c>
      <c r="G92" s="5" t="s">
        <v>65</v>
      </c>
      <c r="H92" s="5" t="s">
        <v>66</v>
      </c>
      <c r="I92" s="5"/>
      <c r="J92" s="5"/>
      <c r="K92" s="5">
        <v>204</v>
      </c>
      <c r="L92" s="5">
        <v>13</v>
      </c>
      <c r="M92" s="5">
        <v>3</v>
      </c>
      <c r="N92" s="5" t="s">
        <v>3</v>
      </c>
      <c r="O92" s="5">
        <v>2</v>
      </c>
      <c r="P92" s="5">
        <f>ROUND(Source!DJ78,O92)</f>
        <v>0</v>
      </c>
      <c r="Q92" s="5"/>
      <c r="R92" s="5"/>
      <c r="S92" s="5"/>
      <c r="T92" s="5"/>
      <c r="U92" s="5"/>
      <c r="V92" s="5"/>
      <c r="W92" s="5">
        <v>0</v>
      </c>
      <c r="X92" s="5">
        <v>1</v>
      </c>
      <c r="Y92" s="5">
        <v>0</v>
      </c>
      <c r="Z92" s="5">
        <v>0</v>
      </c>
      <c r="AA92" s="5">
        <v>1</v>
      </c>
      <c r="AB92" s="5">
        <v>0</v>
      </c>
    </row>
    <row r="93" spans="1:28" x14ac:dyDescent="0.2">
      <c r="A93" s="5">
        <v>50</v>
      </c>
      <c r="B93" s="5">
        <v>0</v>
      </c>
      <c r="C93" s="5">
        <v>0</v>
      </c>
      <c r="D93" s="5">
        <v>1</v>
      </c>
      <c r="E93" s="5">
        <v>0</v>
      </c>
      <c r="F93" s="5">
        <f>ROUND(Source!S78,O93)</f>
        <v>0</v>
      </c>
      <c r="G93" s="5" t="s">
        <v>67</v>
      </c>
      <c r="H93" s="5" t="s">
        <v>68</v>
      </c>
      <c r="I93" s="5"/>
      <c r="J93" s="5"/>
      <c r="K93" s="5">
        <v>205</v>
      </c>
      <c r="L93" s="5">
        <v>14</v>
      </c>
      <c r="M93" s="5">
        <v>3</v>
      </c>
      <c r="N93" s="5" t="s">
        <v>3</v>
      </c>
      <c r="O93" s="5">
        <v>2</v>
      </c>
      <c r="P93" s="5">
        <f>ROUND(Source!DK78,O93)</f>
        <v>0</v>
      </c>
      <c r="Q93" s="5"/>
      <c r="R93" s="5"/>
      <c r="S93" s="5"/>
      <c r="T93" s="5"/>
      <c r="U93" s="5"/>
      <c r="V93" s="5"/>
      <c r="W93" s="5">
        <v>0</v>
      </c>
      <c r="X93" s="5">
        <v>1</v>
      </c>
      <c r="Y93" s="5">
        <v>0</v>
      </c>
      <c r="Z93" s="5">
        <v>0</v>
      </c>
      <c r="AA93" s="5">
        <v>1</v>
      </c>
      <c r="AB93" s="5">
        <v>0</v>
      </c>
    </row>
    <row r="94" spans="1:28" x14ac:dyDescent="0.2">
      <c r="A94" s="5">
        <v>50</v>
      </c>
      <c r="B94" s="5">
        <v>0</v>
      </c>
      <c r="C94" s="5">
        <v>0</v>
      </c>
      <c r="D94" s="5">
        <v>1</v>
      </c>
      <c r="E94" s="5">
        <v>0</v>
      </c>
      <c r="F94" s="5">
        <f>ROUND(Source!BC78,O94)</f>
        <v>0</v>
      </c>
      <c r="G94" s="5" t="s">
        <v>69</v>
      </c>
      <c r="H94" s="5" t="s">
        <v>70</v>
      </c>
      <c r="I94" s="5"/>
      <c r="J94" s="5"/>
      <c r="K94" s="5">
        <v>232</v>
      </c>
      <c r="L94" s="5">
        <v>15</v>
      </c>
      <c r="M94" s="5">
        <v>3</v>
      </c>
      <c r="N94" s="5" t="s">
        <v>3</v>
      </c>
      <c r="O94" s="5">
        <v>2</v>
      </c>
      <c r="P94" s="5">
        <f>ROUND(Source!EU78,O94)</f>
        <v>0</v>
      </c>
      <c r="Q94" s="5"/>
      <c r="R94" s="5"/>
      <c r="S94" s="5"/>
      <c r="T94" s="5"/>
      <c r="U94" s="5"/>
      <c r="V94" s="5"/>
      <c r="W94" s="5">
        <v>0</v>
      </c>
      <c r="X94" s="5">
        <v>1</v>
      </c>
      <c r="Y94" s="5">
        <v>0</v>
      </c>
      <c r="Z94" s="5">
        <v>0</v>
      </c>
      <c r="AA94" s="5">
        <v>1</v>
      </c>
      <c r="AB94" s="5">
        <v>0</v>
      </c>
    </row>
    <row r="95" spans="1:28" x14ac:dyDescent="0.2">
      <c r="A95" s="5">
        <v>50</v>
      </c>
      <c r="B95" s="5">
        <v>0</v>
      </c>
      <c r="C95" s="5">
        <v>0</v>
      </c>
      <c r="D95" s="5">
        <v>1</v>
      </c>
      <c r="E95" s="5">
        <v>0</v>
      </c>
      <c r="F95" s="5">
        <f>ROUND(Source!AS78,O95)</f>
        <v>0</v>
      </c>
      <c r="G95" s="5" t="s">
        <v>71</v>
      </c>
      <c r="H95" s="5" t="s">
        <v>72</v>
      </c>
      <c r="I95" s="5"/>
      <c r="J95" s="5"/>
      <c r="K95" s="5">
        <v>214</v>
      </c>
      <c r="L95" s="5">
        <v>16</v>
      </c>
      <c r="M95" s="5">
        <v>3</v>
      </c>
      <c r="N95" s="5" t="s">
        <v>3</v>
      </c>
      <c r="O95" s="5">
        <v>2</v>
      </c>
      <c r="P95" s="5">
        <f>ROUND(Source!EK78,O95)</f>
        <v>0</v>
      </c>
      <c r="Q95" s="5"/>
      <c r="R95" s="5"/>
      <c r="S95" s="5"/>
      <c r="T95" s="5"/>
      <c r="U95" s="5"/>
      <c r="V95" s="5"/>
      <c r="W95" s="5">
        <v>0</v>
      </c>
      <c r="X95" s="5">
        <v>1</v>
      </c>
      <c r="Y95" s="5">
        <v>0</v>
      </c>
      <c r="Z95" s="5">
        <v>0</v>
      </c>
      <c r="AA95" s="5">
        <v>1</v>
      </c>
      <c r="AB95" s="5">
        <v>0</v>
      </c>
    </row>
    <row r="96" spans="1:28" x14ac:dyDescent="0.2">
      <c r="A96" s="5">
        <v>50</v>
      </c>
      <c r="B96" s="5">
        <v>0</v>
      </c>
      <c r="C96" s="5">
        <v>0</v>
      </c>
      <c r="D96" s="5">
        <v>1</v>
      </c>
      <c r="E96" s="5">
        <v>0</v>
      </c>
      <c r="F96" s="5">
        <f>ROUND(Source!AT78,O96)</f>
        <v>0</v>
      </c>
      <c r="G96" s="5" t="s">
        <v>73</v>
      </c>
      <c r="H96" s="5" t="s">
        <v>74</v>
      </c>
      <c r="I96" s="5"/>
      <c r="J96" s="5"/>
      <c r="K96" s="5">
        <v>215</v>
      </c>
      <c r="L96" s="5">
        <v>17</v>
      </c>
      <c r="M96" s="5">
        <v>3</v>
      </c>
      <c r="N96" s="5" t="s">
        <v>3</v>
      </c>
      <c r="O96" s="5">
        <v>2</v>
      </c>
      <c r="P96" s="5">
        <f>ROUND(Source!EL78,O96)</f>
        <v>0</v>
      </c>
      <c r="Q96" s="5"/>
      <c r="R96" s="5"/>
      <c r="S96" s="5"/>
      <c r="T96" s="5"/>
      <c r="U96" s="5"/>
      <c r="V96" s="5"/>
      <c r="W96" s="5">
        <v>0</v>
      </c>
      <c r="X96" s="5">
        <v>1</v>
      </c>
      <c r="Y96" s="5">
        <v>0</v>
      </c>
      <c r="Z96" s="5">
        <v>0</v>
      </c>
      <c r="AA96" s="5">
        <v>1</v>
      </c>
      <c r="AB96" s="5">
        <v>0</v>
      </c>
    </row>
    <row r="97" spans="1:255" x14ac:dyDescent="0.2">
      <c r="A97" s="5">
        <v>50</v>
      </c>
      <c r="B97" s="5">
        <v>0</v>
      </c>
      <c r="C97" s="5">
        <v>0</v>
      </c>
      <c r="D97" s="5">
        <v>1</v>
      </c>
      <c r="E97" s="5">
        <v>0</v>
      </c>
      <c r="F97" s="5">
        <f>ROUND(Source!AU78,O97)</f>
        <v>4031.62</v>
      </c>
      <c r="G97" s="5" t="s">
        <v>75</v>
      </c>
      <c r="H97" s="5" t="s">
        <v>76</v>
      </c>
      <c r="I97" s="5"/>
      <c r="J97" s="5"/>
      <c r="K97" s="5">
        <v>217</v>
      </c>
      <c r="L97" s="5">
        <v>18</v>
      </c>
      <c r="M97" s="5">
        <v>3</v>
      </c>
      <c r="N97" s="5" t="s">
        <v>3</v>
      </c>
      <c r="O97" s="5">
        <v>2</v>
      </c>
      <c r="P97" s="5">
        <f>ROUND(Source!EM78,O97)</f>
        <v>60989.43</v>
      </c>
      <c r="Q97" s="5"/>
      <c r="R97" s="5"/>
      <c r="S97" s="5"/>
      <c r="T97" s="5"/>
      <c r="U97" s="5"/>
      <c r="V97" s="5"/>
      <c r="W97" s="5">
        <v>4031.62</v>
      </c>
      <c r="X97" s="5">
        <v>1</v>
      </c>
      <c r="Y97" s="5">
        <v>4031.62</v>
      </c>
      <c r="Z97" s="5">
        <v>60989.43</v>
      </c>
      <c r="AA97" s="5">
        <v>1</v>
      </c>
      <c r="AB97" s="5">
        <v>60989.43</v>
      </c>
    </row>
    <row r="98" spans="1:255" x14ac:dyDescent="0.2">
      <c r="A98" s="5">
        <v>50</v>
      </c>
      <c r="B98" s="5">
        <v>0</v>
      </c>
      <c r="C98" s="5">
        <v>0</v>
      </c>
      <c r="D98" s="5">
        <v>1</v>
      </c>
      <c r="E98" s="5">
        <v>0</v>
      </c>
      <c r="F98" s="5">
        <f>ROUND(Source!BA78,O98)</f>
        <v>0</v>
      </c>
      <c r="G98" s="5" t="s">
        <v>77</v>
      </c>
      <c r="H98" s="5" t="s">
        <v>78</v>
      </c>
      <c r="I98" s="5"/>
      <c r="J98" s="5"/>
      <c r="K98" s="5">
        <v>230</v>
      </c>
      <c r="L98" s="5">
        <v>19</v>
      </c>
      <c r="M98" s="5">
        <v>3</v>
      </c>
      <c r="N98" s="5" t="s">
        <v>3</v>
      </c>
      <c r="O98" s="5">
        <v>2</v>
      </c>
      <c r="P98" s="5">
        <f>ROUND(Source!ES78,O98)</f>
        <v>0</v>
      </c>
      <c r="Q98" s="5"/>
      <c r="R98" s="5"/>
      <c r="S98" s="5"/>
      <c r="T98" s="5"/>
      <c r="U98" s="5"/>
      <c r="V98" s="5"/>
      <c r="W98" s="5">
        <v>0</v>
      </c>
      <c r="X98" s="5">
        <v>1</v>
      </c>
      <c r="Y98" s="5">
        <v>0</v>
      </c>
      <c r="Z98" s="5">
        <v>0</v>
      </c>
      <c r="AA98" s="5">
        <v>1</v>
      </c>
      <c r="AB98" s="5">
        <v>0</v>
      </c>
    </row>
    <row r="99" spans="1:255" x14ac:dyDescent="0.2">
      <c r="A99" s="5">
        <v>50</v>
      </c>
      <c r="B99" s="5">
        <v>0</v>
      </c>
      <c r="C99" s="5">
        <v>0</v>
      </c>
      <c r="D99" s="5">
        <v>1</v>
      </c>
      <c r="E99" s="5">
        <v>0</v>
      </c>
      <c r="F99" s="5">
        <f>ROUND(Source!T78,O99)</f>
        <v>0</v>
      </c>
      <c r="G99" s="5" t="s">
        <v>79</v>
      </c>
      <c r="H99" s="5" t="s">
        <v>80</v>
      </c>
      <c r="I99" s="5"/>
      <c r="J99" s="5"/>
      <c r="K99" s="5">
        <v>206</v>
      </c>
      <c r="L99" s="5">
        <v>20</v>
      </c>
      <c r="M99" s="5">
        <v>3</v>
      </c>
      <c r="N99" s="5" t="s">
        <v>3</v>
      </c>
      <c r="O99" s="5">
        <v>2</v>
      </c>
      <c r="P99" s="5">
        <f>ROUND(Source!DL78,O99)</f>
        <v>0</v>
      </c>
      <c r="Q99" s="5"/>
      <c r="R99" s="5"/>
      <c r="S99" s="5"/>
      <c r="T99" s="5"/>
      <c r="U99" s="5"/>
      <c r="V99" s="5"/>
      <c r="W99" s="5">
        <v>0</v>
      </c>
      <c r="X99" s="5">
        <v>1</v>
      </c>
      <c r="Y99" s="5">
        <v>0</v>
      </c>
      <c r="Z99" s="5">
        <v>0</v>
      </c>
      <c r="AA99" s="5">
        <v>1</v>
      </c>
      <c r="AB99" s="5">
        <v>0</v>
      </c>
    </row>
    <row r="100" spans="1:255" x14ac:dyDescent="0.2">
      <c r="A100" s="5">
        <v>50</v>
      </c>
      <c r="B100" s="5">
        <v>0</v>
      </c>
      <c r="C100" s="5">
        <v>0</v>
      </c>
      <c r="D100" s="5">
        <v>1</v>
      </c>
      <c r="E100" s="5">
        <v>0</v>
      </c>
      <c r="F100" s="5">
        <f>Source!U78</f>
        <v>0</v>
      </c>
      <c r="G100" s="5" t="s">
        <v>81</v>
      </c>
      <c r="H100" s="5" t="s">
        <v>82</v>
      </c>
      <c r="I100" s="5"/>
      <c r="J100" s="5"/>
      <c r="K100" s="5">
        <v>207</v>
      </c>
      <c r="L100" s="5">
        <v>21</v>
      </c>
      <c r="M100" s="5">
        <v>3</v>
      </c>
      <c r="N100" s="5" t="s">
        <v>3</v>
      </c>
      <c r="O100" s="5">
        <v>-1</v>
      </c>
      <c r="P100" s="5">
        <f>Source!DM78</f>
        <v>0</v>
      </c>
      <c r="Q100" s="5"/>
      <c r="R100" s="5"/>
      <c r="S100" s="5"/>
      <c r="T100" s="5"/>
      <c r="U100" s="5"/>
      <c r="V100" s="5"/>
      <c r="W100" s="5">
        <v>0</v>
      </c>
      <c r="X100" s="5">
        <v>1</v>
      </c>
      <c r="Y100" s="5">
        <v>0</v>
      </c>
      <c r="Z100" s="5">
        <v>0</v>
      </c>
      <c r="AA100" s="5">
        <v>1</v>
      </c>
      <c r="AB100" s="5">
        <v>0</v>
      </c>
    </row>
    <row r="101" spans="1:255" x14ac:dyDescent="0.2">
      <c r="A101" s="5">
        <v>50</v>
      </c>
      <c r="B101" s="5">
        <v>0</v>
      </c>
      <c r="C101" s="5">
        <v>0</v>
      </c>
      <c r="D101" s="5">
        <v>1</v>
      </c>
      <c r="E101" s="5">
        <v>0</v>
      </c>
      <c r="F101" s="5">
        <f>Source!V78</f>
        <v>0</v>
      </c>
      <c r="G101" s="5" t="s">
        <v>83</v>
      </c>
      <c r="H101" s="5" t="s">
        <v>84</v>
      </c>
      <c r="I101" s="5"/>
      <c r="J101" s="5"/>
      <c r="K101" s="5">
        <v>208</v>
      </c>
      <c r="L101" s="5">
        <v>22</v>
      </c>
      <c r="M101" s="5">
        <v>3</v>
      </c>
      <c r="N101" s="5" t="s">
        <v>3</v>
      </c>
      <c r="O101" s="5">
        <v>-1</v>
      </c>
      <c r="P101" s="5">
        <f>Source!DN78</f>
        <v>0</v>
      </c>
      <c r="Q101" s="5"/>
      <c r="R101" s="5"/>
      <c r="S101" s="5"/>
      <c r="T101" s="5"/>
      <c r="U101" s="5"/>
      <c r="V101" s="5"/>
      <c r="W101" s="5">
        <v>0</v>
      </c>
      <c r="X101" s="5">
        <v>1</v>
      </c>
      <c r="Y101" s="5">
        <v>0</v>
      </c>
      <c r="Z101" s="5">
        <v>0</v>
      </c>
      <c r="AA101" s="5">
        <v>1</v>
      </c>
      <c r="AB101" s="5">
        <v>0</v>
      </c>
    </row>
    <row r="102" spans="1:255" x14ac:dyDescent="0.2">
      <c r="A102" s="5">
        <v>50</v>
      </c>
      <c r="B102" s="5">
        <v>0</v>
      </c>
      <c r="C102" s="5">
        <v>0</v>
      </c>
      <c r="D102" s="5">
        <v>1</v>
      </c>
      <c r="E102" s="5">
        <v>0</v>
      </c>
      <c r="F102" s="5">
        <f>ROUND(Source!W78,O102)</f>
        <v>0</v>
      </c>
      <c r="G102" s="5" t="s">
        <v>85</v>
      </c>
      <c r="H102" s="5" t="s">
        <v>86</v>
      </c>
      <c r="I102" s="5"/>
      <c r="J102" s="5"/>
      <c r="K102" s="5">
        <v>209</v>
      </c>
      <c r="L102" s="5">
        <v>23</v>
      </c>
      <c r="M102" s="5">
        <v>3</v>
      </c>
      <c r="N102" s="5" t="s">
        <v>3</v>
      </c>
      <c r="O102" s="5">
        <v>2</v>
      </c>
      <c r="P102" s="5">
        <f>ROUND(Source!DO78,O102)</f>
        <v>0</v>
      </c>
      <c r="Q102" s="5"/>
      <c r="R102" s="5"/>
      <c r="S102" s="5"/>
      <c r="T102" s="5"/>
      <c r="U102" s="5"/>
      <c r="V102" s="5"/>
      <c r="W102" s="5">
        <v>0</v>
      </c>
      <c r="X102" s="5">
        <v>1</v>
      </c>
      <c r="Y102" s="5">
        <v>0</v>
      </c>
      <c r="Z102" s="5">
        <v>0</v>
      </c>
      <c r="AA102" s="5">
        <v>1</v>
      </c>
      <c r="AB102" s="5">
        <v>0</v>
      </c>
    </row>
    <row r="103" spans="1:255" x14ac:dyDescent="0.2">
      <c r="A103" s="5">
        <v>50</v>
      </c>
      <c r="B103" s="5">
        <v>0</v>
      </c>
      <c r="C103" s="5">
        <v>0</v>
      </c>
      <c r="D103" s="5">
        <v>1</v>
      </c>
      <c r="E103" s="5">
        <v>0</v>
      </c>
      <c r="F103" s="5">
        <f>ROUND(Source!BD78,O103)</f>
        <v>0</v>
      </c>
      <c r="G103" s="5" t="s">
        <v>87</v>
      </c>
      <c r="H103" s="5" t="s">
        <v>88</v>
      </c>
      <c r="I103" s="5"/>
      <c r="J103" s="5"/>
      <c r="K103" s="5">
        <v>233</v>
      </c>
      <c r="L103" s="5">
        <v>24</v>
      </c>
      <c r="M103" s="5">
        <v>3</v>
      </c>
      <c r="N103" s="5" t="s">
        <v>3</v>
      </c>
      <c r="O103" s="5">
        <v>2</v>
      </c>
      <c r="P103" s="5">
        <f>ROUND(Source!EV78,O103)</f>
        <v>0</v>
      </c>
      <c r="Q103" s="5"/>
      <c r="R103" s="5"/>
      <c r="S103" s="5"/>
      <c r="T103" s="5"/>
      <c r="U103" s="5"/>
      <c r="V103" s="5"/>
      <c r="W103" s="5">
        <v>0</v>
      </c>
      <c r="X103" s="5">
        <v>1</v>
      </c>
      <c r="Y103" s="5">
        <v>0</v>
      </c>
      <c r="Z103" s="5">
        <v>0</v>
      </c>
      <c r="AA103" s="5">
        <v>1</v>
      </c>
      <c r="AB103" s="5">
        <v>0</v>
      </c>
    </row>
    <row r="104" spans="1:255" x14ac:dyDescent="0.2">
      <c r="A104" s="5">
        <v>50</v>
      </c>
      <c r="B104" s="5">
        <v>0</v>
      </c>
      <c r="C104" s="5">
        <v>0</v>
      </c>
      <c r="D104" s="5">
        <v>1</v>
      </c>
      <c r="E104" s="5">
        <v>210</v>
      </c>
      <c r="F104" s="5">
        <f>ROUND(Source!X78,O104)</f>
        <v>0</v>
      </c>
      <c r="G104" s="5" t="s">
        <v>89</v>
      </c>
      <c r="H104" s="5" t="s">
        <v>90</v>
      </c>
      <c r="I104" s="5"/>
      <c r="J104" s="5"/>
      <c r="K104" s="5">
        <v>210</v>
      </c>
      <c r="L104" s="5">
        <v>25</v>
      </c>
      <c r="M104" s="5">
        <v>3</v>
      </c>
      <c r="N104" s="5" t="s">
        <v>3</v>
      </c>
      <c r="O104" s="5">
        <v>2</v>
      </c>
      <c r="P104" s="5">
        <f>ROUND(Source!DP78,O104)</f>
        <v>0</v>
      </c>
      <c r="Q104" s="5"/>
      <c r="R104" s="5"/>
      <c r="S104" s="5"/>
      <c r="T104" s="5"/>
      <c r="U104" s="5"/>
      <c r="V104" s="5"/>
      <c r="W104" s="5">
        <v>0</v>
      </c>
      <c r="X104" s="5">
        <v>1</v>
      </c>
      <c r="Y104" s="5">
        <v>0</v>
      </c>
      <c r="Z104" s="5">
        <v>0</v>
      </c>
      <c r="AA104" s="5">
        <v>1</v>
      </c>
      <c r="AB104" s="5">
        <v>0</v>
      </c>
    </row>
    <row r="105" spans="1:255" x14ac:dyDescent="0.2">
      <c r="A105" s="5">
        <v>50</v>
      </c>
      <c r="B105" s="5">
        <v>0</v>
      </c>
      <c r="C105" s="5">
        <v>0</v>
      </c>
      <c r="D105" s="5">
        <v>1</v>
      </c>
      <c r="E105" s="5">
        <v>211</v>
      </c>
      <c r="F105" s="5">
        <f>ROUND(Source!Y78,O105)</f>
        <v>0</v>
      </c>
      <c r="G105" s="5" t="s">
        <v>91</v>
      </c>
      <c r="H105" s="5" t="s">
        <v>92</v>
      </c>
      <c r="I105" s="5"/>
      <c r="J105" s="5"/>
      <c r="K105" s="5">
        <v>211</v>
      </c>
      <c r="L105" s="5">
        <v>26</v>
      </c>
      <c r="M105" s="5">
        <v>3</v>
      </c>
      <c r="N105" s="5" t="s">
        <v>3</v>
      </c>
      <c r="O105" s="5">
        <v>2</v>
      </c>
      <c r="P105" s="5">
        <f>ROUND(Source!DQ78,O105)</f>
        <v>0</v>
      </c>
      <c r="Q105" s="5"/>
      <c r="R105" s="5"/>
      <c r="S105" s="5"/>
      <c r="T105" s="5"/>
      <c r="U105" s="5"/>
      <c r="V105" s="5"/>
      <c r="W105" s="5">
        <v>0</v>
      </c>
      <c r="X105" s="5">
        <v>1</v>
      </c>
      <c r="Y105" s="5">
        <v>0</v>
      </c>
      <c r="Z105" s="5">
        <v>0</v>
      </c>
      <c r="AA105" s="5">
        <v>1</v>
      </c>
      <c r="AB105" s="5">
        <v>0</v>
      </c>
    </row>
    <row r="106" spans="1:255" x14ac:dyDescent="0.2">
      <c r="A106" s="5">
        <v>50</v>
      </c>
      <c r="B106" s="5">
        <v>0</v>
      </c>
      <c r="C106" s="5">
        <v>0</v>
      </c>
      <c r="D106" s="5">
        <v>1</v>
      </c>
      <c r="E106" s="5">
        <v>224</v>
      </c>
      <c r="F106" s="5">
        <f>ROUND(Source!AR78,O106)</f>
        <v>4031.62</v>
      </c>
      <c r="G106" s="5" t="s">
        <v>93</v>
      </c>
      <c r="H106" s="5" t="s">
        <v>94</v>
      </c>
      <c r="I106" s="5"/>
      <c r="J106" s="5"/>
      <c r="K106" s="5">
        <v>224</v>
      </c>
      <c r="L106" s="5">
        <v>27</v>
      </c>
      <c r="M106" s="5">
        <v>3</v>
      </c>
      <c r="N106" s="5" t="s">
        <v>3</v>
      </c>
      <c r="O106" s="5">
        <v>2</v>
      </c>
      <c r="P106" s="5">
        <f>ROUND(Source!EJ78,O106)</f>
        <v>60989.43</v>
      </c>
      <c r="Q106" s="5"/>
      <c r="R106" s="5"/>
      <c r="S106" s="5"/>
      <c r="T106" s="5"/>
      <c r="U106" s="5"/>
      <c r="V106" s="5"/>
      <c r="W106" s="5">
        <v>4031.62</v>
      </c>
      <c r="X106" s="5">
        <v>1</v>
      </c>
      <c r="Y106" s="5">
        <v>4031.62</v>
      </c>
      <c r="Z106" s="5">
        <v>60989.43</v>
      </c>
      <c r="AA106" s="5">
        <v>1</v>
      </c>
      <c r="AB106" s="5">
        <v>60989.43</v>
      </c>
    </row>
    <row r="108" spans="1:255" x14ac:dyDescent="0.2">
      <c r="A108" s="1">
        <v>4</v>
      </c>
      <c r="B108" s="1">
        <v>1</v>
      </c>
      <c r="C108" s="1"/>
      <c r="D108" s="1">
        <f>ROW(A117)</f>
        <v>117</v>
      </c>
      <c r="E108" s="1"/>
      <c r="F108" s="1" t="s">
        <v>14</v>
      </c>
      <c r="G108" s="1" t="s">
        <v>106</v>
      </c>
      <c r="H108" s="1" t="s">
        <v>3</v>
      </c>
      <c r="I108" s="1">
        <v>0</v>
      </c>
      <c r="J108" s="1"/>
      <c r="K108" s="1">
        <v>0</v>
      </c>
      <c r="L108" s="1"/>
      <c r="M108" s="1" t="s">
        <v>3</v>
      </c>
      <c r="N108" s="1"/>
      <c r="O108" s="1"/>
      <c r="P108" s="1"/>
      <c r="Q108" s="1"/>
      <c r="R108" s="1"/>
      <c r="S108" s="1">
        <v>0</v>
      </c>
      <c r="T108" s="1">
        <v>0</v>
      </c>
      <c r="U108" s="1" t="s">
        <v>3</v>
      </c>
      <c r="V108" s="1">
        <v>0</v>
      </c>
      <c r="W108" s="1"/>
      <c r="X108" s="1"/>
      <c r="Y108" s="1"/>
      <c r="Z108" s="1"/>
      <c r="AA108" s="1"/>
      <c r="AB108" s="1" t="s">
        <v>3</v>
      </c>
      <c r="AC108" s="1" t="s">
        <v>3</v>
      </c>
      <c r="AD108" s="1" t="s">
        <v>3</v>
      </c>
      <c r="AE108" s="1" t="s">
        <v>3</v>
      </c>
      <c r="AF108" s="1" t="s">
        <v>3</v>
      </c>
      <c r="AG108" s="1" t="s">
        <v>3</v>
      </c>
      <c r="AH108" s="1"/>
      <c r="AI108" s="1"/>
      <c r="AJ108" s="1"/>
      <c r="AK108" s="1"/>
      <c r="AL108" s="1"/>
      <c r="AM108" s="1"/>
      <c r="AN108" s="1"/>
      <c r="AO108" s="1"/>
      <c r="AP108" s="1" t="s">
        <v>3</v>
      </c>
      <c r="AQ108" s="1" t="s">
        <v>3</v>
      </c>
      <c r="AR108" s="1" t="s">
        <v>3</v>
      </c>
      <c r="AS108" s="1"/>
      <c r="AT108" s="1"/>
      <c r="AU108" s="1"/>
      <c r="AV108" s="1"/>
      <c r="AW108" s="1"/>
      <c r="AX108" s="1"/>
      <c r="AY108" s="1"/>
      <c r="AZ108" s="1" t="s">
        <v>3</v>
      </c>
      <c r="BA108" s="1"/>
      <c r="BB108" s="1" t="s">
        <v>3</v>
      </c>
      <c r="BC108" s="1" t="s">
        <v>3</v>
      </c>
      <c r="BD108" s="1" t="s">
        <v>3</v>
      </c>
      <c r="BE108" s="1" t="s">
        <v>3</v>
      </c>
      <c r="BF108" s="1" t="s">
        <v>3</v>
      </c>
      <c r="BG108" s="1" t="s">
        <v>3</v>
      </c>
      <c r="BH108" s="1" t="s">
        <v>3</v>
      </c>
      <c r="BI108" s="1" t="s">
        <v>3</v>
      </c>
      <c r="BJ108" s="1" t="s">
        <v>3</v>
      </c>
      <c r="BK108" s="1" t="s">
        <v>3</v>
      </c>
      <c r="BL108" s="1" t="s">
        <v>3</v>
      </c>
      <c r="BM108" s="1" t="s">
        <v>3</v>
      </c>
      <c r="BN108" s="1" t="s">
        <v>3</v>
      </c>
      <c r="BO108" s="1" t="s">
        <v>3</v>
      </c>
      <c r="BP108" s="1" t="s">
        <v>3</v>
      </c>
      <c r="BQ108" s="1"/>
      <c r="BR108" s="1"/>
      <c r="BS108" s="1"/>
      <c r="BT108" s="1"/>
      <c r="BU108" s="1"/>
      <c r="BV108" s="1"/>
      <c r="BW108" s="1"/>
      <c r="BX108" s="1">
        <v>0</v>
      </c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>
        <v>0</v>
      </c>
    </row>
    <row r="110" spans="1:255" x14ac:dyDescent="0.2">
      <c r="A110" s="3">
        <v>52</v>
      </c>
      <c r="B110" s="3">
        <f t="shared" ref="B110:G110" si="76">B117</f>
        <v>1</v>
      </c>
      <c r="C110" s="3">
        <f t="shared" si="76"/>
        <v>4</v>
      </c>
      <c r="D110" s="3">
        <f t="shared" si="76"/>
        <v>108</v>
      </c>
      <c r="E110" s="3">
        <f t="shared" si="76"/>
        <v>0</v>
      </c>
      <c r="F110" s="3" t="str">
        <f t="shared" si="76"/>
        <v>Новый раздел</v>
      </c>
      <c r="G110" s="3" t="str">
        <f t="shared" si="76"/>
        <v>ТП</v>
      </c>
      <c r="H110" s="3"/>
      <c r="I110" s="3"/>
      <c r="J110" s="3"/>
      <c r="K110" s="3"/>
      <c r="L110" s="3"/>
      <c r="M110" s="3"/>
      <c r="N110" s="3"/>
      <c r="O110" s="3">
        <f t="shared" ref="O110:AT110" si="77">O117</f>
        <v>0</v>
      </c>
      <c r="P110" s="3">
        <f t="shared" si="77"/>
        <v>0</v>
      </c>
      <c r="Q110" s="3">
        <f t="shared" si="77"/>
        <v>0</v>
      </c>
      <c r="R110" s="3">
        <f t="shared" si="77"/>
        <v>0</v>
      </c>
      <c r="S110" s="3">
        <f t="shared" si="77"/>
        <v>0</v>
      </c>
      <c r="T110" s="3">
        <f t="shared" si="77"/>
        <v>0</v>
      </c>
      <c r="U110" s="3">
        <f t="shared" si="77"/>
        <v>0</v>
      </c>
      <c r="V110" s="3">
        <f t="shared" si="77"/>
        <v>0</v>
      </c>
      <c r="W110" s="3">
        <f t="shared" si="77"/>
        <v>0</v>
      </c>
      <c r="X110" s="3">
        <f t="shared" si="77"/>
        <v>0</v>
      </c>
      <c r="Y110" s="3">
        <f t="shared" si="77"/>
        <v>0</v>
      </c>
      <c r="Z110" s="3">
        <f t="shared" si="77"/>
        <v>0</v>
      </c>
      <c r="AA110" s="3">
        <f t="shared" si="77"/>
        <v>0</v>
      </c>
      <c r="AB110" s="3">
        <f t="shared" si="77"/>
        <v>0</v>
      </c>
      <c r="AC110" s="3">
        <f t="shared" si="77"/>
        <v>0</v>
      </c>
      <c r="AD110" s="3">
        <f t="shared" si="77"/>
        <v>0</v>
      </c>
      <c r="AE110" s="3">
        <f t="shared" si="77"/>
        <v>0</v>
      </c>
      <c r="AF110" s="3">
        <f t="shared" si="77"/>
        <v>0</v>
      </c>
      <c r="AG110" s="3">
        <f t="shared" si="77"/>
        <v>0</v>
      </c>
      <c r="AH110" s="3">
        <f t="shared" si="77"/>
        <v>0</v>
      </c>
      <c r="AI110" s="3">
        <f t="shared" si="77"/>
        <v>0</v>
      </c>
      <c r="AJ110" s="3">
        <f t="shared" si="77"/>
        <v>0</v>
      </c>
      <c r="AK110" s="3">
        <f t="shared" si="77"/>
        <v>0</v>
      </c>
      <c r="AL110" s="3">
        <f t="shared" si="77"/>
        <v>0</v>
      </c>
      <c r="AM110" s="3">
        <f t="shared" si="77"/>
        <v>0</v>
      </c>
      <c r="AN110" s="3">
        <f t="shared" si="77"/>
        <v>0</v>
      </c>
      <c r="AO110" s="3">
        <f t="shared" si="77"/>
        <v>0</v>
      </c>
      <c r="AP110" s="3">
        <f t="shared" si="77"/>
        <v>0</v>
      </c>
      <c r="AQ110" s="3">
        <f t="shared" si="77"/>
        <v>0</v>
      </c>
      <c r="AR110" s="3">
        <f t="shared" si="77"/>
        <v>0</v>
      </c>
      <c r="AS110" s="3">
        <f t="shared" si="77"/>
        <v>0</v>
      </c>
      <c r="AT110" s="3">
        <f t="shared" si="77"/>
        <v>0</v>
      </c>
      <c r="AU110" s="3">
        <f t="shared" ref="AU110:BZ110" si="78">AU117</f>
        <v>0</v>
      </c>
      <c r="AV110" s="3">
        <f t="shared" si="78"/>
        <v>0</v>
      </c>
      <c r="AW110" s="3">
        <f t="shared" si="78"/>
        <v>0</v>
      </c>
      <c r="AX110" s="3">
        <f t="shared" si="78"/>
        <v>0</v>
      </c>
      <c r="AY110" s="3">
        <f t="shared" si="78"/>
        <v>0</v>
      </c>
      <c r="AZ110" s="3">
        <f t="shared" si="78"/>
        <v>0</v>
      </c>
      <c r="BA110" s="3">
        <f t="shared" si="78"/>
        <v>0</v>
      </c>
      <c r="BB110" s="3">
        <f t="shared" si="78"/>
        <v>0</v>
      </c>
      <c r="BC110" s="3">
        <f t="shared" si="78"/>
        <v>0</v>
      </c>
      <c r="BD110" s="3">
        <f t="shared" si="78"/>
        <v>0</v>
      </c>
      <c r="BE110" s="3">
        <f t="shared" si="78"/>
        <v>0</v>
      </c>
      <c r="BF110" s="3">
        <f t="shared" si="78"/>
        <v>0</v>
      </c>
      <c r="BG110" s="3">
        <f t="shared" si="78"/>
        <v>0</v>
      </c>
      <c r="BH110" s="3">
        <f t="shared" si="78"/>
        <v>0</v>
      </c>
      <c r="BI110" s="3">
        <f t="shared" si="78"/>
        <v>0</v>
      </c>
      <c r="BJ110" s="3">
        <f t="shared" si="78"/>
        <v>0</v>
      </c>
      <c r="BK110" s="3">
        <f t="shared" si="78"/>
        <v>0</v>
      </c>
      <c r="BL110" s="3">
        <f t="shared" si="78"/>
        <v>0</v>
      </c>
      <c r="BM110" s="3">
        <f t="shared" si="78"/>
        <v>0</v>
      </c>
      <c r="BN110" s="3">
        <f t="shared" si="78"/>
        <v>0</v>
      </c>
      <c r="BO110" s="3">
        <f t="shared" si="78"/>
        <v>0</v>
      </c>
      <c r="BP110" s="3">
        <f t="shared" si="78"/>
        <v>0</v>
      </c>
      <c r="BQ110" s="3">
        <f t="shared" si="78"/>
        <v>0</v>
      </c>
      <c r="BR110" s="3">
        <f t="shared" si="78"/>
        <v>0</v>
      </c>
      <c r="BS110" s="3">
        <f t="shared" si="78"/>
        <v>0</v>
      </c>
      <c r="BT110" s="3">
        <f t="shared" si="78"/>
        <v>0</v>
      </c>
      <c r="BU110" s="3">
        <f t="shared" si="78"/>
        <v>0</v>
      </c>
      <c r="BV110" s="3">
        <f t="shared" si="78"/>
        <v>0</v>
      </c>
      <c r="BW110" s="3">
        <f t="shared" si="78"/>
        <v>0</v>
      </c>
      <c r="BX110" s="3">
        <f t="shared" si="78"/>
        <v>0</v>
      </c>
      <c r="BY110" s="3">
        <f t="shared" si="78"/>
        <v>0</v>
      </c>
      <c r="BZ110" s="3">
        <f t="shared" si="78"/>
        <v>0</v>
      </c>
      <c r="CA110" s="3">
        <f t="shared" ref="CA110:DF110" si="79">CA117</f>
        <v>0</v>
      </c>
      <c r="CB110" s="3">
        <f t="shared" si="79"/>
        <v>0</v>
      </c>
      <c r="CC110" s="3">
        <f t="shared" si="79"/>
        <v>0</v>
      </c>
      <c r="CD110" s="3">
        <f t="shared" si="79"/>
        <v>0</v>
      </c>
      <c r="CE110" s="3">
        <f t="shared" si="79"/>
        <v>0</v>
      </c>
      <c r="CF110" s="3">
        <f t="shared" si="79"/>
        <v>0</v>
      </c>
      <c r="CG110" s="3">
        <f t="shared" si="79"/>
        <v>0</v>
      </c>
      <c r="CH110" s="3">
        <f t="shared" si="79"/>
        <v>0</v>
      </c>
      <c r="CI110" s="3">
        <f t="shared" si="79"/>
        <v>0</v>
      </c>
      <c r="CJ110" s="3">
        <f t="shared" si="79"/>
        <v>0</v>
      </c>
      <c r="CK110" s="3">
        <f t="shared" si="79"/>
        <v>0</v>
      </c>
      <c r="CL110" s="3">
        <f t="shared" si="79"/>
        <v>0</v>
      </c>
      <c r="CM110" s="3">
        <f t="shared" si="79"/>
        <v>0</v>
      </c>
      <c r="CN110" s="3">
        <f t="shared" si="79"/>
        <v>0</v>
      </c>
      <c r="CO110" s="3">
        <f t="shared" si="79"/>
        <v>0</v>
      </c>
      <c r="CP110" s="3">
        <f t="shared" si="79"/>
        <v>0</v>
      </c>
      <c r="CQ110" s="3">
        <f t="shared" si="79"/>
        <v>0</v>
      </c>
      <c r="CR110" s="3">
        <f t="shared" si="79"/>
        <v>0</v>
      </c>
      <c r="CS110" s="3">
        <f t="shared" si="79"/>
        <v>0</v>
      </c>
      <c r="CT110" s="3">
        <f t="shared" si="79"/>
        <v>0</v>
      </c>
      <c r="CU110" s="3">
        <f t="shared" si="79"/>
        <v>0</v>
      </c>
      <c r="CV110" s="3">
        <f t="shared" si="79"/>
        <v>0</v>
      </c>
      <c r="CW110" s="3">
        <f t="shared" si="79"/>
        <v>0</v>
      </c>
      <c r="CX110" s="3">
        <f t="shared" si="79"/>
        <v>0</v>
      </c>
      <c r="CY110" s="3">
        <f t="shared" si="79"/>
        <v>0</v>
      </c>
      <c r="CZ110" s="3">
        <f t="shared" si="79"/>
        <v>0</v>
      </c>
      <c r="DA110" s="3">
        <f t="shared" si="79"/>
        <v>0</v>
      </c>
      <c r="DB110" s="3">
        <f t="shared" si="79"/>
        <v>0</v>
      </c>
      <c r="DC110" s="3">
        <f t="shared" si="79"/>
        <v>0</v>
      </c>
      <c r="DD110" s="3">
        <f t="shared" si="79"/>
        <v>0</v>
      </c>
      <c r="DE110" s="3">
        <f t="shared" si="79"/>
        <v>0</v>
      </c>
      <c r="DF110" s="3">
        <f t="shared" si="79"/>
        <v>0</v>
      </c>
      <c r="DG110" s="4">
        <f t="shared" ref="DG110:EL110" si="80">DG117</f>
        <v>0</v>
      </c>
      <c r="DH110" s="4">
        <f t="shared" si="80"/>
        <v>0</v>
      </c>
      <c r="DI110" s="4">
        <f t="shared" si="80"/>
        <v>0</v>
      </c>
      <c r="DJ110" s="4">
        <f t="shared" si="80"/>
        <v>0</v>
      </c>
      <c r="DK110" s="4">
        <f t="shared" si="80"/>
        <v>0</v>
      </c>
      <c r="DL110" s="4">
        <f t="shared" si="80"/>
        <v>0</v>
      </c>
      <c r="DM110" s="4">
        <f t="shared" si="80"/>
        <v>0</v>
      </c>
      <c r="DN110" s="4">
        <f t="shared" si="80"/>
        <v>0</v>
      </c>
      <c r="DO110" s="4">
        <f t="shared" si="80"/>
        <v>0</v>
      </c>
      <c r="DP110" s="4">
        <f t="shared" si="80"/>
        <v>0</v>
      </c>
      <c r="DQ110" s="4">
        <f t="shared" si="80"/>
        <v>0</v>
      </c>
      <c r="DR110" s="4">
        <f t="shared" si="80"/>
        <v>0</v>
      </c>
      <c r="DS110" s="4">
        <f t="shared" si="80"/>
        <v>0</v>
      </c>
      <c r="DT110" s="4">
        <f t="shared" si="80"/>
        <v>0</v>
      </c>
      <c r="DU110" s="4">
        <f t="shared" si="80"/>
        <v>0</v>
      </c>
      <c r="DV110" s="4">
        <f t="shared" si="80"/>
        <v>0</v>
      </c>
      <c r="DW110" s="4">
        <f t="shared" si="80"/>
        <v>0</v>
      </c>
      <c r="DX110" s="4">
        <f t="shared" si="80"/>
        <v>0</v>
      </c>
      <c r="DY110" s="4">
        <f t="shared" si="80"/>
        <v>0</v>
      </c>
      <c r="DZ110" s="4">
        <f t="shared" si="80"/>
        <v>0</v>
      </c>
      <c r="EA110" s="4">
        <f t="shared" si="80"/>
        <v>0</v>
      </c>
      <c r="EB110" s="4">
        <f t="shared" si="80"/>
        <v>0</v>
      </c>
      <c r="EC110" s="4">
        <f t="shared" si="80"/>
        <v>0</v>
      </c>
      <c r="ED110" s="4">
        <f t="shared" si="80"/>
        <v>0</v>
      </c>
      <c r="EE110" s="4">
        <f t="shared" si="80"/>
        <v>0</v>
      </c>
      <c r="EF110" s="4">
        <f t="shared" si="80"/>
        <v>0</v>
      </c>
      <c r="EG110" s="4">
        <f t="shared" si="80"/>
        <v>0</v>
      </c>
      <c r="EH110" s="4">
        <f t="shared" si="80"/>
        <v>0</v>
      </c>
      <c r="EI110" s="4">
        <f t="shared" si="80"/>
        <v>0</v>
      </c>
      <c r="EJ110" s="4">
        <f t="shared" si="80"/>
        <v>0</v>
      </c>
      <c r="EK110" s="4">
        <f t="shared" si="80"/>
        <v>0</v>
      </c>
      <c r="EL110" s="4">
        <f t="shared" si="80"/>
        <v>0</v>
      </c>
      <c r="EM110" s="4">
        <f t="shared" ref="EM110:FR110" si="81">EM117</f>
        <v>0</v>
      </c>
      <c r="EN110" s="4">
        <f t="shared" si="81"/>
        <v>0</v>
      </c>
      <c r="EO110" s="4">
        <f t="shared" si="81"/>
        <v>0</v>
      </c>
      <c r="EP110" s="4">
        <f t="shared" si="81"/>
        <v>0</v>
      </c>
      <c r="EQ110" s="4">
        <f t="shared" si="81"/>
        <v>0</v>
      </c>
      <c r="ER110" s="4">
        <f t="shared" si="81"/>
        <v>0</v>
      </c>
      <c r="ES110" s="4">
        <f t="shared" si="81"/>
        <v>0</v>
      </c>
      <c r="ET110" s="4">
        <f t="shared" si="81"/>
        <v>0</v>
      </c>
      <c r="EU110" s="4">
        <f t="shared" si="81"/>
        <v>0</v>
      </c>
      <c r="EV110" s="4">
        <f t="shared" si="81"/>
        <v>0</v>
      </c>
      <c r="EW110" s="4">
        <f t="shared" si="81"/>
        <v>0</v>
      </c>
      <c r="EX110" s="4">
        <f t="shared" si="81"/>
        <v>0</v>
      </c>
      <c r="EY110" s="4">
        <f t="shared" si="81"/>
        <v>0</v>
      </c>
      <c r="EZ110" s="4">
        <f t="shared" si="81"/>
        <v>0</v>
      </c>
      <c r="FA110" s="4">
        <f t="shared" si="81"/>
        <v>0</v>
      </c>
      <c r="FB110" s="4">
        <f t="shared" si="81"/>
        <v>0</v>
      </c>
      <c r="FC110" s="4">
        <f t="shared" si="81"/>
        <v>0</v>
      </c>
      <c r="FD110" s="4">
        <f t="shared" si="81"/>
        <v>0</v>
      </c>
      <c r="FE110" s="4">
        <f t="shared" si="81"/>
        <v>0</v>
      </c>
      <c r="FF110" s="4">
        <f t="shared" si="81"/>
        <v>0</v>
      </c>
      <c r="FG110" s="4">
        <f t="shared" si="81"/>
        <v>0</v>
      </c>
      <c r="FH110" s="4">
        <f t="shared" si="81"/>
        <v>0</v>
      </c>
      <c r="FI110" s="4">
        <f t="shared" si="81"/>
        <v>0</v>
      </c>
      <c r="FJ110" s="4">
        <f t="shared" si="81"/>
        <v>0</v>
      </c>
      <c r="FK110" s="4">
        <f t="shared" si="81"/>
        <v>0</v>
      </c>
      <c r="FL110" s="4">
        <f t="shared" si="81"/>
        <v>0</v>
      </c>
      <c r="FM110" s="4">
        <f t="shared" si="81"/>
        <v>0</v>
      </c>
      <c r="FN110" s="4">
        <f t="shared" si="81"/>
        <v>0</v>
      </c>
      <c r="FO110" s="4">
        <f t="shared" si="81"/>
        <v>0</v>
      </c>
      <c r="FP110" s="4">
        <f t="shared" si="81"/>
        <v>0</v>
      </c>
      <c r="FQ110" s="4">
        <f t="shared" si="81"/>
        <v>0</v>
      </c>
      <c r="FR110" s="4">
        <f t="shared" si="81"/>
        <v>0</v>
      </c>
      <c r="FS110" s="4">
        <f t="shared" ref="FS110:GX110" si="82">FS117</f>
        <v>0</v>
      </c>
      <c r="FT110" s="4">
        <f t="shared" si="82"/>
        <v>0</v>
      </c>
      <c r="FU110" s="4">
        <f t="shared" si="82"/>
        <v>0</v>
      </c>
      <c r="FV110" s="4">
        <f t="shared" si="82"/>
        <v>0</v>
      </c>
      <c r="FW110" s="4">
        <f t="shared" si="82"/>
        <v>0</v>
      </c>
      <c r="FX110" s="4">
        <f t="shared" si="82"/>
        <v>0</v>
      </c>
      <c r="FY110" s="4">
        <f t="shared" si="82"/>
        <v>0</v>
      </c>
      <c r="FZ110" s="4">
        <f t="shared" si="82"/>
        <v>0</v>
      </c>
      <c r="GA110" s="4">
        <f t="shared" si="82"/>
        <v>0</v>
      </c>
      <c r="GB110" s="4">
        <f t="shared" si="82"/>
        <v>0</v>
      </c>
      <c r="GC110" s="4">
        <f t="shared" si="82"/>
        <v>0</v>
      </c>
      <c r="GD110" s="4">
        <f t="shared" si="82"/>
        <v>0</v>
      </c>
      <c r="GE110" s="4">
        <f t="shared" si="82"/>
        <v>0</v>
      </c>
      <c r="GF110" s="4">
        <f t="shared" si="82"/>
        <v>0</v>
      </c>
      <c r="GG110" s="4">
        <f t="shared" si="82"/>
        <v>0</v>
      </c>
      <c r="GH110" s="4">
        <f t="shared" si="82"/>
        <v>0</v>
      </c>
      <c r="GI110" s="4">
        <f t="shared" si="82"/>
        <v>0</v>
      </c>
      <c r="GJ110" s="4">
        <f t="shared" si="82"/>
        <v>0</v>
      </c>
      <c r="GK110" s="4">
        <f t="shared" si="82"/>
        <v>0</v>
      </c>
      <c r="GL110" s="4">
        <f t="shared" si="82"/>
        <v>0</v>
      </c>
      <c r="GM110" s="4">
        <f t="shared" si="82"/>
        <v>0</v>
      </c>
      <c r="GN110" s="4">
        <f t="shared" si="82"/>
        <v>0</v>
      </c>
      <c r="GO110" s="4">
        <f t="shared" si="82"/>
        <v>0</v>
      </c>
      <c r="GP110" s="4">
        <f t="shared" si="82"/>
        <v>0</v>
      </c>
      <c r="GQ110" s="4">
        <f t="shared" si="82"/>
        <v>0</v>
      </c>
      <c r="GR110" s="4">
        <f t="shared" si="82"/>
        <v>0</v>
      </c>
      <c r="GS110" s="4">
        <f t="shared" si="82"/>
        <v>0</v>
      </c>
      <c r="GT110" s="4">
        <f t="shared" si="82"/>
        <v>0</v>
      </c>
      <c r="GU110" s="4">
        <f t="shared" si="82"/>
        <v>0</v>
      </c>
      <c r="GV110" s="4">
        <f t="shared" si="82"/>
        <v>0</v>
      </c>
      <c r="GW110" s="4">
        <f t="shared" si="82"/>
        <v>0</v>
      </c>
      <c r="GX110" s="4">
        <f t="shared" si="82"/>
        <v>0</v>
      </c>
    </row>
    <row r="112" spans="1:255" x14ac:dyDescent="0.2">
      <c r="A112" s="2">
        <v>17</v>
      </c>
      <c r="B112" s="2">
        <v>1</v>
      </c>
      <c r="C112" s="2"/>
      <c r="D112" s="2">
        <f>ROW(EtalonRes!A15)</f>
        <v>15</v>
      </c>
      <c r="E112" s="2" t="s">
        <v>3</v>
      </c>
      <c r="F112" s="2" t="s">
        <v>97</v>
      </c>
      <c r="G112" s="2" t="s">
        <v>98</v>
      </c>
      <c r="H112" s="2" t="s">
        <v>19</v>
      </c>
      <c r="I112" s="2">
        <f>ROUND(89.42*1.75,9)</f>
        <v>156.48500000000001</v>
      </c>
      <c r="J112" s="2">
        <v>0</v>
      </c>
      <c r="K112" s="2">
        <f>ROUND(89.42*1.75,9)</f>
        <v>156.48500000000001</v>
      </c>
      <c r="L112" s="2"/>
      <c r="M112" s="2"/>
      <c r="N112" s="2"/>
      <c r="O112" s="2">
        <f>ROUND(CP112,2)</f>
        <v>7057.47</v>
      </c>
      <c r="P112" s="2">
        <f>ROUND((ROUND((AC112*AW112*I112),2)*BC112),2)</f>
        <v>0</v>
      </c>
      <c r="Q112" s="2">
        <f>(ROUND((ROUND(((ET112)*AV112*I112),2)*BB112),2)+ROUND((ROUND(((AE112-(EU112))*AV112*I112),2)*BS112),2))</f>
        <v>7057.47</v>
      </c>
      <c r="R112" s="2">
        <f>ROUND((ROUND((AE112*AV112*I112),2)*BS112),2)</f>
        <v>0</v>
      </c>
      <c r="S112" s="2">
        <f>ROUND((ROUND((AF112*AV112*I112),2)*BA112),2)</f>
        <v>0</v>
      </c>
      <c r="T112" s="2">
        <f>ROUND(CU112*I112,2)</f>
        <v>0</v>
      </c>
      <c r="U112" s="2">
        <f>CV112*I112</f>
        <v>0</v>
      </c>
      <c r="V112" s="2">
        <f>CW112*I112</f>
        <v>0</v>
      </c>
      <c r="W112" s="2">
        <f>ROUND(CX112*I112,2)</f>
        <v>0</v>
      </c>
      <c r="X112" s="2">
        <f t="shared" ref="X112:Y115" si="83">ROUND(CY112,2)</f>
        <v>0</v>
      </c>
      <c r="Y112" s="2">
        <f t="shared" si="83"/>
        <v>0</v>
      </c>
      <c r="Z112" s="2"/>
      <c r="AA112" s="2">
        <v>-1</v>
      </c>
      <c r="AB112" s="2">
        <f>ROUND((AC112+AD112+AF112),6)</f>
        <v>45.1</v>
      </c>
      <c r="AC112" s="2">
        <f>ROUND((ES112),6)</f>
        <v>0</v>
      </c>
      <c r="AD112" s="2">
        <f>ROUND((((ET112)-(EU112))+AE112),6)</f>
        <v>45.1</v>
      </c>
      <c r="AE112" s="2">
        <f t="shared" ref="AE112:AF115" si="84">ROUND((EU112),6)</f>
        <v>0</v>
      </c>
      <c r="AF112" s="2">
        <f t="shared" si="84"/>
        <v>0</v>
      </c>
      <c r="AG112" s="2">
        <f>ROUND((AP112),6)</f>
        <v>0</v>
      </c>
      <c r="AH112" s="2">
        <f t="shared" ref="AH112:AI115" si="85">(EW112)</f>
        <v>0</v>
      </c>
      <c r="AI112" s="2">
        <f t="shared" si="85"/>
        <v>0</v>
      </c>
      <c r="AJ112" s="2">
        <f>(AS112)</f>
        <v>0</v>
      </c>
      <c r="AK112" s="2">
        <v>45.1</v>
      </c>
      <c r="AL112" s="2">
        <v>0</v>
      </c>
      <c r="AM112" s="2">
        <v>45.1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1</v>
      </c>
      <c r="AW112" s="2">
        <v>1</v>
      </c>
      <c r="AX112" s="2"/>
      <c r="AY112" s="2"/>
      <c r="AZ112" s="2">
        <v>1</v>
      </c>
      <c r="BA112" s="2">
        <v>1</v>
      </c>
      <c r="BB112" s="2">
        <v>1</v>
      </c>
      <c r="BC112" s="2">
        <v>1</v>
      </c>
      <c r="BD112" s="2" t="s">
        <v>3</v>
      </c>
      <c r="BE112" s="2" t="s">
        <v>3</v>
      </c>
      <c r="BF112" s="2" t="s">
        <v>3</v>
      </c>
      <c r="BG112" s="2" t="s">
        <v>3</v>
      </c>
      <c r="BH112" s="2">
        <v>0</v>
      </c>
      <c r="BI112" s="2">
        <v>4</v>
      </c>
      <c r="BJ112" s="2" t="s">
        <v>99</v>
      </c>
      <c r="BK112" s="2"/>
      <c r="BL112" s="2"/>
      <c r="BM112" s="2">
        <v>1111</v>
      </c>
      <c r="BN112" s="2">
        <v>0</v>
      </c>
      <c r="BO112" s="2" t="s">
        <v>3</v>
      </c>
      <c r="BP112" s="2">
        <v>0</v>
      </c>
      <c r="BQ112" s="2">
        <v>150</v>
      </c>
      <c r="BR112" s="2">
        <v>0</v>
      </c>
      <c r="BS112" s="2">
        <v>1</v>
      </c>
      <c r="BT112" s="2">
        <v>1</v>
      </c>
      <c r="BU112" s="2">
        <v>1</v>
      </c>
      <c r="BV112" s="2">
        <v>1</v>
      </c>
      <c r="BW112" s="2">
        <v>1</v>
      </c>
      <c r="BX112" s="2">
        <v>1</v>
      </c>
      <c r="BY112" s="2" t="s">
        <v>3</v>
      </c>
      <c r="BZ112" s="2">
        <v>0</v>
      </c>
      <c r="CA112" s="2">
        <v>0</v>
      </c>
      <c r="CB112" s="2" t="s">
        <v>3</v>
      </c>
      <c r="CC112" s="2"/>
      <c r="CD112" s="2"/>
      <c r="CE112" s="2">
        <v>30</v>
      </c>
      <c r="CF112" s="2">
        <v>0</v>
      </c>
      <c r="CG112" s="2">
        <v>0</v>
      </c>
      <c r="CH112" s="2"/>
      <c r="CI112" s="2"/>
      <c r="CJ112" s="2"/>
      <c r="CK112" s="2"/>
      <c r="CL112" s="2"/>
      <c r="CM112" s="2">
        <v>0</v>
      </c>
      <c r="CN112" s="2" t="s">
        <v>3</v>
      </c>
      <c r="CO112" s="2">
        <v>0</v>
      </c>
      <c r="CP112" s="2">
        <f>(P112+Q112+S112)</f>
        <v>7057.47</v>
      </c>
      <c r="CQ112" s="2">
        <f>ROUND((ROUND((AC112*AW112*1),2)*BC112),2)</f>
        <v>0</v>
      </c>
      <c r="CR112" s="2">
        <f>(ROUND((ROUND(((ET112)*AV112*1),2)*BB112),2)+ROUND((ROUND(((AE112-(EU112))*AV112*1),2)*BS112),2))</f>
        <v>45.1</v>
      </c>
      <c r="CS112" s="2">
        <f>ROUND((ROUND((AE112*AV112*1),2)*BS112),2)</f>
        <v>0</v>
      </c>
      <c r="CT112" s="2">
        <f>ROUND((ROUND((AF112*AV112*1),2)*BA112),2)</f>
        <v>0</v>
      </c>
      <c r="CU112" s="2">
        <f>AG112</f>
        <v>0</v>
      </c>
      <c r="CV112" s="2">
        <f>(AH112*AV112)</f>
        <v>0</v>
      </c>
      <c r="CW112" s="2">
        <f t="shared" ref="CW112:CX115" si="86">AI112</f>
        <v>0</v>
      </c>
      <c r="CX112" s="2">
        <f t="shared" si="86"/>
        <v>0</v>
      </c>
      <c r="CY112" s="2">
        <f>((S112*BZ112)/100)</f>
        <v>0</v>
      </c>
      <c r="CZ112" s="2">
        <f>((S112*CA112)/100)</f>
        <v>0</v>
      </c>
      <c r="DA112" s="2"/>
      <c r="DB112" s="2"/>
      <c r="DC112" s="2" t="s">
        <v>3</v>
      </c>
      <c r="DD112" s="2" t="s">
        <v>3</v>
      </c>
      <c r="DE112" s="2" t="s">
        <v>3</v>
      </c>
      <c r="DF112" s="2" t="s">
        <v>3</v>
      </c>
      <c r="DG112" s="2" t="s">
        <v>3</v>
      </c>
      <c r="DH112" s="2" t="s">
        <v>3</v>
      </c>
      <c r="DI112" s="2" t="s">
        <v>3</v>
      </c>
      <c r="DJ112" s="2" t="s">
        <v>3</v>
      </c>
      <c r="DK112" s="2" t="s">
        <v>3</v>
      </c>
      <c r="DL112" s="2" t="s">
        <v>3</v>
      </c>
      <c r="DM112" s="2" t="s">
        <v>3</v>
      </c>
      <c r="DN112" s="2">
        <v>0</v>
      </c>
      <c r="DO112" s="2">
        <v>0</v>
      </c>
      <c r="DP112" s="2">
        <v>1</v>
      </c>
      <c r="DQ112" s="2">
        <v>1</v>
      </c>
      <c r="DR112" s="2"/>
      <c r="DS112" s="2"/>
      <c r="DT112" s="2"/>
      <c r="DU112" s="2">
        <v>1009</v>
      </c>
      <c r="DV112" s="2" t="s">
        <v>19</v>
      </c>
      <c r="DW112" s="2" t="s">
        <v>19</v>
      </c>
      <c r="DX112" s="2">
        <v>1000</v>
      </c>
      <c r="DY112" s="2"/>
      <c r="DZ112" s="2" t="s">
        <v>3</v>
      </c>
      <c r="EA112" s="2" t="s">
        <v>3</v>
      </c>
      <c r="EB112" s="2" t="s">
        <v>3</v>
      </c>
      <c r="EC112" s="2" t="s">
        <v>3</v>
      </c>
      <c r="ED112" s="2"/>
      <c r="EE112" s="2">
        <v>51697150</v>
      </c>
      <c r="EF112" s="2">
        <v>150</v>
      </c>
      <c r="EG112" s="2" t="s">
        <v>21</v>
      </c>
      <c r="EH112" s="2">
        <v>0</v>
      </c>
      <c r="EI112" s="2" t="s">
        <v>3</v>
      </c>
      <c r="EJ112" s="2">
        <v>4</v>
      </c>
      <c r="EK112" s="2">
        <v>1111</v>
      </c>
      <c r="EL112" s="2" t="s">
        <v>100</v>
      </c>
      <c r="EM112" s="2" t="s">
        <v>101</v>
      </c>
      <c r="EN112" s="2"/>
      <c r="EO112" s="2" t="s">
        <v>3</v>
      </c>
      <c r="EP112" s="2"/>
      <c r="EQ112" s="2">
        <v>132096</v>
      </c>
      <c r="ER112" s="2">
        <v>45.1</v>
      </c>
      <c r="ES112" s="2">
        <v>0</v>
      </c>
      <c r="ET112" s="2">
        <v>45.1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>
        <v>0</v>
      </c>
      <c r="FR112" s="2">
        <v>0</v>
      </c>
      <c r="FS112" s="2">
        <v>0</v>
      </c>
      <c r="FT112" s="2"/>
      <c r="FU112" s="2"/>
      <c r="FV112" s="2"/>
      <c r="FW112" s="2"/>
      <c r="FX112" s="2">
        <v>0</v>
      </c>
      <c r="FY112" s="2">
        <v>0</v>
      </c>
      <c r="FZ112" s="2"/>
      <c r="GA112" s="2" t="s">
        <v>3</v>
      </c>
      <c r="GB112" s="2"/>
      <c r="GC112" s="2"/>
      <c r="GD112" s="2">
        <v>1</v>
      </c>
      <c r="GE112" s="2"/>
      <c r="GF112" s="2">
        <v>-1114147576</v>
      </c>
      <c r="GG112" s="2">
        <v>2</v>
      </c>
      <c r="GH112" s="2">
        <v>1</v>
      </c>
      <c r="GI112" s="2">
        <v>-2</v>
      </c>
      <c r="GJ112" s="2">
        <v>0</v>
      </c>
      <c r="GK112" s="2">
        <v>0</v>
      </c>
      <c r="GL112" s="2">
        <f>ROUND(IF(AND(BH112=3,BI112=3,FS112&lt;&gt;0),P112,0),2)</f>
        <v>0</v>
      </c>
      <c r="GM112" s="2">
        <f>ROUND(O112+X112+Y112,2)+GX112</f>
        <v>7057.47</v>
      </c>
      <c r="GN112" s="2">
        <f>IF(OR(BI112=0,BI112=1),GM112-GX112,0)</f>
        <v>0</v>
      </c>
      <c r="GO112" s="2">
        <f>IF(BI112=2,GM112-GX112,0)</f>
        <v>0</v>
      </c>
      <c r="GP112" s="2">
        <f>IF(BI112=4,GM112-GX112,0)</f>
        <v>7057.47</v>
      </c>
      <c r="GQ112" s="2"/>
      <c r="GR112" s="2">
        <v>0</v>
      </c>
      <c r="GS112" s="2">
        <v>0</v>
      </c>
      <c r="GT112" s="2">
        <v>0</v>
      </c>
      <c r="GU112" s="2" t="s">
        <v>3</v>
      </c>
      <c r="GV112" s="2">
        <f>ROUND((GT112),6)</f>
        <v>0</v>
      </c>
      <c r="GW112" s="2">
        <v>1</v>
      </c>
      <c r="GX112" s="2">
        <f>ROUND(HC112*I112,2)</f>
        <v>0</v>
      </c>
      <c r="GY112" s="2"/>
      <c r="GZ112" s="2"/>
      <c r="HA112" s="2">
        <v>0</v>
      </c>
      <c r="HB112" s="2">
        <v>0</v>
      </c>
      <c r="HC112" s="2">
        <f>GV112*GW112</f>
        <v>0</v>
      </c>
      <c r="HD112" s="2"/>
      <c r="HE112" s="2" t="s">
        <v>3</v>
      </c>
      <c r="HF112" s="2" t="s">
        <v>3</v>
      </c>
      <c r="HG112" s="2"/>
      <c r="HH112" s="2"/>
      <c r="HI112" s="2"/>
      <c r="HJ112" s="2"/>
      <c r="HK112" s="2"/>
      <c r="HL112" s="2"/>
      <c r="HM112" s="2" t="s">
        <v>3</v>
      </c>
      <c r="HN112" s="2" t="s">
        <v>3</v>
      </c>
      <c r="HO112" s="2" t="s">
        <v>3</v>
      </c>
      <c r="HP112" s="2" t="s">
        <v>3</v>
      </c>
      <c r="HQ112" s="2" t="s">
        <v>3</v>
      </c>
      <c r="HR112" s="2"/>
      <c r="HS112" s="2">
        <v>0</v>
      </c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>
        <v>0</v>
      </c>
      <c r="IL112" s="2"/>
      <c r="IM112" s="2"/>
      <c r="IN112" s="2"/>
      <c r="IO112" s="2"/>
      <c r="IP112" s="2"/>
      <c r="IQ112" s="2"/>
      <c r="IR112" s="2"/>
      <c r="IS112" s="2"/>
      <c r="IT112" s="2"/>
      <c r="IU112" s="2"/>
    </row>
    <row r="113" spans="1:255" x14ac:dyDescent="0.2">
      <c r="A113">
        <v>17</v>
      </c>
      <c r="B113">
        <v>1</v>
      </c>
      <c r="D113">
        <f>ROW(EtalonRes!A16)</f>
        <v>16</v>
      </c>
      <c r="E113" t="s">
        <v>3</v>
      </c>
      <c r="F113" t="s">
        <v>97</v>
      </c>
      <c r="G113" t="s">
        <v>98</v>
      </c>
      <c r="H113" t="s">
        <v>19</v>
      </c>
      <c r="I113">
        <f>ROUND(89.42*1.75,9)</f>
        <v>156.48500000000001</v>
      </c>
      <c r="J113">
        <v>0</v>
      </c>
      <c r="K113">
        <f>ROUND(89.42*1.75,9)</f>
        <v>156.48500000000001</v>
      </c>
      <c r="O113">
        <f>ROUND(CP113,2)</f>
        <v>110449.41</v>
      </c>
      <c r="P113">
        <f>ROUND((ROUND((AC113*AW113*I113),2)*BC113),2)</f>
        <v>0</v>
      </c>
      <c r="Q113">
        <f>(ROUND((ROUND(((ET113)*AV113*I113),2)*BB113),2)+ROUND((ROUND(((AE113-(EU113))*AV113*I113),2)*BS113),2))</f>
        <v>110449.41</v>
      </c>
      <c r="R113">
        <f>ROUND((ROUND((AE113*AV113*I113),2)*BS113),2)</f>
        <v>0</v>
      </c>
      <c r="S113">
        <f>ROUND((ROUND((AF113*AV113*I113),2)*BA113),2)</f>
        <v>0</v>
      </c>
      <c r="T113">
        <f>ROUND(CU113*I113,2)</f>
        <v>0</v>
      </c>
      <c r="U113">
        <f>CV113*I113</f>
        <v>0</v>
      </c>
      <c r="V113">
        <f>CW113*I113</f>
        <v>0</v>
      </c>
      <c r="W113">
        <f>ROUND(CX113*I113,2)</f>
        <v>0</v>
      </c>
      <c r="X113">
        <f t="shared" si="83"/>
        <v>0</v>
      </c>
      <c r="Y113">
        <f t="shared" si="83"/>
        <v>0</v>
      </c>
      <c r="AA113">
        <v>-1</v>
      </c>
      <c r="AB113">
        <f>ROUND((AC113+AD113+AF113),6)</f>
        <v>45.1</v>
      </c>
      <c r="AC113">
        <f>ROUND((ES113),6)</f>
        <v>0</v>
      </c>
      <c r="AD113">
        <f>ROUND((((ET113)-(EU113))+AE113),6)</f>
        <v>45.1</v>
      </c>
      <c r="AE113">
        <f t="shared" si="84"/>
        <v>0</v>
      </c>
      <c r="AF113">
        <f t="shared" si="84"/>
        <v>0</v>
      </c>
      <c r="AG113">
        <f>ROUND((AP113),6)</f>
        <v>0</v>
      </c>
      <c r="AH113">
        <f t="shared" si="85"/>
        <v>0</v>
      </c>
      <c r="AI113">
        <f t="shared" si="85"/>
        <v>0</v>
      </c>
      <c r="AJ113">
        <f>(AS113)</f>
        <v>0</v>
      </c>
      <c r="AK113">
        <v>45.1</v>
      </c>
      <c r="AL113">
        <v>0</v>
      </c>
      <c r="AM113">
        <v>45.1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95</v>
      </c>
      <c r="AU113">
        <v>65</v>
      </c>
      <c r="AV113">
        <v>1</v>
      </c>
      <c r="AW113">
        <v>1</v>
      </c>
      <c r="AZ113">
        <v>1</v>
      </c>
      <c r="BA113">
        <v>1</v>
      </c>
      <c r="BB113">
        <v>15.65</v>
      </c>
      <c r="BC113">
        <v>1</v>
      </c>
      <c r="BD113" t="s">
        <v>3</v>
      </c>
      <c r="BE113" t="s">
        <v>3</v>
      </c>
      <c r="BF113" t="s">
        <v>3</v>
      </c>
      <c r="BG113" t="s">
        <v>3</v>
      </c>
      <c r="BH113">
        <v>0</v>
      </c>
      <c r="BI113">
        <v>4</v>
      </c>
      <c r="BJ113" t="s">
        <v>99</v>
      </c>
      <c r="BM113">
        <v>1111</v>
      </c>
      <c r="BN113">
        <v>0</v>
      </c>
      <c r="BO113" t="s">
        <v>97</v>
      </c>
      <c r="BP113">
        <v>1</v>
      </c>
      <c r="BQ113">
        <v>150</v>
      </c>
      <c r="BR113">
        <v>0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 t="s">
        <v>3</v>
      </c>
      <c r="BZ113">
        <v>95</v>
      </c>
      <c r="CA113">
        <v>65</v>
      </c>
      <c r="CB113" t="s">
        <v>3</v>
      </c>
      <c r="CE113">
        <v>30</v>
      </c>
      <c r="CF113">
        <v>0</v>
      </c>
      <c r="CG113">
        <v>0</v>
      </c>
      <c r="CM113">
        <v>0</v>
      </c>
      <c r="CN113" t="s">
        <v>3</v>
      </c>
      <c r="CO113">
        <v>0</v>
      </c>
      <c r="CP113">
        <f>(P113+Q113+S113)</f>
        <v>110449.41</v>
      </c>
      <c r="CQ113">
        <f>ROUND((ROUND((AC113*AW113*1),2)*BC113),2)</f>
        <v>0</v>
      </c>
      <c r="CR113">
        <f>(ROUND((ROUND(((ET113)*AV113*1),2)*BB113),2)+ROUND((ROUND(((AE113-(EU113))*AV113*1),2)*BS113),2))</f>
        <v>705.82</v>
      </c>
      <c r="CS113">
        <f>ROUND((ROUND((AE113*AV113*1),2)*BS113),2)</f>
        <v>0</v>
      </c>
      <c r="CT113">
        <f>ROUND((ROUND((AF113*AV113*1),2)*BA113),2)</f>
        <v>0</v>
      </c>
      <c r="CU113">
        <f>AG113</f>
        <v>0</v>
      </c>
      <c r="CV113">
        <f>(AH113*AV113)</f>
        <v>0</v>
      </c>
      <c r="CW113">
        <f t="shared" si="86"/>
        <v>0</v>
      </c>
      <c r="CX113">
        <f t="shared" si="86"/>
        <v>0</v>
      </c>
      <c r="CY113">
        <f>S113*(BZ113/100)</f>
        <v>0</v>
      </c>
      <c r="CZ113">
        <f>S113*(CA113/100)</f>
        <v>0</v>
      </c>
      <c r="DC113" t="s">
        <v>3</v>
      </c>
      <c r="DD113" t="s">
        <v>3</v>
      </c>
      <c r="DE113" t="s">
        <v>3</v>
      </c>
      <c r="DF113" t="s">
        <v>3</v>
      </c>
      <c r="DG113" t="s">
        <v>3</v>
      </c>
      <c r="DH113" t="s">
        <v>3</v>
      </c>
      <c r="DI113" t="s">
        <v>3</v>
      </c>
      <c r="DJ113" t="s">
        <v>3</v>
      </c>
      <c r="DK113" t="s">
        <v>3</v>
      </c>
      <c r="DL113" t="s">
        <v>3</v>
      </c>
      <c r="DM113" t="s">
        <v>3</v>
      </c>
      <c r="DN113">
        <v>0</v>
      </c>
      <c r="DO113">
        <v>0</v>
      </c>
      <c r="DP113">
        <v>1</v>
      </c>
      <c r="DQ113">
        <v>1</v>
      </c>
      <c r="DU113">
        <v>1009</v>
      </c>
      <c r="DV113" t="s">
        <v>19</v>
      </c>
      <c r="DW113" t="s">
        <v>19</v>
      </c>
      <c r="DX113">
        <v>1000</v>
      </c>
      <c r="DZ113" t="s">
        <v>3</v>
      </c>
      <c r="EA113" t="s">
        <v>3</v>
      </c>
      <c r="EB113" t="s">
        <v>3</v>
      </c>
      <c r="EC113" t="s">
        <v>3</v>
      </c>
      <c r="EE113">
        <v>51697150</v>
      </c>
      <c r="EF113">
        <v>150</v>
      </c>
      <c r="EG113" t="s">
        <v>21</v>
      </c>
      <c r="EH113">
        <v>0</v>
      </c>
      <c r="EI113" t="s">
        <v>3</v>
      </c>
      <c r="EJ113">
        <v>4</v>
      </c>
      <c r="EK113">
        <v>1111</v>
      </c>
      <c r="EL113" t="s">
        <v>100</v>
      </c>
      <c r="EM113" t="s">
        <v>101</v>
      </c>
      <c r="EO113" t="s">
        <v>3</v>
      </c>
      <c r="EQ113">
        <v>132096</v>
      </c>
      <c r="ER113">
        <v>45.1</v>
      </c>
      <c r="ES113">
        <v>0</v>
      </c>
      <c r="ET113">
        <v>45.1</v>
      </c>
      <c r="EU113">
        <v>0</v>
      </c>
      <c r="EV113">
        <v>0</v>
      </c>
      <c r="EW113">
        <v>0</v>
      </c>
      <c r="EX113">
        <v>0</v>
      </c>
      <c r="EY113">
        <v>0</v>
      </c>
      <c r="FQ113">
        <v>0</v>
      </c>
      <c r="FR113">
        <v>0</v>
      </c>
      <c r="FS113">
        <v>0</v>
      </c>
      <c r="FX113">
        <v>0</v>
      </c>
      <c r="FY113">
        <v>0</v>
      </c>
      <c r="GA113" t="s">
        <v>3</v>
      </c>
      <c r="GD113">
        <v>0</v>
      </c>
      <c r="GF113">
        <v>-1114147576</v>
      </c>
      <c r="GG113">
        <v>2</v>
      </c>
      <c r="GH113">
        <v>1</v>
      </c>
      <c r="GI113">
        <v>2</v>
      </c>
      <c r="GJ113">
        <v>0</v>
      </c>
      <c r="GK113">
        <f>ROUND(R113*(S12)/100,2)</f>
        <v>0</v>
      </c>
      <c r="GL113">
        <f>ROUND(IF(AND(BH113=3,BI113=3,FS113&lt;&gt;0),P113,0),2)</f>
        <v>0</v>
      </c>
      <c r="GM113">
        <f>ROUND(O113+X113+Y113+GK113,2)+GX113</f>
        <v>110449.41</v>
      </c>
      <c r="GN113">
        <f>IF(OR(BI113=0,BI113=1),GM113-GX113,0)</f>
        <v>0</v>
      </c>
      <c r="GO113">
        <f>IF(BI113=2,GM113-GX113,0)</f>
        <v>0</v>
      </c>
      <c r="GP113">
        <f>IF(BI113=4,GM113-GX113,0)</f>
        <v>110449.41</v>
      </c>
      <c r="GR113">
        <v>0</v>
      </c>
      <c r="GS113">
        <v>3</v>
      </c>
      <c r="GT113">
        <v>0</v>
      </c>
      <c r="GU113" t="s">
        <v>3</v>
      </c>
      <c r="GV113">
        <f>ROUND((GT113),6)</f>
        <v>0</v>
      </c>
      <c r="GW113">
        <v>1</v>
      </c>
      <c r="GX113">
        <f>ROUND(HC113*I113,2)</f>
        <v>0</v>
      </c>
      <c r="HA113">
        <v>0</v>
      </c>
      <c r="HB113">
        <v>0</v>
      </c>
      <c r="HC113">
        <f>GV113*GW113</f>
        <v>0</v>
      </c>
      <c r="HE113" t="s">
        <v>3</v>
      </c>
      <c r="HF113" t="s">
        <v>3</v>
      </c>
      <c r="HM113" t="s">
        <v>3</v>
      </c>
      <c r="HN113" t="s">
        <v>3</v>
      </c>
      <c r="HO113" t="s">
        <v>3</v>
      </c>
      <c r="HP113" t="s">
        <v>3</v>
      </c>
      <c r="HQ113" t="s">
        <v>3</v>
      </c>
      <c r="HS113">
        <v>0</v>
      </c>
      <c r="IK113">
        <v>0</v>
      </c>
    </row>
    <row r="114" spans="1:255" x14ac:dyDescent="0.2">
      <c r="A114" s="2">
        <v>17</v>
      </c>
      <c r="B114" s="2">
        <v>1</v>
      </c>
      <c r="C114" s="2"/>
      <c r="D114" s="2">
        <f>ROW(EtalonRes!A17)</f>
        <v>17</v>
      </c>
      <c r="E114" s="2" t="s">
        <v>3</v>
      </c>
      <c r="F114" s="2" t="s">
        <v>103</v>
      </c>
      <c r="G114" s="2" t="s">
        <v>104</v>
      </c>
      <c r="H114" s="2" t="s">
        <v>27</v>
      </c>
      <c r="I114" s="2">
        <f>ROUND(I112,9)</f>
        <v>156.48500000000001</v>
      </c>
      <c r="J114" s="2">
        <v>0</v>
      </c>
      <c r="K114" s="2">
        <f>ROUND(I112,9)</f>
        <v>156.48500000000001</v>
      </c>
      <c r="L114" s="2"/>
      <c r="M114" s="2"/>
      <c r="N114" s="2"/>
      <c r="O114" s="2">
        <f>ROUND(CP114,2)</f>
        <v>1973.28</v>
      </c>
      <c r="P114" s="2">
        <f>ROUND((ROUND((AC114*AW114*I114),2)*BC114),2)</f>
        <v>0</v>
      </c>
      <c r="Q114" s="2">
        <f>(ROUND((ROUND(((ET114)*AV114*I114),2)*BB114),2)+ROUND((ROUND(((AE114-(EU114))*AV114*I114),2)*BS114),2))</f>
        <v>1973.28</v>
      </c>
      <c r="R114" s="2">
        <f>ROUND((ROUND((AE114*AV114*I114),2)*BS114),2)</f>
        <v>0</v>
      </c>
      <c r="S114" s="2">
        <f>ROUND((ROUND((AF114*AV114*I114),2)*BA114),2)</f>
        <v>0</v>
      </c>
      <c r="T114" s="2">
        <f>ROUND(CU114*I114,2)</f>
        <v>0</v>
      </c>
      <c r="U114" s="2">
        <f>CV114*I114</f>
        <v>0</v>
      </c>
      <c r="V114" s="2">
        <f>CW114*I114</f>
        <v>0</v>
      </c>
      <c r="W114" s="2">
        <f>ROUND(CX114*I114,2)</f>
        <v>0</v>
      </c>
      <c r="X114" s="2">
        <f t="shared" si="83"/>
        <v>0</v>
      </c>
      <c r="Y114" s="2">
        <f t="shared" si="83"/>
        <v>0</v>
      </c>
      <c r="Z114" s="2"/>
      <c r="AA114" s="2">
        <v>-1</v>
      </c>
      <c r="AB114" s="2">
        <f>ROUND((AC114+AD114+AF114),6)</f>
        <v>12.61</v>
      </c>
      <c r="AC114" s="2">
        <f>ROUND((ES114),6)</f>
        <v>0</v>
      </c>
      <c r="AD114" s="2">
        <f>ROUND((((ET114)-(EU114))+AE114),6)</f>
        <v>12.61</v>
      </c>
      <c r="AE114" s="2">
        <f t="shared" si="84"/>
        <v>0</v>
      </c>
      <c r="AF114" s="2">
        <f t="shared" si="84"/>
        <v>0</v>
      </c>
      <c r="AG114" s="2">
        <f>ROUND((AP114),6)</f>
        <v>0</v>
      </c>
      <c r="AH114" s="2">
        <f t="shared" si="85"/>
        <v>0</v>
      </c>
      <c r="AI114" s="2">
        <f t="shared" si="85"/>
        <v>0</v>
      </c>
      <c r="AJ114" s="2">
        <f>(AS114)</f>
        <v>0</v>
      </c>
      <c r="AK114" s="2">
        <v>12.61</v>
      </c>
      <c r="AL114" s="2">
        <v>0</v>
      </c>
      <c r="AM114" s="2">
        <v>12.61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1</v>
      </c>
      <c r="AW114" s="2">
        <v>1</v>
      </c>
      <c r="AX114" s="2"/>
      <c r="AY114" s="2"/>
      <c r="AZ114" s="2">
        <v>1</v>
      </c>
      <c r="BA114" s="2">
        <v>1</v>
      </c>
      <c r="BB114" s="2">
        <v>1</v>
      </c>
      <c r="BC114" s="2">
        <v>1</v>
      </c>
      <c r="BD114" s="2" t="s">
        <v>3</v>
      </c>
      <c r="BE114" s="2" t="s">
        <v>3</v>
      </c>
      <c r="BF114" s="2" t="s">
        <v>3</v>
      </c>
      <c r="BG114" s="2" t="s">
        <v>3</v>
      </c>
      <c r="BH114" s="2">
        <v>0</v>
      </c>
      <c r="BI114" s="2">
        <v>4</v>
      </c>
      <c r="BJ114" s="2" t="s">
        <v>105</v>
      </c>
      <c r="BK114" s="2"/>
      <c r="BL114" s="2"/>
      <c r="BM114" s="2">
        <v>1113</v>
      </c>
      <c r="BN114" s="2">
        <v>0</v>
      </c>
      <c r="BO114" s="2" t="s">
        <v>3</v>
      </c>
      <c r="BP114" s="2">
        <v>0</v>
      </c>
      <c r="BQ114" s="2">
        <v>150</v>
      </c>
      <c r="BR114" s="2">
        <v>0</v>
      </c>
      <c r="BS114" s="2">
        <v>1</v>
      </c>
      <c r="BT114" s="2">
        <v>1</v>
      </c>
      <c r="BU114" s="2">
        <v>1</v>
      </c>
      <c r="BV114" s="2">
        <v>1</v>
      </c>
      <c r="BW114" s="2">
        <v>1</v>
      </c>
      <c r="BX114" s="2">
        <v>1</v>
      </c>
      <c r="BY114" s="2" t="s">
        <v>3</v>
      </c>
      <c r="BZ114" s="2">
        <v>0</v>
      </c>
      <c r="CA114" s="2">
        <v>0</v>
      </c>
      <c r="CB114" s="2" t="s">
        <v>3</v>
      </c>
      <c r="CC114" s="2"/>
      <c r="CD114" s="2"/>
      <c r="CE114" s="2">
        <v>30</v>
      </c>
      <c r="CF114" s="2">
        <v>0</v>
      </c>
      <c r="CG114" s="2">
        <v>0</v>
      </c>
      <c r="CH114" s="2"/>
      <c r="CI114" s="2"/>
      <c r="CJ114" s="2"/>
      <c r="CK114" s="2"/>
      <c r="CL114" s="2"/>
      <c r="CM114" s="2">
        <v>0</v>
      </c>
      <c r="CN114" s="2" t="s">
        <v>3</v>
      </c>
      <c r="CO114" s="2">
        <v>0</v>
      </c>
      <c r="CP114" s="2">
        <f>(P114+Q114+S114)</f>
        <v>1973.28</v>
      </c>
      <c r="CQ114" s="2">
        <f>ROUND((ROUND((AC114*AW114*1),2)*BC114),2)</f>
        <v>0</v>
      </c>
      <c r="CR114" s="2">
        <f>(ROUND((ROUND(((ET114)*AV114*1),2)*BB114),2)+ROUND((ROUND(((AE114-(EU114))*AV114*1),2)*BS114),2))</f>
        <v>12.61</v>
      </c>
      <c r="CS114" s="2">
        <f>ROUND((ROUND((AE114*AV114*1),2)*BS114),2)</f>
        <v>0</v>
      </c>
      <c r="CT114" s="2">
        <f>ROUND((ROUND((AF114*AV114*1),2)*BA114),2)</f>
        <v>0</v>
      </c>
      <c r="CU114" s="2">
        <f>AG114</f>
        <v>0</v>
      </c>
      <c r="CV114" s="2">
        <f>(AH114*AV114)</f>
        <v>0</v>
      </c>
      <c r="CW114" s="2">
        <f t="shared" si="86"/>
        <v>0</v>
      </c>
      <c r="CX114" s="2">
        <f t="shared" si="86"/>
        <v>0</v>
      </c>
      <c r="CY114" s="2">
        <f>((S114*BZ114)/100)</f>
        <v>0</v>
      </c>
      <c r="CZ114" s="2">
        <f>((S114*CA114)/100)</f>
        <v>0</v>
      </c>
      <c r="DA114" s="2"/>
      <c r="DB114" s="2"/>
      <c r="DC114" s="2" t="s">
        <v>3</v>
      </c>
      <c r="DD114" s="2" t="s">
        <v>3</v>
      </c>
      <c r="DE114" s="2" t="s">
        <v>3</v>
      </c>
      <c r="DF114" s="2" t="s">
        <v>3</v>
      </c>
      <c r="DG114" s="2" t="s">
        <v>3</v>
      </c>
      <c r="DH114" s="2" t="s">
        <v>3</v>
      </c>
      <c r="DI114" s="2" t="s">
        <v>3</v>
      </c>
      <c r="DJ114" s="2" t="s">
        <v>3</v>
      </c>
      <c r="DK114" s="2" t="s">
        <v>3</v>
      </c>
      <c r="DL114" s="2" t="s">
        <v>3</v>
      </c>
      <c r="DM114" s="2" t="s">
        <v>3</v>
      </c>
      <c r="DN114" s="2">
        <v>0</v>
      </c>
      <c r="DO114" s="2">
        <v>0</v>
      </c>
      <c r="DP114" s="2">
        <v>1</v>
      </c>
      <c r="DQ114" s="2">
        <v>1</v>
      </c>
      <c r="DR114" s="2"/>
      <c r="DS114" s="2"/>
      <c r="DT114" s="2"/>
      <c r="DU114" s="2">
        <v>1013</v>
      </c>
      <c r="DV114" s="2" t="s">
        <v>27</v>
      </c>
      <c r="DW114" s="2" t="s">
        <v>27</v>
      </c>
      <c r="DX114" s="2">
        <v>1</v>
      </c>
      <c r="DY114" s="2"/>
      <c r="DZ114" s="2" t="s">
        <v>3</v>
      </c>
      <c r="EA114" s="2" t="s">
        <v>3</v>
      </c>
      <c r="EB114" s="2" t="s">
        <v>3</v>
      </c>
      <c r="EC114" s="2" t="s">
        <v>3</v>
      </c>
      <c r="ED114" s="2"/>
      <c r="EE114" s="2">
        <v>51697152</v>
      </c>
      <c r="EF114" s="2">
        <v>150</v>
      </c>
      <c r="EG114" s="2" t="s">
        <v>21</v>
      </c>
      <c r="EH114" s="2">
        <v>0</v>
      </c>
      <c r="EI114" s="2" t="s">
        <v>3</v>
      </c>
      <c r="EJ114" s="2">
        <v>4</v>
      </c>
      <c r="EK114" s="2">
        <v>1113</v>
      </c>
      <c r="EL114" s="2" t="s">
        <v>22</v>
      </c>
      <c r="EM114" s="2" t="s">
        <v>23</v>
      </c>
      <c r="EN114" s="2"/>
      <c r="EO114" s="2" t="s">
        <v>3</v>
      </c>
      <c r="EP114" s="2"/>
      <c r="EQ114" s="2">
        <v>132096</v>
      </c>
      <c r="ER114" s="2">
        <v>12.61</v>
      </c>
      <c r="ES114" s="2">
        <v>0</v>
      </c>
      <c r="ET114" s="2">
        <v>12.61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>
        <v>0</v>
      </c>
      <c r="FR114" s="2">
        <v>0</v>
      </c>
      <c r="FS114" s="2">
        <v>0</v>
      </c>
      <c r="FT114" s="2"/>
      <c r="FU114" s="2"/>
      <c r="FV114" s="2"/>
      <c r="FW114" s="2"/>
      <c r="FX114" s="2">
        <v>0</v>
      </c>
      <c r="FY114" s="2">
        <v>0</v>
      </c>
      <c r="FZ114" s="2"/>
      <c r="GA114" s="2" t="s">
        <v>3</v>
      </c>
      <c r="GB114" s="2"/>
      <c r="GC114" s="2"/>
      <c r="GD114" s="2">
        <v>1</v>
      </c>
      <c r="GE114" s="2"/>
      <c r="GF114" s="2">
        <v>1823831914</v>
      </c>
      <c r="GG114" s="2">
        <v>2</v>
      </c>
      <c r="GH114" s="2">
        <v>1</v>
      </c>
      <c r="GI114" s="2">
        <v>-2</v>
      </c>
      <c r="GJ114" s="2">
        <v>0</v>
      </c>
      <c r="GK114" s="2">
        <v>0</v>
      </c>
      <c r="GL114" s="2">
        <f>ROUND(IF(AND(BH114=3,BI114=3,FS114&lt;&gt;0),P114,0),2)</f>
        <v>0</v>
      </c>
      <c r="GM114" s="2">
        <f>ROUND(O114+X114+Y114,2)+GX114</f>
        <v>1973.28</v>
      </c>
      <c r="GN114" s="2">
        <f>IF(OR(BI114=0,BI114=1),GM114-GX114,0)</f>
        <v>0</v>
      </c>
      <c r="GO114" s="2">
        <f>IF(BI114=2,GM114-GX114,0)</f>
        <v>0</v>
      </c>
      <c r="GP114" s="2">
        <f>IF(BI114=4,GM114-GX114,0)</f>
        <v>1973.28</v>
      </c>
      <c r="GQ114" s="2"/>
      <c r="GR114" s="2">
        <v>0</v>
      </c>
      <c r="GS114" s="2">
        <v>0</v>
      </c>
      <c r="GT114" s="2">
        <v>0</v>
      </c>
      <c r="GU114" s="2" t="s">
        <v>3</v>
      </c>
      <c r="GV114" s="2">
        <f>ROUND((GT114),6)</f>
        <v>0</v>
      </c>
      <c r="GW114" s="2">
        <v>1</v>
      </c>
      <c r="GX114" s="2">
        <f>ROUND(HC114*I114,2)</f>
        <v>0</v>
      </c>
      <c r="GY114" s="2"/>
      <c r="GZ114" s="2"/>
      <c r="HA114" s="2">
        <v>0</v>
      </c>
      <c r="HB114" s="2">
        <v>0</v>
      </c>
      <c r="HC114" s="2">
        <f>GV114*GW114</f>
        <v>0</v>
      </c>
      <c r="HD114" s="2"/>
      <c r="HE114" s="2" t="s">
        <v>3</v>
      </c>
      <c r="HF114" s="2" t="s">
        <v>3</v>
      </c>
      <c r="HG114" s="2"/>
      <c r="HH114" s="2"/>
      <c r="HI114" s="2"/>
      <c r="HJ114" s="2"/>
      <c r="HK114" s="2"/>
      <c r="HL114" s="2"/>
      <c r="HM114" s="2" t="s">
        <v>3</v>
      </c>
      <c r="HN114" s="2" t="s">
        <v>3</v>
      </c>
      <c r="HO114" s="2" t="s">
        <v>3</v>
      </c>
      <c r="HP114" s="2" t="s">
        <v>3</v>
      </c>
      <c r="HQ114" s="2" t="s">
        <v>3</v>
      </c>
      <c r="HR114" s="2"/>
      <c r="HS114" s="2">
        <v>0</v>
      </c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>
        <v>0</v>
      </c>
      <c r="IL114" s="2"/>
      <c r="IM114" s="2"/>
      <c r="IN114" s="2"/>
      <c r="IO114" s="2"/>
      <c r="IP114" s="2"/>
      <c r="IQ114" s="2"/>
      <c r="IR114" s="2"/>
      <c r="IS114" s="2"/>
      <c r="IT114" s="2"/>
      <c r="IU114" s="2"/>
    </row>
    <row r="115" spans="1:255" x14ac:dyDescent="0.2">
      <c r="A115">
        <v>17</v>
      </c>
      <c r="B115">
        <v>1</v>
      </c>
      <c r="D115">
        <f>ROW(EtalonRes!A18)</f>
        <v>18</v>
      </c>
      <c r="E115" t="s">
        <v>3</v>
      </c>
      <c r="F115" t="s">
        <v>103</v>
      </c>
      <c r="G115" t="s">
        <v>104</v>
      </c>
      <c r="H115" t="s">
        <v>27</v>
      </c>
      <c r="I115">
        <f>ROUND(I113,9)</f>
        <v>156.48500000000001</v>
      </c>
      <c r="J115">
        <v>0</v>
      </c>
      <c r="K115">
        <f>ROUND(I113,9)</f>
        <v>156.48500000000001</v>
      </c>
      <c r="O115">
        <f>ROUND(CP115,2)</f>
        <v>26165.69</v>
      </c>
      <c r="P115">
        <f>ROUND((ROUND((AC115*AW115*I115),2)*BC115),2)</f>
        <v>0</v>
      </c>
      <c r="Q115">
        <f>(ROUND((ROUND(((ET115)*AV115*I115),2)*BB115),2)+ROUND((ROUND(((AE115-(EU115))*AV115*I115),2)*BS115),2))</f>
        <v>26165.69</v>
      </c>
      <c r="R115">
        <f>ROUND((ROUND((AE115*AV115*I115),2)*BS115),2)</f>
        <v>0</v>
      </c>
      <c r="S115">
        <f>ROUND((ROUND((AF115*AV115*I115),2)*BA115),2)</f>
        <v>0</v>
      </c>
      <c r="T115">
        <f>ROUND(CU115*I115,2)</f>
        <v>0</v>
      </c>
      <c r="U115">
        <f>CV115*I115</f>
        <v>0</v>
      </c>
      <c r="V115">
        <f>CW115*I115</f>
        <v>0</v>
      </c>
      <c r="W115">
        <f>ROUND(CX115*I115,2)</f>
        <v>0</v>
      </c>
      <c r="X115">
        <f t="shared" si="83"/>
        <v>0</v>
      </c>
      <c r="Y115">
        <f t="shared" si="83"/>
        <v>0</v>
      </c>
      <c r="AA115">
        <v>-1</v>
      </c>
      <c r="AB115">
        <f>ROUND((AC115+AD115+AF115),6)</f>
        <v>12.61</v>
      </c>
      <c r="AC115">
        <f>ROUND((ES115),6)</f>
        <v>0</v>
      </c>
      <c r="AD115">
        <f>ROUND((((ET115)-(EU115))+AE115),6)</f>
        <v>12.61</v>
      </c>
      <c r="AE115">
        <f t="shared" si="84"/>
        <v>0</v>
      </c>
      <c r="AF115">
        <f t="shared" si="84"/>
        <v>0</v>
      </c>
      <c r="AG115">
        <f>ROUND((AP115),6)</f>
        <v>0</v>
      </c>
      <c r="AH115">
        <f t="shared" si="85"/>
        <v>0</v>
      </c>
      <c r="AI115">
        <f t="shared" si="85"/>
        <v>0</v>
      </c>
      <c r="AJ115">
        <f>(AS115)</f>
        <v>0</v>
      </c>
      <c r="AK115">
        <v>12.61</v>
      </c>
      <c r="AL115">
        <v>0</v>
      </c>
      <c r="AM115">
        <v>12.61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95</v>
      </c>
      <c r="AU115">
        <v>65</v>
      </c>
      <c r="AV115">
        <v>1</v>
      </c>
      <c r="AW115">
        <v>1</v>
      </c>
      <c r="AZ115">
        <v>1</v>
      </c>
      <c r="BA115">
        <v>1</v>
      </c>
      <c r="BB115">
        <v>13.26</v>
      </c>
      <c r="BC115">
        <v>1</v>
      </c>
      <c r="BD115" t="s">
        <v>3</v>
      </c>
      <c r="BE115" t="s">
        <v>3</v>
      </c>
      <c r="BF115" t="s">
        <v>3</v>
      </c>
      <c r="BG115" t="s">
        <v>3</v>
      </c>
      <c r="BH115">
        <v>0</v>
      </c>
      <c r="BI115">
        <v>4</v>
      </c>
      <c r="BJ115" t="s">
        <v>105</v>
      </c>
      <c r="BM115">
        <v>1113</v>
      </c>
      <c r="BN115">
        <v>0</v>
      </c>
      <c r="BO115" t="s">
        <v>103</v>
      </c>
      <c r="BP115">
        <v>1</v>
      </c>
      <c r="BQ115">
        <v>150</v>
      </c>
      <c r="BR115">
        <v>0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 t="s">
        <v>3</v>
      </c>
      <c r="BZ115">
        <v>95</v>
      </c>
      <c r="CA115">
        <v>65</v>
      </c>
      <c r="CB115" t="s">
        <v>3</v>
      </c>
      <c r="CE115">
        <v>30</v>
      </c>
      <c r="CF115">
        <v>0</v>
      </c>
      <c r="CG115">
        <v>0</v>
      </c>
      <c r="CM115">
        <v>0</v>
      </c>
      <c r="CN115" t="s">
        <v>3</v>
      </c>
      <c r="CO115">
        <v>0</v>
      </c>
      <c r="CP115">
        <f>(P115+Q115+S115)</f>
        <v>26165.69</v>
      </c>
      <c r="CQ115">
        <f>ROUND((ROUND((AC115*AW115*1),2)*BC115),2)</f>
        <v>0</v>
      </c>
      <c r="CR115">
        <f>(ROUND((ROUND(((ET115)*AV115*1),2)*BB115),2)+ROUND((ROUND(((AE115-(EU115))*AV115*1),2)*BS115),2))</f>
        <v>167.21</v>
      </c>
      <c r="CS115">
        <f>ROUND((ROUND((AE115*AV115*1),2)*BS115),2)</f>
        <v>0</v>
      </c>
      <c r="CT115">
        <f>ROUND((ROUND((AF115*AV115*1),2)*BA115),2)</f>
        <v>0</v>
      </c>
      <c r="CU115">
        <f>AG115</f>
        <v>0</v>
      </c>
      <c r="CV115">
        <f>(AH115*AV115)</f>
        <v>0</v>
      </c>
      <c r="CW115">
        <f t="shared" si="86"/>
        <v>0</v>
      </c>
      <c r="CX115">
        <f t="shared" si="86"/>
        <v>0</v>
      </c>
      <c r="CY115">
        <f>S115*(BZ115/100)</f>
        <v>0</v>
      </c>
      <c r="CZ115">
        <f>S115*(CA115/100)</f>
        <v>0</v>
      </c>
      <c r="DC115" t="s">
        <v>3</v>
      </c>
      <c r="DD115" t="s">
        <v>3</v>
      </c>
      <c r="DE115" t="s">
        <v>3</v>
      </c>
      <c r="DF115" t="s">
        <v>3</v>
      </c>
      <c r="DG115" t="s">
        <v>3</v>
      </c>
      <c r="DH115" t="s">
        <v>3</v>
      </c>
      <c r="DI115" t="s">
        <v>3</v>
      </c>
      <c r="DJ115" t="s">
        <v>3</v>
      </c>
      <c r="DK115" t="s">
        <v>3</v>
      </c>
      <c r="DL115" t="s">
        <v>3</v>
      </c>
      <c r="DM115" t="s">
        <v>3</v>
      </c>
      <c r="DN115">
        <v>0</v>
      </c>
      <c r="DO115">
        <v>0</v>
      </c>
      <c r="DP115">
        <v>1</v>
      </c>
      <c r="DQ115">
        <v>1</v>
      </c>
      <c r="DU115">
        <v>1013</v>
      </c>
      <c r="DV115" t="s">
        <v>27</v>
      </c>
      <c r="DW115" t="s">
        <v>27</v>
      </c>
      <c r="DX115">
        <v>1</v>
      </c>
      <c r="DZ115" t="s">
        <v>3</v>
      </c>
      <c r="EA115" t="s">
        <v>3</v>
      </c>
      <c r="EB115" t="s">
        <v>3</v>
      </c>
      <c r="EC115" t="s">
        <v>3</v>
      </c>
      <c r="EE115">
        <v>51697152</v>
      </c>
      <c r="EF115">
        <v>150</v>
      </c>
      <c r="EG115" t="s">
        <v>21</v>
      </c>
      <c r="EH115">
        <v>0</v>
      </c>
      <c r="EI115" t="s">
        <v>3</v>
      </c>
      <c r="EJ115">
        <v>4</v>
      </c>
      <c r="EK115">
        <v>1113</v>
      </c>
      <c r="EL115" t="s">
        <v>22</v>
      </c>
      <c r="EM115" t="s">
        <v>23</v>
      </c>
      <c r="EO115" t="s">
        <v>3</v>
      </c>
      <c r="EQ115">
        <v>132096</v>
      </c>
      <c r="ER115">
        <v>12.61</v>
      </c>
      <c r="ES115">
        <v>0</v>
      </c>
      <c r="ET115">
        <v>12.61</v>
      </c>
      <c r="EU115">
        <v>0</v>
      </c>
      <c r="EV115">
        <v>0</v>
      </c>
      <c r="EW115">
        <v>0</v>
      </c>
      <c r="EX115">
        <v>0</v>
      </c>
      <c r="EY115">
        <v>0</v>
      </c>
      <c r="FQ115">
        <v>0</v>
      </c>
      <c r="FR115">
        <v>0</v>
      </c>
      <c r="FS115">
        <v>0</v>
      </c>
      <c r="FX115">
        <v>0</v>
      </c>
      <c r="FY115">
        <v>0</v>
      </c>
      <c r="GA115" t="s">
        <v>3</v>
      </c>
      <c r="GD115">
        <v>0</v>
      </c>
      <c r="GF115">
        <v>1823831914</v>
      </c>
      <c r="GG115">
        <v>2</v>
      </c>
      <c r="GH115">
        <v>1</v>
      </c>
      <c r="GI115">
        <v>2</v>
      </c>
      <c r="GJ115">
        <v>0</v>
      </c>
      <c r="GK115">
        <f>ROUND(R115*(S12)/100,2)</f>
        <v>0</v>
      </c>
      <c r="GL115">
        <f>ROUND(IF(AND(BH115=3,BI115=3,FS115&lt;&gt;0),P115,0),2)</f>
        <v>0</v>
      </c>
      <c r="GM115">
        <f>ROUND(O115+X115+Y115+GK115,2)+GX115</f>
        <v>26165.69</v>
      </c>
      <c r="GN115">
        <f>IF(OR(BI115=0,BI115=1),GM115-GX115,0)</f>
        <v>0</v>
      </c>
      <c r="GO115">
        <f>IF(BI115=2,GM115-GX115,0)</f>
        <v>0</v>
      </c>
      <c r="GP115">
        <f>IF(BI115=4,GM115-GX115,0)</f>
        <v>26165.69</v>
      </c>
      <c r="GR115">
        <v>0</v>
      </c>
      <c r="GS115">
        <v>3</v>
      </c>
      <c r="GT115">
        <v>0</v>
      </c>
      <c r="GU115" t="s">
        <v>3</v>
      </c>
      <c r="GV115">
        <f>ROUND((GT115),6)</f>
        <v>0</v>
      </c>
      <c r="GW115">
        <v>1</v>
      </c>
      <c r="GX115">
        <f>ROUND(HC115*I115,2)</f>
        <v>0</v>
      </c>
      <c r="HA115">
        <v>0</v>
      </c>
      <c r="HB115">
        <v>0</v>
      </c>
      <c r="HC115">
        <f>GV115*GW115</f>
        <v>0</v>
      </c>
      <c r="HE115" t="s">
        <v>3</v>
      </c>
      <c r="HF115" t="s">
        <v>3</v>
      </c>
      <c r="HM115" t="s">
        <v>3</v>
      </c>
      <c r="HN115" t="s">
        <v>3</v>
      </c>
      <c r="HO115" t="s">
        <v>3</v>
      </c>
      <c r="HP115" t="s">
        <v>3</v>
      </c>
      <c r="HQ115" t="s">
        <v>3</v>
      </c>
      <c r="HS115">
        <v>0</v>
      </c>
      <c r="IK115">
        <v>0</v>
      </c>
    </row>
    <row r="117" spans="1:255" x14ac:dyDescent="0.2">
      <c r="A117" s="3">
        <v>51</v>
      </c>
      <c r="B117" s="3">
        <f>B108</f>
        <v>1</v>
      </c>
      <c r="C117" s="3">
        <f>A108</f>
        <v>4</v>
      </c>
      <c r="D117" s="3">
        <f>ROW(A108)</f>
        <v>108</v>
      </c>
      <c r="E117" s="3"/>
      <c r="F117" s="3" t="str">
        <f>IF(F108&lt;&gt;"",F108,"")</f>
        <v>Новый раздел</v>
      </c>
      <c r="G117" s="3" t="str">
        <f>IF(G108&lt;&gt;"",G108,"")</f>
        <v>ТП</v>
      </c>
      <c r="H117" s="3">
        <v>0</v>
      </c>
      <c r="I117" s="3"/>
      <c r="J117" s="3"/>
      <c r="K117" s="3"/>
      <c r="L117" s="3"/>
      <c r="M117" s="3"/>
      <c r="N117" s="3"/>
      <c r="O117" s="3">
        <f t="shared" ref="O117:T117" si="87">ROUND(AB117,2)</f>
        <v>0</v>
      </c>
      <c r="P117" s="3">
        <f t="shared" si="87"/>
        <v>0</v>
      </c>
      <c r="Q117" s="3">
        <f t="shared" si="87"/>
        <v>0</v>
      </c>
      <c r="R117" s="3">
        <f t="shared" si="87"/>
        <v>0</v>
      </c>
      <c r="S117" s="3">
        <f t="shared" si="87"/>
        <v>0</v>
      </c>
      <c r="T117" s="3">
        <f t="shared" si="87"/>
        <v>0</v>
      </c>
      <c r="U117" s="3">
        <f>AH117</f>
        <v>0</v>
      </c>
      <c r="V117" s="3">
        <f>AI117</f>
        <v>0</v>
      </c>
      <c r="W117" s="3">
        <f>ROUND(AJ117,2)</f>
        <v>0</v>
      </c>
      <c r="X117" s="3">
        <f>ROUND(AK117,2)</f>
        <v>0</v>
      </c>
      <c r="Y117" s="3">
        <f>ROUND(AL117,2)</f>
        <v>0</v>
      </c>
      <c r="Z117" s="3"/>
      <c r="AA117" s="3"/>
      <c r="AB117" s="3">
        <f>ROUND(SUMIF(AA112:AA115,"=57734472",O112:O115),2)</f>
        <v>0</v>
      </c>
      <c r="AC117" s="3">
        <f>ROUND(SUMIF(AA112:AA115,"=57734472",P112:P115),2)</f>
        <v>0</v>
      </c>
      <c r="AD117" s="3">
        <f>ROUND(SUMIF(AA112:AA115,"=57734472",Q112:Q115),2)</f>
        <v>0</v>
      </c>
      <c r="AE117" s="3">
        <f>ROUND(SUMIF(AA112:AA115,"=57734472",R112:R115),2)</f>
        <v>0</v>
      </c>
      <c r="AF117" s="3">
        <f>ROUND(SUMIF(AA112:AA115,"=57734472",S112:S115),2)</f>
        <v>0</v>
      </c>
      <c r="AG117" s="3">
        <f>ROUND(SUMIF(AA112:AA115,"=57734472",T112:T115),2)</f>
        <v>0</v>
      </c>
      <c r="AH117" s="3">
        <f>SUMIF(AA112:AA115,"=57734472",U112:U115)</f>
        <v>0</v>
      </c>
      <c r="AI117" s="3">
        <f>SUMIF(AA112:AA115,"=57734472",V112:V115)</f>
        <v>0</v>
      </c>
      <c r="AJ117" s="3">
        <f>ROUND(SUMIF(AA112:AA115,"=57734472",W112:W115),2)</f>
        <v>0</v>
      </c>
      <c r="AK117" s="3">
        <f>ROUND(SUMIF(AA112:AA115,"=57734472",X112:X115),2)</f>
        <v>0</v>
      </c>
      <c r="AL117" s="3">
        <f>ROUND(SUMIF(AA112:AA115,"=57734472",Y112:Y115),2)</f>
        <v>0</v>
      </c>
      <c r="AM117" s="3"/>
      <c r="AN117" s="3"/>
      <c r="AO117" s="3">
        <f t="shared" ref="AO117:BD117" si="88">ROUND(BX117,2)</f>
        <v>0</v>
      </c>
      <c r="AP117" s="3">
        <f t="shared" si="88"/>
        <v>0</v>
      </c>
      <c r="AQ117" s="3">
        <f t="shared" si="88"/>
        <v>0</v>
      </c>
      <c r="AR117" s="3">
        <f t="shared" si="88"/>
        <v>0</v>
      </c>
      <c r="AS117" s="3">
        <f t="shared" si="88"/>
        <v>0</v>
      </c>
      <c r="AT117" s="3">
        <f t="shared" si="88"/>
        <v>0</v>
      </c>
      <c r="AU117" s="3">
        <f t="shared" si="88"/>
        <v>0</v>
      </c>
      <c r="AV117" s="3">
        <f t="shared" si="88"/>
        <v>0</v>
      </c>
      <c r="AW117" s="3">
        <f t="shared" si="88"/>
        <v>0</v>
      </c>
      <c r="AX117" s="3">
        <f t="shared" si="88"/>
        <v>0</v>
      </c>
      <c r="AY117" s="3">
        <f t="shared" si="88"/>
        <v>0</v>
      </c>
      <c r="AZ117" s="3">
        <f t="shared" si="88"/>
        <v>0</v>
      </c>
      <c r="BA117" s="3">
        <f t="shared" si="88"/>
        <v>0</v>
      </c>
      <c r="BB117" s="3">
        <f t="shared" si="88"/>
        <v>0</v>
      </c>
      <c r="BC117" s="3">
        <f t="shared" si="88"/>
        <v>0</v>
      </c>
      <c r="BD117" s="3">
        <f t="shared" si="88"/>
        <v>0</v>
      </c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>
        <f>ROUND(SUMIF(AA112:AA115,"=57734472",FQ112:FQ115),2)</f>
        <v>0</v>
      </c>
      <c r="BY117" s="3">
        <f>ROUND(SUMIF(AA112:AA115,"=57734472",FR112:FR115),2)</f>
        <v>0</v>
      </c>
      <c r="BZ117" s="3">
        <f>ROUND(SUMIF(AA112:AA115,"=57734472",GL112:GL115),2)</f>
        <v>0</v>
      </c>
      <c r="CA117" s="3">
        <f>ROUND(SUMIF(AA112:AA115,"=57734472",GM112:GM115),2)</f>
        <v>0</v>
      </c>
      <c r="CB117" s="3">
        <f>ROUND(SUMIF(AA112:AA115,"=57734472",GN112:GN115),2)</f>
        <v>0</v>
      </c>
      <c r="CC117" s="3">
        <f>ROUND(SUMIF(AA112:AA115,"=57734472",GO112:GO115),2)</f>
        <v>0</v>
      </c>
      <c r="CD117" s="3">
        <f>ROUND(SUMIF(AA112:AA115,"=57734472",GP112:GP115),2)</f>
        <v>0</v>
      </c>
      <c r="CE117" s="3">
        <f>AC117-BX117</f>
        <v>0</v>
      </c>
      <c r="CF117" s="3">
        <f>AC117-BY117</f>
        <v>0</v>
      </c>
      <c r="CG117" s="3">
        <f>BX117-BZ117</f>
        <v>0</v>
      </c>
      <c r="CH117" s="3">
        <f>AC117-BX117-BY117+BZ117</f>
        <v>0</v>
      </c>
      <c r="CI117" s="3">
        <f>BY117-BZ117</f>
        <v>0</v>
      </c>
      <c r="CJ117" s="3">
        <f>ROUND(SUMIF(AA112:AA115,"=57734472",GX112:GX115),2)</f>
        <v>0</v>
      </c>
      <c r="CK117" s="3">
        <f>ROUND(SUMIF(AA112:AA115,"=57734472",GY112:GY115),2)</f>
        <v>0</v>
      </c>
      <c r="CL117" s="3">
        <f>ROUND(SUMIF(AA112:AA115,"=57734472",GZ112:GZ115),2)</f>
        <v>0</v>
      </c>
      <c r="CM117" s="3">
        <f>ROUND(SUMIF(AA112:AA115,"=57734472",HD112:HD115),2)</f>
        <v>0</v>
      </c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4">
        <f t="shared" ref="DG117:DL117" si="89">ROUND(DT117,2)</f>
        <v>0</v>
      </c>
      <c r="DH117" s="4">
        <f t="shared" si="89"/>
        <v>0</v>
      </c>
      <c r="DI117" s="4">
        <f t="shared" si="89"/>
        <v>0</v>
      </c>
      <c r="DJ117" s="4">
        <f t="shared" si="89"/>
        <v>0</v>
      </c>
      <c r="DK117" s="4">
        <f t="shared" si="89"/>
        <v>0</v>
      </c>
      <c r="DL117" s="4">
        <f t="shared" si="89"/>
        <v>0</v>
      </c>
      <c r="DM117" s="4">
        <f>DZ117</f>
        <v>0</v>
      </c>
      <c r="DN117" s="4">
        <f>EA117</f>
        <v>0</v>
      </c>
      <c r="DO117" s="4">
        <f>ROUND(EB117,2)</f>
        <v>0</v>
      </c>
      <c r="DP117" s="4">
        <f>ROUND(EC117,2)</f>
        <v>0</v>
      </c>
      <c r="DQ117" s="4">
        <f>ROUND(ED117,2)</f>
        <v>0</v>
      </c>
      <c r="DR117" s="4"/>
      <c r="DS117" s="4"/>
      <c r="DT117" s="4">
        <f>ROUND(SUMIF(AA112:AA115,"=57734470",O112:O115),2)</f>
        <v>0</v>
      </c>
      <c r="DU117" s="4">
        <f>ROUND(SUMIF(AA112:AA115,"=57734470",P112:P115),2)</f>
        <v>0</v>
      </c>
      <c r="DV117" s="4">
        <f>ROUND(SUMIF(AA112:AA115,"=57734470",Q112:Q115),2)</f>
        <v>0</v>
      </c>
      <c r="DW117" s="4">
        <f>ROUND(SUMIF(AA112:AA115,"=57734470",R112:R115),2)</f>
        <v>0</v>
      </c>
      <c r="DX117" s="4">
        <f>ROUND(SUMIF(AA112:AA115,"=57734470",S112:S115),2)</f>
        <v>0</v>
      </c>
      <c r="DY117" s="4">
        <f>ROUND(SUMIF(AA112:AA115,"=57734470",T112:T115),2)</f>
        <v>0</v>
      </c>
      <c r="DZ117" s="4">
        <f>SUMIF(AA112:AA115,"=57734470",U112:U115)</f>
        <v>0</v>
      </c>
      <c r="EA117" s="4">
        <f>SUMIF(AA112:AA115,"=57734470",V112:V115)</f>
        <v>0</v>
      </c>
      <c r="EB117" s="4">
        <f>ROUND(SUMIF(AA112:AA115,"=57734470",W112:W115),2)</f>
        <v>0</v>
      </c>
      <c r="EC117" s="4">
        <f>ROUND(SUMIF(AA112:AA115,"=57734470",X112:X115),2)</f>
        <v>0</v>
      </c>
      <c r="ED117" s="4">
        <f>ROUND(SUMIF(AA112:AA115,"=57734470",Y112:Y115),2)</f>
        <v>0</v>
      </c>
      <c r="EE117" s="4"/>
      <c r="EF117" s="4"/>
      <c r="EG117" s="4">
        <f t="shared" ref="EG117:EV117" si="90">ROUND(FP117,2)</f>
        <v>0</v>
      </c>
      <c r="EH117" s="4">
        <f t="shared" si="90"/>
        <v>0</v>
      </c>
      <c r="EI117" s="4">
        <f t="shared" si="90"/>
        <v>0</v>
      </c>
      <c r="EJ117" s="4">
        <f t="shared" si="90"/>
        <v>0</v>
      </c>
      <c r="EK117" s="4">
        <f t="shared" si="90"/>
        <v>0</v>
      </c>
      <c r="EL117" s="4">
        <f t="shared" si="90"/>
        <v>0</v>
      </c>
      <c r="EM117" s="4">
        <f t="shared" si="90"/>
        <v>0</v>
      </c>
      <c r="EN117" s="4">
        <f t="shared" si="90"/>
        <v>0</v>
      </c>
      <c r="EO117" s="4">
        <f t="shared" si="90"/>
        <v>0</v>
      </c>
      <c r="EP117" s="4">
        <f t="shared" si="90"/>
        <v>0</v>
      </c>
      <c r="EQ117" s="4">
        <f t="shared" si="90"/>
        <v>0</v>
      </c>
      <c r="ER117" s="4">
        <f t="shared" si="90"/>
        <v>0</v>
      </c>
      <c r="ES117" s="4">
        <f t="shared" si="90"/>
        <v>0</v>
      </c>
      <c r="ET117" s="4">
        <f t="shared" si="90"/>
        <v>0</v>
      </c>
      <c r="EU117" s="4">
        <f t="shared" si="90"/>
        <v>0</v>
      </c>
      <c r="EV117" s="4">
        <f t="shared" si="90"/>
        <v>0</v>
      </c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>
        <f>ROUND(SUMIF(AA112:AA115,"=57734470",FQ112:FQ115),2)</f>
        <v>0</v>
      </c>
      <c r="FQ117" s="4">
        <f>ROUND(SUMIF(AA112:AA115,"=57734470",FR112:FR115),2)</f>
        <v>0</v>
      </c>
      <c r="FR117" s="4">
        <f>ROUND(SUMIF(AA112:AA115,"=57734470",GL112:GL115),2)</f>
        <v>0</v>
      </c>
      <c r="FS117" s="4">
        <f>ROUND(SUMIF(AA112:AA115,"=57734470",GM112:GM115),2)</f>
        <v>0</v>
      </c>
      <c r="FT117" s="4">
        <f>ROUND(SUMIF(AA112:AA115,"=57734470",GN112:GN115),2)</f>
        <v>0</v>
      </c>
      <c r="FU117" s="4">
        <f>ROUND(SUMIF(AA112:AA115,"=57734470",GO112:GO115),2)</f>
        <v>0</v>
      </c>
      <c r="FV117" s="4">
        <f>ROUND(SUMIF(AA112:AA115,"=57734470",GP112:GP115),2)</f>
        <v>0</v>
      </c>
      <c r="FW117" s="4">
        <f>DU117-FP117</f>
        <v>0</v>
      </c>
      <c r="FX117" s="4">
        <f>DU117-FQ117</f>
        <v>0</v>
      </c>
      <c r="FY117" s="4">
        <f>FP117-FR117</f>
        <v>0</v>
      </c>
      <c r="FZ117" s="4">
        <f>DU117-FP117-FQ117+FR117</f>
        <v>0</v>
      </c>
      <c r="GA117" s="4">
        <f>FQ117-FR117</f>
        <v>0</v>
      </c>
      <c r="GB117" s="4">
        <f>ROUND(SUMIF(AA112:AA115,"=57734470",GX112:GX115),2)</f>
        <v>0</v>
      </c>
      <c r="GC117" s="4">
        <f>ROUND(SUMIF(AA112:AA115,"=57734470",GY112:GY115),2)</f>
        <v>0</v>
      </c>
      <c r="GD117" s="4">
        <f>ROUND(SUMIF(AA112:AA115,"=57734470",GZ112:GZ115),2)</f>
        <v>0</v>
      </c>
      <c r="GE117" s="4">
        <f>ROUND(SUMIF(AA112:AA115,"=57734470",HD112:HD115),2)</f>
        <v>0</v>
      </c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>
        <v>0</v>
      </c>
    </row>
    <row r="119" spans="1:255" x14ac:dyDescent="0.2">
      <c r="A119" s="5">
        <v>50</v>
      </c>
      <c r="B119" s="5">
        <v>0</v>
      </c>
      <c r="C119" s="5">
        <v>0</v>
      </c>
      <c r="D119" s="5">
        <v>1</v>
      </c>
      <c r="E119" s="5">
        <v>201</v>
      </c>
      <c r="F119" s="5">
        <f>ROUND(Source!O117,O119)</f>
        <v>0</v>
      </c>
      <c r="G119" s="5" t="s">
        <v>41</v>
      </c>
      <c r="H119" s="5" t="s">
        <v>42</v>
      </c>
      <c r="I119" s="5"/>
      <c r="J119" s="5"/>
      <c r="K119" s="5">
        <v>201</v>
      </c>
      <c r="L119" s="5">
        <v>1</v>
      </c>
      <c r="M119" s="5">
        <v>3</v>
      </c>
      <c r="N119" s="5" t="s">
        <v>3</v>
      </c>
      <c r="O119" s="5">
        <v>2</v>
      </c>
      <c r="P119" s="5">
        <f>ROUND(Source!DG117,O119)</f>
        <v>0</v>
      </c>
      <c r="Q119" s="5"/>
      <c r="R119" s="5"/>
      <c r="S119" s="5"/>
      <c r="T119" s="5"/>
      <c r="U119" s="5"/>
      <c r="V119" s="5"/>
      <c r="W119" s="5">
        <v>0</v>
      </c>
      <c r="X119" s="5">
        <v>1</v>
      </c>
      <c r="Y119" s="5">
        <v>0</v>
      </c>
      <c r="Z119" s="5">
        <v>0</v>
      </c>
      <c r="AA119" s="5">
        <v>1</v>
      </c>
      <c r="AB119" s="5">
        <v>0</v>
      </c>
    </row>
    <row r="120" spans="1:255" x14ac:dyDescent="0.2">
      <c r="A120" s="5">
        <v>50</v>
      </c>
      <c r="B120" s="5">
        <v>0</v>
      </c>
      <c r="C120" s="5">
        <v>0</v>
      </c>
      <c r="D120" s="5">
        <v>1</v>
      </c>
      <c r="E120" s="5">
        <v>202</v>
      </c>
      <c r="F120" s="5">
        <f>ROUND(Source!P117,O120)</f>
        <v>0</v>
      </c>
      <c r="G120" s="5" t="s">
        <v>43</v>
      </c>
      <c r="H120" s="5" t="s">
        <v>44</v>
      </c>
      <c r="I120" s="5"/>
      <c r="J120" s="5"/>
      <c r="K120" s="5">
        <v>202</v>
      </c>
      <c r="L120" s="5">
        <v>2</v>
      </c>
      <c r="M120" s="5">
        <v>3</v>
      </c>
      <c r="N120" s="5" t="s">
        <v>3</v>
      </c>
      <c r="O120" s="5">
        <v>2</v>
      </c>
      <c r="P120" s="5">
        <f>ROUND(Source!DH117,O120)</f>
        <v>0</v>
      </c>
      <c r="Q120" s="5"/>
      <c r="R120" s="5"/>
      <c r="S120" s="5"/>
      <c r="T120" s="5"/>
      <c r="U120" s="5"/>
      <c r="V120" s="5"/>
      <c r="W120" s="5">
        <v>0</v>
      </c>
      <c r="X120" s="5">
        <v>1</v>
      </c>
      <c r="Y120" s="5">
        <v>0</v>
      </c>
      <c r="Z120" s="5">
        <v>0</v>
      </c>
      <c r="AA120" s="5">
        <v>1</v>
      </c>
      <c r="AB120" s="5">
        <v>0</v>
      </c>
    </row>
    <row r="121" spans="1:255" x14ac:dyDescent="0.2">
      <c r="A121" s="5">
        <v>50</v>
      </c>
      <c r="B121" s="5">
        <v>0</v>
      </c>
      <c r="C121" s="5">
        <v>0</v>
      </c>
      <c r="D121" s="5">
        <v>1</v>
      </c>
      <c r="E121" s="5">
        <v>222</v>
      </c>
      <c r="F121" s="5">
        <f>ROUND(Source!AO117,O121)</f>
        <v>0</v>
      </c>
      <c r="G121" s="5" t="s">
        <v>45</v>
      </c>
      <c r="H121" s="5" t="s">
        <v>46</v>
      </c>
      <c r="I121" s="5"/>
      <c r="J121" s="5"/>
      <c r="K121" s="5">
        <v>222</v>
      </c>
      <c r="L121" s="5">
        <v>3</v>
      </c>
      <c r="M121" s="5">
        <v>3</v>
      </c>
      <c r="N121" s="5" t="s">
        <v>3</v>
      </c>
      <c r="O121" s="5">
        <v>2</v>
      </c>
      <c r="P121" s="5">
        <f>ROUND(Source!EG117,O121)</f>
        <v>0</v>
      </c>
      <c r="Q121" s="5"/>
      <c r="R121" s="5"/>
      <c r="S121" s="5"/>
      <c r="T121" s="5"/>
      <c r="U121" s="5"/>
      <c r="V121" s="5"/>
      <c r="W121" s="5">
        <v>0</v>
      </c>
      <c r="X121" s="5">
        <v>1</v>
      </c>
      <c r="Y121" s="5">
        <v>0</v>
      </c>
      <c r="Z121" s="5">
        <v>0</v>
      </c>
      <c r="AA121" s="5">
        <v>1</v>
      </c>
      <c r="AB121" s="5">
        <v>0</v>
      </c>
    </row>
    <row r="122" spans="1:255" x14ac:dyDescent="0.2">
      <c r="A122" s="5">
        <v>50</v>
      </c>
      <c r="B122" s="5">
        <v>0</v>
      </c>
      <c r="C122" s="5">
        <v>0</v>
      </c>
      <c r="D122" s="5">
        <v>1</v>
      </c>
      <c r="E122" s="5">
        <v>225</v>
      </c>
      <c r="F122" s="5">
        <f>ROUND(Source!AV117,O122)</f>
        <v>0</v>
      </c>
      <c r="G122" s="5" t="s">
        <v>47</v>
      </c>
      <c r="H122" s="5" t="s">
        <v>48</v>
      </c>
      <c r="I122" s="5"/>
      <c r="J122" s="5"/>
      <c r="K122" s="5">
        <v>225</v>
      </c>
      <c r="L122" s="5">
        <v>4</v>
      </c>
      <c r="M122" s="5">
        <v>3</v>
      </c>
      <c r="N122" s="5" t="s">
        <v>3</v>
      </c>
      <c r="O122" s="5">
        <v>2</v>
      </c>
      <c r="P122" s="5">
        <f>ROUND(Source!EN117,O122)</f>
        <v>0</v>
      </c>
      <c r="Q122" s="5"/>
      <c r="R122" s="5"/>
      <c r="S122" s="5"/>
      <c r="T122" s="5"/>
      <c r="U122" s="5"/>
      <c r="V122" s="5"/>
      <c r="W122" s="5">
        <v>0</v>
      </c>
      <c r="X122" s="5">
        <v>1</v>
      </c>
      <c r="Y122" s="5">
        <v>0</v>
      </c>
      <c r="Z122" s="5">
        <v>0</v>
      </c>
      <c r="AA122" s="5">
        <v>1</v>
      </c>
      <c r="AB122" s="5">
        <v>0</v>
      </c>
    </row>
    <row r="123" spans="1:255" x14ac:dyDescent="0.2">
      <c r="A123" s="5">
        <v>50</v>
      </c>
      <c r="B123" s="5">
        <v>0</v>
      </c>
      <c r="C123" s="5">
        <v>0</v>
      </c>
      <c r="D123" s="5">
        <v>1</v>
      </c>
      <c r="E123" s="5">
        <v>226</v>
      </c>
      <c r="F123" s="5">
        <f>ROUND(Source!AW117,O123)</f>
        <v>0</v>
      </c>
      <c r="G123" s="5" t="s">
        <v>49</v>
      </c>
      <c r="H123" s="5" t="s">
        <v>50</v>
      </c>
      <c r="I123" s="5"/>
      <c r="J123" s="5"/>
      <c r="K123" s="5">
        <v>226</v>
      </c>
      <c r="L123" s="5">
        <v>5</v>
      </c>
      <c r="M123" s="5">
        <v>3</v>
      </c>
      <c r="N123" s="5" t="s">
        <v>3</v>
      </c>
      <c r="O123" s="5">
        <v>2</v>
      </c>
      <c r="P123" s="5">
        <f>ROUND(Source!EO117,O123)</f>
        <v>0</v>
      </c>
      <c r="Q123" s="5"/>
      <c r="R123" s="5"/>
      <c r="S123" s="5"/>
      <c r="T123" s="5"/>
      <c r="U123" s="5"/>
      <c r="V123" s="5"/>
      <c r="W123" s="5">
        <v>0</v>
      </c>
      <c r="X123" s="5">
        <v>1</v>
      </c>
      <c r="Y123" s="5">
        <v>0</v>
      </c>
      <c r="Z123" s="5">
        <v>0</v>
      </c>
      <c r="AA123" s="5">
        <v>1</v>
      </c>
      <c r="AB123" s="5">
        <v>0</v>
      </c>
    </row>
    <row r="124" spans="1:255" x14ac:dyDescent="0.2">
      <c r="A124" s="5">
        <v>50</v>
      </c>
      <c r="B124" s="5">
        <v>0</v>
      </c>
      <c r="C124" s="5">
        <v>0</v>
      </c>
      <c r="D124" s="5">
        <v>1</v>
      </c>
      <c r="E124" s="5">
        <v>227</v>
      </c>
      <c r="F124" s="5">
        <f>ROUND(Source!AX117,O124)</f>
        <v>0</v>
      </c>
      <c r="G124" s="5" t="s">
        <v>51</v>
      </c>
      <c r="H124" s="5" t="s">
        <v>52</v>
      </c>
      <c r="I124" s="5"/>
      <c r="J124" s="5"/>
      <c r="K124" s="5">
        <v>227</v>
      </c>
      <c r="L124" s="5">
        <v>6</v>
      </c>
      <c r="M124" s="5">
        <v>3</v>
      </c>
      <c r="N124" s="5" t="s">
        <v>3</v>
      </c>
      <c r="O124" s="5">
        <v>2</v>
      </c>
      <c r="P124" s="5">
        <f>ROUND(Source!EP117,O124)</f>
        <v>0</v>
      </c>
      <c r="Q124" s="5"/>
      <c r="R124" s="5"/>
      <c r="S124" s="5"/>
      <c r="T124" s="5"/>
      <c r="U124" s="5"/>
      <c r="V124" s="5"/>
      <c r="W124" s="5">
        <v>0</v>
      </c>
      <c r="X124" s="5">
        <v>1</v>
      </c>
      <c r="Y124" s="5">
        <v>0</v>
      </c>
      <c r="Z124" s="5">
        <v>0</v>
      </c>
      <c r="AA124" s="5">
        <v>1</v>
      </c>
      <c r="AB124" s="5">
        <v>0</v>
      </c>
    </row>
    <row r="125" spans="1:255" x14ac:dyDescent="0.2">
      <c r="A125" s="5">
        <v>50</v>
      </c>
      <c r="B125" s="5">
        <v>0</v>
      </c>
      <c r="C125" s="5">
        <v>0</v>
      </c>
      <c r="D125" s="5">
        <v>1</v>
      </c>
      <c r="E125" s="5">
        <v>228</v>
      </c>
      <c r="F125" s="5">
        <f>ROUND(Source!AY117,O125)</f>
        <v>0</v>
      </c>
      <c r="G125" s="5" t="s">
        <v>53</v>
      </c>
      <c r="H125" s="5" t="s">
        <v>54</v>
      </c>
      <c r="I125" s="5"/>
      <c r="J125" s="5"/>
      <c r="K125" s="5">
        <v>228</v>
      </c>
      <c r="L125" s="5">
        <v>7</v>
      </c>
      <c r="M125" s="5">
        <v>3</v>
      </c>
      <c r="N125" s="5" t="s">
        <v>3</v>
      </c>
      <c r="O125" s="5">
        <v>2</v>
      </c>
      <c r="P125" s="5">
        <f>ROUND(Source!EQ117,O125)</f>
        <v>0</v>
      </c>
      <c r="Q125" s="5"/>
      <c r="R125" s="5"/>
      <c r="S125" s="5"/>
      <c r="T125" s="5"/>
      <c r="U125" s="5"/>
      <c r="V125" s="5"/>
      <c r="W125" s="5">
        <v>0</v>
      </c>
      <c r="X125" s="5">
        <v>1</v>
      </c>
      <c r="Y125" s="5">
        <v>0</v>
      </c>
      <c r="Z125" s="5">
        <v>0</v>
      </c>
      <c r="AA125" s="5">
        <v>1</v>
      </c>
      <c r="AB125" s="5">
        <v>0</v>
      </c>
    </row>
    <row r="126" spans="1:255" x14ac:dyDescent="0.2">
      <c r="A126" s="5">
        <v>50</v>
      </c>
      <c r="B126" s="5">
        <v>0</v>
      </c>
      <c r="C126" s="5">
        <v>0</v>
      </c>
      <c r="D126" s="5">
        <v>1</v>
      </c>
      <c r="E126" s="5">
        <v>216</v>
      </c>
      <c r="F126" s="5">
        <f>ROUND(Source!AP117,O126)</f>
        <v>0</v>
      </c>
      <c r="G126" s="5" t="s">
        <v>55</v>
      </c>
      <c r="H126" s="5" t="s">
        <v>56</v>
      </c>
      <c r="I126" s="5"/>
      <c r="J126" s="5"/>
      <c r="K126" s="5">
        <v>216</v>
      </c>
      <c r="L126" s="5">
        <v>8</v>
      </c>
      <c r="M126" s="5">
        <v>3</v>
      </c>
      <c r="N126" s="5" t="s">
        <v>3</v>
      </c>
      <c r="O126" s="5">
        <v>2</v>
      </c>
      <c r="P126" s="5">
        <f>ROUND(Source!EH117,O126)</f>
        <v>0</v>
      </c>
      <c r="Q126" s="5"/>
      <c r="R126" s="5"/>
      <c r="S126" s="5"/>
      <c r="T126" s="5"/>
      <c r="U126" s="5"/>
      <c r="V126" s="5"/>
      <c r="W126" s="5">
        <v>0</v>
      </c>
      <c r="X126" s="5">
        <v>1</v>
      </c>
      <c r="Y126" s="5">
        <v>0</v>
      </c>
      <c r="Z126" s="5">
        <v>0</v>
      </c>
      <c r="AA126" s="5">
        <v>1</v>
      </c>
      <c r="AB126" s="5">
        <v>0</v>
      </c>
    </row>
    <row r="127" spans="1:255" x14ac:dyDescent="0.2">
      <c r="A127" s="5">
        <v>50</v>
      </c>
      <c r="B127" s="5">
        <v>0</v>
      </c>
      <c r="C127" s="5">
        <v>0</v>
      </c>
      <c r="D127" s="5">
        <v>1</v>
      </c>
      <c r="E127" s="5">
        <v>223</v>
      </c>
      <c r="F127" s="5">
        <f>ROUND(Source!AQ117,O127)</f>
        <v>0</v>
      </c>
      <c r="G127" s="5" t="s">
        <v>57</v>
      </c>
      <c r="H127" s="5" t="s">
        <v>58</v>
      </c>
      <c r="I127" s="5"/>
      <c r="J127" s="5"/>
      <c r="K127" s="5">
        <v>223</v>
      </c>
      <c r="L127" s="5">
        <v>9</v>
      </c>
      <c r="M127" s="5">
        <v>3</v>
      </c>
      <c r="N127" s="5" t="s">
        <v>3</v>
      </c>
      <c r="O127" s="5">
        <v>2</v>
      </c>
      <c r="P127" s="5">
        <f>ROUND(Source!EI117,O127)</f>
        <v>0</v>
      </c>
      <c r="Q127" s="5"/>
      <c r="R127" s="5"/>
      <c r="S127" s="5"/>
      <c r="T127" s="5"/>
      <c r="U127" s="5"/>
      <c r="V127" s="5"/>
      <c r="W127" s="5">
        <v>0</v>
      </c>
      <c r="X127" s="5">
        <v>1</v>
      </c>
      <c r="Y127" s="5">
        <v>0</v>
      </c>
      <c r="Z127" s="5">
        <v>0</v>
      </c>
      <c r="AA127" s="5">
        <v>1</v>
      </c>
      <c r="AB127" s="5">
        <v>0</v>
      </c>
    </row>
    <row r="128" spans="1:255" x14ac:dyDescent="0.2">
      <c r="A128" s="5">
        <v>50</v>
      </c>
      <c r="B128" s="5">
        <v>0</v>
      </c>
      <c r="C128" s="5">
        <v>0</v>
      </c>
      <c r="D128" s="5">
        <v>1</v>
      </c>
      <c r="E128" s="5">
        <v>229</v>
      </c>
      <c r="F128" s="5">
        <f>ROUND(Source!AZ117,O128)</f>
        <v>0</v>
      </c>
      <c r="G128" s="5" t="s">
        <v>59</v>
      </c>
      <c r="H128" s="5" t="s">
        <v>60</v>
      </c>
      <c r="I128" s="5"/>
      <c r="J128" s="5"/>
      <c r="K128" s="5">
        <v>229</v>
      </c>
      <c r="L128" s="5">
        <v>10</v>
      </c>
      <c r="M128" s="5">
        <v>3</v>
      </c>
      <c r="N128" s="5" t="s">
        <v>3</v>
      </c>
      <c r="O128" s="5">
        <v>2</v>
      </c>
      <c r="P128" s="5">
        <f>ROUND(Source!ER117,O128)</f>
        <v>0</v>
      </c>
      <c r="Q128" s="5"/>
      <c r="R128" s="5"/>
      <c r="S128" s="5"/>
      <c r="T128" s="5"/>
      <c r="U128" s="5"/>
      <c r="V128" s="5"/>
      <c r="W128" s="5">
        <v>0</v>
      </c>
      <c r="X128" s="5">
        <v>1</v>
      </c>
      <c r="Y128" s="5">
        <v>0</v>
      </c>
      <c r="Z128" s="5">
        <v>0</v>
      </c>
      <c r="AA128" s="5">
        <v>1</v>
      </c>
      <c r="AB128" s="5">
        <v>0</v>
      </c>
    </row>
    <row r="129" spans="1:28" x14ac:dyDescent="0.2">
      <c r="A129" s="5">
        <v>50</v>
      </c>
      <c r="B129" s="5">
        <v>0</v>
      </c>
      <c r="C129" s="5">
        <v>0</v>
      </c>
      <c r="D129" s="5">
        <v>1</v>
      </c>
      <c r="E129" s="5">
        <v>203</v>
      </c>
      <c r="F129" s="5">
        <f>ROUND(Source!Q117,O129)</f>
        <v>0</v>
      </c>
      <c r="G129" s="5" t="s">
        <v>61</v>
      </c>
      <c r="H129" s="5" t="s">
        <v>62</v>
      </c>
      <c r="I129" s="5"/>
      <c r="J129" s="5"/>
      <c r="K129" s="5">
        <v>203</v>
      </c>
      <c r="L129" s="5">
        <v>11</v>
      </c>
      <c r="M129" s="5">
        <v>3</v>
      </c>
      <c r="N129" s="5" t="s">
        <v>3</v>
      </c>
      <c r="O129" s="5">
        <v>2</v>
      </c>
      <c r="P129" s="5">
        <f>ROUND(Source!DI117,O129)</f>
        <v>0</v>
      </c>
      <c r="Q129" s="5"/>
      <c r="R129" s="5"/>
      <c r="S129" s="5"/>
      <c r="T129" s="5"/>
      <c r="U129" s="5"/>
      <c r="V129" s="5"/>
      <c r="W129" s="5">
        <v>0</v>
      </c>
      <c r="X129" s="5">
        <v>1</v>
      </c>
      <c r="Y129" s="5">
        <v>0</v>
      </c>
      <c r="Z129" s="5">
        <v>0</v>
      </c>
      <c r="AA129" s="5">
        <v>1</v>
      </c>
      <c r="AB129" s="5">
        <v>0</v>
      </c>
    </row>
    <row r="130" spans="1:28" x14ac:dyDescent="0.2">
      <c r="A130" s="5">
        <v>50</v>
      </c>
      <c r="B130" s="5">
        <v>0</v>
      </c>
      <c r="C130" s="5">
        <v>0</v>
      </c>
      <c r="D130" s="5">
        <v>1</v>
      </c>
      <c r="E130" s="5">
        <v>231</v>
      </c>
      <c r="F130" s="5">
        <f>ROUND(Source!BB117,O130)</f>
        <v>0</v>
      </c>
      <c r="G130" s="5" t="s">
        <v>63</v>
      </c>
      <c r="H130" s="5" t="s">
        <v>64</v>
      </c>
      <c r="I130" s="5"/>
      <c r="J130" s="5"/>
      <c r="K130" s="5">
        <v>231</v>
      </c>
      <c r="L130" s="5">
        <v>12</v>
      </c>
      <c r="M130" s="5">
        <v>3</v>
      </c>
      <c r="N130" s="5" t="s">
        <v>3</v>
      </c>
      <c r="O130" s="5">
        <v>2</v>
      </c>
      <c r="P130" s="5">
        <f>ROUND(Source!ET117,O130)</f>
        <v>0</v>
      </c>
      <c r="Q130" s="5"/>
      <c r="R130" s="5"/>
      <c r="S130" s="5"/>
      <c r="T130" s="5"/>
      <c r="U130" s="5"/>
      <c r="V130" s="5"/>
      <c r="W130" s="5">
        <v>0</v>
      </c>
      <c r="X130" s="5">
        <v>1</v>
      </c>
      <c r="Y130" s="5">
        <v>0</v>
      </c>
      <c r="Z130" s="5">
        <v>0</v>
      </c>
      <c r="AA130" s="5">
        <v>1</v>
      </c>
      <c r="AB130" s="5">
        <v>0</v>
      </c>
    </row>
    <row r="131" spans="1:28" x14ac:dyDescent="0.2">
      <c r="A131" s="5">
        <v>50</v>
      </c>
      <c r="B131" s="5">
        <v>0</v>
      </c>
      <c r="C131" s="5">
        <v>0</v>
      </c>
      <c r="D131" s="5">
        <v>1</v>
      </c>
      <c r="E131" s="5">
        <v>204</v>
      </c>
      <c r="F131" s="5">
        <f>ROUND(Source!R117,O131)</f>
        <v>0</v>
      </c>
      <c r="G131" s="5" t="s">
        <v>65</v>
      </c>
      <c r="H131" s="5" t="s">
        <v>66</v>
      </c>
      <c r="I131" s="5"/>
      <c r="J131" s="5"/>
      <c r="K131" s="5">
        <v>204</v>
      </c>
      <c r="L131" s="5">
        <v>13</v>
      </c>
      <c r="M131" s="5">
        <v>3</v>
      </c>
      <c r="N131" s="5" t="s">
        <v>3</v>
      </c>
      <c r="O131" s="5">
        <v>2</v>
      </c>
      <c r="P131" s="5">
        <f>ROUND(Source!DJ117,O131)</f>
        <v>0</v>
      </c>
      <c r="Q131" s="5"/>
      <c r="R131" s="5"/>
      <c r="S131" s="5"/>
      <c r="T131" s="5"/>
      <c r="U131" s="5"/>
      <c r="V131" s="5"/>
      <c r="W131" s="5">
        <v>0</v>
      </c>
      <c r="X131" s="5">
        <v>1</v>
      </c>
      <c r="Y131" s="5">
        <v>0</v>
      </c>
      <c r="Z131" s="5">
        <v>0</v>
      </c>
      <c r="AA131" s="5">
        <v>1</v>
      </c>
      <c r="AB131" s="5">
        <v>0</v>
      </c>
    </row>
    <row r="132" spans="1:28" x14ac:dyDescent="0.2">
      <c r="A132" s="5">
        <v>50</v>
      </c>
      <c r="B132" s="5">
        <v>0</v>
      </c>
      <c r="C132" s="5">
        <v>0</v>
      </c>
      <c r="D132" s="5">
        <v>1</v>
      </c>
      <c r="E132" s="5">
        <v>205</v>
      </c>
      <c r="F132" s="5">
        <f>ROUND(Source!S117,O132)</f>
        <v>0</v>
      </c>
      <c r="G132" s="5" t="s">
        <v>67</v>
      </c>
      <c r="H132" s="5" t="s">
        <v>68</v>
      </c>
      <c r="I132" s="5"/>
      <c r="J132" s="5"/>
      <c r="K132" s="5">
        <v>205</v>
      </c>
      <c r="L132" s="5">
        <v>14</v>
      </c>
      <c r="M132" s="5">
        <v>3</v>
      </c>
      <c r="N132" s="5" t="s">
        <v>3</v>
      </c>
      <c r="O132" s="5">
        <v>2</v>
      </c>
      <c r="P132" s="5">
        <f>ROUND(Source!DK117,O132)</f>
        <v>0</v>
      </c>
      <c r="Q132" s="5"/>
      <c r="R132" s="5"/>
      <c r="S132" s="5"/>
      <c r="T132" s="5"/>
      <c r="U132" s="5"/>
      <c r="V132" s="5"/>
      <c r="W132" s="5">
        <v>0</v>
      </c>
      <c r="X132" s="5">
        <v>1</v>
      </c>
      <c r="Y132" s="5">
        <v>0</v>
      </c>
      <c r="Z132" s="5">
        <v>0</v>
      </c>
      <c r="AA132" s="5">
        <v>1</v>
      </c>
      <c r="AB132" s="5">
        <v>0</v>
      </c>
    </row>
    <row r="133" spans="1:28" x14ac:dyDescent="0.2">
      <c r="A133" s="5">
        <v>50</v>
      </c>
      <c r="B133" s="5">
        <v>0</v>
      </c>
      <c r="C133" s="5">
        <v>0</v>
      </c>
      <c r="D133" s="5">
        <v>1</v>
      </c>
      <c r="E133" s="5">
        <v>232</v>
      </c>
      <c r="F133" s="5">
        <f>ROUND(Source!BC117,O133)</f>
        <v>0</v>
      </c>
      <c r="G133" s="5" t="s">
        <v>69</v>
      </c>
      <c r="H133" s="5" t="s">
        <v>70</v>
      </c>
      <c r="I133" s="5"/>
      <c r="J133" s="5"/>
      <c r="K133" s="5">
        <v>232</v>
      </c>
      <c r="L133" s="5">
        <v>15</v>
      </c>
      <c r="M133" s="5">
        <v>3</v>
      </c>
      <c r="N133" s="5" t="s">
        <v>3</v>
      </c>
      <c r="O133" s="5">
        <v>2</v>
      </c>
      <c r="P133" s="5">
        <f>ROUND(Source!EU117,O133)</f>
        <v>0</v>
      </c>
      <c r="Q133" s="5"/>
      <c r="R133" s="5"/>
      <c r="S133" s="5"/>
      <c r="T133" s="5"/>
      <c r="U133" s="5"/>
      <c r="V133" s="5"/>
      <c r="W133" s="5">
        <v>0</v>
      </c>
      <c r="X133" s="5">
        <v>1</v>
      </c>
      <c r="Y133" s="5">
        <v>0</v>
      </c>
      <c r="Z133" s="5">
        <v>0</v>
      </c>
      <c r="AA133" s="5">
        <v>1</v>
      </c>
      <c r="AB133" s="5">
        <v>0</v>
      </c>
    </row>
    <row r="134" spans="1:28" x14ac:dyDescent="0.2">
      <c r="A134" s="5">
        <v>50</v>
      </c>
      <c r="B134" s="5">
        <v>0</v>
      </c>
      <c r="C134" s="5">
        <v>0</v>
      </c>
      <c r="D134" s="5">
        <v>1</v>
      </c>
      <c r="E134" s="5">
        <v>214</v>
      </c>
      <c r="F134" s="5">
        <f>ROUND(Source!AS117,O134)</f>
        <v>0</v>
      </c>
      <c r="G134" s="5" t="s">
        <v>71</v>
      </c>
      <c r="H134" s="5" t="s">
        <v>72</v>
      </c>
      <c r="I134" s="5"/>
      <c r="J134" s="5"/>
      <c r="K134" s="5">
        <v>214</v>
      </c>
      <c r="L134" s="5">
        <v>16</v>
      </c>
      <c r="M134" s="5">
        <v>3</v>
      </c>
      <c r="N134" s="5" t="s">
        <v>3</v>
      </c>
      <c r="O134" s="5">
        <v>2</v>
      </c>
      <c r="P134" s="5">
        <f>ROUND(Source!EK117,O134)</f>
        <v>0</v>
      </c>
      <c r="Q134" s="5"/>
      <c r="R134" s="5"/>
      <c r="S134" s="5"/>
      <c r="T134" s="5"/>
      <c r="U134" s="5"/>
      <c r="V134" s="5"/>
      <c r="W134" s="5">
        <v>0</v>
      </c>
      <c r="X134" s="5">
        <v>1</v>
      </c>
      <c r="Y134" s="5">
        <v>0</v>
      </c>
      <c r="Z134" s="5">
        <v>0</v>
      </c>
      <c r="AA134" s="5">
        <v>1</v>
      </c>
      <c r="AB134" s="5">
        <v>0</v>
      </c>
    </row>
    <row r="135" spans="1:28" x14ac:dyDescent="0.2">
      <c r="A135" s="5">
        <v>50</v>
      </c>
      <c r="B135" s="5">
        <v>0</v>
      </c>
      <c r="C135" s="5">
        <v>0</v>
      </c>
      <c r="D135" s="5">
        <v>1</v>
      </c>
      <c r="E135" s="5">
        <v>215</v>
      </c>
      <c r="F135" s="5">
        <f>ROUND(Source!AT117,O135)</f>
        <v>0</v>
      </c>
      <c r="G135" s="5" t="s">
        <v>73</v>
      </c>
      <c r="H135" s="5" t="s">
        <v>74</v>
      </c>
      <c r="I135" s="5"/>
      <c r="J135" s="5"/>
      <c r="K135" s="5">
        <v>215</v>
      </c>
      <c r="L135" s="5">
        <v>17</v>
      </c>
      <c r="M135" s="5">
        <v>3</v>
      </c>
      <c r="N135" s="5" t="s">
        <v>3</v>
      </c>
      <c r="O135" s="5">
        <v>2</v>
      </c>
      <c r="P135" s="5">
        <f>ROUND(Source!EL117,O135)</f>
        <v>0</v>
      </c>
      <c r="Q135" s="5"/>
      <c r="R135" s="5"/>
      <c r="S135" s="5"/>
      <c r="T135" s="5"/>
      <c r="U135" s="5"/>
      <c r="V135" s="5"/>
      <c r="W135" s="5">
        <v>0</v>
      </c>
      <c r="X135" s="5">
        <v>1</v>
      </c>
      <c r="Y135" s="5">
        <v>0</v>
      </c>
      <c r="Z135" s="5">
        <v>0</v>
      </c>
      <c r="AA135" s="5">
        <v>1</v>
      </c>
      <c r="AB135" s="5">
        <v>0</v>
      </c>
    </row>
    <row r="136" spans="1:28" x14ac:dyDescent="0.2">
      <c r="A136" s="5">
        <v>50</v>
      </c>
      <c r="B136" s="5">
        <v>0</v>
      </c>
      <c r="C136" s="5">
        <v>0</v>
      </c>
      <c r="D136" s="5">
        <v>1</v>
      </c>
      <c r="E136" s="5">
        <v>217</v>
      </c>
      <c r="F136" s="5">
        <f>ROUND(Source!AU117,O136)</f>
        <v>0</v>
      </c>
      <c r="G136" s="5" t="s">
        <v>75</v>
      </c>
      <c r="H136" s="5" t="s">
        <v>76</v>
      </c>
      <c r="I136" s="5"/>
      <c r="J136" s="5"/>
      <c r="K136" s="5">
        <v>217</v>
      </c>
      <c r="L136" s="5">
        <v>18</v>
      </c>
      <c r="M136" s="5">
        <v>3</v>
      </c>
      <c r="N136" s="5" t="s">
        <v>3</v>
      </c>
      <c r="O136" s="5">
        <v>2</v>
      </c>
      <c r="P136" s="5">
        <f>ROUND(Source!EM117,O136)</f>
        <v>0</v>
      </c>
      <c r="Q136" s="5"/>
      <c r="R136" s="5"/>
      <c r="S136" s="5"/>
      <c r="T136" s="5"/>
      <c r="U136" s="5"/>
      <c r="V136" s="5"/>
      <c r="W136" s="5">
        <v>0</v>
      </c>
      <c r="X136" s="5">
        <v>1</v>
      </c>
      <c r="Y136" s="5">
        <v>0</v>
      </c>
      <c r="Z136" s="5">
        <v>0</v>
      </c>
      <c r="AA136" s="5">
        <v>1</v>
      </c>
      <c r="AB136" s="5">
        <v>0</v>
      </c>
    </row>
    <row r="137" spans="1:28" x14ac:dyDescent="0.2">
      <c r="A137" s="5">
        <v>50</v>
      </c>
      <c r="B137" s="5">
        <v>0</v>
      </c>
      <c r="C137" s="5">
        <v>0</v>
      </c>
      <c r="D137" s="5">
        <v>1</v>
      </c>
      <c r="E137" s="5">
        <v>230</v>
      </c>
      <c r="F137" s="5">
        <f>ROUND(Source!BA117,O137)</f>
        <v>0</v>
      </c>
      <c r="G137" s="5" t="s">
        <v>77</v>
      </c>
      <c r="H137" s="5" t="s">
        <v>78</v>
      </c>
      <c r="I137" s="5"/>
      <c r="J137" s="5"/>
      <c r="K137" s="5">
        <v>230</v>
      </c>
      <c r="L137" s="5">
        <v>19</v>
      </c>
      <c r="M137" s="5">
        <v>3</v>
      </c>
      <c r="N137" s="5" t="s">
        <v>3</v>
      </c>
      <c r="O137" s="5">
        <v>2</v>
      </c>
      <c r="P137" s="5">
        <f>ROUND(Source!ES117,O137)</f>
        <v>0</v>
      </c>
      <c r="Q137" s="5"/>
      <c r="R137" s="5"/>
      <c r="S137" s="5"/>
      <c r="T137" s="5"/>
      <c r="U137" s="5"/>
      <c r="V137" s="5"/>
      <c r="W137" s="5">
        <v>0</v>
      </c>
      <c r="X137" s="5">
        <v>1</v>
      </c>
      <c r="Y137" s="5">
        <v>0</v>
      </c>
      <c r="Z137" s="5">
        <v>0</v>
      </c>
      <c r="AA137" s="5">
        <v>1</v>
      </c>
      <c r="AB137" s="5">
        <v>0</v>
      </c>
    </row>
    <row r="138" spans="1:28" x14ac:dyDescent="0.2">
      <c r="A138" s="5">
        <v>50</v>
      </c>
      <c r="B138" s="5">
        <v>0</v>
      </c>
      <c r="C138" s="5">
        <v>0</v>
      </c>
      <c r="D138" s="5">
        <v>1</v>
      </c>
      <c r="E138" s="5">
        <v>206</v>
      </c>
      <c r="F138" s="5">
        <f>ROUND(Source!T117,O138)</f>
        <v>0</v>
      </c>
      <c r="G138" s="5" t="s">
        <v>79</v>
      </c>
      <c r="H138" s="5" t="s">
        <v>80</v>
      </c>
      <c r="I138" s="5"/>
      <c r="J138" s="5"/>
      <c r="K138" s="5">
        <v>206</v>
      </c>
      <c r="L138" s="5">
        <v>20</v>
      </c>
      <c r="M138" s="5">
        <v>3</v>
      </c>
      <c r="N138" s="5" t="s">
        <v>3</v>
      </c>
      <c r="O138" s="5">
        <v>2</v>
      </c>
      <c r="P138" s="5">
        <f>ROUND(Source!DL117,O138)</f>
        <v>0</v>
      </c>
      <c r="Q138" s="5"/>
      <c r="R138" s="5"/>
      <c r="S138" s="5"/>
      <c r="T138" s="5"/>
      <c r="U138" s="5"/>
      <c r="V138" s="5"/>
      <c r="W138" s="5">
        <v>0</v>
      </c>
      <c r="X138" s="5">
        <v>1</v>
      </c>
      <c r="Y138" s="5">
        <v>0</v>
      </c>
      <c r="Z138" s="5">
        <v>0</v>
      </c>
      <c r="AA138" s="5">
        <v>1</v>
      </c>
      <c r="AB138" s="5">
        <v>0</v>
      </c>
    </row>
    <row r="139" spans="1:28" x14ac:dyDescent="0.2">
      <c r="A139" s="5">
        <v>50</v>
      </c>
      <c r="B139" s="5">
        <v>0</v>
      </c>
      <c r="C139" s="5">
        <v>0</v>
      </c>
      <c r="D139" s="5">
        <v>1</v>
      </c>
      <c r="E139" s="5">
        <v>207</v>
      </c>
      <c r="F139" s="5">
        <f>Source!U117</f>
        <v>0</v>
      </c>
      <c r="G139" s="5" t="s">
        <v>81</v>
      </c>
      <c r="H139" s="5" t="s">
        <v>82</v>
      </c>
      <c r="I139" s="5"/>
      <c r="J139" s="5"/>
      <c r="K139" s="5">
        <v>207</v>
      </c>
      <c r="L139" s="5">
        <v>21</v>
      </c>
      <c r="M139" s="5">
        <v>3</v>
      </c>
      <c r="N139" s="5" t="s">
        <v>3</v>
      </c>
      <c r="O139" s="5">
        <v>-1</v>
      </c>
      <c r="P139" s="5">
        <f>Source!DM117</f>
        <v>0</v>
      </c>
      <c r="Q139" s="5"/>
      <c r="R139" s="5"/>
      <c r="S139" s="5"/>
      <c r="T139" s="5"/>
      <c r="U139" s="5"/>
      <c r="V139" s="5"/>
      <c r="W139" s="5">
        <v>0</v>
      </c>
      <c r="X139" s="5">
        <v>1</v>
      </c>
      <c r="Y139" s="5">
        <v>0</v>
      </c>
      <c r="Z139" s="5">
        <v>0</v>
      </c>
      <c r="AA139" s="5">
        <v>1</v>
      </c>
      <c r="AB139" s="5">
        <v>0</v>
      </c>
    </row>
    <row r="140" spans="1:28" x14ac:dyDescent="0.2">
      <c r="A140" s="5">
        <v>50</v>
      </c>
      <c r="B140" s="5">
        <v>0</v>
      </c>
      <c r="C140" s="5">
        <v>0</v>
      </c>
      <c r="D140" s="5">
        <v>1</v>
      </c>
      <c r="E140" s="5">
        <v>208</v>
      </c>
      <c r="F140" s="5">
        <f>Source!V117</f>
        <v>0</v>
      </c>
      <c r="G140" s="5" t="s">
        <v>83</v>
      </c>
      <c r="H140" s="5" t="s">
        <v>84</v>
      </c>
      <c r="I140" s="5"/>
      <c r="J140" s="5"/>
      <c r="K140" s="5">
        <v>208</v>
      </c>
      <c r="L140" s="5">
        <v>22</v>
      </c>
      <c r="M140" s="5">
        <v>3</v>
      </c>
      <c r="N140" s="5" t="s">
        <v>3</v>
      </c>
      <c r="O140" s="5">
        <v>-1</v>
      </c>
      <c r="P140" s="5">
        <f>Source!DN117</f>
        <v>0</v>
      </c>
      <c r="Q140" s="5"/>
      <c r="R140" s="5"/>
      <c r="S140" s="5"/>
      <c r="T140" s="5"/>
      <c r="U140" s="5"/>
      <c r="V140" s="5"/>
      <c r="W140" s="5">
        <v>0</v>
      </c>
      <c r="X140" s="5">
        <v>1</v>
      </c>
      <c r="Y140" s="5">
        <v>0</v>
      </c>
      <c r="Z140" s="5">
        <v>0</v>
      </c>
      <c r="AA140" s="5">
        <v>1</v>
      </c>
      <c r="AB140" s="5">
        <v>0</v>
      </c>
    </row>
    <row r="141" spans="1:28" x14ac:dyDescent="0.2">
      <c r="A141" s="5">
        <v>50</v>
      </c>
      <c r="B141" s="5">
        <v>0</v>
      </c>
      <c r="C141" s="5">
        <v>0</v>
      </c>
      <c r="D141" s="5">
        <v>1</v>
      </c>
      <c r="E141" s="5">
        <v>209</v>
      </c>
      <c r="F141" s="5">
        <f>ROUND(Source!W117,O141)</f>
        <v>0</v>
      </c>
      <c r="G141" s="5" t="s">
        <v>85</v>
      </c>
      <c r="H141" s="5" t="s">
        <v>86</v>
      </c>
      <c r="I141" s="5"/>
      <c r="J141" s="5"/>
      <c r="K141" s="5">
        <v>209</v>
      </c>
      <c r="L141" s="5">
        <v>23</v>
      </c>
      <c r="M141" s="5">
        <v>3</v>
      </c>
      <c r="N141" s="5" t="s">
        <v>3</v>
      </c>
      <c r="O141" s="5">
        <v>2</v>
      </c>
      <c r="P141" s="5">
        <f>ROUND(Source!DO117,O141)</f>
        <v>0</v>
      </c>
      <c r="Q141" s="5"/>
      <c r="R141" s="5"/>
      <c r="S141" s="5"/>
      <c r="T141" s="5"/>
      <c r="U141" s="5"/>
      <c r="V141" s="5"/>
      <c r="W141" s="5">
        <v>0</v>
      </c>
      <c r="X141" s="5">
        <v>1</v>
      </c>
      <c r="Y141" s="5">
        <v>0</v>
      </c>
      <c r="Z141" s="5">
        <v>0</v>
      </c>
      <c r="AA141" s="5">
        <v>1</v>
      </c>
      <c r="AB141" s="5">
        <v>0</v>
      </c>
    </row>
    <row r="142" spans="1:28" x14ac:dyDescent="0.2">
      <c r="A142" s="5">
        <v>50</v>
      </c>
      <c r="B142" s="5">
        <v>0</v>
      </c>
      <c r="C142" s="5">
        <v>0</v>
      </c>
      <c r="D142" s="5">
        <v>1</v>
      </c>
      <c r="E142" s="5">
        <v>233</v>
      </c>
      <c r="F142" s="5">
        <f>ROUND(Source!BD117,O142)</f>
        <v>0</v>
      </c>
      <c r="G142" s="5" t="s">
        <v>87</v>
      </c>
      <c r="H142" s="5" t="s">
        <v>88</v>
      </c>
      <c r="I142" s="5"/>
      <c r="J142" s="5"/>
      <c r="K142" s="5">
        <v>233</v>
      </c>
      <c r="L142" s="5">
        <v>24</v>
      </c>
      <c r="M142" s="5">
        <v>3</v>
      </c>
      <c r="N142" s="5" t="s">
        <v>3</v>
      </c>
      <c r="O142" s="5">
        <v>2</v>
      </c>
      <c r="P142" s="5">
        <f>ROUND(Source!EV117,O142)</f>
        <v>0</v>
      </c>
      <c r="Q142" s="5"/>
      <c r="R142" s="5"/>
      <c r="S142" s="5"/>
      <c r="T142" s="5"/>
      <c r="U142" s="5"/>
      <c r="V142" s="5"/>
      <c r="W142" s="5">
        <v>0</v>
      </c>
      <c r="X142" s="5">
        <v>1</v>
      </c>
      <c r="Y142" s="5">
        <v>0</v>
      </c>
      <c r="Z142" s="5">
        <v>0</v>
      </c>
      <c r="AA142" s="5">
        <v>1</v>
      </c>
      <c r="AB142" s="5">
        <v>0</v>
      </c>
    </row>
    <row r="143" spans="1:28" x14ac:dyDescent="0.2">
      <c r="A143" s="5">
        <v>50</v>
      </c>
      <c r="B143" s="5">
        <v>0</v>
      </c>
      <c r="C143" s="5">
        <v>0</v>
      </c>
      <c r="D143" s="5">
        <v>1</v>
      </c>
      <c r="E143" s="5">
        <v>210</v>
      </c>
      <c r="F143" s="5">
        <f>ROUND(Source!X117,O143)</f>
        <v>0</v>
      </c>
      <c r="G143" s="5" t="s">
        <v>89</v>
      </c>
      <c r="H143" s="5" t="s">
        <v>90</v>
      </c>
      <c r="I143" s="5"/>
      <c r="J143" s="5"/>
      <c r="K143" s="5">
        <v>210</v>
      </c>
      <c r="L143" s="5">
        <v>25</v>
      </c>
      <c r="M143" s="5">
        <v>3</v>
      </c>
      <c r="N143" s="5" t="s">
        <v>3</v>
      </c>
      <c r="O143" s="5">
        <v>2</v>
      </c>
      <c r="P143" s="5">
        <f>ROUND(Source!DP117,O143)</f>
        <v>0</v>
      </c>
      <c r="Q143" s="5"/>
      <c r="R143" s="5"/>
      <c r="S143" s="5"/>
      <c r="T143" s="5"/>
      <c r="U143" s="5"/>
      <c r="V143" s="5"/>
      <c r="W143" s="5">
        <v>0</v>
      </c>
      <c r="X143" s="5">
        <v>1</v>
      </c>
      <c r="Y143" s="5">
        <v>0</v>
      </c>
      <c r="Z143" s="5">
        <v>0</v>
      </c>
      <c r="AA143" s="5">
        <v>1</v>
      </c>
      <c r="AB143" s="5">
        <v>0</v>
      </c>
    </row>
    <row r="144" spans="1:28" x14ac:dyDescent="0.2">
      <c r="A144" s="5">
        <v>50</v>
      </c>
      <c r="B144" s="5">
        <v>0</v>
      </c>
      <c r="C144" s="5">
        <v>0</v>
      </c>
      <c r="D144" s="5">
        <v>1</v>
      </c>
      <c r="E144" s="5">
        <v>211</v>
      </c>
      <c r="F144" s="5">
        <f>ROUND(Source!Y117,O144)</f>
        <v>0</v>
      </c>
      <c r="G144" s="5" t="s">
        <v>91</v>
      </c>
      <c r="H144" s="5" t="s">
        <v>92</v>
      </c>
      <c r="I144" s="5"/>
      <c r="J144" s="5"/>
      <c r="K144" s="5">
        <v>211</v>
      </c>
      <c r="L144" s="5">
        <v>26</v>
      </c>
      <c r="M144" s="5">
        <v>3</v>
      </c>
      <c r="N144" s="5" t="s">
        <v>3</v>
      </c>
      <c r="O144" s="5">
        <v>2</v>
      </c>
      <c r="P144" s="5">
        <f>ROUND(Source!DQ117,O144)</f>
        <v>0</v>
      </c>
      <c r="Q144" s="5"/>
      <c r="R144" s="5"/>
      <c r="S144" s="5"/>
      <c r="T144" s="5"/>
      <c r="U144" s="5"/>
      <c r="V144" s="5"/>
      <c r="W144" s="5">
        <v>0</v>
      </c>
      <c r="X144" s="5">
        <v>1</v>
      </c>
      <c r="Y144" s="5">
        <v>0</v>
      </c>
      <c r="Z144" s="5">
        <v>0</v>
      </c>
      <c r="AA144" s="5">
        <v>1</v>
      </c>
      <c r="AB144" s="5">
        <v>0</v>
      </c>
    </row>
    <row r="145" spans="1:255" x14ac:dyDescent="0.2">
      <c r="A145" s="5">
        <v>50</v>
      </c>
      <c r="B145" s="5">
        <v>0</v>
      </c>
      <c r="C145" s="5">
        <v>0</v>
      </c>
      <c r="D145" s="5">
        <v>1</v>
      </c>
      <c r="E145" s="5">
        <v>224</v>
      </c>
      <c r="F145" s="5">
        <f>ROUND(Source!AR117,O145)</f>
        <v>0</v>
      </c>
      <c r="G145" s="5" t="s">
        <v>93</v>
      </c>
      <c r="H145" s="5" t="s">
        <v>94</v>
      </c>
      <c r="I145" s="5"/>
      <c r="J145" s="5"/>
      <c r="K145" s="5">
        <v>224</v>
      </c>
      <c r="L145" s="5">
        <v>27</v>
      </c>
      <c r="M145" s="5">
        <v>3</v>
      </c>
      <c r="N145" s="5" t="s">
        <v>3</v>
      </c>
      <c r="O145" s="5">
        <v>2</v>
      </c>
      <c r="P145" s="5">
        <f>ROUND(Source!EJ117,O145)</f>
        <v>0</v>
      </c>
      <c r="Q145" s="5"/>
      <c r="R145" s="5"/>
      <c r="S145" s="5"/>
      <c r="T145" s="5"/>
      <c r="U145" s="5"/>
      <c r="V145" s="5"/>
      <c r="W145" s="5">
        <v>0</v>
      </c>
      <c r="X145" s="5">
        <v>1</v>
      </c>
      <c r="Y145" s="5">
        <v>0</v>
      </c>
      <c r="Z145" s="5">
        <v>0</v>
      </c>
      <c r="AA145" s="5">
        <v>1</v>
      </c>
      <c r="AB145" s="5">
        <v>0</v>
      </c>
    </row>
    <row r="147" spans="1:255" x14ac:dyDescent="0.2">
      <c r="A147" s="1">
        <v>4</v>
      </c>
      <c r="B147" s="1">
        <v>1</v>
      </c>
      <c r="C147" s="1"/>
      <c r="D147" s="1">
        <f>ROW(A154)</f>
        <v>154</v>
      </c>
      <c r="E147" s="1"/>
      <c r="F147" s="1" t="s">
        <v>14</v>
      </c>
      <c r="G147" s="1" t="s">
        <v>107</v>
      </c>
      <c r="H147" s="1" t="s">
        <v>3</v>
      </c>
      <c r="I147" s="1">
        <v>0</v>
      </c>
      <c r="J147" s="1"/>
      <c r="K147" s="1">
        <v>0</v>
      </c>
      <c r="L147" s="1"/>
      <c r="M147" s="1" t="s">
        <v>3</v>
      </c>
      <c r="N147" s="1"/>
      <c r="O147" s="1"/>
      <c r="P147" s="1"/>
      <c r="Q147" s="1"/>
      <c r="R147" s="1"/>
      <c r="S147" s="1">
        <v>0</v>
      </c>
      <c r="T147" s="1">
        <v>0</v>
      </c>
      <c r="U147" s="1" t="s">
        <v>3</v>
      </c>
      <c r="V147" s="1">
        <v>0</v>
      </c>
      <c r="W147" s="1"/>
      <c r="X147" s="1"/>
      <c r="Y147" s="1"/>
      <c r="Z147" s="1"/>
      <c r="AA147" s="1"/>
      <c r="AB147" s="1" t="s">
        <v>3</v>
      </c>
      <c r="AC147" s="1" t="s">
        <v>3</v>
      </c>
      <c r="AD147" s="1" t="s">
        <v>3</v>
      </c>
      <c r="AE147" s="1" t="s">
        <v>3</v>
      </c>
      <c r="AF147" s="1" t="s">
        <v>3</v>
      </c>
      <c r="AG147" s="1" t="s">
        <v>3</v>
      </c>
      <c r="AH147" s="1"/>
      <c r="AI147" s="1"/>
      <c r="AJ147" s="1"/>
      <c r="AK147" s="1"/>
      <c r="AL147" s="1"/>
      <c r="AM147" s="1"/>
      <c r="AN147" s="1"/>
      <c r="AO147" s="1"/>
      <c r="AP147" s="1" t="s">
        <v>3</v>
      </c>
      <c r="AQ147" s="1" t="s">
        <v>3</v>
      </c>
      <c r="AR147" s="1" t="s">
        <v>3</v>
      </c>
      <c r="AS147" s="1"/>
      <c r="AT147" s="1"/>
      <c r="AU147" s="1"/>
      <c r="AV147" s="1"/>
      <c r="AW147" s="1"/>
      <c r="AX147" s="1"/>
      <c r="AY147" s="1"/>
      <c r="AZ147" s="1" t="s">
        <v>3</v>
      </c>
      <c r="BA147" s="1"/>
      <c r="BB147" s="1" t="s">
        <v>3</v>
      </c>
      <c r="BC147" s="1" t="s">
        <v>3</v>
      </c>
      <c r="BD147" s="1" t="s">
        <v>3</v>
      </c>
      <c r="BE147" s="1" t="s">
        <v>3</v>
      </c>
      <c r="BF147" s="1" t="s">
        <v>3</v>
      </c>
      <c r="BG147" s="1" t="s">
        <v>3</v>
      </c>
      <c r="BH147" s="1" t="s">
        <v>3</v>
      </c>
      <c r="BI147" s="1" t="s">
        <v>3</v>
      </c>
      <c r="BJ147" s="1" t="s">
        <v>3</v>
      </c>
      <c r="BK147" s="1" t="s">
        <v>3</v>
      </c>
      <c r="BL147" s="1" t="s">
        <v>3</v>
      </c>
      <c r="BM147" s="1" t="s">
        <v>3</v>
      </c>
      <c r="BN147" s="1" t="s">
        <v>3</v>
      </c>
      <c r="BO147" s="1" t="s">
        <v>3</v>
      </c>
      <c r="BP147" s="1" t="s">
        <v>3</v>
      </c>
      <c r="BQ147" s="1"/>
      <c r="BR147" s="1"/>
      <c r="BS147" s="1"/>
      <c r="BT147" s="1"/>
      <c r="BU147" s="1"/>
      <c r="BV147" s="1"/>
      <c r="BW147" s="1"/>
      <c r="BX147" s="1">
        <v>0</v>
      </c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>
        <v>0</v>
      </c>
    </row>
    <row r="149" spans="1:255" x14ac:dyDescent="0.2">
      <c r="A149" s="3">
        <v>52</v>
      </c>
      <c r="B149" s="3">
        <f t="shared" ref="B149:G149" si="91">B154</f>
        <v>1</v>
      </c>
      <c r="C149" s="3">
        <f t="shared" si="91"/>
        <v>4</v>
      </c>
      <c r="D149" s="3">
        <f t="shared" si="91"/>
        <v>147</v>
      </c>
      <c r="E149" s="3">
        <f t="shared" si="91"/>
        <v>0</v>
      </c>
      <c r="F149" s="3" t="str">
        <f t="shared" si="91"/>
        <v>Новый раздел</v>
      </c>
      <c r="G149" s="3" t="str">
        <f t="shared" si="91"/>
        <v>Перевозка демонтируемого оборудования</v>
      </c>
      <c r="H149" s="3"/>
      <c r="I149" s="3"/>
      <c r="J149" s="3"/>
      <c r="K149" s="3"/>
      <c r="L149" s="3"/>
      <c r="M149" s="3"/>
      <c r="N149" s="3"/>
      <c r="O149" s="3">
        <f t="shared" ref="O149:AT149" si="92">O154</f>
        <v>0</v>
      </c>
      <c r="P149" s="3">
        <f t="shared" si="92"/>
        <v>0</v>
      </c>
      <c r="Q149" s="3">
        <f t="shared" si="92"/>
        <v>0</v>
      </c>
      <c r="R149" s="3">
        <f t="shared" si="92"/>
        <v>0</v>
      </c>
      <c r="S149" s="3">
        <f t="shared" si="92"/>
        <v>0</v>
      </c>
      <c r="T149" s="3">
        <f t="shared" si="92"/>
        <v>0</v>
      </c>
      <c r="U149" s="3">
        <f t="shared" si="92"/>
        <v>0</v>
      </c>
      <c r="V149" s="3">
        <f t="shared" si="92"/>
        <v>0</v>
      </c>
      <c r="W149" s="3">
        <f t="shared" si="92"/>
        <v>0</v>
      </c>
      <c r="X149" s="3">
        <f t="shared" si="92"/>
        <v>0</v>
      </c>
      <c r="Y149" s="3">
        <f t="shared" si="92"/>
        <v>0</v>
      </c>
      <c r="Z149" s="3">
        <f t="shared" si="92"/>
        <v>0</v>
      </c>
      <c r="AA149" s="3">
        <f t="shared" si="92"/>
        <v>0</v>
      </c>
      <c r="AB149" s="3">
        <f t="shared" si="92"/>
        <v>0</v>
      </c>
      <c r="AC149" s="3">
        <f t="shared" si="92"/>
        <v>0</v>
      </c>
      <c r="AD149" s="3">
        <f t="shared" si="92"/>
        <v>0</v>
      </c>
      <c r="AE149" s="3">
        <f t="shared" si="92"/>
        <v>0</v>
      </c>
      <c r="AF149" s="3">
        <f t="shared" si="92"/>
        <v>0</v>
      </c>
      <c r="AG149" s="3">
        <f t="shared" si="92"/>
        <v>0</v>
      </c>
      <c r="AH149" s="3">
        <f t="shared" si="92"/>
        <v>0</v>
      </c>
      <c r="AI149" s="3">
        <f t="shared" si="92"/>
        <v>0</v>
      </c>
      <c r="AJ149" s="3">
        <f t="shared" si="92"/>
        <v>0</v>
      </c>
      <c r="AK149" s="3">
        <f t="shared" si="92"/>
        <v>0</v>
      </c>
      <c r="AL149" s="3">
        <f t="shared" si="92"/>
        <v>0</v>
      </c>
      <c r="AM149" s="3">
        <f t="shared" si="92"/>
        <v>0</v>
      </c>
      <c r="AN149" s="3">
        <f t="shared" si="92"/>
        <v>0</v>
      </c>
      <c r="AO149" s="3">
        <f t="shared" si="92"/>
        <v>0</v>
      </c>
      <c r="AP149" s="3">
        <f t="shared" si="92"/>
        <v>0</v>
      </c>
      <c r="AQ149" s="3">
        <f t="shared" si="92"/>
        <v>0</v>
      </c>
      <c r="AR149" s="3">
        <f t="shared" si="92"/>
        <v>0</v>
      </c>
      <c r="AS149" s="3">
        <f t="shared" si="92"/>
        <v>0</v>
      </c>
      <c r="AT149" s="3">
        <f t="shared" si="92"/>
        <v>0</v>
      </c>
      <c r="AU149" s="3">
        <f t="shared" ref="AU149:BZ149" si="93">AU154</f>
        <v>0</v>
      </c>
      <c r="AV149" s="3">
        <f t="shared" si="93"/>
        <v>0</v>
      </c>
      <c r="AW149" s="3">
        <f t="shared" si="93"/>
        <v>0</v>
      </c>
      <c r="AX149" s="3">
        <f t="shared" si="93"/>
        <v>0</v>
      </c>
      <c r="AY149" s="3">
        <f t="shared" si="93"/>
        <v>0</v>
      </c>
      <c r="AZ149" s="3">
        <f t="shared" si="93"/>
        <v>0</v>
      </c>
      <c r="BA149" s="3">
        <f t="shared" si="93"/>
        <v>0</v>
      </c>
      <c r="BB149" s="3">
        <f t="shared" si="93"/>
        <v>0</v>
      </c>
      <c r="BC149" s="3">
        <f t="shared" si="93"/>
        <v>0</v>
      </c>
      <c r="BD149" s="3">
        <f t="shared" si="93"/>
        <v>0</v>
      </c>
      <c r="BE149" s="3">
        <f t="shared" si="93"/>
        <v>0</v>
      </c>
      <c r="BF149" s="3">
        <f t="shared" si="93"/>
        <v>0</v>
      </c>
      <c r="BG149" s="3">
        <f t="shared" si="93"/>
        <v>0</v>
      </c>
      <c r="BH149" s="3">
        <f t="shared" si="93"/>
        <v>0</v>
      </c>
      <c r="BI149" s="3">
        <f t="shared" si="93"/>
        <v>0</v>
      </c>
      <c r="BJ149" s="3">
        <f t="shared" si="93"/>
        <v>0</v>
      </c>
      <c r="BK149" s="3">
        <f t="shared" si="93"/>
        <v>0</v>
      </c>
      <c r="BL149" s="3">
        <f t="shared" si="93"/>
        <v>0</v>
      </c>
      <c r="BM149" s="3">
        <f t="shared" si="93"/>
        <v>0</v>
      </c>
      <c r="BN149" s="3">
        <f t="shared" si="93"/>
        <v>0</v>
      </c>
      <c r="BO149" s="3">
        <f t="shared" si="93"/>
        <v>0</v>
      </c>
      <c r="BP149" s="3">
        <f t="shared" si="93"/>
        <v>0</v>
      </c>
      <c r="BQ149" s="3">
        <f t="shared" si="93"/>
        <v>0</v>
      </c>
      <c r="BR149" s="3">
        <f t="shared" si="93"/>
        <v>0</v>
      </c>
      <c r="BS149" s="3">
        <f t="shared" si="93"/>
        <v>0</v>
      </c>
      <c r="BT149" s="3">
        <f t="shared" si="93"/>
        <v>0</v>
      </c>
      <c r="BU149" s="3">
        <f t="shared" si="93"/>
        <v>0</v>
      </c>
      <c r="BV149" s="3">
        <f t="shared" si="93"/>
        <v>0</v>
      </c>
      <c r="BW149" s="3">
        <f t="shared" si="93"/>
        <v>0</v>
      </c>
      <c r="BX149" s="3">
        <f t="shared" si="93"/>
        <v>0</v>
      </c>
      <c r="BY149" s="3">
        <f t="shared" si="93"/>
        <v>0</v>
      </c>
      <c r="BZ149" s="3">
        <f t="shared" si="93"/>
        <v>0</v>
      </c>
      <c r="CA149" s="3">
        <f t="shared" ref="CA149:DF149" si="94">CA154</f>
        <v>0</v>
      </c>
      <c r="CB149" s="3">
        <f t="shared" si="94"/>
        <v>0</v>
      </c>
      <c r="CC149" s="3">
        <f t="shared" si="94"/>
        <v>0</v>
      </c>
      <c r="CD149" s="3">
        <f t="shared" si="94"/>
        <v>0</v>
      </c>
      <c r="CE149" s="3">
        <f t="shared" si="94"/>
        <v>0</v>
      </c>
      <c r="CF149" s="3">
        <f t="shared" si="94"/>
        <v>0</v>
      </c>
      <c r="CG149" s="3">
        <f t="shared" si="94"/>
        <v>0</v>
      </c>
      <c r="CH149" s="3">
        <f t="shared" si="94"/>
        <v>0</v>
      </c>
      <c r="CI149" s="3">
        <f t="shared" si="94"/>
        <v>0</v>
      </c>
      <c r="CJ149" s="3">
        <f t="shared" si="94"/>
        <v>0</v>
      </c>
      <c r="CK149" s="3">
        <f t="shared" si="94"/>
        <v>0</v>
      </c>
      <c r="CL149" s="3">
        <f t="shared" si="94"/>
        <v>0</v>
      </c>
      <c r="CM149" s="3">
        <f t="shared" si="94"/>
        <v>0</v>
      </c>
      <c r="CN149" s="3">
        <f t="shared" si="94"/>
        <v>0</v>
      </c>
      <c r="CO149" s="3">
        <f t="shared" si="94"/>
        <v>0</v>
      </c>
      <c r="CP149" s="3">
        <f t="shared" si="94"/>
        <v>0</v>
      </c>
      <c r="CQ149" s="3">
        <f t="shared" si="94"/>
        <v>0</v>
      </c>
      <c r="CR149" s="3">
        <f t="shared" si="94"/>
        <v>0</v>
      </c>
      <c r="CS149" s="3">
        <f t="shared" si="94"/>
        <v>0</v>
      </c>
      <c r="CT149" s="3">
        <f t="shared" si="94"/>
        <v>0</v>
      </c>
      <c r="CU149" s="3">
        <f t="shared" si="94"/>
        <v>0</v>
      </c>
      <c r="CV149" s="3">
        <f t="shared" si="94"/>
        <v>0</v>
      </c>
      <c r="CW149" s="3">
        <f t="shared" si="94"/>
        <v>0</v>
      </c>
      <c r="CX149" s="3">
        <f t="shared" si="94"/>
        <v>0</v>
      </c>
      <c r="CY149" s="3">
        <f t="shared" si="94"/>
        <v>0</v>
      </c>
      <c r="CZ149" s="3">
        <f t="shared" si="94"/>
        <v>0</v>
      </c>
      <c r="DA149" s="3">
        <f t="shared" si="94"/>
        <v>0</v>
      </c>
      <c r="DB149" s="3">
        <f t="shared" si="94"/>
        <v>0</v>
      </c>
      <c r="DC149" s="3">
        <f t="shared" si="94"/>
        <v>0</v>
      </c>
      <c r="DD149" s="3">
        <f t="shared" si="94"/>
        <v>0</v>
      </c>
      <c r="DE149" s="3">
        <f t="shared" si="94"/>
        <v>0</v>
      </c>
      <c r="DF149" s="3">
        <f t="shared" si="94"/>
        <v>0</v>
      </c>
      <c r="DG149" s="4">
        <f t="shared" ref="DG149:EL149" si="95">DG154</f>
        <v>0</v>
      </c>
      <c r="DH149" s="4">
        <f t="shared" si="95"/>
        <v>0</v>
      </c>
      <c r="DI149" s="4">
        <f t="shared" si="95"/>
        <v>0</v>
      </c>
      <c r="DJ149" s="4">
        <f t="shared" si="95"/>
        <v>0</v>
      </c>
      <c r="DK149" s="4">
        <f t="shared" si="95"/>
        <v>0</v>
      </c>
      <c r="DL149" s="4">
        <f t="shared" si="95"/>
        <v>0</v>
      </c>
      <c r="DM149" s="4">
        <f t="shared" si="95"/>
        <v>0</v>
      </c>
      <c r="DN149" s="4">
        <f t="shared" si="95"/>
        <v>0</v>
      </c>
      <c r="DO149" s="4">
        <f t="shared" si="95"/>
        <v>0</v>
      </c>
      <c r="DP149" s="4">
        <f t="shared" si="95"/>
        <v>0</v>
      </c>
      <c r="DQ149" s="4">
        <f t="shared" si="95"/>
        <v>0</v>
      </c>
      <c r="DR149" s="4">
        <f t="shared" si="95"/>
        <v>0</v>
      </c>
      <c r="DS149" s="4">
        <f t="shared" si="95"/>
        <v>0</v>
      </c>
      <c r="DT149" s="4">
        <f t="shared" si="95"/>
        <v>0</v>
      </c>
      <c r="DU149" s="4">
        <f t="shared" si="95"/>
        <v>0</v>
      </c>
      <c r="DV149" s="4">
        <f t="shared" si="95"/>
        <v>0</v>
      </c>
      <c r="DW149" s="4">
        <f t="shared" si="95"/>
        <v>0</v>
      </c>
      <c r="DX149" s="4">
        <f t="shared" si="95"/>
        <v>0</v>
      </c>
      <c r="DY149" s="4">
        <f t="shared" si="95"/>
        <v>0</v>
      </c>
      <c r="DZ149" s="4">
        <f t="shared" si="95"/>
        <v>0</v>
      </c>
      <c r="EA149" s="4">
        <f t="shared" si="95"/>
        <v>0</v>
      </c>
      <c r="EB149" s="4">
        <f t="shared" si="95"/>
        <v>0</v>
      </c>
      <c r="EC149" s="4">
        <f t="shared" si="95"/>
        <v>0</v>
      </c>
      <c r="ED149" s="4">
        <f t="shared" si="95"/>
        <v>0</v>
      </c>
      <c r="EE149" s="4">
        <f t="shared" si="95"/>
        <v>0</v>
      </c>
      <c r="EF149" s="4">
        <f t="shared" si="95"/>
        <v>0</v>
      </c>
      <c r="EG149" s="4">
        <f t="shared" si="95"/>
        <v>0</v>
      </c>
      <c r="EH149" s="4">
        <f t="shared" si="95"/>
        <v>0</v>
      </c>
      <c r="EI149" s="4">
        <f t="shared" si="95"/>
        <v>0</v>
      </c>
      <c r="EJ149" s="4">
        <f t="shared" si="95"/>
        <v>0</v>
      </c>
      <c r="EK149" s="4">
        <f t="shared" si="95"/>
        <v>0</v>
      </c>
      <c r="EL149" s="4">
        <f t="shared" si="95"/>
        <v>0</v>
      </c>
      <c r="EM149" s="4">
        <f t="shared" ref="EM149:FR149" si="96">EM154</f>
        <v>0</v>
      </c>
      <c r="EN149" s="4">
        <f t="shared" si="96"/>
        <v>0</v>
      </c>
      <c r="EO149" s="4">
        <f t="shared" si="96"/>
        <v>0</v>
      </c>
      <c r="EP149" s="4">
        <f t="shared" si="96"/>
        <v>0</v>
      </c>
      <c r="EQ149" s="4">
        <f t="shared" si="96"/>
        <v>0</v>
      </c>
      <c r="ER149" s="4">
        <f t="shared" si="96"/>
        <v>0</v>
      </c>
      <c r="ES149" s="4">
        <f t="shared" si="96"/>
        <v>0</v>
      </c>
      <c r="ET149" s="4">
        <f t="shared" si="96"/>
        <v>0</v>
      </c>
      <c r="EU149" s="4">
        <f t="shared" si="96"/>
        <v>0</v>
      </c>
      <c r="EV149" s="4">
        <f t="shared" si="96"/>
        <v>0</v>
      </c>
      <c r="EW149" s="4">
        <f t="shared" si="96"/>
        <v>0</v>
      </c>
      <c r="EX149" s="4">
        <f t="shared" si="96"/>
        <v>0</v>
      </c>
      <c r="EY149" s="4">
        <f t="shared" si="96"/>
        <v>0</v>
      </c>
      <c r="EZ149" s="4">
        <f t="shared" si="96"/>
        <v>0</v>
      </c>
      <c r="FA149" s="4">
        <f t="shared" si="96"/>
        <v>0</v>
      </c>
      <c r="FB149" s="4">
        <f t="shared" si="96"/>
        <v>0</v>
      </c>
      <c r="FC149" s="4">
        <f t="shared" si="96"/>
        <v>0</v>
      </c>
      <c r="FD149" s="4">
        <f t="shared" si="96"/>
        <v>0</v>
      </c>
      <c r="FE149" s="4">
        <f t="shared" si="96"/>
        <v>0</v>
      </c>
      <c r="FF149" s="4">
        <f t="shared" si="96"/>
        <v>0</v>
      </c>
      <c r="FG149" s="4">
        <f t="shared" si="96"/>
        <v>0</v>
      </c>
      <c r="FH149" s="4">
        <f t="shared" si="96"/>
        <v>0</v>
      </c>
      <c r="FI149" s="4">
        <f t="shared" si="96"/>
        <v>0</v>
      </c>
      <c r="FJ149" s="4">
        <f t="shared" si="96"/>
        <v>0</v>
      </c>
      <c r="FK149" s="4">
        <f t="shared" si="96"/>
        <v>0</v>
      </c>
      <c r="FL149" s="4">
        <f t="shared" si="96"/>
        <v>0</v>
      </c>
      <c r="FM149" s="4">
        <f t="shared" si="96"/>
        <v>0</v>
      </c>
      <c r="FN149" s="4">
        <f t="shared" si="96"/>
        <v>0</v>
      </c>
      <c r="FO149" s="4">
        <f t="shared" si="96"/>
        <v>0</v>
      </c>
      <c r="FP149" s="4">
        <f t="shared" si="96"/>
        <v>0</v>
      </c>
      <c r="FQ149" s="4">
        <f t="shared" si="96"/>
        <v>0</v>
      </c>
      <c r="FR149" s="4">
        <f t="shared" si="96"/>
        <v>0</v>
      </c>
      <c r="FS149" s="4">
        <f t="shared" ref="FS149:GX149" si="97">FS154</f>
        <v>0</v>
      </c>
      <c r="FT149" s="4">
        <f t="shared" si="97"/>
        <v>0</v>
      </c>
      <c r="FU149" s="4">
        <f t="shared" si="97"/>
        <v>0</v>
      </c>
      <c r="FV149" s="4">
        <f t="shared" si="97"/>
        <v>0</v>
      </c>
      <c r="FW149" s="4">
        <f t="shared" si="97"/>
        <v>0</v>
      </c>
      <c r="FX149" s="4">
        <f t="shared" si="97"/>
        <v>0</v>
      </c>
      <c r="FY149" s="4">
        <f t="shared" si="97"/>
        <v>0</v>
      </c>
      <c r="FZ149" s="4">
        <f t="shared" si="97"/>
        <v>0</v>
      </c>
      <c r="GA149" s="4">
        <f t="shared" si="97"/>
        <v>0</v>
      </c>
      <c r="GB149" s="4">
        <f t="shared" si="97"/>
        <v>0</v>
      </c>
      <c r="GC149" s="4">
        <f t="shared" si="97"/>
        <v>0</v>
      </c>
      <c r="GD149" s="4">
        <f t="shared" si="97"/>
        <v>0</v>
      </c>
      <c r="GE149" s="4">
        <f t="shared" si="97"/>
        <v>0</v>
      </c>
      <c r="GF149" s="4">
        <f t="shared" si="97"/>
        <v>0</v>
      </c>
      <c r="GG149" s="4">
        <f t="shared" si="97"/>
        <v>0</v>
      </c>
      <c r="GH149" s="4">
        <f t="shared" si="97"/>
        <v>0</v>
      </c>
      <c r="GI149" s="4">
        <f t="shared" si="97"/>
        <v>0</v>
      </c>
      <c r="GJ149" s="4">
        <f t="shared" si="97"/>
        <v>0</v>
      </c>
      <c r="GK149" s="4">
        <f t="shared" si="97"/>
        <v>0</v>
      </c>
      <c r="GL149" s="4">
        <f t="shared" si="97"/>
        <v>0</v>
      </c>
      <c r="GM149" s="4">
        <f t="shared" si="97"/>
        <v>0</v>
      </c>
      <c r="GN149" s="4">
        <f t="shared" si="97"/>
        <v>0</v>
      </c>
      <c r="GO149" s="4">
        <f t="shared" si="97"/>
        <v>0</v>
      </c>
      <c r="GP149" s="4">
        <f t="shared" si="97"/>
        <v>0</v>
      </c>
      <c r="GQ149" s="4">
        <f t="shared" si="97"/>
        <v>0</v>
      </c>
      <c r="GR149" s="4">
        <f t="shared" si="97"/>
        <v>0</v>
      </c>
      <c r="GS149" s="4">
        <f t="shared" si="97"/>
        <v>0</v>
      </c>
      <c r="GT149" s="4">
        <f t="shared" si="97"/>
        <v>0</v>
      </c>
      <c r="GU149" s="4">
        <f t="shared" si="97"/>
        <v>0</v>
      </c>
      <c r="GV149" s="4">
        <f t="shared" si="97"/>
        <v>0</v>
      </c>
      <c r="GW149" s="4">
        <f t="shared" si="97"/>
        <v>0</v>
      </c>
      <c r="GX149" s="4">
        <f t="shared" si="97"/>
        <v>0</v>
      </c>
    </row>
    <row r="151" spans="1:255" x14ac:dyDescent="0.2">
      <c r="A151" s="2">
        <v>17</v>
      </c>
      <c r="B151" s="2">
        <v>1</v>
      </c>
      <c r="C151" s="2"/>
      <c r="D151" s="2">
        <f>ROW(EtalonRes!A19)</f>
        <v>19</v>
      </c>
      <c r="E151" s="2" t="s">
        <v>108</v>
      </c>
      <c r="F151" s="2" t="s">
        <v>109</v>
      </c>
      <c r="G151" s="2" t="s">
        <v>110</v>
      </c>
      <c r="H151" s="2" t="s">
        <v>27</v>
      </c>
      <c r="I151" s="2">
        <v>0</v>
      </c>
      <c r="J151" s="2">
        <v>0</v>
      </c>
      <c r="K151" s="2">
        <v>0</v>
      </c>
      <c r="L151" s="2"/>
      <c r="M151" s="2"/>
      <c r="N151" s="2"/>
      <c r="O151" s="2">
        <f>ROUND(CP151,2)</f>
        <v>0</v>
      </c>
      <c r="P151" s="2">
        <f>ROUND((ROUND((AC151*AW151*I151),2)*BC151),2)</f>
        <v>0</v>
      </c>
      <c r="Q151" s="2">
        <f>(ROUND((ROUND(((ET151)*AV151*I151),2)*BB151),2)+ROUND((ROUND(((AE151-(EU151))*AV151*I151),2)*BS151),2))</f>
        <v>0</v>
      </c>
      <c r="R151" s="2">
        <f>ROUND((ROUND((AE151*AV151*I151),2)*BS151),2)</f>
        <v>0</v>
      </c>
      <c r="S151" s="2">
        <f>ROUND((ROUND((AF151*AV151*I151),2)*BA151),2)</f>
        <v>0</v>
      </c>
      <c r="T151" s="2">
        <f>ROUND(CU151*I151,2)</f>
        <v>0</v>
      </c>
      <c r="U151" s="2">
        <f>CV151*I151</f>
        <v>0</v>
      </c>
      <c r="V151" s="2">
        <f>CW151*I151</f>
        <v>0</v>
      </c>
      <c r="W151" s="2">
        <f>ROUND(CX151*I151,2)</f>
        <v>0</v>
      </c>
      <c r="X151" s="2">
        <f>ROUND(CY151,2)</f>
        <v>0</v>
      </c>
      <c r="Y151" s="2">
        <f>ROUND(CZ151,2)</f>
        <v>0</v>
      </c>
      <c r="Z151" s="2"/>
      <c r="AA151" s="2">
        <v>57734472</v>
      </c>
      <c r="AB151" s="2">
        <f>ROUND((AC151+AD151+AF151),6)</f>
        <v>11.17</v>
      </c>
      <c r="AC151" s="2">
        <f>ROUND((ES151),6)</f>
        <v>0</v>
      </c>
      <c r="AD151" s="2">
        <f>ROUND((((ET151)-(EU151))+AE151),6)</f>
        <v>11.17</v>
      </c>
      <c r="AE151" s="2">
        <f>ROUND((EU151),6)</f>
        <v>0</v>
      </c>
      <c r="AF151" s="2">
        <f>ROUND((EV151),6)</f>
        <v>0</v>
      </c>
      <c r="AG151" s="2">
        <f>ROUND((AP151),6)</f>
        <v>0</v>
      </c>
      <c r="AH151" s="2">
        <f>(EW151)</f>
        <v>0</v>
      </c>
      <c r="AI151" s="2">
        <f>(EX151)</f>
        <v>0</v>
      </c>
      <c r="AJ151" s="2">
        <f>(AS151)</f>
        <v>0</v>
      </c>
      <c r="AK151" s="2">
        <v>11.17</v>
      </c>
      <c r="AL151" s="2">
        <v>0</v>
      </c>
      <c r="AM151" s="2">
        <v>11.17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98</v>
      </c>
      <c r="AU151" s="2">
        <v>77</v>
      </c>
      <c r="AV151" s="2">
        <v>1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0</v>
      </c>
      <c r="BI151" s="2">
        <v>1</v>
      </c>
      <c r="BJ151" s="2" t="s">
        <v>111</v>
      </c>
      <c r="BK151" s="2"/>
      <c r="BL151" s="2"/>
      <c r="BM151" s="2">
        <v>630</v>
      </c>
      <c r="BN151" s="2">
        <v>0</v>
      </c>
      <c r="BO151" s="2" t="s">
        <v>3</v>
      </c>
      <c r="BP151" s="2">
        <v>0</v>
      </c>
      <c r="BQ151" s="2">
        <v>60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98</v>
      </c>
      <c r="CA151" s="2">
        <v>77</v>
      </c>
      <c r="CB151" s="2" t="s">
        <v>3</v>
      </c>
      <c r="CC151" s="2"/>
      <c r="CD151" s="2"/>
      <c r="CE151" s="2">
        <v>30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3</v>
      </c>
      <c r="CO151" s="2">
        <v>0</v>
      </c>
      <c r="CP151" s="2">
        <f>(P151+Q151+S151)</f>
        <v>0</v>
      </c>
      <c r="CQ151" s="2">
        <f>ROUND((ROUND((AC151*AW151*1),2)*BC151),2)</f>
        <v>0</v>
      </c>
      <c r="CR151" s="2">
        <f>(ROUND((ROUND(((ET151)*AV151*1),2)*BB151),2)+ROUND((ROUND(((AE151-(EU151))*AV151*1),2)*BS151),2))</f>
        <v>11.17</v>
      </c>
      <c r="CS151" s="2">
        <f>ROUND((ROUND((AE151*AV151*1),2)*BS151),2)</f>
        <v>0</v>
      </c>
      <c r="CT151" s="2">
        <f>ROUND((ROUND((AF151*AV151*1),2)*BA151),2)</f>
        <v>0</v>
      </c>
      <c r="CU151" s="2">
        <f>AG151</f>
        <v>0</v>
      </c>
      <c r="CV151" s="2">
        <f>(AH151*AV151)</f>
        <v>0</v>
      </c>
      <c r="CW151" s="2">
        <f>AI151</f>
        <v>0</v>
      </c>
      <c r="CX151" s="2">
        <f>AJ151</f>
        <v>0</v>
      </c>
      <c r="CY151" s="2">
        <f>((S151*BZ151)/100)</f>
        <v>0</v>
      </c>
      <c r="CZ151" s="2">
        <f>((S151*CA151)/100)</f>
        <v>0</v>
      </c>
      <c r="DA151" s="2"/>
      <c r="DB151" s="2"/>
      <c r="DC151" s="2" t="s">
        <v>3</v>
      </c>
      <c r="DD151" s="2" t="s">
        <v>3</v>
      </c>
      <c r="DE151" s="2" t="s">
        <v>3</v>
      </c>
      <c r="DF151" s="2" t="s">
        <v>3</v>
      </c>
      <c r="DG151" s="2" t="s">
        <v>3</v>
      </c>
      <c r="DH151" s="2" t="s">
        <v>3</v>
      </c>
      <c r="DI151" s="2" t="s">
        <v>3</v>
      </c>
      <c r="DJ151" s="2" t="s">
        <v>3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1013</v>
      </c>
      <c r="DV151" s="2" t="s">
        <v>27</v>
      </c>
      <c r="DW151" s="2" t="s">
        <v>27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51696669</v>
      </c>
      <c r="EF151" s="2">
        <v>60</v>
      </c>
      <c r="EG151" s="2" t="s">
        <v>112</v>
      </c>
      <c r="EH151" s="2">
        <v>0</v>
      </c>
      <c r="EI151" s="2" t="s">
        <v>3</v>
      </c>
      <c r="EJ151" s="2">
        <v>1</v>
      </c>
      <c r="EK151" s="2">
        <v>630</v>
      </c>
      <c r="EL151" s="2" t="s">
        <v>113</v>
      </c>
      <c r="EM151" s="2" t="s">
        <v>114</v>
      </c>
      <c r="EN151" s="2"/>
      <c r="EO151" s="2" t="s">
        <v>3</v>
      </c>
      <c r="EP151" s="2"/>
      <c r="EQ151" s="2">
        <v>131072</v>
      </c>
      <c r="ER151" s="2">
        <v>11.17</v>
      </c>
      <c r="ES151" s="2">
        <v>0</v>
      </c>
      <c r="ET151" s="2">
        <v>11.17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0</v>
      </c>
      <c r="FT151" s="2"/>
      <c r="FU151" s="2"/>
      <c r="FV151" s="2"/>
      <c r="FW151" s="2"/>
      <c r="FX151" s="2">
        <v>98</v>
      </c>
      <c r="FY151" s="2">
        <v>77</v>
      </c>
      <c r="FZ151" s="2"/>
      <c r="GA151" s="2" t="s">
        <v>3</v>
      </c>
      <c r="GB151" s="2"/>
      <c r="GC151" s="2"/>
      <c r="GD151" s="2">
        <v>0</v>
      </c>
      <c r="GE151" s="2"/>
      <c r="GF151" s="2">
        <v>-794573014</v>
      </c>
      <c r="GG151" s="2">
        <v>2</v>
      </c>
      <c r="GH151" s="2">
        <v>1</v>
      </c>
      <c r="GI151" s="2">
        <v>-2</v>
      </c>
      <c r="GJ151" s="2">
        <v>0</v>
      </c>
      <c r="GK151" s="2">
        <f>ROUND(R151*(R12)/100,2)</f>
        <v>0</v>
      </c>
      <c r="GL151" s="2">
        <f>ROUND(IF(AND(BH151=3,BI151=3,FS151&lt;&gt;0),P151,0),2)</f>
        <v>0</v>
      </c>
      <c r="GM151" s="2">
        <f>ROUND(O151+X151+Y151+GK151,2)+GX151</f>
        <v>0</v>
      </c>
      <c r="GN151" s="2">
        <f>IF(OR(BI151=0,BI151=1),GM151-GX151,0)</f>
        <v>0</v>
      </c>
      <c r="GO151" s="2">
        <f>IF(BI151=2,GM151-GX151,0)</f>
        <v>0</v>
      </c>
      <c r="GP151" s="2">
        <f>IF(BI151=4,GM151-GX151,0)</f>
        <v>0</v>
      </c>
      <c r="GQ151" s="2"/>
      <c r="GR151" s="2">
        <v>0</v>
      </c>
      <c r="GS151" s="2">
        <v>0</v>
      </c>
      <c r="GT151" s="2">
        <v>0</v>
      </c>
      <c r="GU151" s="2" t="s">
        <v>3</v>
      </c>
      <c r="GV151" s="2">
        <f>ROUND((GT151),6)</f>
        <v>0</v>
      </c>
      <c r="GW151" s="2">
        <v>1</v>
      </c>
      <c r="GX151" s="2">
        <f>ROUND(HC151*I151,2)</f>
        <v>0</v>
      </c>
      <c r="GY151" s="2"/>
      <c r="GZ151" s="2"/>
      <c r="HA151" s="2">
        <v>0</v>
      </c>
      <c r="HB151" s="2">
        <v>0</v>
      </c>
      <c r="HC151" s="2">
        <f>GV151*GW151</f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">
      <c r="A152">
        <v>17</v>
      </c>
      <c r="B152">
        <v>1</v>
      </c>
      <c r="D152">
        <f>ROW(EtalonRes!A20)</f>
        <v>20</v>
      </c>
      <c r="E152" t="s">
        <v>108</v>
      </c>
      <c r="F152" t="s">
        <v>109</v>
      </c>
      <c r="G152" t="s">
        <v>110</v>
      </c>
      <c r="H152" t="s">
        <v>27</v>
      </c>
      <c r="I152">
        <v>0</v>
      </c>
      <c r="J152">
        <v>0</v>
      </c>
      <c r="K152">
        <v>0</v>
      </c>
      <c r="O152">
        <f>ROUND(CP152,2)</f>
        <v>0</v>
      </c>
      <c r="P152">
        <f>ROUND((ROUND((AC152*AW152*I152),2)*BC152),2)</f>
        <v>0</v>
      </c>
      <c r="Q152">
        <f>(ROUND((ROUND(((ET152)*AV152*I152),2)*BB152),2)+ROUND((ROUND(((AE152-(EU152))*AV152*I152),2)*BS152),2))</f>
        <v>0</v>
      </c>
      <c r="R152">
        <f>ROUND((ROUND((AE152*AV152*I152),2)*BS152),2)</f>
        <v>0</v>
      </c>
      <c r="S152">
        <f>ROUND((ROUND((AF152*AV152*I152),2)*BA152),2)</f>
        <v>0</v>
      </c>
      <c r="T152">
        <f>ROUND(CU152*I152,2)</f>
        <v>0</v>
      </c>
      <c r="U152">
        <f>CV152*I152</f>
        <v>0</v>
      </c>
      <c r="V152">
        <f>CW152*I152</f>
        <v>0</v>
      </c>
      <c r="W152">
        <f>ROUND(CX152*I152,2)</f>
        <v>0</v>
      </c>
      <c r="X152">
        <f>ROUND(CY152,2)</f>
        <v>0</v>
      </c>
      <c r="Y152">
        <f>ROUND(CZ152,2)</f>
        <v>0</v>
      </c>
      <c r="AA152">
        <v>57734470</v>
      </c>
      <c r="AB152">
        <f>ROUND((AC152+AD152+AF152),6)</f>
        <v>11.17</v>
      </c>
      <c r="AC152">
        <f>ROUND((ES152),6)</f>
        <v>0</v>
      </c>
      <c r="AD152">
        <f>ROUND((((ET152)-(EU152))+AE152),6)</f>
        <v>11.17</v>
      </c>
      <c r="AE152">
        <f>ROUND((EU152),6)</f>
        <v>0</v>
      </c>
      <c r="AF152">
        <f>ROUND((EV152),6)</f>
        <v>0</v>
      </c>
      <c r="AG152">
        <f>ROUND((AP152),6)</f>
        <v>0</v>
      </c>
      <c r="AH152">
        <f>(EW152)</f>
        <v>0</v>
      </c>
      <c r="AI152">
        <f>(EX152)</f>
        <v>0</v>
      </c>
      <c r="AJ152">
        <f>(AS152)</f>
        <v>0</v>
      </c>
      <c r="AK152">
        <v>11.17</v>
      </c>
      <c r="AL152">
        <v>0</v>
      </c>
      <c r="AM152">
        <v>11.17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94</v>
      </c>
      <c r="AU152">
        <v>51</v>
      </c>
      <c r="AV152">
        <v>1</v>
      </c>
      <c r="AW152">
        <v>1</v>
      </c>
      <c r="AZ152">
        <v>1</v>
      </c>
      <c r="BA152">
        <v>34.51</v>
      </c>
      <c r="BB152">
        <v>9.32</v>
      </c>
      <c r="BC152">
        <v>1</v>
      </c>
      <c r="BD152" t="s">
        <v>3</v>
      </c>
      <c r="BE152" t="s">
        <v>3</v>
      </c>
      <c r="BF152" t="s">
        <v>3</v>
      </c>
      <c r="BG152" t="s">
        <v>3</v>
      </c>
      <c r="BH152">
        <v>0</v>
      </c>
      <c r="BI152">
        <v>1</v>
      </c>
      <c r="BJ152" t="s">
        <v>111</v>
      </c>
      <c r="BM152">
        <v>630</v>
      </c>
      <c r="BN152">
        <v>0</v>
      </c>
      <c r="BO152" t="s">
        <v>109</v>
      </c>
      <c r="BP152">
        <v>1</v>
      </c>
      <c r="BQ152">
        <v>60</v>
      </c>
      <c r="BR152">
        <v>0</v>
      </c>
      <c r="BS152">
        <v>34.51</v>
      </c>
      <c r="BT152">
        <v>1</v>
      </c>
      <c r="BU152">
        <v>1</v>
      </c>
      <c r="BV152">
        <v>1</v>
      </c>
      <c r="BW152">
        <v>1</v>
      </c>
      <c r="BX152">
        <v>1</v>
      </c>
      <c r="BY152" t="s">
        <v>3</v>
      </c>
      <c r="BZ152">
        <v>94</v>
      </c>
      <c r="CA152">
        <v>51</v>
      </c>
      <c r="CB152" t="s">
        <v>3</v>
      </c>
      <c r="CE152">
        <v>30</v>
      </c>
      <c r="CF152">
        <v>0</v>
      </c>
      <c r="CG152">
        <v>0</v>
      </c>
      <c r="CM152">
        <v>0</v>
      </c>
      <c r="CN152" t="s">
        <v>3</v>
      </c>
      <c r="CO152">
        <v>0</v>
      </c>
      <c r="CP152">
        <f>(P152+Q152+S152)</f>
        <v>0</v>
      </c>
      <c r="CQ152">
        <f>ROUND((ROUND((AC152*AW152*1),2)*BC152),2)</f>
        <v>0</v>
      </c>
      <c r="CR152">
        <f>(ROUND((ROUND(((ET152)*AV152*1),2)*BB152),2)+ROUND((ROUND(((AE152-(EU152))*AV152*1),2)*BS152),2))</f>
        <v>104.1</v>
      </c>
      <c r="CS152">
        <f>ROUND((ROUND((AE152*AV152*1),2)*BS152),2)</f>
        <v>0</v>
      </c>
      <c r="CT152">
        <f>ROUND((ROUND((AF152*AV152*1),2)*BA152),2)</f>
        <v>0</v>
      </c>
      <c r="CU152">
        <f>AG152</f>
        <v>0</v>
      </c>
      <c r="CV152">
        <f>(AH152*AV152)</f>
        <v>0</v>
      </c>
      <c r="CW152">
        <f>AI152</f>
        <v>0</v>
      </c>
      <c r="CX152">
        <f>AJ152</f>
        <v>0</v>
      </c>
      <c r="CY152">
        <f>S152*(BZ152/100)</f>
        <v>0</v>
      </c>
      <c r="CZ152">
        <f>S152*(CA152/100)</f>
        <v>0</v>
      </c>
      <c r="DC152" t="s">
        <v>3</v>
      </c>
      <c r="DD152" t="s">
        <v>3</v>
      </c>
      <c r="DE152" t="s">
        <v>3</v>
      </c>
      <c r="DF152" t="s">
        <v>3</v>
      </c>
      <c r="DG152" t="s">
        <v>3</v>
      </c>
      <c r="DH152" t="s">
        <v>3</v>
      </c>
      <c r="DI152" t="s">
        <v>3</v>
      </c>
      <c r="DJ152" t="s">
        <v>3</v>
      </c>
      <c r="DK152" t="s">
        <v>3</v>
      </c>
      <c r="DL152" t="s">
        <v>3</v>
      </c>
      <c r="DM152" t="s">
        <v>3</v>
      </c>
      <c r="DN152">
        <v>98</v>
      </c>
      <c r="DO152">
        <v>77</v>
      </c>
      <c r="DP152">
        <v>1</v>
      </c>
      <c r="DQ152">
        <v>1</v>
      </c>
      <c r="DU152">
        <v>1013</v>
      </c>
      <c r="DV152" t="s">
        <v>27</v>
      </c>
      <c r="DW152" t="s">
        <v>27</v>
      </c>
      <c r="DX152">
        <v>1</v>
      </c>
      <c r="DZ152" t="s">
        <v>3</v>
      </c>
      <c r="EA152" t="s">
        <v>3</v>
      </c>
      <c r="EB152" t="s">
        <v>3</v>
      </c>
      <c r="EC152" t="s">
        <v>3</v>
      </c>
      <c r="EE152">
        <v>51696669</v>
      </c>
      <c r="EF152">
        <v>60</v>
      </c>
      <c r="EG152" t="s">
        <v>112</v>
      </c>
      <c r="EH152">
        <v>0</v>
      </c>
      <c r="EI152" t="s">
        <v>3</v>
      </c>
      <c r="EJ152">
        <v>1</v>
      </c>
      <c r="EK152">
        <v>630</v>
      </c>
      <c r="EL152" t="s">
        <v>113</v>
      </c>
      <c r="EM152" t="s">
        <v>114</v>
      </c>
      <c r="EO152" t="s">
        <v>3</v>
      </c>
      <c r="EQ152">
        <v>131072</v>
      </c>
      <c r="ER152">
        <v>11.17</v>
      </c>
      <c r="ES152">
        <v>0</v>
      </c>
      <c r="ET152">
        <v>11.17</v>
      </c>
      <c r="EU152">
        <v>0</v>
      </c>
      <c r="EV152">
        <v>0</v>
      </c>
      <c r="EW152">
        <v>0</v>
      </c>
      <c r="EX152">
        <v>0</v>
      </c>
      <c r="EY152">
        <v>0</v>
      </c>
      <c r="FQ152">
        <v>0</v>
      </c>
      <c r="FR152">
        <v>0</v>
      </c>
      <c r="FS152">
        <v>0</v>
      </c>
      <c r="FX152">
        <v>98</v>
      </c>
      <c r="FY152">
        <v>77</v>
      </c>
      <c r="GA152" t="s">
        <v>3</v>
      </c>
      <c r="GD152">
        <v>0</v>
      </c>
      <c r="GF152">
        <v>-794573014</v>
      </c>
      <c r="GG152">
        <v>2</v>
      </c>
      <c r="GH152">
        <v>1</v>
      </c>
      <c r="GI152">
        <v>2</v>
      </c>
      <c r="GJ152">
        <v>0</v>
      </c>
      <c r="GK152">
        <f>ROUND(R152*(S12)/100,2)</f>
        <v>0</v>
      </c>
      <c r="GL152">
        <f>ROUND(IF(AND(BH152=3,BI152=3,FS152&lt;&gt;0),P152,0),2)</f>
        <v>0</v>
      </c>
      <c r="GM152">
        <f>ROUND(O152+X152+Y152+GK152,2)+GX152</f>
        <v>0</v>
      </c>
      <c r="GN152">
        <f>IF(OR(BI152=0,BI152=1),GM152-GX152,0)</f>
        <v>0</v>
      </c>
      <c r="GO152">
        <f>IF(BI152=2,GM152-GX152,0)</f>
        <v>0</v>
      </c>
      <c r="GP152">
        <f>IF(BI152=4,GM152-GX152,0)</f>
        <v>0</v>
      </c>
      <c r="GR152">
        <v>0</v>
      </c>
      <c r="GS152">
        <v>3</v>
      </c>
      <c r="GT152">
        <v>0</v>
      </c>
      <c r="GU152" t="s">
        <v>3</v>
      </c>
      <c r="GV152">
        <f>ROUND((GT152),6)</f>
        <v>0</v>
      </c>
      <c r="GW152">
        <v>1</v>
      </c>
      <c r="GX152">
        <f>ROUND(HC152*I152,2)</f>
        <v>0</v>
      </c>
      <c r="HA152">
        <v>0</v>
      </c>
      <c r="HB152">
        <v>0</v>
      </c>
      <c r="HC152">
        <f>GV152*GW152</f>
        <v>0</v>
      </c>
      <c r="HE152" t="s">
        <v>3</v>
      </c>
      <c r="HF152" t="s">
        <v>3</v>
      </c>
      <c r="HM152" t="s">
        <v>3</v>
      </c>
      <c r="HN152" t="s">
        <v>3</v>
      </c>
      <c r="HO152" t="s">
        <v>3</v>
      </c>
      <c r="HP152" t="s">
        <v>3</v>
      </c>
      <c r="HQ152" t="s">
        <v>3</v>
      </c>
      <c r="HS152">
        <v>0</v>
      </c>
      <c r="IK152">
        <v>0</v>
      </c>
    </row>
    <row r="154" spans="1:255" x14ac:dyDescent="0.2">
      <c r="A154" s="3">
        <v>51</v>
      </c>
      <c r="B154" s="3">
        <f>B147</f>
        <v>1</v>
      </c>
      <c r="C154" s="3">
        <f>A147</f>
        <v>4</v>
      </c>
      <c r="D154" s="3">
        <f>ROW(A147)</f>
        <v>147</v>
      </c>
      <c r="E154" s="3"/>
      <c r="F154" s="3" t="str">
        <f>IF(F147&lt;&gt;"",F147,"")</f>
        <v>Новый раздел</v>
      </c>
      <c r="G154" s="3" t="str">
        <f>IF(G147&lt;&gt;"",G147,"")</f>
        <v>Перевозка демонтируемого оборудования</v>
      </c>
      <c r="H154" s="3">
        <v>0</v>
      </c>
      <c r="I154" s="3"/>
      <c r="J154" s="3"/>
      <c r="K154" s="3"/>
      <c r="L154" s="3"/>
      <c r="M154" s="3"/>
      <c r="N154" s="3"/>
      <c r="O154" s="3">
        <f t="shared" ref="O154:T154" si="98">ROUND(AB154,2)</f>
        <v>0</v>
      </c>
      <c r="P154" s="3">
        <f t="shared" si="98"/>
        <v>0</v>
      </c>
      <c r="Q154" s="3">
        <f t="shared" si="98"/>
        <v>0</v>
      </c>
      <c r="R154" s="3">
        <f t="shared" si="98"/>
        <v>0</v>
      </c>
      <c r="S154" s="3">
        <f t="shared" si="98"/>
        <v>0</v>
      </c>
      <c r="T154" s="3">
        <f t="shared" si="98"/>
        <v>0</v>
      </c>
      <c r="U154" s="3">
        <f>AH154</f>
        <v>0</v>
      </c>
      <c r="V154" s="3">
        <f>AI154</f>
        <v>0</v>
      </c>
      <c r="W154" s="3">
        <f>ROUND(AJ154,2)</f>
        <v>0</v>
      </c>
      <c r="X154" s="3">
        <f>ROUND(AK154,2)</f>
        <v>0</v>
      </c>
      <c r="Y154" s="3">
        <f>ROUND(AL154,2)</f>
        <v>0</v>
      </c>
      <c r="Z154" s="3"/>
      <c r="AA154" s="3"/>
      <c r="AB154" s="3">
        <f>ROUND(SUMIF(AA151:AA152,"=57734472",O151:O152),2)</f>
        <v>0</v>
      </c>
      <c r="AC154" s="3">
        <f>ROUND(SUMIF(AA151:AA152,"=57734472",P151:P152),2)</f>
        <v>0</v>
      </c>
      <c r="AD154" s="3">
        <f>ROUND(SUMIF(AA151:AA152,"=57734472",Q151:Q152),2)</f>
        <v>0</v>
      </c>
      <c r="AE154" s="3">
        <f>ROUND(SUMIF(AA151:AA152,"=57734472",R151:R152),2)</f>
        <v>0</v>
      </c>
      <c r="AF154" s="3">
        <f>ROUND(SUMIF(AA151:AA152,"=57734472",S151:S152),2)</f>
        <v>0</v>
      </c>
      <c r="AG154" s="3">
        <f>ROUND(SUMIF(AA151:AA152,"=57734472",T151:T152),2)</f>
        <v>0</v>
      </c>
      <c r="AH154" s="3">
        <f>SUMIF(AA151:AA152,"=57734472",U151:U152)</f>
        <v>0</v>
      </c>
      <c r="AI154" s="3">
        <f>SUMIF(AA151:AA152,"=57734472",V151:V152)</f>
        <v>0</v>
      </c>
      <c r="AJ154" s="3">
        <f>ROUND(SUMIF(AA151:AA152,"=57734472",W151:W152),2)</f>
        <v>0</v>
      </c>
      <c r="AK154" s="3">
        <f>ROUND(SUMIF(AA151:AA152,"=57734472",X151:X152),2)</f>
        <v>0</v>
      </c>
      <c r="AL154" s="3">
        <f>ROUND(SUMIF(AA151:AA152,"=57734472",Y151:Y152),2)</f>
        <v>0</v>
      </c>
      <c r="AM154" s="3"/>
      <c r="AN154" s="3"/>
      <c r="AO154" s="3">
        <f t="shared" ref="AO154:BD154" si="99">ROUND(BX154,2)</f>
        <v>0</v>
      </c>
      <c r="AP154" s="3">
        <f t="shared" si="99"/>
        <v>0</v>
      </c>
      <c r="AQ154" s="3">
        <f t="shared" si="99"/>
        <v>0</v>
      </c>
      <c r="AR154" s="3">
        <f t="shared" si="99"/>
        <v>0</v>
      </c>
      <c r="AS154" s="3">
        <f t="shared" si="99"/>
        <v>0</v>
      </c>
      <c r="AT154" s="3">
        <f t="shared" si="99"/>
        <v>0</v>
      </c>
      <c r="AU154" s="3">
        <f t="shared" si="99"/>
        <v>0</v>
      </c>
      <c r="AV154" s="3">
        <f t="shared" si="99"/>
        <v>0</v>
      </c>
      <c r="AW154" s="3">
        <f t="shared" si="99"/>
        <v>0</v>
      </c>
      <c r="AX154" s="3">
        <f t="shared" si="99"/>
        <v>0</v>
      </c>
      <c r="AY154" s="3">
        <f t="shared" si="99"/>
        <v>0</v>
      </c>
      <c r="AZ154" s="3">
        <f t="shared" si="99"/>
        <v>0</v>
      </c>
      <c r="BA154" s="3">
        <f t="shared" si="99"/>
        <v>0</v>
      </c>
      <c r="BB154" s="3">
        <f t="shared" si="99"/>
        <v>0</v>
      </c>
      <c r="BC154" s="3">
        <f t="shared" si="99"/>
        <v>0</v>
      </c>
      <c r="BD154" s="3">
        <f t="shared" si="99"/>
        <v>0</v>
      </c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>
        <f>ROUND(SUMIF(AA151:AA152,"=57734472",FQ151:FQ152),2)</f>
        <v>0</v>
      </c>
      <c r="BY154" s="3">
        <f>ROUND(SUMIF(AA151:AA152,"=57734472",FR151:FR152),2)</f>
        <v>0</v>
      </c>
      <c r="BZ154" s="3">
        <f>ROUND(SUMIF(AA151:AA152,"=57734472",GL151:GL152),2)</f>
        <v>0</v>
      </c>
      <c r="CA154" s="3">
        <f>ROUND(SUMIF(AA151:AA152,"=57734472",GM151:GM152),2)</f>
        <v>0</v>
      </c>
      <c r="CB154" s="3">
        <f>ROUND(SUMIF(AA151:AA152,"=57734472",GN151:GN152),2)</f>
        <v>0</v>
      </c>
      <c r="CC154" s="3">
        <f>ROUND(SUMIF(AA151:AA152,"=57734472",GO151:GO152),2)</f>
        <v>0</v>
      </c>
      <c r="CD154" s="3">
        <f>ROUND(SUMIF(AA151:AA152,"=57734472",GP151:GP152),2)</f>
        <v>0</v>
      </c>
      <c r="CE154" s="3">
        <f>AC154-BX154</f>
        <v>0</v>
      </c>
      <c r="CF154" s="3">
        <f>AC154-BY154</f>
        <v>0</v>
      </c>
      <c r="CG154" s="3">
        <f>BX154-BZ154</f>
        <v>0</v>
      </c>
      <c r="CH154" s="3">
        <f>AC154-BX154-BY154+BZ154</f>
        <v>0</v>
      </c>
      <c r="CI154" s="3">
        <f>BY154-BZ154</f>
        <v>0</v>
      </c>
      <c r="CJ154" s="3">
        <f>ROUND(SUMIF(AA151:AA152,"=57734472",GX151:GX152),2)</f>
        <v>0</v>
      </c>
      <c r="CK154" s="3">
        <f>ROUND(SUMIF(AA151:AA152,"=57734472",GY151:GY152),2)</f>
        <v>0</v>
      </c>
      <c r="CL154" s="3">
        <f>ROUND(SUMIF(AA151:AA152,"=57734472",GZ151:GZ152),2)</f>
        <v>0</v>
      </c>
      <c r="CM154" s="3">
        <f>ROUND(SUMIF(AA151:AA152,"=57734472",HD151:HD152),2)</f>
        <v>0</v>
      </c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4">
        <f t="shared" ref="DG154:DL154" si="100">ROUND(DT154,2)</f>
        <v>0</v>
      </c>
      <c r="DH154" s="4">
        <f t="shared" si="100"/>
        <v>0</v>
      </c>
      <c r="DI154" s="4">
        <f t="shared" si="100"/>
        <v>0</v>
      </c>
      <c r="DJ154" s="4">
        <f t="shared" si="100"/>
        <v>0</v>
      </c>
      <c r="DK154" s="4">
        <f t="shared" si="100"/>
        <v>0</v>
      </c>
      <c r="DL154" s="4">
        <f t="shared" si="100"/>
        <v>0</v>
      </c>
      <c r="DM154" s="4">
        <f>DZ154</f>
        <v>0</v>
      </c>
      <c r="DN154" s="4">
        <f>EA154</f>
        <v>0</v>
      </c>
      <c r="DO154" s="4">
        <f>ROUND(EB154,2)</f>
        <v>0</v>
      </c>
      <c r="DP154" s="4">
        <f>ROUND(EC154,2)</f>
        <v>0</v>
      </c>
      <c r="DQ154" s="4">
        <f>ROUND(ED154,2)</f>
        <v>0</v>
      </c>
      <c r="DR154" s="4"/>
      <c r="DS154" s="4"/>
      <c r="DT154" s="4">
        <f>ROUND(SUMIF(AA151:AA152,"=57734470",O151:O152),2)</f>
        <v>0</v>
      </c>
      <c r="DU154" s="4">
        <f>ROUND(SUMIF(AA151:AA152,"=57734470",P151:P152),2)</f>
        <v>0</v>
      </c>
      <c r="DV154" s="4">
        <f>ROUND(SUMIF(AA151:AA152,"=57734470",Q151:Q152),2)</f>
        <v>0</v>
      </c>
      <c r="DW154" s="4">
        <f>ROUND(SUMIF(AA151:AA152,"=57734470",R151:R152),2)</f>
        <v>0</v>
      </c>
      <c r="DX154" s="4">
        <f>ROUND(SUMIF(AA151:AA152,"=57734470",S151:S152),2)</f>
        <v>0</v>
      </c>
      <c r="DY154" s="4">
        <f>ROUND(SUMIF(AA151:AA152,"=57734470",T151:T152),2)</f>
        <v>0</v>
      </c>
      <c r="DZ154" s="4">
        <f>SUMIF(AA151:AA152,"=57734470",U151:U152)</f>
        <v>0</v>
      </c>
      <c r="EA154" s="4">
        <f>SUMIF(AA151:AA152,"=57734470",V151:V152)</f>
        <v>0</v>
      </c>
      <c r="EB154" s="4">
        <f>ROUND(SUMIF(AA151:AA152,"=57734470",W151:W152),2)</f>
        <v>0</v>
      </c>
      <c r="EC154" s="4">
        <f>ROUND(SUMIF(AA151:AA152,"=57734470",X151:X152),2)</f>
        <v>0</v>
      </c>
      <c r="ED154" s="4">
        <f>ROUND(SUMIF(AA151:AA152,"=57734470",Y151:Y152),2)</f>
        <v>0</v>
      </c>
      <c r="EE154" s="4"/>
      <c r="EF154" s="4"/>
      <c r="EG154" s="4">
        <f t="shared" ref="EG154:EV154" si="101">ROUND(FP154,2)</f>
        <v>0</v>
      </c>
      <c r="EH154" s="4">
        <f t="shared" si="101"/>
        <v>0</v>
      </c>
      <c r="EI154" s="4">
        <f t="shared" si="101"/>
        <v>0</v>
      </c>
      <c r="EJ154" s="4">
        <f t="shared" si="101"/>
        <v>0</v>
      </c>
      <c r="EK154" s="4">
        <f t="shared" si="101"/>
        <v>0</v>
      </c>
      <c r="EL154" s="4">
        <f t="shared" si="101"/>
        <v>0</v>
      </c>
      <c r="EM154" s="4">
        <f t="shared" si="101"/>
        <v>0</v>
      </c>
      <c r="EN154" s="4">
        <f t="shared" si="101"/>
        <v>0</v>
      </c>
      <c r="EO154" s="4">
        <f t="shared" si="101"/>
        <v>0</v>
      </c>
      <c r="EP154" s="4">
        <f t="shared" si="101"/>
        <v>0</v>
      </c>
      <c r="EQ154" s="4">
        <f t="shared" si="101"/>
        <v>0</v>
      </c>
      <c r="ER154" s="4">
        <f t="shared" si="101"/>
        <v>0</v>
      </c>
      <c r="ES154" s="4">
        <f t="shared" si="101"/>
        <v>0</v>
      </c>
      <c r="ET154" s="4">
        <f t="shared" si="101"/>
        <v>0</v>
      </c>
      <c r="EU154" s="4">
        <f t="shared" si="101"/>
        <v>0</v>
      </c>
      <c r="EV154" s="4">
        <f t="shared" si="101"/>
        <v>0</v>
      </c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>
        <f>ROUND(SUMIF(AA151:AA152,"=57734470",FQ151:FQ152),2)</f>
        <v>0</v>
      </c>
      <c r="FQ154" s="4">
        <f>ROUND(SUMIF(AA151:AA152,"=57734470",FR151:FR152),2)</f>
        <v>0</v>
      </c>
      <c r="FR154" s="4">
        <f>ROUND(SUMIF(AA151:AA152,"=57734470",GL151:GL152),2)</f>
        <v>0</v>
      </c>
      <c r="FS154" s="4">
        <f>ROUND(SUMIF(AA151:AA152,"=57734470",GM151:GM152),2)</f>
        <v>0</v>
      </c>
      <c r="FT154" s="4">
        <f>ROUND(SUMIF(AA151:AA152,"=57734470",GN151:GN152),2)</f>
        <v>0</v>
      </c>
      <c r="FU154" s="4">
        <f>ROUND(SUMIF(AA151:AA152,"=57734470",GO151:GO152),2)</f>
        <v>0</v>
      </c>
      <c r="FV154" s="4">
        <f>ROUND(SUMIF(AA151:AA152,"=57734470",GP151:GP152),2)</f>
        <v>0</v>
      </c>
      <c r="FW154" s="4">
        <f>DU154-FP154</f>
        <v>0</v>
      </c>
      <c r="FX154" s="4">
        <f>DU154-FQ154</f>
        <v>0</v>
      </c>
      <c r="FY154" s="4">
        <f>FP154-FR154</f>
        <v>0</v>
      </c>
      <c r="FZ154" s="4">
        <f>DU154-FP154-FQ154+FR154</f>
        <v>0</v>
      </c>
      <c r="GA154" s="4">
        <f>FQ154-FR154</f>
        <v>0</v>
      </c>
      <c r="GB154" s="4">
        <f>ROUND(SUMIF(AA151:AA152,"=57734470",GX151:GX152),2)</f>
        <v>0</v>
      </c>
      <c r="GC154" s="4">
        <f>ROUND(SUMIF(AA151:AA152,"=57734470",GY151:GY152),2)</f>
        <v>0</v>
      </c>
      <c r="GD154" s="4">
        <f>ROUND(SUMIF(AA151:AA152,"=57734470",GZ151:GZ152),2)</f>
        <v>0</v>
      </c>
      <c r="GE154" s="4">
        <f>ROUND(SUMIF(AA151:AA152,"=57734470",HD151:HD152),2)</f>
        <v>0</v>
      </c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>
        <v>0</v>
      </c>
    </row>
    <row r="156" spans="1:255" x14ac:dyDescent="0.2">
      <c r="A156" s="5">
        <v>50</v>
      </c>
      <c r="B156" s="5">
        <v>0</v>
      </c>
      <c r="C156" s="5">
        <v>0</v>
      </c>
      <c r="D156" s="5">
        <v>1</v>
      </c>
      <c r="E156" s="5">
        <v>201</v>
      </c>
      <c r="F156" s="5">
        <f>ROUND(Source!O154,O156)</f>
        <v>0</v>
      </c>
      <c r="G156" s="5" t="s">
        <v>41</v>
      </c>
      <c r="H156" s="5" t="s">
        <v>42</v>
      </c>
      <c r="I156" s="5"/>
      <c r="J156" s="5"/>
      <c r="K156" s="5">
        <v>201</v>
      </c>
      <c r="L156" s="5">
        <v>1</v>
      </c>
      <c r="M156" s="5">
        <v>3</v>
      </c>
      <c r="N156" s="5" t="s">
        <v>3</v>
      </c>
      <c r="O156" s="5">
        <v>2</v>
      </c>
      <c r="P156" s="5">
        <f>ROUND(Source!DG154,O156)</f>
        <v>0</v>
      </c>
      <c r="Q156" s="5"/>
      <c r="R156" s="5"/>
      <c r="S156" s="5"/>
      <c r="T156" s="5"/>
      <c r="U156" s="5"/>
      <c r="V156" s="5"/>
      <c r="W156" s="5">
        <v>0</v>
      </c>
      <c r="X156" s="5">
        <v>1</v>
      </c>
      <c r="Y156" s="5">
        <v>0</v>
      </c>
      <c r="Z156" s="5">
        <v>0</v>
      </c>
      <c r="AA156" s="5">
        <v>1</v>
      </c>
      <c r="AB156" s="5">
        <v>0</v>
      </c>
    </row>
    <row r="157" spans="1:255" x14ac:dyDescent="0.2">
      <c r="A157" s="5">
        <v>50</v>
      </c>
      <c r="B157" s="5">
        <v>0</v>
      </c>
      <c r="C157" s="5">
        <v>0</v>
      </c>
      <c r="D157" s="5">
        <v>1</v>
      </c>
      <c r="E157" s="5">
        <v>202</v>
      </c>
      <c r="F157" s="5">
        <f>ROUND(Source!P154,O157)</f>
        <v>0</v>
      </c>
      <c r="G157" s="5" t="s">
        <v>43</v>
      </c>
      <c r="H157" s="5" t="s">
        <v>44</v>
      </c>
      <c r="I157" s="5"/>
      <c r="J157" s="5"/>
      <c r="K157" s="5">
        <v>202</v>
      </c>
      <c r="L157" s="5">
        <v>2</v>
      </c>
      <c r="M157" s="5">
        <v>3</v>
      </c>
      <c r="N157" s="5" t="s">
        <v>3</v>
      </c>
      <c r="O157" s="5">
        <v>2</v>
      </c>
      <c r="P157" s="5">
        <f>ROUND(Source!DH154,O157)</f>
        <v>0</v>
      </c>
      <c r="Q157" s="5"/>
      <c r="R157" s="5"/>
      <c r="S157" s="5"/>
      <c r="T157" s="5"/>
      <c r="U157" s="5"/>
      <c r="V157" s="5"/>
      <c r="W157" s="5">
        <v>0</v>
      </c>
      <c r="X157" s="5">
        <v>1</v>
      </c>
      <c r="Y157" s="5">
        <v>0</v>
      </c>
      <c r="Z157" s="5">
        <v>0</v>
      </c>
      <c r="AA157" s="5">
        <v>1</v>
      </c>
      <c r="AB157" s="5">
        <v>0</v>
      </c>
    </row>
    <row r="158" spans="1:255" x14ac:dyDescent="0.2">
      <c r="A158" s="5">
        <v>50</v>
      </c>
      <c r="B158" s="5">
        <v>0</v>
      </c>
      <c r="C158" s="5">
        <v>0</v>
      </c>
      <c r="D158" s="5">
        <v>1</v>
      </c>
      <c r="E158" s="5">
        <v>222</v>
      </c>
      <c r="F158" s="5">
        <f>ROUND(Source!AO154,O158)</f>
        <v>0</v>
      </c>
      <c r="G158" s="5" t="s">
        <v>45</v>
      </c>
      <c r="H158" s="5" t="s">
        <v>46</v>
      </c>
      <c r="I158" s="5"/>
      <c r="J158" s="5"/>
      <c r="K158" s="5">
        <v>222</v>
      </c>
      <c r="L158" s="5">
        <v>3</v>
      </c>
      <c r="M158" s="5">
        <v>3</v>
      </c>
      <c r="N158" s="5" t="s">
        <v>3</v>
      </c>
      <c r="O158" s="5">
        <v>2</v>
      </c>
      <c r="P158" s="5">
        <f>ROUND(Source!EG154,O158)</f>
        <v>0</v>
      </c>
      <c r="Q158" s="5"/>
      <c r="R158" s="5"/>
      <c r="S158" s="5"/>
      <c r="T158" s="5"/>
      <c r="U158" s="5"/>
      <c r="V158" s="5"/>
      <c r="W158" s="5">
        <v>0</v>
      </c>
      <c r="X158" s="5">
        <v>1</v>
      </c>
      <c r="Y158" s="5">
        <v>0</v>
      </c>
      <c r="Z158" s="5">
        <v>0</v>
      </c>
      <c r="AA158" s="5">
        <v>1</v>
      </c>
      <c r="AB158" s="5">
        <v>0</v>
      </c>
    </row>
    <row r="159" spans="1:255" x14ac:dyDescent="0.2">
      <c r="A159" s="5">
        <v>50</v>
      </c>
      <c r="B159" s="5">
        <v>0</v>
      </c>
      <c r="C159" s="5">
        <v>0</v>
      </c>
      <c r="D159" s="5">
        <v>1</v>
      </c>
      <c r="E159" s="5">
        <v>225</v>
      </c>
      <c r="F159" s="5">
        <f>ROUND(Source!AV154,O159)</f>
        <v>0</v>
      </c>
      <c r="G159" s="5" t="s">
        <v>47</v>
      </c>
      <c r="H159" s="5" t="s">
        <v>48</v>
      </c>
      <c r="I159" s="5"/>
      <c r="J159" s="5"/>
      <c r="K159" s="5">
        <v>225</v>
      </c>
      <c r="L159" s="5">
        <v>4</v>
      </c>
      <c r="M159" s="5">
        <v>3</v>
      </c>
      <c r="N159" s="5" t="s">
        <v>3</v>
      </c>
      <c r="O159" s="5">
        <v>2</v>
      </c>
      <c r="P159" s="5">
        <f>ROUND(Source!EN154,O159)</f>
        <v>0</v>
      </c>
      <c r="Q159" s="5"/>
      <c r="R159" s="5"/>
      <c r="S159" s="5"/>
      <c r="T159" s="5"/>
      <c r="U159" s="5"/>
      <c r="V159" s="5"/>
      <c r="W159" s="5">
        <v>0</v>
      </c>
      <c r="X159" s="5">
        <v>1</v>
      </c>
      <c r="Y159" s="5">
        <v>0</v>
      </c>
      <c r="Z159" s="5">
        <v>0</v>
      </c>
      <c r="AA159" s="5">
        <v>1</v>
      </c>
      <c r="AB159" s="5">
        <v>0</v>
      </c>
    </row>
    <row r="160" spans="1:255" x14ac:dyDescent="0.2">
      <c r="A160" s="5">
        <v>50</v>
      </c>
      <c r="B160" s="5">
        <v>0</v>
      </c>
      <c r="C160" s="5">
        <v>0</v>
      </c>
      <c r="D160" s="5">
        <v>1</v>
      </c>
      <c r="E160" s="5">
        <v>226</v>
      </c>
      <c r="F160" s="5">
        <f>ROUND(Source!AW154,O160)</f>
        <v>0</v>
      </c>
      <c r="G160" s="5" t="s">
        <v>49</v>
      </c>
      <c r="H160" s="5" t="s">
        <v>50</v>
      </c>
      <c r="I160" s="5"/>
      <c r="J160" s="5"/>
      <c r="K160" s="5">
        <v>226</v>
      </c>
      <c r="L160" s="5">
        <v>5</v>
      </c>
      <c r="M160" s="5">
        <v>3</v>
      </c>
      <c r="N160" s="5" t="s">
        <v>3</v>
      </c>
      <c r="O160" s="5">
        <v>2</v>
      </c>
      <c r="P160" s="5">
        <f>ROUND(Source!EO154,O160)</f>
        <v>0</v>
      </c>
      <c r="Q160" s="5"/>
      <c r="R160" s="5"/>
      <c r="S160" s="5"/>
      <c r="T160" s="5"/>
      <c r="U160" s="5"/>
      <c r="V160" s="5"/>
      <c r="W160" s="5">
        <v>0</v>
      </c>
      <c r="X160" s="5">
        <v>1</v>
      </c>
      <c r="Y160" s="5">
        <v>0</v>
      </c>
      <c r="Z160" s="5">
        <v>0</v>
      </c>
      <c r="AA160" s="5">
        <v>1</v>
      </c>
      <c r="AB160" s="5">
        <v>0</v>
      </c>
    </row>
    <row r="161" spans="1:28" x14ac:dyDescent="0.2">
      <c r="A161" s="5">
        <v>50</v>
      </c>
      <c r="B161" s="5">
        <v>0</v>
      </c>
      <c r="C161" s="5">
        <v>0</v>
      </c>
      <c r="D161" s="5">
        <v>1</v>
      </c>
      <c r="E161" s="5">
        <v>227</v>
      </c>
      <c r="F161" s="5">
        <f>ROUND(Source!AX154,O161)</f>
        <v>0</v>
      </c>
      <c r="G161" s="5" t="s">
        <v>51</v>
      </c>
      <c r="H161" s="5" t="s">
        <v>52</v>
      </c>
      <c r="I161" s="5"/>
      <c r="J161" s="5"/>
      <c r="K161" s="5">
        <v>227</v>
      </c>
      <c r="L161" s="5">
        <v>6</v>
      </c>
      <c r="M161" s="5">
        <v>3</v>
      </c>
      <c r="N161" s="5" t="s">
        <v>3</v>
      </c>
      <c r="O161" s="5">
        <v>2</v>
      </c>
      <c r="P161" s="5">
        <f>ROUND(Source!EP154,O161)</f>
        <v>0</v>
      </c>
      <c r="Q161" s="5"/>
      <c r="R161" s="5"/>
      <c r="S161" s="5"/>
      <c r="T161" s="5"/>
      <c r="U161" s="5"/>
      <c r="V161" s="5"/>
      <c r="W161" s="5">
        <v>0</v>
      </c>
      <c r="X161" s="5">
        <v>1</v>
      </c>
      <c r="Y161" s="5">
        <v>0</v>
      </c>
      <c r="Z161" s="5">
        <v>0</v>
      </c>
      <c r="AA161" s="5">
        <v>1</v>
      </c>
      <c r="AB161" s="5">
        <v>0</v>
      </c>
    </row>
    <row r="162" spans="1:28" x14ac:dyDescent="0.2">
      <c r="A162" s="5">
        <v>50</v>
      </c>
      <c r="B162" s="5">
        <v>0</v>
      </c>
      <c r="C162" s="5">
        <v>0</v>
      </c>
      <c r="D162" s="5">
        <v>1</v>
      </c>
      <c r="E162" s="5">
        <v>228</v>
      </c>
      <c r="F162" s="5">
        <f>ROUND(Source!AY154,O162)</f>
        <v>0</v>
      </c>
      <c r="G162" s="5" t="s">
        <v>53</v>
      </c>
      <c r="H162" s="5" t="s">
        <v>54</v>
      </c>
      <c r="I162" s="5"/>
      <c r="J162" s="5"/>
      <c r="K162" s="5">
        <v>228</v>
      </c>
      <c r="L162" s="5">
        <v>7</v>
      </c>
      <c r="M162" s="5">
        <v>3</v>
      </c>
      <c r="N162" s="5" t="s">
        <v>3</v>
      </c>
      <c r="O162" s="5">
        <v>2</v>
      </c>
      <c r="P162" s="5">
        <f>ROUND(Source!EQ154,O162)</f>
        <v>0</v>
      </c>
      <c r="Q162" s="5"/>
      <c r="R162" s="5"/>
      <c r="S162" s="5"/>
      <c r="T162" s="5"/>
      <c r="U162" s="5"/>
      <c r="V162" s="5"/>
      <c r="W162" s="5">
        <v>0</v>
      </c>
      <c r="X162" s="5">
        <v>1</v>
      </c>
      <c r="Y162" s="5">
        <v>0</v>
      </c>
      <c r="Z162" s="5">
        <v>0</v>
      </c>
      <c r="AA162" s="5">
        <v>1</v>
      </c>
      <c r="AB162" s="5">
        <v>0</v>
      </c>
    </row>
    <row r="163" spans="1:28" x14ac:dyDescent="0.2">
      <c r="A163" s="5">
        <v>50</v>
      </c>
      <c r="B163" s="5">
        <v>0</v>
      </c>
      <c r="C163" s="5">
        <v>0</v>
      </c>
      <c r="D163" s="5">
        <v>1</v>
      </c>
      <c r="E163" s="5">
        <v>216</v>
      </c>
      <c r="F163" s="5">
        <f>ROUND(Source!AP154,O163)</f>
        <v>0</v>
      </c>
      <c r="G163" s="5" t="s">
        <v>55</v>
      </c>
      <c r="H163" s="5" t="s">
        <v>56</v>
      </c>
      <c r="I163" s="5"/>
      <c r="J163" s="5"/>
      <c r="K163" s="5">
        <v>216</v>
      </c>
      <c r="L163" s="5">
        <v>8</v>
      </c>
      <c r="M163" s="5">
        <v>3</v>
      </c>
      <c r="N163" s="5" t="s">
        <v>3</v>
      </c>
      <c r="O163" s="5">
        <v>2</v>
      </c>
      <c r="P163" s="5">
        <f>ROUND(Source!EH154,O163)</f>
        <v>0</v>
      </c>
      <c r="Q163" s="5"/>
      <c r="R163" s="5"/>
      <c r="S163" s="5"/>
      <c r="T163" s="5"/>
      <c r="U163" s="5"/>
      <c r="V163" s="5"/>
      <c r="W163" s="5">
        <v>0</v>
      </c>
      <c r="X163" s="5">
        <v>1</v>
      </c>
      <c r="Y163" s="5">
        <v>0</v>
      </c>
      <c r="Z163" s="5">
        <v>0</v>
      </c>
      <c r="AA163" s="5">
        <v>1</v>
      </c>
      <c r="AB163" s="5">
        <v>0</v>
      </c>
    </row>
    <row r="164" spans="1:28" x14ac:dyDescent="0.2">
      <c r="A164" s="5">
        <v>50</v>
      </c>
      <c r="B164" s="5">
        <v>0</v>
      </c>
      <c r="C164" s="5">
        <v>0</v>
      </c>
      <c r="D164" s="5">
        <v>1</v>
      </c>
      <c r="E164" s="5">
        <v>223</v>
      </c>
      <c r="F164" s="5">
        <f>ROUND(Source!AQ154,O164)</f>
        <v>0</v>
      </c>
      <c r="G164" s="5" t="s">
        <v>57</v>
      </c>
      <c r="H164" s="5" t="s">
        <v>58</v>
      </c>
      <c r="I164" s="5"/>
      <c r="J164" s="5"/>
      <c r="K164" s="5">
        <v>223</v>
      </c>
      <c r="L164" s="5">
        <v>9</v>
      </c>
      <c r="M164" s="5">
        <v>3</v>
      </c>
      <c r="N164" s="5" t="s">
        <v>3</v>
      </c>
      <c r="O164" s="5">
        <v>2</v>
      </c>
      <c r="P164" s="5">
        <f>ROUND(Source!EI154,O164)</f>
        <v>0</v>
      </c>
      <c r="Q164" s="5"/>
      <c r="R164" s="5"/>
      <c r="S164" s="5"/>
      <c r="T164" s="5"/>
      <c r="U164" s="5"/>
      <c r="V164" s="5"/>
      <c r="W164" s="5">
        <v>0</v>
      </c>
      <c r="X164" s="5">
        <v>1</v>
      </c>
      <c r="Y164" s="5">
        <v>0</v>
      </c>
      <c r="Z164" s="5">
        <v>0</v>
      </c>
      <c r="AA164" s="5">
        <v>1</v>
      </c>
      <c r="AB164" s="5">
        <v>0</v>
      </c>
    </row>
    <row r="165" spans="1:28" x14ac:dyDescent="0.2">
      <c r="A165" s="5">
        <v>50</v>
      </c>
      <c r="B165" s="5">
        <v>0</v>
      </c>
      <c r="C165" s="5">
        <v>0</v>
      </c>
      <c r="D165" s="5">
        <v>1</v>
      </c>
      <c r="E165" s="5">
        <v>229</v>
      </c>
      <c r="F165" s="5">
        <f>ROUND(Source!AZ154,O165)</f>
        <v>0</v>
      </c>
      <c r="G165" s="5" t="s">
        <v>59</v>
      </c>
      <c r="H165" s="5" t="s">
        <v>60</v>
      </c>
      <c r="I165" s="5"/>
      <c r="J165" s="5"/>
      <c r="K165" s="5">
        <v>229</v>
      </c>
      <c r="L165" s="5">
        <v>10</v>
      </c>
      <c r="M165" s="5">
        <v>3</v>
      </c>
      <c r="N165" s="5" t="s">
        <v>3</v>
      </c>
      <c r="O165" s="5">
        <v>2</v>
      </c>
      <c r="P165" s="5">
        <f>ROUND(Source!ER154,O165)</f>
        <v>0</v>
      </c>
      <c r="Q165" s="5"/>
      <c r="R165" s="5"/>
      <c r="S165" s="5"/>
      <c r="T165" s="5"/>
      <c r="U165" s="5"/>
      <c r="V165" s="5"/>
      <c r="W165" s="5">
        <v>0</v>
      </c>
      <c r="X165" s="5">
        <v>1</v>
      </c>
      <c r="Y165" s="5">
        <v>0</v>
      </c>
      <c r="Z165" s="5">
        <v>0</v>
      </c>
      <c r="AA165" s="5">
        <v>1</v>
      </c>
      <c r="AB165" s="5">
        <v>0</v>
      </c>
    </row>
    <row r="166" spans="1:28" x14ac:dyDescent="0.2">
      <c r="A166" s="5">
        <v>50</v>
      </c>
      <c r="B166" s="5">
        <v>0</v>
      </c>
      <c r="C166" s="5">
        <v>0</v>
      </c>
      <c r="D166" s="5">
        <v>1</v>
      </c>
      <c r="E166" s="5">
        <v>203</v>
      </c>
      <c r="F166" s="5">
        <f>ROUND(Source!Q154,O166)</f>
        <v>0</v>
      </c>
      <c r="G166" s="5" t="s">
        <v>61</v>
      </c>
      <c r="H166" s="5" t="s">
        <v>62</v>
      </c>
      <c r="I166" s="5"/>
      <c r="J166" s="5"/>
      <c r="K166" s="5">
        <v>203</v>
      </c>
      <c r="L166" s="5">
        <v>11</v>
      </c>
      <c r="M166" s="5">
        <v>3</v>
      </c>
      <c r="N166" s="5" t="s">
        <v>3</v>
      </c>
      <c r="O166" s="5">
        <v>2</v>
      </c>
      <c r="P166" s="5">
        <f>ROUND(Source!DI154,O166)</f>
        <v>0</v>
      </c>
      <c r="Q166" s="5"/>
      <c r="R166" s="5"/>
      <c r="S166" s="5"/>
      <c r="T166" s="5"/>
      <c r="U166" s="5"/>
      <c r="V166" s="5"/>
      <c r="W166" s="5">
        <v>0</v>
      </c>
      <c r="X166" s="5">
        <v>1</v>
      </c>
      <c r="Y166" s="5">
        <v>0</v>
      </c>
      <c r="Z166" s="5">
        <v>0</v>
      </c>
      <c r="AA166" s="5">
        <v>1</v>
      </c>
      <c r="AB166" s="5">
        <v>0</v>
      </c>
    </row>
    <row r="167" spans="1:28" x14ac:dyDescent="0.2">
      <c r="A167" s="5">
        <v>50</v>
      </c>
      <c r="B167" s="5">
        <v>0</v>
      </c>
      <c r="C167" s="5">
        <v>0</v>
      </c>
      <c r="D167" s="5">
        <v>1</v>
      </c>
      <c r="E167" s="5">
        <v>231</v>
      </c>
      <c r="F167" s="5">
        <f>ROUND(Source!BB154,O167)</f>
        <v>0</v>
      </c>
      <c r="G167" s="5" t="s">
        <v>63</v>
      </c>
      <c r="H167" s="5" t="s">
        <v>64</v>
      </c>
      <c r="I167" s="5"/>
      <c r="J167" s="5"/>
      <c r="K167" s="5">
        <v>231</v>
      </c>
      <c r="L167" s="5">
        <v>12</v>
      </c>
      <c r="M167" s="5">
        <v>3</v>
      </c>
      <c r="N167" s="5" t="s">
        <v>3</v>
      </c>
      <c r="O167" s="5">
        <v>2</v>
      </c>
      <c r="P167" s="5">
        <f>ROUND(Source!ET154,O167)</f>
        <v>0</v>
      </c>
      <c r="Q167" s="5"/>
      <c r="R167" s="5"/>
      <c r="S167" s="5"/>
      <c r="T167" s="5"/>
      <c r="U167" s="5"/>
      <c r="V167" s="5"/>
      <c r="W167" s="5">
        <v>0</v>
      </c>
      <c r="X167" s="5">
        <v>1</v>
      </c>
      <c r="Y167" s="5">
        <v>0</v>
      </c>
      <c r="Z167" s="5">
        <v>0</v>
      </c>
      <c r="AA167" s="5">
        <v>1</v>
      </c>
      <c r="AB167" s="5">
        <v>0</v>
      </c>
    </row>
    <row r="168" spans="1:28" x14ac:dyDescent="0.2">
      <c r="A168" s="5">
        <v>50</v>
      </c>
      <c r="B168" s="5">
        <v>0</v>
      </c>
      <c r="C168" s="5">
        <v>0</v>
      </c>
      <c r="D168" s="5">
        <v>1</v>
      </c>
      <c r="E168" s="5">
        <v>204</v>
      </c>
      <c r="F168" s="5">
        <f>ROUND(Source!R154,O168)</f>
        <v>0</v>
      </c>
      <c r="G168" s="5" t="s">
        <v>65</v>
      </c>
      <c r="H168" s="5" t="s">
        <v>66</v>
      </c>
      <c r="I168" s="5"/>
      <c r="J168" s="5"/>
      <c r="K168" s="5">
        <v>204</v>
      </c>
      <c r="L168" s="5">
        <v>13</v>
      </c>
      <c r="M168" s="5">
        <v>3</v>
      </c>
      <c r="N168" s="5" t="s">
        <v>3</v>
      </c>
      <c r="O168" s="5">
        <v>2</v>
      </c>
      <c r="P168" s="5">
        <f>ROUND(Source!DJ154,O168)</f>
        <v>0</v>
      </c>
      <c r="Q168" s="5"/>
      <c r="R168" s="5"/>
      <c r="S168" s="5"/>
      <c r="T168" s="5"/>
      <c r="U168" s="5"/>
      <c r="V168" s="5"/>
      <c r="W168" s="5">
        <v>0</v>
      </c>
      <c r="X168" s="5">
        <v>1</v>
      </c>
      <c r="Y168" s="5">
        <v>0</v>
      </c>
      <c r="Z168" s="5">
        <v>0</v>
      </c>
      <c r="AA168" s="5">
        <v>1</v>
      </c>
      <c r="AB168" s="5">
        <v>0</v>
      </c>
    </row>
    <row r="169" spans="1:28" x14ac:dyDescent="0.2">
      <c r="A169" s="5">
        <v>50</v>
      </c>
      <c r="B169" s="5">
        <v>0</v>
      </c>
      <c r="C169" s="5">
        <v>0</v>
      </c>
      <c r="D169" s="5">
        <v>1</v>
      </c>
      <c r="E169" s="5">
        <v>205</v>
      </c>
      <c r="F169" s="5">
        <f>ROUND(Source!S154,O169)</f>
        <v>0</v>
      </c>
      <c r="G169" s="5" t="s">
        <v>67</v>
      </c>
      <c r="H169" s="5" t="s">
        <v>68</v>
      </c>
      <c r="I169" s="5"/>
      <c r="J169" s="5"/>
      <c r="K169" s="5">
        <v>205</v>
      </c>
      <c r="L169" s="5">
        <v>14</v>
      </c>
      <c r="M169" s="5">
        <v>3</v>
      </c>
      <c r="N169" s="5" t="s">
        <v>3</v>
      </c>
      <c r="O169" s="5">
        <v>2</v>
      </c>
      <c r="P169" s="5">
        <f>ROUND(Source!DK154,O169)</f>
        <v>0</v>
      </c>
      <c r="Q169" s="5"/>
      <c r="R169" s="5"/>
      <c r="S169" s="5"/>
      <c r="T169" s="5"/>
      <c r="U169" s="5"/>
      <c r="V169" s="5"/>
      <c r="W169" s="5">
        <v>0</v>
      </c>
      <c r="X169" s="5">
        <v>1</v>
      </c>
      <c r="Y169" s="5">
        <v>0</v>
      </c>
      <c r="Z169" s="5">
        <v>0</v>
      </c>
      <c r="AA169" s="5">
        <v>1</v>
      </c>
      <c r="AB169" s="5">
        <v>0</v>
      </c>
    </row>
    <row r="170" spans="1:28" x14ac:dyDescent="0.2">
      <c r="A170" s="5">
        <v>50</v>
      </c>
      <c r="B170" s="5">
        <v>0</v>
      </c>
      <c r="C170" s="5">
        <v>0</v>
      </c>
      <c r="D170" s="5">
        <v>1</v>
      </c>
      <c r="E170" s="5">
        <v>232</v>
      </c>
      <c r="F170" s="5">
        <f>ROUND(Source!BC154,O170)</f>
        <v>0</v>
      </c>
      <c r="G170" s="5" t="s">
        <v>69</v>
      </c>
      <c r="H170" s="5" t="s">
        <v>70</v>
      </c>
      <c r="I170" s="5"/>
      <c r="J170" s="5"/>
      <c r="K170" s="5">
        <v>232</v>
      </c>
      <c r="L170" s="5">
        <v>15</v>
      </c>
      <c r="M170" s="5">
        <v>3</v>
      </c>
      <c r="N170" s="5" t="s">
        <v>3</v>
      </c>
      <c r="O170" s="5">
        <v>2</v>
      </c>
      <c r="P170" s="5">
        <f>ROUND(Source!EU154,O170)</f>
        <v>0</v>
      </c>
      <c r="Q170" s="5"/>
      <c r="R170" s="5"/>
      <c r="S170" s="5"/>
      <c r="T170" s="5"/>
      <c r="U170" s="5"/>
      <c r="V170" s="5"/>
      <c r="W170" s="5">
        <v>0</v>
      </c>
      <c r="X170" s="5">
        <v>1</v>
      </c>
      <c r="Y170" s="5">
        <v>0</v>
      </c>
      <c r="Z170" s="5">
        <v>0</v>
      </c>
      <c r="AA170" s="5">
        <v>1</v>
      </c>
      <c r="AB170" s="5">
        <v>0</v>
      </c>
    </row>
    <row r="171" spans="1:28" x14ac:dyDescent="0.2">
      <c r="A171" s="5">
        <v>50</v>
      </c>
      <c r="B171" s="5">
        <v>0</v>
      </c>
      <c r="C171" s="5">
        <v>0</v>
      </c>
      <c r="D171" s="5">
        <v>1</v>
      </c>
      <c r="E171" s="5">
        <v>214</v>
      </c>
      <c r="F171" s="5">
        <f>ROUND(Source!AS154,O171)</f>
        <v>0</v>
      </c>
      <c r="G171" s="5" t="s">
        <v>71</v>
      </c>
      <c r="H171" s="5" t="s">
        <v>72</v>
      </c>
      <c r="I171" s="5"/>
      <c r="J171" s="5"/>
      <c r="K171" s="5">
        <v>214</v>
      </c>
      <c r="L171" s="5">
        <v>16</v>
      </c>
      <c r="M171" s="5">
        <v>3</v>
      </c>
      <c r="N171" s="5" t="s">
        <v>3</v>
      </c>
      <c r="O171" s="5">
        <v>2</v>
      </c>
      <c r="P171" s="5">
        <f>ROUND(Source!EK154,O171)</f>
        <v>0</v>
      </c>
      <c r="Q171" s="5"/>
      <c r="R171" s="5"/>
      <c r="S171" s="5"/>
      <c r="T171" s="5"/>
      <c r="U171" s="5"/>
      <c r="V171" s="5"/>
      <c r="W171" s="5">
        <v>0</v>
      </c>
      <c r="X171" s="5">
        <v>1</v>
      </c>
      <c r="Y171" s="5">
        <v>0</v>
      </c>
      <c r="Z171" s="5">
        <v>0</v>
      </c>
      <c r="AA171" s="5">
        <v>1</v>
      </c>
      <c r="AB171" s="5">
        <v>0</v>
      </c>
    </row>
    <row r="172" spans="1:28" x14ac:dyDescent="0.2">
      <c r="A172" s="5">
        <v>50</v>
      </c>
      <c r="B172" s="5">
        <v>0</v>
      </c>
      <c r="C172" s="5">
        <v>0</v>
      </c>
      <c r="D172" s="5">
        <v>1</v>
      </c>
      <c r="E172" s="5">
        <v>215</v>
      </c>
      <c r="F172" s="5">
        <f>ROUND(Source!AT154,O172)</f>
        <v>0</v>
      </c>
      <c r="G172" s="5" t="s">
        <v>73</v>
      </c>
      <c r="H172" s="5" t="s">
        <v>74</v>
      </c>
      <c r="I172" s="5"/>
      <c r="J172" s="5"/>
      <c r="K172" s="5">
        <v>215</v>
      </c>
      <c r="L172" s="5">
        <v>17</v>
      </c>
      <c r="M172" s="5">
        <v>3</v>
      </c>
      <c r="N172" s="5" t="s">
        <v>3</v>
      </c>
      <c r="O172" s="5">
        <v>2</v>
      </c>
      <c r="P172" s="5">
        <f>ROUND(Source!EL154,O172)</f>
        <v>0</v>
      </c>
      <c r="Q172" s="5"/>
      <c r="R172" s="5"/>
      <c r="S172" s="5"/>
      <c r="T172" s="5"/>
      <c r="U172" s="5"/>
      <c r="V172" s="5"/>
      <c r="W172" s="5">
        <v>0</v>
      </c>
      <c r="X172" s="5">
        <v>1</v>
      </c>
      <c r="Y172" s="5">
        <v>0</v>
      </c>
      <c r="Z172" s="5">
        <v>0</v>
      </c>
      <c r="AA172" s="5">
        <v>1</v>
      </c>
      <c r="AB172" s="5">
        <v>0</v>
      </c>
    </row>
    <row r="173" spans="1:28" x14ac:dyDescent="0.2">
      <c r="A173" s="5">
        <v>50</v>
      </c>
      <c r="B173" s="5">
        <v>0</v>
      </c>
      <c r="C173" s="5">
        <v>0</v>
      </c>
      <c r="D173" s="5">
        <v>1</v>
      </c>
      <c r="E173" s="5">
        <v>217</v>
      </c>
      <c r="F173" s="5">
        <f>ROUND(Source!AU154,O173)</f>
        <v>0</v>
      </c>
      <c r="G173" s="5" t="s">
        <v>75</v>
      </c>
      <c r="H173" s="5" t="s">
        <v>76</v>
      </c>
      <c r="I173" s="5"/>
      <c r="J173" s="5"/>
      <c r="K173" s="5">
        <v>217</v>
      </c>
      <c r="L173" s="5">
        <v>18</v>
      </c>
      <c r="M173" s="5">
        <v>3</v>
      </c>
      <c r="N173" s="5" t="s">
        <v>3</v>
      </c>
      <c r="O173" s="5">
        <v>2</v>
      </c>
      <c r="P173" s="5">
        <f>ROUND(Source!EM154,O173)</f>
        <v>0</v>
      </c>
      <c r="Q173" s="5"/>
      <c r="R173" s="5"/>
      <c r="S173" s="5"/>
      <c r="T173" s="5"/>
      <c r="U173" s="5"/>
      <c r="V173" s="5"/>
      <c r="W173" s="5">
        <v>0</v>
      </c>
      <c r="X173" s="5">
        <v>1</v>
      </c>
      <c r="Y173" s="5">
        <v>0</v>
      </c>
      <c r="Z173" s="5">
        <v>0</v>
      </c>
      <c r="AA173" s="5">
        <v>1</v>
      </c>
      <c r="AB173" s="5">
        <v>0</v>
      </c>
    </row>
    <row r="174" spans="1:28" x14ac:dyDescent="0.2">
      <c r="A174" s="5">
        <v>50</v>
      </c>
      <c r="B174" s="5">
        <v>0</v>
      </c>
      <c r="C174" s="5">
        <v>0</v>
      </c>
      <c r="D174" s="5">
        <v>1</v>
      </c>
      <c r="E174" s="5">
        <v>230</v>
      </c>
      <c r="F174" s="5">
        <f>ROUND(Source!BA154,O174)</f>
        <v>0</v>
      </c>
      <c r="G174" s="5" t="s">
        <v>77</v>
      </c>
      <c r="H174" s="5" t="s">
        <v>78</v>
      </c>
      <c r="I174" s="5"/>
      <c r="J174" s="5"/>
      <c r="K174" s="5">
        <v>230</v>
      </c>
      <c r="L174" s="5">
        <v>19</v>
      </c>
      <c r="M174" s="5">
        <v>3</v>
      </c>
      <c r="N174" s="5" t="s">
        <v>3</v>
      </c>
      <c r="O174" s="5">
        <v>2</v>
      </c>
      <c r="P174" s="5">
        <f>ROUND(Source!ES154,O174)</f>
        <v>0</v>
      </c>
      <c r="Q174" s="5"/>
      <c r="R174" s="5"/>
      <c r="S174" s="5"/>
      <c r="T174" s="5"/>
      <c r="U174" s="5"/>
      <c r="V174" s="5"/>
      <c r="W174" s="5">
        <v>0</v>
      </c>
      <c r="X174" s="5">
        <v>1</v>
      </c>
      <c r="Y174" s="5">
        <v>0</v>
      </c>
      <c r="Z174" s="5">
        <v>0</v>
      </c>
      <c r="AA174" s="5">
        <v>1</v>
      </c>
      <c r="AB174" s="5">
        <v>0</v>
      </c>
    </row>
    <row r="175" spans="1:28" x14ac:dyDescent="0.2">
      <c r="A175" s="5">
        <v>50</v>
      </c>
      <c r="B175" s="5">
        <v>0</v>
      </c>
      <c r="C175" s="5">
        <v>0</v>
      </c>
      <c r="D175" s="5">
        <v>1</v>
      </c>
      <c r="E175" s="5">
        <v>206</v>
      </c>
      <c r="F175" s="5">
        <f>ROUND(Source!T154,O175)</f>
        <v>0</v>
      </c>
      <c r="G175" s="5" t="s">
        <v>79</v>
      </c>
      <c r="H175" s="5" t="s">
        <v>80</v>
      </c>
      <c r="I175" s="5"/>
      <c r="J175" s="5"/>
      <c r="K175" s="5">
        <v>206</v>
      </c>
      <c r="L175" s="5">
        <v>20</v>
      </c>
      <c r="M175" s="5">
        <v>3</v>
      </c>
      <c r="N175" s="5" t="s">
        <v>3</v>
      </c>
      <c r="O175" s="5">
        <v>2</v>
      </c>
      <c r="P175" s="5">
        <f>ROUND(Source!DL154,O175)</f>
        <v>0</v>
      </c>
      <c r="Q175" s="5"/>
      <c r="R175" s="5"/>
      <c r="S175" s="5"/>
      <c r="T175" s="5"/>
      <c r="U175" s="5"/>
      <c r="V175" s="5"/>
      <c r="W175" s="5">
        <v>0</v>
      </c>
      <c r="X175" s="5">
        <v>1</v>
      </c>
      <c r="Y175" s="5">
        <v>0</v>
      </c>
      <c r="Z175" s="5">
        <v>0</v>
      </c>
      <c r="AA175" s="5">
        <v>1</v>
      </c>
      <c r="AB175" s="5">
        <v>0</v>
      </c>
    </row>
    <row r="176" spans="1:28" x14ac:dyDescent="0.2">
      <c r="A176" s="5">
        <v>50</v>
      </c>
      <c r="B176" s="5">
        <v>0</v>
      </c>
      <c r="C176" s="5">
        <v>0</v>
      </c>
      <c r="D176" s="5">
        <v>1</v>
      </c>
      <c r="E176" s="5">
        <v>207</v>
      </c>
      <c r="F176" s="5">
        <f>Source!U154</f>
        <v>0</v>
      </c>
      <c r="G176" s="5" t="s">
        <v>81</v>
      </c>
      <c r="H176" s="5" t="s">
        <v>82</v>
      </c>
      <c r="I176" s="5"/>
      <c r="J176" s="5"/>
      <c r="K176" s="5">
        <v>207</v>
      </c>
      <c r="L176" s="5">
        <v>21</v>
      </c>
      <c r="M176" s="5">
        <v>3</v>
      </c>
      <c r="N176" s="5" t="s">
        <v>3</v>
      </c>
      <c r="O176" s="5">
        <v>-1</v>
      </c>
      <c r="P176" s="5">
        <f>Source!DM154</f>
        <v>0</v>
      </c>
      <c r="Q176" s="5"/>
      <c r="R176" s="5"/>
      <c r="S176" s="5"/>
      <c r="T176" s="5"/>
      <c r="U176" s="5"/>
      <c r="V176" s="5"/>
      <c r="W176" s="5">
        <v>0</v>
      </c>
      <c r="X176" s="5">
        <v>1</v>
      </c>
      <c r="Y176" s="5">
        <v>0</v>
      </c>
      <c r="Z176" s="5">
        <v>0</v>
      </c>
      <c r="AA176" s="5">
        <v>1</v>
      </c>
      <c r="AB176" s="5">
        <v>0</v>
      </c>
    </row>
    <row r="177" spans="1:206" x14ac:dyDescent="0.2">
      <c r="A177" s="5">
        <v>50</v>
      </c>
      <c r="B177" s="5">
        <v>0</v>
      </c>
      <c r="C177" s="5">
        <v>0</v>
      </c>
      <c r="D177" s="5">
        <v>1</v>
      </c>
      <c r="E177" s="5">
        <v>208</v>
      </c>
      <c r="F177" s="5">
        <f>Source!V154</f>
        <v>0</v>
      </c>
      <c r="G177" s="5" t="s">
        <v>83</v>
      </c>
      <c r="H177" s="5" t="s">
        <v>84</v>
      </c>
      <c r="I177" s="5"/>
      <c r="J177" s="5"/>
      <c r="K177" s="5">
        <v>208</v>
      </c>
      <c r="L177" s="5">
        <v>22</v>
      </c>
      <c r="M177" s="5">
        <v>3</v>
      </c>
      <c r="N177" s="5" t="s">
        <v>3</v>
      </c>
      <c r="O177" s="5">
        <v>-1</v>
      </c>
      <c r="P177" s="5">
        <f>Source!DN154</f>
        <v>0</v>
      </c>
      <c r="Q177" s="5"/>
      <c r="R177" s="5"/>
      <c r="S177" s="5"/>
      <c r="T177" s="5"/>
      <c r="U177" s="5"/>
      <c r="V177" s="5"/>
      <c r="W177" s="5">
        <v>0</v>
      </c>
      <c r="X177" s="5">
        <v>1</v>
      </c>
      <c r="Y177" s="5">
        <v>0</v>
      </c>
      <c r="Z177" s="5">
        <v>0</v>
      </c>
      <c r="AA177" s="5">
        <v>1</v>
      </c>
      <c r="AB177" s="5">
        <v>0</v>
      </c>
    </row>
    <row r="178" spans="1:206" x14ac:dyDescent="0.2">
      <c r="A178" s="5">
        <v>50</v>
      </c>
      <c r="B178" s="5">
        <v>0</v>
      </c>
      <c r="C178" s="5">
        <v>0</v>
      </c>
      <c r="D178" s="5">
        <v>1</v>
      </c>
      <c r="E178" s="5">
        <v>209</v>
      </c>
      <c r="F178" s="5">
        <f>ROUND(Source!W154,O178)</f>
        <v>0</v>
      </c>
      <c r="G178" s="5" t="s">
        <v>85</v>
      </c>
      <c r="H178" s="5" t="s">
        <v>86</v>
      </c>
      <c r="I178" s="5"/>
      <c r="J178" s="5"/>
      <c r="K178" s="5">
        <v>209</v>
      </c>
      <c r="L178" s="5">
        <v>23</v>
      </c>
      <c r="M178" s="5">
        <v>3</v>
      </c>
      <c r="N178" s="5" t="s">
        <v>3</v>
      </c>
      <c r="O178" s="5">
        <v>2</v>
      </c>
      <c r="P178" s="5">
        <f>ROUND(Source!DO154,O178)</f>
        <v>0</v>
      </c>
      <c r="Q178" s="5"/>
      <c r="R178" s="5"/>
      <c r="S178" s="5"/>
      <c r="T178" s="5"/>
      <c r="U178" s="5"/>
      <c r="V178" s="5"/>
      <c r="W178" s="5">
        <v>0</v>
      </c>
      <c r="X178" s="5">
        <v>1</v>
      </c>
      <c r="Y178" s="5">
        <v>0</v>
      </c>
      <c r="Z178" s="5">
        <v>0</v>
      </c>
      <c r="AA178" s="5">
        <v>1</v>
      </c>
      <c r="AB178" s="5">
        <v>0</v>
      </c>
    </row>
    <row r="179" spans="1:206" x14ac:dyDescent="0.2">
      <c r="A179" s="5">
        <v>50</v>
      </c>
      <c r="B179" s="5">
        <v>0</v>
      </c>
      <c r="C179" s="5">
        <v>0</v>
      </c>
      <c r="D179" s="5">
        <v>1</v>
      </c>
      <c r="E179" s="5">
        <v>233</v>
      </c>
      <c r="F179" s="5">
        <f>ROUND(Source!BD154,O179)</f>
        <v>0</v>
      </c>
      <c r="G179" s="5" t="s">
        <v>87</v>
      </c>
      <c r="H179" s="5" t="s">
        <v>88</v>
      </c>
      <c r="I179" s="5"/>
      <c r="J179" s="5"/>
      <c r="K179" s="5">
        <v>233</v>
      </c>
      <c r="L179" s="5">
        <v>24</v>
      </c>
      <c r="M179" s="5">
        <v>3</v>
      </c>
      <c r="N179" s="5" t="s">
        <v>3</v>
      </c>
      <c r="O179" s="5">
        <v>2</v>
      </c>
      <c r="P179" s="5">
        <f>ROUND(Source!EV154,O179)</f>
        <v>0</v>
      </c>
      <c r="Q179" s="5"/>
      <c r="R179" s="5"/>
      <c r="S179" s="5"/>
      <c r="T179" s="5"/>
      <c r="U179" s="5"/>
      <c r="V179" s="5"/>
      <c r="W179" s="5">
        <v>0</v>
      </c>
      <c r="X179" s="5">
        <v>1</v>
      </c>
      <c r="Y179" s="5">
        <v>0</v>
      </c>
      <c r="Z179" s="5">
        <v>0</v>
      </c>
      <c r="AA179" s="5">
        <v>1</v>
      </c>
      <c r="AB179" s="5">
        <v>0</v>
      </c>
    </row>
    <row r="180" spans="1:206" x14ac:dyDescent="0.2">
      <c r="A180" s="5">
        <v>50</v>
      </c>
      <c r="B180" s="5">
        <v>0</v>
      </c>
      <c r="C180" s="5">
        <v>0</v>
      </c>
      <c r="D180" s="5">
        <v>1</v>
      </c>
      <c r="E180" s="5">
        <v>210</v>
      </c>
      <c r="F180" s="5">
        <f>ROUND(Source!X154,O180)</f>
        <v>0</v>
      </c>
      <c r="G180" s="5" t="s">
        <v>89</v>
      </c>
      <c r="H180" s="5" t="s">
        <v>90</v>
      </c>
      <c r="I180" s="5"/>
      <c r="J180" s="5"/>
      <c r="K180" s="5">
        <v>210</v>
      </c>
      <c r="L180" s="5">
        <v>25</v>
      </c>
      <c r="M180" s="5">
        <v>3</v>
      </c>
      <c r="N180" s="5" t="s">
        <v>3</v>
      </c>
      <c r="O180" s="5">
        <v>2</v>
      </c>
      <c r="P180" s="5">
        <f>ROUND(Source!DP154,O180)</f>
        <v>0</v>
      </c>
      <c r="Q180" s="5"/>
      <c r="R180" s="5"/>
      <c r="S180" s="5"/>
      <c r="T180" s="5"/>
      <c r="U180" s="5"/>
      <c r="V180" s="5"/>
      <c r="W180" s="5">
        <v>0</v>
      </c>
      <c r="X180" s="5">
        <v>1</v>
      </c>
      <c r="Y180" s="5">
        <v>0</v>
      </c>
      <c r="Z180" s="5">
        <v>0</v>
      </c>
      <c r="AA180" s="5">
        <v>1</v>
      </c>
      <c r="AB180" s="5">
        <v>0</v>
      </c>
    </row>
    <row r="181" spans="1:206" x14ac:dyDescent="0.2">
      <c r="A181" s="5">
        <v>50</v>
      </c>
      <c r="B181" s="5">
        <v>0</v>
      </c>
      <c r="C181" s="5">
        <v>0</v>
      </c>
      <c r="D181" s="5">
        <v>1</v>
      </c>
      <c r="E181" s="5">
        <v>211</v>
      </c>
      <c r="F181" s="5">
        <f>ROUND(Source!Y154,O181)</f>
        <v>0</v>
      </c>
      <c r="G181" s="5" t="s">
        <v>91</v>
      </c>
      <c r="H181" s="5" t="s">
        <v>92</v>
      </c>
      <c r="I181" s="5"/>
      <c r="J181" s="5"/>
      <c r="K181" s="5">
        <v>211</v>
      </c>
      <c r="L181" s="5">
        <v>26</v>
      </c>
      <c r="M181" s="5">
        <v>3</v>
      </c>
      <c r="N181" s="5" t="s">
        <v>3</v>
      </c>
      <c r="O181" s="5">
        <v>2</v>
      </c>
      <c r="P181" s="5">
        <f>ROUND(Source!DQ154,O181)</f>
        <v>0</v>
      </c>
      <c r="Q181" s="5"/>
      <c r="R181" s="5"/>
      <c r="S181" s="5"/>
      <c r="T181" s="5"/>
      <c r="U181" s="5"/>
      <c r="V181" s="5"/>
      <c r="W181" s="5">
        <v>0</v>
      </c>
      <c r="X181" s="5">
        <v>1</v>
      </c>
      <c r="Y181" s="5">
        <v>0</v>
      </c>
      <c r="Z181" s="5">
        <v>0</v>
      </c>
      <c r="AA181" s="5">
        <v>1</v>
      </c>
      <c r="AB181" s="5">
        <v>0</v>
      </c>
    </row>
    <row r="182" spans="1:206" x14ac:dyDescent="0.2">
      <c r="A182" s="5">
        <v>50</v>
      </c>
      <c r="B182" s="5">
        <v>0</v>
      </c>
      <c r="C182" s="5">
        <v>0</v>
      </c>
      <c r="D182" s="5">
        <v>1</v>
      </c>
      <c r="E182" s="5">
        <v>224</v>
      </c>
      <c r="F182" s="5">
        <f>ROUND(Source!AR154,O182)</f>
        <v>0</v>
      </c>
      <c r="G182" s="5" t="s">
        <v>93</v>
      </c>
      <c r="H182" s="5" t="s">
        <v>94</v>
      </c>
      <c r="I182" s="5"/>
      <c r="J182" s="5"/>
      <c r="K182" s="5">
        <v>224</v>
      </c>
      <c r="L182" s="5">
        <v>27</v>
      </c>
      <c r="M182" s="5">
        <v>3</v>
      </c>
      <c r="N182" s="5" t="s">
        <v>3</v>
      </c>
      <c r="O182" s="5">
        <v>2</v>
      </c>
      <c r="P182" s="5">
        <f>ROUND(Source!EJ154,O182)</f>
        <v>0</v>
      </c>
      <c r="Q182" s="5"/>
      <c r="R182" s="5"/>
      <c r="S182" s="5"/>
      <c r="T182" s="5"/>
      <c r="U182" s="5"/>
      <c r="V182" s="5"/>
      <c r="W182" s="5">
        <v>0</v>
      </c>
      <c r="X182" s="5">
        <v>1</v>
      </c>
      <c r="Y182" s="5">
        <v>0</v>
      </c>
      <c r="Z182" s="5">
        <v>0</v>
      </c>
      <c r="AA182" s="5">
        <v>1</v>
      </c>
      <c r="AB182" s="5">
        <v>0</v>
      </c>
    </row>
    <row r="184" spans="1:206" x14ac:dyDescent="0.2">
      <c r="A184" s="3">
        <v>51</v>
      </c>
      <c r="B184" s="3">
        <f>B20</f>
        <v>1</v>
      </c>
      <c r="C184" s="3">
        <f>A20</f>
        <v>3</v>
      </c>
      <c r="D184" s="3">
        <f>ROW(A20)</f>
        <v>20</v>
      </c>
      <c r="E184" s="3"/>
      <c r="F184" s="3" t="str">
        <f>IF(F20&lt;&gt;"",F20,"")</f>
        <v>Новая локальная смета</v>
      </c>
      <c r="G184" s="3" t="str">
        <f>IF(G20&lt;&gt;"",G20,"")</f>
        <v>Новая локальная смета</v>
      </c>
      <c r="H184" s="3">
        <v>0</v>
      </c>
      <c r="I184" s="3"/>
      <c r="J184" s="3"/>
      <c r="K184" s="3"/>
      <c r="L184" s="3"/>
      <c r="M184" s="3"/>
      <c r="N184" s="3"/>
      <c r="O184" s="3">
        <f t="shared" ref="O184:T184" si="102">ROUND(O39+O78+O117+O154+AB184,2)</f>
        <v>4868.34</v>
      </c>
      <c r="P184" s="3">
        <f t="shared" si="102"/>
        <v>0</v>
      </c>
      <c r="Q184" s="3">
        <f t="shared" si="102"/>
        <v>4868.34</v>
      </c>
      <c r="R184" s="3">
        <f t="shared" si="102"/>
        <v>0</v>
      </c>
      <c r="S184" s="3">
        <f t="shared" si="102"/>
        <v>0</v>
      </c>
      <c r="T184" s="3">
        <f t="shared" si="102"/>
        <v>0</v>
      </c>
      <c r="U184" s="3">
        <f>U39+U78+U117+U154+AH184</f>
        <v>0</v>
      </c>
      <c r="V184" s="3">
        <f>V39+V78+V117+V154+AI184</f>
        <v>0</v>
      </c>
      <c r="W184" s="3">
        <f>ROUND(W39+W78+W117+W154+AJ184,2)</f>
        <v>0</v>
      </c>
      <c r="X184" s="3">
        <f>ROUND(X39+X78+X117+X154+AK184,2)</f>
        <v>0</v>
      </c>
      <c r="Y184" s="3">
        <f>ROUND(Y39+Y78+Y117+Y154+AL184,2)</f>
        <v>0</v>
      </c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>
        <f t="shared" ref="AO184:BD184" si="103">ROUND(AO39+AO78+AO117+AO154+BX184,2)</f>
        <v>0</v>
      </c>
      <c r="AP184" s="3">
        <f t="shared" si="103"/>
        <v>0</v>
      </c>
      <c r="AQ184" s="3">
        <f t="shared" si="103"/>
        <v>0</v>
      </c>
      <c r="AR184" s="3">
        <f t="shared" si="103"/>
        <v>4868.34</v>
      </c>
      <c r="AS184" s="3">
        <f t="shared" si="103"/>
        <v>0</v>
      </c>
      <c r="AT184" s="3">
        <f t="shared" si="103"/>
        <v>0</v>
      </c>
      <c r="AU184" s="3">
        <f t="shared" si="103"/>
        <v>4868.34</v>
      </c>
      <c r="AV184" s="3">
        <f t="shared" si="103"/>
        <v>0</v>
      </c>
      <c r="AW184" s="3">
        <f t="shared" si="103"/>
        <v>0</v>
      </c>
      <c r="AX184" s="3">
        <f t="shared" si="103"/>
        <v>0</v>
      </c>
      <c r="AY184" s="3">
        <f t="shared" si="103"/>
        <v>0</v>
      </c>
      <c r="AZ184" s="3">
        <f t="shared" si="103"/>
        <v>0</v>
      </c>
      <c r="BA184" s="3">
        <f t="shared" si="103"/>
        <v>0</v>
      </c>
      <c r="BB184" s="3">
        <f t="shared" si="103"/>
        <v>0</v>
      </c>
      <c r="BC184" s="3">
        <f t="shared" si="103"/>
        <v>0</v>
      </c>
      <c r="BD184" s="3">
        <f t="shared" si="103"/>
        <v>0</v>
      </c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4">
        <f t="shared" ref="DG184:DL184" si="104">ROUND(DG39+DG78+DG117+DG154+DT184,2)</f>
        <v>71217.259999999995</v>
      </c>
      <c r="DH184" s="4">
        <f t="shared" si="104"/>
        <v>0</v>
      </c>
      <c r="DI184" s="4">
        <f t="shared" si="104"/>
        <v>71217.259999999995</v>
      </c>
      <c r="DJ184" s="4">
        <f t="shared" si="104"/>
        <v>0</v>
      </c>
      <c r="DK184" s="4">
        <f t="shared" si="104"/>
        <v>0</v>
      </c>
      <c r="DL184" s="4">
        <f t="shared" si="104"/>
        <v>0</v>
      </c>
      <c r="DM184" s="4">
        <f>DM39+DM78+DM117+DM154+DZ184</f>
        <v>0</v>
      </c>
      <c r="DN184" s="4">
        <f>DN39+DN78+DN117+DN154+EA184</f>
        <v>0</v>
      </c>
      <c r="DO184" s="4">
        <f>ROUND(DO39+DO78+DO117+DO154+EB184,2)</f>
        <v>0</v>
      </c>
      <c r="DP184" s="4">
        <f>ROUND(DP39+DP78+DP117+DP154+EC184,2)</f>
        <v>0</v>
      </c>
      <c r="DQ184" s="4">
        <f>ROUND(DQ39+DQ78+DQ117+DQ154+ED184,2)</f>
        <v>0</v>
      </c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>
        <f t="shared" ref="EG184:EV184" si="105">ROUND(EG39+EG78+EG117+EG154+FP184,2)</f>
        <v>0</v>
      </c>
      <c r="EH184" s="4">
        <f t="shared" si="105"/>
        <v>0</v>
      </c>
      <c r="EI184" s="4">
        <f t="shared" si="105"/>
        <v>0</v>
      </c>
      <c r="EJ184" s="4">
        <f t="shared" si="105"/>
        <v>71217.259999999995</v>
      </c>
      <c r="EK184" s="4">
        <f t="shared" si="105"/>
        <v>0</v>
      </c>
      <c r="EL184" s="4">
        <f t="shared" si="105"/>
        <v>0</v>
      </c>
      <c r="EM184" s="4">
        <f t="shared" si="105"/>
        <v>71217.259999999995</v>
      </c>
      <c r="EN184" s="4">
        <f t="shared" si="105"/>
        <v>0</v>
      </c>
      <c r="EO184" s="4">
        <f t="shared" si="105"/>
        <v>0</v>
      </c>
      <c r="EP184" s="4">
        <f t="shared" si="105"/>
        <v>0</v>
      </c>
      <c r="EQ184" s="4">
        <f t="shared" si="105"/>
        <v>0</v>
      </c>
      <c r="ER184" s="4">
        <f t="shared" si="105"/>
        <v>0</v>
      </c>
      <c r="ES184" s="4">
        <f t="shared" si="105"/>
        <v>0</v>
      </c>
      <c r="ET184" s="4">
        <f t="shared" si="105"/>
        <v>0</v>
      </c>
      <c r="EU184" s="4">
        <f t="shared" si="105"/>
        <v>0</v>
      </c>
      <c r="EV184" s="4">
        <f t="shared" si="105"/>
        <v>0</v>
      </c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>
        <v>0</v>
      </c>
    </row>
    <row r="186" spans="1:206" x14ac:dyDescent="0.2">
      <c r="A186" s="5">
        <v>50</v>
      </c>
      <c r="B186" s="5">
        <v>0</v>
      </c>
      <c r="C186" s="5">
        <v>0</v>
      </c>
      <c r="D186" s="5">
        <v>1</v>
      </c>
      <c r="E186" s="5">
        <v>201</v>
      </c>
      <c r="F186" s="5">
        <f>ROUND(Source!O184,O186)</f>
        <v>4868.34</v>
      </c>
      <c r="G186" s="5" t="s">
        <v>41</v>
      </c>
      <c r="H186" s="5" t="s">
        <v>42</v>
      </c>
      <c r="I186" s="5"/>
      <c r="J186" s="5"/>
      <c r="K186" s="5">
        <v>201</v>
      </c>
      <c r="L186" s="5">
        <v>1</v>
      </c>
      <c r="M186" s="5">
        <v>3</v>
      </c>
      <c r="N186" s="5" t="s">
        <v>3</v>
      </c>
      <c r="O186" s="5">
        <v>2</v>
      </c>
      <c r="P186" s="5">
        <f>ROUND(Source!DG184,O186)</f>
        <v>71217.259999999995</v>
      </c>
      <c r="Q186" s="5"/>
      <c r="R186" s="5"/>
      <c r="S186" s="5"/>
      <c r="T186" s="5"/>
      <c r="U186" s="5"/>
      <c r="V186" s="5"/>
      <c r="W186" s="5">
        <v>4868.34</v>
      </c>
      <c r="X186" s="5">
        <v>1</v>
      </c>
      <c r="Y186" s="5">
        <v>4868.34</v>
      </c>
      <c r="Z186" s="5">
        <v>71217.259999999995</v>
      </c>
      <c r="AA186" s="5">
        <v>1</v>
      </c>
      <c r="AB186" s="5">
        <v>71217.259999999995</v>
      </c>
    </row>
    <row r="187" spans="1:206" x14ac:dyDescent="0.2">
      <c r="A187" s="5">
        <v>50</v>
      </c>
      <c r="B187" s="5">
        <v>0</v>
      </c>
      <c r="C187" s="5">
        <v>0</v>
      </c>
      <c r="D187" s="5">
        <v>1</v>
      </c>
      <c r="E187" s="5">
        <v>202</v>
      </c>
      <c r="F187" s="5">
        <f>ROUND(Source!P184,O187)</f>
        <v>0</v>
      </c>
      <c r="G187" s="5" t="s">
        <v>43</v>
      </c>
      <c r="H187" s="5" t="s">
        <v>44</v>
      </c>
      <c r="I187" s="5"/>
      <c r="J187" s="5"/>
      <c r="K187" s="5">
        <v>202</v>
      </c>
      <c r="L187" s="5">
        <v>2</v>
      </c>
      <c r="M187" s="5">
        <v>3</v>
      </c>
      <c r="N187" s="5" t="s">
        <v>3</v>
      </c>
      <c r="O187" s="5">
        <v>2</v>
      </c>
      <c r="P187" s="5">
        <f>ROUND(Source!DH184,O187)</f>
        <v>0</v>
      </c>
      <c r="Q187" s="5"/>
      <c r="R187" s="5"/>
      <c r="S187" s="5"/>
      <c r="T187" s="5"/>
      <c r="U187" s="5"/>
      <c r="V187" s="5"/>
      <c r="W187" s="5">
        <v>0</v>
      </c>
      <c r="X187" s="5">
        <v>1</v>
      </c>
      <c r="Y187" s="5">
        <v>0</v>
      </c>
      <c r="Z187" s="5">
        <v>0</v>
      </c>
      <c r="AA187" s="5">
        <v>1</v>
      </c>
      <c r="AB187" s="5">
        <v>0</v>
      </c>
    </row>
    <row r="188" spans="1:206" x14ac:dyDescent="0.2">
      <c r="A188" s="5">
        <v>50</v>
      </c>
      <c r="B188" s="5">
        <v>0</v>
      </c>
      <c r="C188" s="5">
        <v>0</v>
      </c>
      <c r="D188" s="5">
        <v>1</v>
      </c>
      <c r="E188" s="5">
        <v>222</v>
      </c>
      <c r="F188" s="5">
        <f>ROUND(Source!AO184,O188)</f>
        <v>0</v>
      </c>
      <c r="G188" s="5" t="s">
        <v>45</v>
      </c>
      <c r="H188" s="5" t="s">
        <v>46</v>
      </c>
      <c r="I188" s="5"/>
      <c r="J188" s="5"/>
      <c r="K188" s="5">
        <v>222</v>
      </c>
      <c r="L188" s="5">
        <v>3</v>
      </c>
      <c r="M188" s="5">
        <v>3</v>
      </c>
      <c r="N188" s="5" t="s">
        <v>3</v>
      </c>
      <c r="O188" s="5">
        <v>2</v>
      </c>
      <c r="P188" s="5">
        <f>ROUND(Source!EG184,O188)</f>
        <v>0</v>
      </c>
      <c r="Q188" s="5"/>
      <c r="R188" s="5"/>
      <c r="S188" s="5"/>
      <c r="T188" s="5"/>
      <c r="U188" s="5"/>
      <c r="V188" s="5"/>
      <c r="W188" s="5">
        <v>0</v>
      </c>
      <c r="X188" s="5">
        <v>1</v>
      </c>
      <c r="Y188" s="5">
        <v>0</v>
      </c>
      <c r="Z188" s="5">
        <v>0</v>
      </c>
      <c r="AA188" s="5">
        <v>1</v>
      </c>
      <c r="AB188" s="5">
        <v>0</v>
      </c>
    </row>
    <row r="189" spans="1:206" x14ac:dyDescent="0.2">
      <c r="A189" s="5">
        <v>50</v>
      </c>
      <c r="B189" s="5">
        <v>0</v>
      </c>
      <c r="C189" s="5">
        <v>0</v>
      </c>
      <c r="D189" s="5">
        <v>1</v>
      </c>
      <c r="E189" s="5">
        <v>225</v>
      </c>
      <c r="F189" s="5">
        <f>ROUND(Source!AV184,O189)</f>
        <v>0</v>
      </c>
      <c r="G189" s="5" t="s">
        <v>47</v>
      </c>
      <c r="H189" s="5" t="s">
        <v>48</v>
      </c>
      <c r="I189" s="5"/>
      <c r="J189" s="5"/>
      <c r="K189" s="5">
        <v>225</v>
      </c>
      <c r="L189" s="5">
        <v>4</v>
      </c>
      <c r="M189" s="5">
        <v>3</v>
      </c>
      <c r="N189" s="5" t="s">
        <v>3</v>
      </c>
      <c r="O189" s="5">
        <v>2</v>
      </c>
      <c r="P189" s="5">
        <f>ROUND(Source!EN184,O189)</f>
        <v>0</v>
      </c>
      <c r="Q189" s="5"/>
      <c r="R189" s="5"/>
      <c r="S189" s="5"/>
      <c r="T189" s="5"/>
      <c r="U189" s="5"/>
      <c r="V189" s="5"/>
      <c r="W189" s="5">
        <v>0</v>
      </c>
      <c r="X189" s="5">
        <v>1</v>
      </c>
      <c r="Y189" s="5">
        <v>0</v>
      </c>
      <c r="Z189" s="5">
        <v>0</v>
      </c>
      <c r="AA189" s="5">
        <v>1</v>
      </c>
      <c r="AB189" s="5">
        <v>0</v>
      </c>
    </row>
    <row r="190" spans="1:206" x14ac:dyDescent="0.2">
      <c r="A190" s="5">
        <v>50</v>
      </c>
      <c r="B190" s="5">
        <v>0</v>
      </c>
      <c r="C190" s="5">
        <v>0</v>
      </c>
      <c r="D190" s="5">
        <v>1</v>
      </c>
      <c r="E190" s="5">
        <v>226</v>
      </c>
      <c r="F190" s="5">
        <f>ROUND(Source!AW184,O190)</f>
        <v>0</v>
      </c>
      <c r="G190" s="5" t="s">
        <v>49</v>
      </c>
      <c r="H190" s="5" t="s">
        <v>50</v>
      </c>
      <c r="I190" s="5"/>
      <c r="J190" s="5"/>
      <c r="K190" s="5">
        <v>226</v>
      </c>
      <c r="L190" s="5">
        <v>5</v>
      </c>
      <c r="M190" s="5">
        <v>3</v>
      </c>
      <c r="N190" s="5" t="s">
        <v>3</v>
      </c>
      <c r="O190" s="5">
        <v>2</v>
      </c>
      <c r="P190" s="5">
        <f>ROUND(Source!EO184,O190)</f>
        <v>0</v>
      </c>
      <c r="Q190" s="5"/>
      <c r="R190" s="5"/>
      <c r="S190" s="5"/>
      <c r="T190" s="5"/>
      <c r="U190" s="5"/>
      <c r="V190" s="5"/>
      <c r="W190" s="5">
        <v>0</v>
      </c>
      <c r="X190" s="5">
        <v>1</v>
      </c>
      <c r="Y190" s="5">
        <v>0</v>
      </c>
      <c r="Z190" s="5">
        <v>0</v>
      </c>
      <c r="AA190" s="5">
        <v>1</v>
      </c>
      <c r="AB190" s="5">
        <v>0</v>
      </c>
    </row>
    <row r="191" spans="1:206" x14ac:dyDescent="0.2">
      <c r="A191" s="5">
        <v>50</v>
      </c>
      <c r="B191" s="5">
        <v>0</v>
      </c>
      <c r="C191" s="5">
        <v>0</v>
      </c>
      <c r="D191" s="5">
        <v>1</v>
      </c>
      <c r="E191" s="5">
        <v>227</v>
      </c>
      <c r="F191" s="5">
        <f>ROUND(Source!AX184,O191)</f>
        <v>0</v>
      </c>
      <c r="G191" s="5" t="s">
        <v>51</v>
      </c>
      <c r="H191" s="5" t="s">
        <v>52</v>
      </c>
      <c r="I191" s="5"/>
      <c r="J191" s="5"/>
      <c r="K191" s="5">
        <v>227</v>
      </c>
      <c r="L191" s="5">
        <v>6</v>
      </c>
      <c r="M191" s="5">
        <v>3</v>
      </c>
      <c r="N191" s="5" t="s">
        <v>3</v>
      </c>
      <c r="O191" s="5">
        <v>2</v>
      </c>
      <c r="P191" s="5">
        <f>ROUND(Source!EP184,O191)</f>
        <v>0</v>
      </c>
      <c r="Q191" s="5"/>
      <c r="R191" s="5"/>
      <c r="S191" s="5"/>
      <c r="T191" s="5"/>
      <c r="U191" s="5"/>
      <c r="V191" s="5"/>
      <c r="W191" s="5">
        <v>0</v>
      </c>
      <c r="X191" s="5">
        <v>1</v>
      </c>
      <c r="Y191" s="5">
        <v>0</v>
      </c>
      <c r="Z191" s="5">
        <v>0</v>
      </c>
      <c r="AA191" s="5">
        <v>1</v>
      </c>
      <c r="AB191" s="5">
        <v>0</v>
      </c>
    </row>
    <row r="192" spans="1:206" x14ac:dyDescent="0.2">
      <c r="A192" s="5">
        <v>50</v>
      </c>
      <c r="B192" s="5">
        <v>0</v>
      </c>
      <c r="C192" s="5">
        <v>0</v>
      </c>
      <c r="D192" s="5">
        <v>1</v>
      </c>
      <c r="E192" s="5">
        <v>228</v>
      </c>
      <c r="F192" s="5">
        <f>ROUND(Source!AY184,O192)</f>
        <v>0</v>
      </c>
      <c r="G192" s="5" t="s">
        <v>53</v>
      </c>
      <c r="H192" s="5" t="s">
        <v>54</v>
      </c>
      <c r="I192" s="5"/>
      <c r="J192" s="5"/>
      <c r="K192" s="5">
        <v>228</v>
      </c>
      <c r="L192" s="5">
        <v>7</v>
      </c>
      <c r="M192" s="5">
        <v>3</v>
      </c>
      <c r="N192" s="5" t="s">
        <v>3</v>
      </c>
      <c r="O192" s="5">
        <v>2</v>
      </c>
      <c r="P192" s="5">
        <f>ROUND(Source!EQ184,O192)</f>
        <v>0</v>
      </c>
      <c r="Q192" s="5"/>
      <c r="R192" s="5"/>
      <c r="S192" s="5"/>
      <c r="T192" s="5"/>
      <c r="U192" s="5"/>
      <c r="V192" s="5"/>
      <c r="W192" s="5">
        <v>0</v>
      </c>
      <c r="X192" s="5">
        <v>1</v>
      </c>
      <c r="Y192" s="5">
        <v>0</v>
      </c>
      <c r="Z192" s="5">
        <v>0</v>
      </c>
      <c r="AA192" s="5">
        <v>1</v>
      </c>
      <c r="AB192" s="5">
        <v>0</v>
      </c>
    </row>
    <row r="193" spans="1:28" x14ac:dyDescent="0.2">
      <c r="A193" s="5">
        <v>50</v>
      </c>
      <c r="B193" s="5">
        <v>0</v>
      </c>
      <c r="C193" s="5">
        <v>0</v>
      </c>
      <c r="D193" s="5">
        <v>1</v>
      </c>
      <c r="E193" s="5">
        <v>216</v>
      </c>
      <c r="F193" s="5">
        <f>ROUND(Source!AP184,O193)</f>
        <v>0</v>
      </c>
      <c r="G193" s="5" t="s">
        <v>55</v>
      </c>
      <c r="H193" s="5" t="s">
        <v>56</v>
      </c>
      <c r="I193" s="5"/>
      <c r="J193" s="5"/>
      <c r="K193" s="5">
        <v>216</v>
      </c>
      <c r="L193" s="5">
        <v>8</v>
      </c>
      <c r="M193" s="5">
        <v>3</v>
      </c>
      <c r="N193" s="5" t="s">
        <v>3</v>
      </c>
      <c r="O193" s="5">
        <v>2</v>
      </c>
      <c r="P193" s="5">
        <f>ROUND(Source!EH184,O193)</f>
        <v>0</v>
      </c>
      <c r="Q193" s="5"/>
      <c r="R193" s="5"/>
      <c r="S193" s="5"/>
      <c r="T193" s="5"/>
      <c r="U193" s="5"/>
      <c r="V193" s="5"/>
      <c r="W193" s="5">
        <v>0</v>
      </c>
      <c r="X193" s="5">
        <v>1</v>
      </c>
      <c r="Y193" s="5">
        <v>0</v>
      </c>
      <c r="Z193" s="5">
        <v>0</v>
      </c>
      <c r="AA193" s="5">
        <v>1</v>
      </c>
      <c r="AB193" s="5">
        <v>0</v>
      </c>
    </row>
    <row r="194" spans="1:28" x14ac:dyDescent="0.2">
      <c r="A194" s="5">
        <v>50</v>
      </c>
      <c r="B194" s="5">
        <v>0</v>
      </c>
      <c r="C194" s="5">
        <v>0</v>
      </c>
      <c r="D194" s="5">
        <v>1</v>
      </c>
      <c r="E194" s="5">
        <v>223</v>
      </c>
      <c r="F194" s="5">
        <f>ROUND(Source!AQ184,O194)</f>
        <v>0</v>
      </c>
      <c r="G194" s="5" t="s">
        <v>57</v>
      </c>
      <c r="H194" s="5" t="s">
        <v>58</v>
      </c>
      <c r="I194" s="5"/>
      <c r="J194" s="5"/>
      <c r="K194" s="5">
        <v>223</v>
      </c>
      <c r="L194" s="5">
        <v>9</v>
      </c>
      <c r="M194" s="5">
        <v>3</v>
      </c>
      <c r="N194" s="5" t="s">
        <v>3</v>
      </c>
      <c r="O194" s="5">
        <v>2</v>
      </c>
      <c r="P194" s="5">
        <f>ROUND(Source!EI184,O194)</f>
        <v>0</v>
      </c>
      <c r="Q194" s="5"/>
      <c r="R194" s="5"/>
      <c r="S194" s="5"/>
      <c r="T194" s="5"/>
      <c r="U194" s="5"/>
      <c r="V194" s="5"/>
      <c r="W194" s="5">
        <v>0</v>
      </c>
      <c r="X194" s="5">
        <v>1</v>
      </c>
      <c r="Y194" s="5">
        <v>0</v>
      </c>
      <c r="Z194" s="5">
        <v>0</v>
      </c>
      <c r="AA194" s="5">
        <v>1</v>
      </c>
      <c r="AB194" s="5">
        <v>0</v>
      </c>
    </row>
    <row r="195" spans="1:28" x14ac:dyDescent="0.2">
      <c r="A195" s="5">
        <v>50</v>
      </c>
      <c r="B195" s="5">
        <v>0</v>
      </c>
      <c r="C195" s="5">
        <v>0</v>
      </c>
      <c r="D195" s="5">
        <v>1</v>
      </c>
      <c r="E195" s="5">
        <v>229</v>
      </c>
      <c r="F195" s="5">
        <f>ROUND(Source!AZ184,O195)</f>
        <v>0</v>
      </c>
      <c r="G195" s="5" t="s">
        <v>59</v>
      </c>
      <c r="H195" s="5" t="s">
        <v>60</v>
      </c>
      <c r="I195" s="5"/>
      <c r="J195" s="5"/>
      <c r="K195" s="5">
        <v>229</v>
      </c>
      <c r="L195" s="5">
        <v>10</v>
      </c>
      <c r="M195" s="5">
        <v>3</v>
      </c>
      <c r="N195" s="5" t="s">
        <v>3</v>
      </c>
      <c r="O195" s="5">
        <v>2</v>
      </c>
      <c r="P195" s="5">
        <f>ROUND(Source!ER184,O195)</f>
        <v>0</v>
      </c>
      <c r="Q195" s="5"/>
      <c r="R195" s="5"/>
      <c r="S195" s="5"/>
      <c r="T195" s="5"/>
      <c r="U195" s="5"/>
      <c r="V195" s="5"/>
      <c r="W195" s="5">
        <v>0</v>
      </c>
      <c r="X195" s="5">
        <v>1</v>
      </c>
      <c r="Y195" s="5">
        <v>0</v>
      </c>
      <c r="Z195" s="5">
        <v>0</v>
      </c>
      <c r="AA195" s="5">
        <v>1</v>
      </c>
      <c r="AB195" s="5">
        <v>0</v>
      </c>
    </row>
    <row r="196" spans="1:28" x14ac:dyDescent="0.2">
      <c r="A196" s="5">
        <v>50</v>
      </c>
      <c r="B196" s="5">
        <v>0</v>
      </c>
      <c r="C196" s="5">
        <v>0</v>
      </c>
      <c r="D196" s="5">
        <v>1</v>
      </c>
      <c r="E196" s="5">
        <v>203</v>
      </c>
      <c r="F196" s="5">
        <f>ROUND(Source!Q184,O196)</f>
        <v>4868.34</v>
      </c>
      <c r="G196" s="5" t="s">
        <v>61</v>
      </c>
      <c r="H196" s="5" t="s">
        <v>62</v>
      </c>
      <c r="I196" s="5"/>
      <c r="J196" s="5"/>
      <c r="K196" s="5">
        <v>203</v>
      </c>
      <c r="L196" s="5">
        <v>11</v>
      </c>
      <c r="M196" s="5">
        <v>3</v>
      </c>
      <c r="N196" s="5" t="s">
        <v>3</v>
      </c>
      <c r="O196" s="5">
        <v>2</v>
      </c>
      <c r="P196" s="5">
        <f>ROUND(Source!DI184,O196)</f>
        <v>71217.259999999995</v>
      </c>
      <c r="Q196" s="5"/>
      <c r="R196" s="5"/>
      <c r="S196" s="5"/>
      <c r="T196" s="5"/>
      <c r="U196" s="5"/>
      <c r="V196" s="5"/>
      <c r="W196" s="5">
        <v>4868.34</v>
      </c>
      <c r="X196" s="5">
        <v>1</v>
      </c>
      <c r="Y196" s="5">
        <v>4868.34</v>
      </c>
      <c r="Z196" s="5">
        <v>71217.259999999995</v>
      </c>
      <c r="AA196" s="5">
        <v>1</v>
      </c>
      <c r="AB196" s="5">
        <v>71217.259999999995</v>
      </c>
    </row>
    <row r="197" spans="1:28" x14ac:dyDescent="0.2">
      <c r="A197" s="5">
        <v>50</v>
      </c>
      <c r="B197" s="5">
        <v>0</v>
      </c>
      <c r="C197" s="5">
        <v>0</v>
      </c>
      <c r="D197" s="5">
        <v>1</v>
      </c>
      <c r="E197" s="5">
        <v>231</v>
      </c>
      <c r="F197" s="5">
        <f>ROUND(Source!BB184,O197)</f>
        <v>0</v>
      </c>
      <c r="G197" s="5" t="s">
        <v>63</v>
      </c>
      <c r="H197" s="5" t="s">
        <v>64</v>
      </c>
      <c r="I197" s="5"/>
      <c r="J197" s="5"/>
      <c r="K197" s="5">
        <v>231</v>
      </c>
      <c r="L197" s="5">
        <v>12</v>
      </c>
      <c r="M197" s="5">
        <v>3</v>
      </c>
      <c r="N197" s="5" t="s">
        <v>3</v>
      </c>
      <c r="O197" s="5">
        <v>2</v>
      </c>
      <c r="P197" s="5">
        <f>ROUND(Source!ET184,O197)</f>
        <v>0</v>
      </c>
      <c r="Q197" s="5"/>
      <c r="R197" s="5"/>
      <c r="S197" s="5"/>
      <c r="T197" s="5"/>
      <c r="U197" s="5"/>
      <c r="V197" s="5"/>
      <c r="W197" s="5">
        <v>0</v>
      </c>
      <c r="X197" s="5">
        <v>1</v>
      </c>
      <c r="Y197" s="5">
        <v>0</v>
      </c>
      <c r="Z197" s="5">
        <v>0</v>
      </c>
      <c r="AA197" s="5">
        <v>1</v>
      </c>
      <c r="AB197" s="5">
        <v>0</v>
      </c>
    </row>
    <row r="198" spans="1:28" x14ac:dyDescent="0.2">
      <c r="A198" s="5">
        <v>50</v>
      </c>
      <c r="B198" s="5">
        <v>0</v>
      </c>
      <c r="C198" s="5">
        <v>0</v>
      </c>
      <c r="D198" s="5">
        <v>1</v>
      </c>
      <c r="E198" s="5">
        <v>204</v>
      </c>
      <c r="F198" s="5">
        <f>ROUND(Source!R184,O198)</f>
        <v>0</v>
      </c>
      <c r="G198" s="5" t="s">
        <v>65</v>
      </c>
      <c r="H198" s="5" t="s">
        <v>66</v>
      </c>
      <c r="I198" s="5"/>
      <c r="J198" s="5"/>
      <c r="K198" s="5">
        <v>204</v>
      </c>
      <c r="L198" s="5">
        <v>13</v>
      </c>
      <c r="M198" s="5">
        <v>3</v>
      </c>
      <c r="N198" s="5" t="s">
        <v>3</v>
      </c>
      <c r="O198" s="5">
        <v>2</v>
      </c>
      <c r="P198" s="5">
        <f>ROUND(Source!DJ184,O198)</f>
        <v>0</v>
      </c>
      <c r="Q198" s="5"/>
      <c r="R198" s="5"/>
      <c r="S198" s="5"/>
      <c r="T198" s="5"/>
      <c r="U198" s="5"/>
      <c r="V198" s="5"/>
      <c r="W198" s="5">
        <v>0</v>
      </c>
      <c r="X198" s="5">
        <v>1</v>
      </c>
      <c r="Y198" s="5">
        <v>0</v>
      </c>
      <c r="Z198" s="5">
        <v>0</v>
      </c>
      <c r="AA198" s="5">
        <v>1</v>
      </c>
      <c r="AB198" s="5">
        <v>0</v>
      </c>
    </row>
    <row r="199" spans="1:28" x14ac:dyDescent="0.2">
      <c r="A199" s="5">
        <v>50</v>
      </c>
      <c r="B199" s="5">
        <v>0</v>
      </c>
      <c r="C199" s="5">
        <v>0</v>
      </c>
      <c r="D199" s="5">
        <v>1</v>
      </c>
      <c r="E199" s="5">
        <v>205</v>
      </c>
      <c r="F199" s="5">
        <f>ROUND(Source!S184,O199)</f>
        <v>0</v>
      </c>
      <c r="G199" s="5" t="s">
        <v>67</v>
      </c>
      <c r="H199" s="5" t="s">
        <v>68</v>
      </c>
      <c r="I199" s="5"/>
      <c r="J199" s="5"/>
      <c r="K199" s="5">
        <v>205</v>
      </c>
      <c r="L199" s="5">
        <v>14</v>
      </c>
      <c r="M199" s="5">
        <v>3</v>
      </c>
      <c r="N199" s="5" t="s">
        <v>3</v>
      </c>
      <c r="O199" s="5">
        <v>2</v>
      </c>
      <c r="P199" s="5">
        <f>ROUND(Source!DK184,O199)</f>
        <v>0</v>
      </c>
      <c r="Q199" s="5"/>
      <c r="R199" s="5"/>
      <c r="S199" s="5"/>
      <c r="T199" s="5"/>
      <c r="U199" s="5"/>
      <c r="V199" s="5"/>
      <c r="W199" s="5">
        <v>0</v>
      </c>
      <c r="X199" s="5">
        <v>1</v>
      </c>
      <c r="Y199" s="5">
        <v>0</v>
      </c>
      <c r="Z199" s="5">
        <v>0</v>
      </c>
      <c r="AA199" s="5">
        <v>1</v>
      </c>
      <c r="AB199" s="5">
        <v>0</v>
      </c>
    </row>
    <row r="200" spans="1:28" x14ac:dyDescent="0.2">
      <c r="A200" s="5">
        <v>50</v>
      </c>
      <c r="B200" s="5">
        <v>0</v>
      </c>
      <c r="C200" s="5">
        <v>0</v>
      </c>
      <c r="D200" s="5">
        <v>1</v>
      </c>
      <c r="E200" s="5">
        <v>232</v>
      </c>
      <c r="F200" s="5">
        <f>ROUND(Source!BC184,O200)</f>
        <v>0</v>
      </c>
      <c r="G200" s="5" t="s">
        <v>69</v>
      </c>
      <c r="H200" s="5" t="s">
        <v>70</v>
      </c>
      <c r="I200" s="5"/>
      <c r="J200" s="5"/>
      <c r="K200" s="5">
        <v>232</v>
      </c>
      <c r="L200" s="5">
        <v>15</v>
      </c>
      <c r="M200" s="5">
        <v>3</v>
      </c>
      <c r="N200" s="5" t="s">
        <v>3</v>
      </c>
      <c r="O200" s="5">
        <v>2</v>
      </c>
      <c r="P200" s="5">
        <f>ROUND(Source!EU184,O200)</f>
        <v>0</v>
      </c>
      <c r="Q200" s="5"/>
      <c r="R200" s="5"/>
      <c r="S200" s="5"/>
      <c r="T200" s="5"/>
      <c r="U200" s="5"/>
      <c r="V200" s="5"/>
      <c r="W200" s="5">
        <v>0</v>
      </c>
      <c r="X200" s="5">
        <v>1</v>
      </c>
      <c r="Y200" s="5">
        <v>0</v>
      </c>
      <c r="Z200" s="5">
        <v>0</v>
      </c>
      <c r="AA200" s="5">
        <v>1</v>
      </c>
      <c r="AB200" s="5">
        <v>0</v>
      </c>
    </row>
    <row r="201" spans="1:28" x14ac:dyDescent="0.2">
      <c r="A201" s="5">
        <v>50</v>
      </c>
      <c r="B201" s="5">
        <v>0</v>
      </c>
      <c r="C201" s="5">
        <v>0</v>
      </c>
      <c r="D201" s="5">
        <v>1</v>
      </c>
      <c r="E201" s="5">
        <v>214</v>
      </c>
      <c r="F201" s="5">
        <f>ROUND(Source!AS184,O201)</f>
        <v>0</v>
      </c>
      <c r="G201" s="5" t="s">
        <v>71</v>
      </c>
      <c r="H201" s="5" t="s">
        <v>72</v>
      </c>
      <c r="I201" s="5"/>
      <c r="J201" s="5"/>
      <c r="K201" s="5">
        <v>214</v>
      </c>
      <c r="L201" s="5">
        <v>16</v>
      </c>
      <c r="M201" s="5">
        <v>3</v>
      </c>
      <c r="N201" s="5" t="s">
        <v>3</v>
      </c>
      <c r="O201" s="5">
        <v>2</v>
      </c>
      <c r="P201" s="5">
        <f>ROUND(Source!EK184,O201)</f>
        <v>0</v>
      </c>
      <c r="Q201" s="5"/>
      <c r="R201" s="5"/>
      <c r="S201" s="5"/>
      <c r="T201" s="5"/>
      <c r="U201" s="5"/>
      <c r="V201" s="5"/>
      <c r="W201" s="5">
        <v>0</v>
      </c>
      <c r="X201" s="5">
        <v>1</v>
      </c>
      <c r="Y201" s="5">
        <v>0</v>
      </c>
      <c r="Z201" s="5">
        <v>0</v>
      </c>
      <c r="AA201" s="5">
        <v>1</v>
      </c>
      <c r="AB201" s="5">
        <v>0</v>
      </c>
    </row>
    <row r="202" spans="1:28" x14ac:dyDescent="0.2">
      <c r="A202" s="5">
        <v>50</v>
      </c>
      <c r="B202" s="5">
        <v>0</v>
      </c>
      <c r="C202" s="5">
        <v>0</v>
      </c>
      <c r="D202" s="5">
        <v>1</v>
      </c>
      <c r="E202" s="5">
        <v>215</v>
      </c>
      <c r="F202" s="5">
        <f>ROUND(Source!AT184,O202)</f>
        <v>0</v>
      </c>
      <c r="G202" s="5" t="s">
        <v>73</v>
      </c>
      <c r="H202" s="5" t="s">
        <v>74</v>
      </c>
      <c r="I202" s="5"/>
      <c r="J202" s="5"/>
      <c r="K202" s="5">
        <v>215</v>
      </c>
      <c r="L202" s="5">
        <v>17</v>
      </c>
      <c r="M202" s="5">
        <v>3</v>
      </c>
      <c r="N202" s="5" t="s">
        <v>3</v>
      </c>
      <c r="O202" s="5">
        <v>2</v>
      </c>
      <c r="P202" s="5">
        <f>ROUND(Source!EL184,O202)</f>
        <v>0</v>
      </c>
      <c r="Q202" s="5"/>
      <c r="R202" s="5"/>
      <c r="S202" s="5"/>
      <c r="T202" s="5"/>
      <c r="U202" s="5"/>
      <c r="V202" s="5"/>
      <c r="W202" s="5">
        <v>0</v>
      </c>
      <c r="X202" s="5">
        <v>1</v>
      </c>
      <c r="Y202" s="5">
        <v>0</v>
      </c>
      <c r="Z202" s="5">
        <v>0</v>
      </c>
      <c r="AA202" s="5">
        <v>1</v>
      </c>
      <c r="AB202" s="5">
        <v>0</v>
      </c>
    </row>
    <row r="203" spans="1:28" x14ac:dyDescent="0.2">
      <c r="A203" s="5">
        <v>50</v>
      </c>
      <c r="B203" s="5">
        <v>0</v>
      </c>
      <c r="C203" s="5">
        <v>0</v>
      </c>
      <c r="D203" s="5">
        <v>1</v>
      </c>
      <c r="E203" s="5">
        <v>217</v>
      </c>
      <c r="F203" s="5">
        <f>ROUND(Source!AU184,O203)</f>
        <v>4868.34</v>
      </c>
      <c r="G203" s="5" t="s">
        <v>75</v>
      </c>
      <c r="H203" s="5" t="s">
        <v>76</v>
      </c>
      <c r="I203" s="5"/>
      <c r="J203" s="5"/>
      <c r="K203" s="5">
        <v>217</v>
      </c>
      <c r="L203" s="5">
        <v>18</v>
      </c>
      <c r="M203" s="5">
        <v>3</v>
      </c>
      <c r="N203" s="5" t="s">
        <v>3</v>
      </c>
      <c r="O203" s="5">
        <v>2</v>
      </c>
      <c r="P203" s="5">
        <f>ROUND(Source!EM184,O203)</f>
        <v>71217.259999999995</v>
      </c>
      <c r="Q203" s="5"/>
      <c r="R203" s="5"/>
      <c r="S203" s="5"/>
      <c r="T203" s="5"/>
      <c r="U203" s="5"/>
      <c r="V203" s="5"/>
      <c r="W203" s="5">
        <v>4868.34</v>
      </c>
      <c r="X203" s="5">
        <v>1</v>
      </c>
      <c r="Y203" s="5">
        <v>4868.34</v>
      </c>
      <c r="Z203" s="5">
        <v>71217.259999999995</v>
      </c>
      <c r="AA203" s="5">
        <v>1</v>
      </c>
      <c r="AB203" s="5">
        <v>71217.259999999995</v>
      </c>
    </row>
    <row r="204" spans="1:28" x14ac:dyDescent="0.2">
      <c r="A204" s="5">
        <v>50</v>
      </c>
      <c r="B204" s="5">
        <v>0</v>
      </c>
      <c r="C204" s="5">
        <v>0</v>
      </c>
      <c r="D204" s="5">
        <v>1</v>
      </c>
      <c r="E204" s="5">
        <v>230</v>
      </c>
      <c r="F204" s="5">
        <f>ROUND(Source!BA184,O204)</f>
        <v>0</v>
      </c>
      <c r="G204" s="5" t="s">
        <v>77</v>
      </c>
      <c r="H204" s="5" t="s">
        <v>78</v>
      </c>
      <c r="I204" s="5"/>
      <c r="J204" s="5"/>
      <c r="K204" s="5">
        <v>230</v>
      </c>
      <c r="L204" s="5">
        <v>19</v>
      </c>
      <c r="M204" s="5">
        <v>3</v>
      </c>
      <c r="N204" s="5" t="s">
        <v>3</v>
      </c>
      <c r="O204" s="5">
        <v>2</v>
      </c>
      <c r="P204" s="5">
        <f>ROUND(Source!ES184,O204)</f>
        <v>0</v>
      </c>
      <c r="Q204" s="5"/>
      <c r="R204" s="5"/>
      <c r="S204" s="5"/>
      <c r="T204" s="5"/>
      <c r="U204" s="5"/>
      <c r="V204" s="5"/>
      <c r="W204" s="5">
        <v>0</v>
      </c>
      <c r="X204" s="5">
        <v>1</v>
      </c>
      <c r="Y204" s="5">
        <v>0</v>
      </c>
      <c r="Z204" s="5">
        <v>0</v>
      </c>
      <c r="AA204" s="5">
        <v>1</v>
      </c>
      <c r="AB204" s="5">
        <v>0</v>
      </c>
    </row>
    <row r="205" spans="1:28" x14ac:dyDescent="0.2">
      <c r="A205" s="5">
        <v>50</v>
      </c>
      <c r="B205" s="5">
        <v>0</v>
      </c>
      <c r="C205" s="5">
        <v>0</v>
      </c>
      <c r="D205" s="5">
        <v>1</v>
      </c>
      <c r="E205" s="5">
        <v>206</v>
      </c>
      <c r="F205" s="5">
        <f>ROUND(Source!T184,O205)</f>
        <v>0</v>
      </c>
      <c r="G205" s="5" t="s">
        <v>79</v>
      </c>
      <c r="H205" s="5" t="s">
        <v>80</v>
      </c>
      <c r="I205" s="5"/>
      <c r="J205" s="5"/>
      <c r="K205" s="5">
        <v>206</v>
      </c>
      <c r="L205" s="5">
        <v>20</v>
      </c>
      <c r="M205" s="5">
        <v>3</v>
      </c>
      <c r="N205" s="5" t="s">
        <v>3</v>
      </c>
      <c r="O205" s="5">
        <v>2</v>
      </c>
      <c r="P205" s="5">
        <f>ROUND(Source!DL184,O205)</f>
        <v>0</v>
      </c>
      <c r="Q205" s="5"/>
      <c r="R205" s="5"/>
      <c r="S205" s="5"/>
      <c r="T205" s="5"/>
      <c r="U205" s="5"/>
      <c r="V205" s="5"/>
      <c r="W205" s="5">
        <v>0</v>
      </c>
      <c r="X205" s="5">
        <v>1</v>
      </c>
      <c r="Y205" s="5">
        <v>0</v>
      </c>
      <c r="Z205" s="5">
        <v>0</v>
      </c>
      <c r="AA205" s="5">
        <v>1</v>
      </c>
      <c r="AB205" s="5">
        <v>0</v>
      </c>
    </row>
    <row r="206" spans="1:28" x14ac:dyDescent="0.2">
      <c r="A206" s="5">
        <v>50</v>
      </c>
      <c r="B206" s="5">
        <v>0</v>
      </c>
      <c r="C206" s="5">
        <v>0</v>
      </c>
      <c r="D206" s="5">
        <v>1</v>
      </c>
      <c r="E206" s="5">
        <v>207</v>
      </c>
      <c r="F206" s="5">
        <f>Source!U184</f>
        <v>0</v>
      </c>
      <c r="G206" s="5" t="s">
        <v>81</v>
      </c>
      <c r="H206" s="5" t="s">
        <v>82</v>
      </c>
      <c r="I206" s="5"/>
      <c r="J206" s="5"/>
      <c r="K206" s="5">
        <v>207</v>
      </c>
      <c r="L206" s="5">
        <v>21</v>
      </c>
      <c r="M206" s="5">
        <v>3</v>
      </c>
      <c r="N206" s="5" t="s">
        <v>3</v>
      </c>
      <c r="O206" s="5">
        <v>-1</v>
      </c>
      <c r="P206" s="5">
        <f>Source!DM184</f>
        <v>0</v>
      </c>
      <c r="Q206" s="5"/>
      <c r="R206" s="5"/>
      <c r="S206" s="5"/>
      <c r="T206" s="5"/>
      <c r="U206" s="5"/>
      <c r="V206" s="5"/>
      <c r="W206" s="5">
        <v>0</v>
      </c>
      <c r="X206" s="5">
        <v>1</v>
      </c>
      <c r="Y206" s="5">
        <v>0</v>
      </c>
      <c r="Z206" s="5">
        <v>0</v>
      </c>
      <c r="AA206" s="5">
        <v>1</v>
      </c>
      <c r="AB206" s="5">
        <v>0</v>
      </c>
    </row>
    <row r="207" spans="1:28" x14ac:dyDescent="0.2">
      <c r="A207" s="5">
        <v>50</v>
      </c>
      <c r="B207" s="5">
        <v>0</v>
      </c>
      <c r="C207" s="5">
        <v>0</v>
      </c>
      <c r="D207" s="5">
        <v>1</v>
      </c>
      <c r="E207" s="5">
        <v>208</v>
      </c>
      <c r="F207" s="5">
        <f>Source!V184</f>
        <v>0</v>
      </c>
      <c r="G207" s="5" t="s">
        <v>83</v>
      </c>
      <c r="H207" s="5" t="s">
        <v>84</v>
      </c>
      <c r="I207" s="5"/>
      <c r="J207" s="5"/>
      <c r="K207" s="5">
        <v>208</v>
      </c>
      <c r="L207" s="5">
        <v>22</v>
      </c>
      <c r="M207" s="5">
        <v>3</v>
      </c>
      <c r="N207" s="5" t="s">
        <v>3</v>
      </c>
      <c r="O207" s="5">
        <v>-1</v>
      </c>
      <c r="P207" s="5">
        <f>Source!DN184</f>
        <v>0</v>
      </c>
      <c r="Q207" s="5"/>
      <c r="R207" s="5"/>
      <c r="S207" s="5"/>
      <c r="T207" s="5"/>
      <c r="U207" s="5"/>
      <c r="V207" s="5"/>
      <c r="W207" s="5">
        <v>0</v>
      </c>
      <c r="X207" s="5">
        <v>1</v>
      </c>
      <c r="Y207" s="5">
        <v>0</v>
      </c>
      <c r="Z207" s="5">
        <v>0</v>
      </c>
      <c r="AA207" s="5">
        <v>1</v>
      </c>
      <c r="AB207" s="5">
        <v>0</v>
      </c>
    </row>
    <row r="208" spans="1:28" x14ac:dyDescent="0.2">
      <c r="A208" s="5">
        <v>50</v>
      </c>
      <c r="B208" s="5">
        <v>0</v>
      </c>
      <c r="C208" s="5">
        <v>0</v>
      </c>
      <c r="D208" s="5">
        <v>1</v>
      </c>
      <c r="E208" s="5">
        <v>209</v>
      </c>
      <c r="F208" s="5">
        <f>ROUND(Source!W184,O208)</f>
        <v>0</v>
      </c>
      <c r="G208" s="5" t="s">
        <v>85</v>
      </c>
      <c r="H208" s="5" t="s">
        <v>86</v>
      </c>
      <c r="I208" s="5"/>
      <c r="J208" s="5"/>
      <c r="K208" s="5">
        <v>209</v>
      </c>
      <c r="L208" s="5">
        <v>23</v>
      </c>
      <c r="M208" s="5">
        <v>3</v>
      </c>
      <c r="N208" s="5" t="s">
        <v>3</v>
      </c>
      <c r="O208" s="5">
        <v>2</v>
      </c>
      <c r="P208" s="5">
        <f>ROUND(Source!DO184,O208)</f>
        <v>0</v>
      </c>
      <c r="Q208" s="5"/>
      <c r="R208" s="5"/>
      <c r="S208" s="5"/>
      <c r="T208" s="5"/>
      <c r="U208" s="5"/>
      <c r="V208" s="5"/>
      <c r="W208" s="5">
        <v>0</v>
      </c>
      <c r="X208" s="5">
        <v>1</v>
      </c>
      <c r="Y208" s="5">
        <v>0</v>
      </c>
      <c r="Z208" s="5">
        <v>0</v>
      </c>
      <c r="AA208" s="5">
        <v>1</v>
      </c>
      <c r="AB208" s="5">
        <v>0</v>
      </c>
    </row>
    <row r="209" spans="1:206" x14ac:dyDescent="0.2">
      <c r="A209" s="5">
        <v>50</v>
      </c>
      <c r="B209" s="5">
        <v>0</v>
      </c>
      <c r="C209" s="5">
        <v>0</v>
      </c>
      <c r="D209" s="5">
        <v>1</v>
      </c>
      <c r="E209" s="5">
        <v>233</v>
      </c>
      <c r="F209" s="5">
        <f>ROUND(Source!BD184,O209)</f>
        <v>0</v>
      </c>
      <c r="G209" s="5" t="s">
        <v>87</v>
      </c>
      <c r="H209" s="5" t="s">
        <v>88</v>
      </c>
      <c r="I209" s="5"/>
      <c r="J209" s="5"/>
      <c r="K209" s="5">
        <v>233</v>
      </c>
      <c r="L209" s="5">
        <v>24</v>
      </c>
      <c r="M209" s="5">
        <v>3</v>
      </c>
      <c r="N209" s="5" t="s">
        <v>3</v>
      </c>
      <c r="O209" s="5">
        <v>2</v>
      </c>
      <c r="P209" s="5">
        <f>ROUND(Source!EV184,O209)</f>
        <v>0</v>
      </c>
      <c r="Q209" s="5"/>
      <c r="R209" s="5"/>
      <c r="S209" s="5"/>
      <c r="T209" s="5"/>
      <c r="U209" s="5"/>
      <c r="V209" s="5"/>
      <c r="W209" s="5">
        <v>0</v>
      </c>
      <c r="X209" s="5">
        <v>1</v>
      </c>
      <c r="Y209" s="5">
        <v>0</v>
      </c>
      <c r="Z209" s="5">
        <v>0</v>
      </c>
      <c r="AA209" s="5">
        <v>1</v>
      </c>
      <c r="AB209" s="5">
        <v>0</v>
      </c>
    </row>
    <row r="210" spans="1:206" x14ac:dyDescent="0.2">
      <c r="A210" s="5">
        <v>50</v>
      </c>
      <c r="B210" s="5">
        <v>0</v>
      </c>
      <c r="C210" s="5">
        <v>0</v>
      </c>
      <c r="D210" s="5">
        <v>1</v>
      </c>
      <c r="E210" s="5">
        <v>210</v>
      </c>
      <c r="F210" s="5">
        <f>ROUND(Source!X184,O210)</f>
        <v>0</v>
      </c>
      <c r="G210" s="5" t="s">
        <v>89</v>
      </c>
      <c r="H210" s="5" t="s">
        <v>90</v>
      </c>
      <c r="I210" s="5"/>
      <c r="J210" s="5"/>
      <c r="K210" s="5">
        <v>210</v>
      </c>
      <c r="L210" s="5">
        <v>25</v>
      </c>
      <c r="M210" s="5">
        <v>3</v>
      </c>
      <c r="N210" s="5" t="s">
        <v>3</v>
      </c>
      <c r="O210" s="5">
        <v>2</v>
      </c>
      <c r="P210" s="5">
        <f>ROUND(Source!DP184,O210)</f>
        <v>0</v>
      </c>
      <c r="Q210" s="5"/>
      <c r="R210" s="5"/>
      <c r="S210" s="5"/>
      <c r="T210" s="5"/>
      <c r="U210" s="5"/>
      <c r="V210" s="5"/>
      <c r="W210" s="5">
        <v>0</v>
      </c>
      <c r="X210" s="5">
        <v>1</v>
      </c>
      <c r="Y210" s="5">
        <v>0</v>
      </c>
      <c r="Z210" s="5">
        <v>0</v>
      </c>
      <c r="AA210" s="5">
        <v>1</v>
      </c>
      <c r="AB210" s="5">
        <v>0</v>
      </c>
    </row>
    <row r="211" spans="1:206" x14ac:dyDescent="0.2">
      <c r="A211" s="5">
        <v>50</v>
      </c>
      <c r="B211" s="5">
        <v>0</v>
      </c>
      <c r="C211" s="5">
        <v>0</v>
      </c>
      <c r="D211" s="5">
        <v>1</v>
      </c>
      <c r="E211" s="5">
        <v>211</v>
      </c>
      <c r="F211" s="5">
        <f>ROUND(Source!Y184,O211)</f>
        <v>0</v>
      </c>
      <c r="G211" s="5" t="s">
        <v>91</v>
      </c>
      <c r="H211" s="5" t="s">
        <v>92</v>
      </c>
      <c r="I211" s="5"/>
      <c r="J211" s="5"/>
      <c r="K211" s="5">
        <v>211</v>
      </c>
      <c r="L211" s="5">
        <v>26</v>
      </c>
      <c r="M211" s="5">
        <v>3</v>
      </c>
      <c r="N211" s="5" t="s">
        <v>3</v>
      </c>
      <c r="O211" s="5">
        <v>2</v>
      </c>
      <c r="P211" s="5">
        <f>ROUND(Source!DQ184,O211)</f>
        <v>0</v>
      </c>
      <c r="Q211" s="5"/>
      <c r="R211" s="5"/>
      <c r="S211" s="5"/>
      <c r="T211" s="5"/>
      <c r="U211" s="5"/>
      <c r="V211" s="5"/>
      <c r="W211" s="5">
        <v>0</v>
      </c>
      <c r="X211" s="5">
        <v>1</v>
      </c>
      <c r="Y211" s="5">
        <v>0</v>
      </c>
      <c r="Z211" s="5">
        <v>0</v>
      </c>
      <c r="AA211" s="5">
        <v>1</v>
      </c>
      <c r="AB211" s="5">
        <v>0</v>
      </c>
    </row>
    <row r="212" spans="1:206" x14ac:dyDescent="0.2">
      <c r="A212" s="5">
        <v>50</v>
      </c>
      <c r="B212" s="5">
        <v>0</v>
      </c>
      <c r="C212" s="5">
        <v>0</v>
      </c>
      <c r="D212" s="5">
        <v>1</v>
      </c>
      <c r="E212" s="5">
        <v>224</v>
      </c>
      <c r="F212" s="5">
        <f>ROUND(Source!AR184,O212)</f>
        <v>4868.34</v>
      </c>
      <c r="G212" s="5" t="s">
        <v>93</v>
      </c>
      <c r="H212" s="5" t="s">
        <v>94</v>
      </c>
      <c r="I212" s="5"/>
      <c r="J212" s="5"/>
      <c r="K212" s="5">
        <v>224</v>
      </c>
      <c r="L212" s="5">
        <v>27</v>
      </c>
      <c r="M212" s="5">
        <v>3</v>
      </c>
      <c r="N212" s="5" t="s">
        <v>3</v>
      </c>
      <c r="O212" s="5">
        <v>2</v>
      </c>
      <c r="P212" s="5">
        <f>ROUND(Source!EJ184,O212)</f>
        <v>71217.259999999995</v>
      </c>
      <c r="Q212" s="5"/>
      <c r="R212" s="5"/>
      <c r="S212" s="5"/>
      <c r="T212" s="5"/>
      <c r="U212" s="5"/>
      <c r="V212" s="5"/>
      <c r="W212" s="5">
        <v>4868.34</v>
      </c>
      <c r="X212" s="5">
        <v>1</v>
      </c>
      <c r="Y212" s="5">
        <v>4868.34</v>
      </c>
      <c r="Z212" s="5">
        <v>71217.259999999995</v>
      </c>
      <c r="AA212" s="5">
        <v>1</v>
      </c>
      <c r="AB212" s="5">
        <v>71217.259999999995</v>
      </c>
    </row>
    <row r="214" spans="1:206" x14ac:dyDescent="0.2">
      <c r="A214" s="3">
        <v>51</v>
      </c>
      <c r="B214" s="3">
        <f>B12</f>
        <v>249</v>
      </c>
      <c r="C214" s="3">
        <f>A12</f>
        <v>1</v>
      </c>
      <c r="D214" s="3">
        <f>ROW(A12)</f>
        <v>12</v>
      </c>
      <c r="E214" s="3"/>
      <c r="F214" s="3" t="str">
        <f>IF(F12&lt;&gt;"",F12,"")</f>
        <v>09-01-04 Транспортировка_(2 этап)</v>
      </c>
      <c r="G214" s="3" t="str">
        <f>IF(G12&lt;&gt;"",G12,"")</f>
        <v>09-01-04 Транспортировка</v>
      </c>
      <c r="H214" s="3">
        <v>0</v>
      </c>
      <c r="I214" s="3"/>
      <c r="J214" s="3"/>
      <c r="K214" s="3"/>
      <c r="L214" s="3"/>
      <c r="M214" s="3"/>
      <c r="N214" s="3"/>
      <c r="O214" s="3">
        <f t="shared" ref="O214:T214" si="106">ROUND(O184,2)</f>
        <v>4868.34</v>
      </c>
      <c r="P214" s="3">
        <f t="shared" si="106"/>
        <v>0</v>
      </c>
      <c r="Q214" s="3">
        <f t="shared" si="106"/>
        <v>4868.34</v>
      </c>
      <c r="R214" s="3">
        <f t="shared" si="106"/>
        <v>0</v>
      </c>
      <c r="S214" s="3">
        <f t="shared" si="106"/>
        <v>0</v>
      </c>
      <c r="T214" s="3">
        <f t="shared" si="106"/>
        <v>0</v>
      </c>
      <c r="U214" s="3">
        <f>U184</f>
        <v>0</v>
      </c>
      <c r="V214" s="3">
        <f>V184</f>
        <v>0</v>
      </c>
      <c r="W214" s="3">
        <f>ROUND(W184,2)</f>
        <v>0</v>
      </c>
      <c r="X214" s="3">
        <f>ROUND(X184,2)</f>
        <v>0</v>
      </c>
      <c r="Y214" s="3">
        <f>ROUND(Y184,2)</f>
        <v>0</v>
      </c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>
        <f t="shared" ref="AO214:BD214" si="107">ROUND(AO184,2)</f>
        <v>0</v>
      </c>
      <c r="AP214" s="3">
        <f t="shared" si="107"/>
        <v>0</v>
      </c>
      <c r="AQ214" s="3">
        <f t="shared" si="107"/>
        <v>0</v>
      </c>
      <c r="AR214" s="3">
        <f t="shared" si="107"/>
        <v>4868.34</v>
      </c>
      <c r="AS214" s="3">
        <f t="shared" si="107"/>
        <v>0</v>
      </c>
      <c r="AT214" s="3">
        <f t="shared" si="107"/>
        <v>0</v>
      </c>
      <c r="AU214" s="3">
        <f t="shared" si="107"/>
        <v>4868.34</v>
      </c>
      <c r="AV214" s="3">
        <f t="shared" si="107"/>
        <v>0</v>
      </c>
      <c r="AW214" s="3">
        <f t="shared" si="107"/>
        <v>0</v>
      </c>
      <c r="AX214" s="3">
        <f t="shared" si="107"/>
        <v>0</v>
      </c>
      <c r="AY214" s="3">
        <f t="shared" si="107"/>
        <v>0</v>
      </c>
      <c r="AZ214" s="3">
        <f t="shared" si="107"/>
        <v>0</v>
      </c>
      <c r="BA214" s="3">
        <f t="shared" si="107"/>
        <v>0</v>
      </c>
      <c r="BB214" s="3">
        <f t="shared" si="107"/>
        <v>0</v>
      </c>
      <c r="BC214" s="3">
        <f t="shared" si="107"/>
        <v>0</v>
      </c>
      <c r="BD214" s="3">
        <f t="shared" si="107"/>
        <v>0</v>
      </c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4">
        <f t="shared" ref="DG214:DL214" si="108">ROUND(DG184,2)</f>
        <v>71217.259999999995</v>
      </c>
      <c r="DH214" s="4">
        <f t="shared" si="108"/>
        <v>0</v>
      </c>
      <c r="DI214" s="4">
        <f t="shared" si="108"/>
        <v>71217.259999999995</v>
      </c>
      <c r="DJ214" s="4">
        <f t="shared" si="108"/>
        <v>0</v>
      </c>
      <c r="DK214" s="4">
        <f t="shared" si="108"/>
        <v>0</v>
      </c>
      <c r="DL214" s="4">
        <f t="shared" si="108"/>
        <v>0</v>
      </c>
      <c r="DM214" s="4">
        <f>DM184</f>
        <v>0</v>
      </c>
      <c r="DN214" s="4">
        <f>DN184</f>
        <v>0</v>
      </c>
      <c r="DO214" s="4">
        <f>ROUND(DO184,2)</f>
        <v>0</v>
      </c>
      <c r="DP214" s="4">
        <f>ROUND(DP184,2)</f>
        <v>0</v>
      </c>
      <c r="DQ214" s="4">
        <f>ROUND(DQ184,2)</f>
        <v>0</v>
      </c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>
        <f t="shared" ref="EG214:EV214" si="109">ROUND(EG184,2)</f>
        <v>0</v>
      </c>
      <c r="EH214" s="4">
        <f t="shared" si="109"/>
        <v>0</v>
      </c>
      <c r="EI214" s="4">
        <f t="shared" si="109"/>
        <v>0</v>
      </c>
      <c r="EJ214" s="4">
        <f t="shared" si="109"/>
        <v>71217.259999999995</v>
      </c>
      <c r="EK214" s="4">
        <f t="shared" si="109"/>
        <v>0</v>
      </c>
      <c r="EL214" s="4">
        <f t="shared" si="109"/>
        <v>0</v>
      </c>
      <c r="EM214" s="4">
        <f t="shared" si="109"/>
        <v>71217.259999999995</v>
      </c>
      <c r="EN214" s="4">
        <f t="shared" si="109"/>
        <v>0</v>
      </c>
      <c r="EO214" s="4">
        <f t="shared" si="109"/>
        <v>0</v>
      </c>
      <c r="EP214" s="4">
        <f t="shared" si="109"/>
        <v>0</v>
      </c>
      <c r="EQ214" s="4">
        <f t="shared" si="109"/>
        <v>0</v>
      </c>
      <c r="ER214" s="4">
        <f t="shared" si="109"/>
        <v>0</v>
      </c>
      <c r="ES214" s="4">
        <f t="shared" si="109"/>
        <v>0</v>
      </c>
      <c r="ET214" s="4">
        <f t="shared" si="109"/>
        <v>0</v>
      </c>
      <c r="EU214" s="4">
        <f t="shared" si="109"/>
        <v>0</v>
      </c>
      <c r="EV214" s="4">
        <f t="shared" si="109"/>
        <v>0</v>
      </c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>
        <v>0</v>
      </c>
    </row>
    <row r="216" spans="1:206" x14ac:dyDescent="0.2">
      <c r="A216" s="5">
        <v>50</v>
      </c>
      <c r="B216" s="5">
        <v>0</v>
      </c>
      <c r="C216" s="5">
        <v>0</v>
      </c>
      <c r="D216" s="5">
        <v>1</v>
      </c>
      <c r="E216" s="5">
        <v>201</v>
      </c>
      <c r="F216" s="5">
        <f>ROUND(Source!O214,O216)</f>
        <v>4868.34</v>
      </c>
      <c r="G216" s="5" t="s">
        <v>41</v>
      </c>
      <c r="H216" s="5" t="s">
        <v>42</v>
      </c>
      <c r="I216" s="5"/>
      <c r="J216" s="5"/>
      <c r="K216" s="5">
        <v>201</v>
      </c>
      <c r="L216" s="5">
        <v>1</v>
      </c>
      <c r="M216" s="5">
        <v>3</v>
      </c>
      <c r="N216" s="5" t="s">
        <v>3</v>
      </c>
      <c r="O216" s="5">
        <v>2</v>
      </c>
      <c r="P216" s="5">
        <f>ROUND(Source!DG214,O216)</f>
        <v>71217.259999999995</v>
      </c>
      <c r="Q216" s="5"/>
      <c r="R216" s="5"/>
      <c r="S216" s="5"/>
      <c r="T216" s="5"/>
      <c r="U216" s="5"/>
      <c r="V216" s="5"/>
      <c r="W216" s="5">
        <v>4868.34</v>
      </c>
      <c r="X216" s="5">
        <v>1</v>
      </c>
      <c r="Y216" s="5">
        <v>4868.34</v>
      </c>
      <c r="Z216" s="5">
        <v>71217.259999999995</v>
      </c>
      <c r="AA216" s="5">
        <v>1</v>
      </c>
      <c r="AB216" s="5">
        <v>71217.259999999995</v>
      </c>
    </row>
    <row r="217" spans="1:206" x14ac:dyDescent="0.2">
      <c r="A217" s="5">
        <v>50</v>
      </c>
      <c r="B217" s="5">
        <v>0</v>
      </c>
      <c r="C217" s="5">
        <v>0</v>
      </c>
      <c r="D217" s="5">
        <v>1</v>
      </c>
      <c r="E217" s="5">
        <v>202</v>
      </c>
      <c r="F217" s="5">
        <f>ROUND(Source!P214,O217)</f>
        <v>0</v>
      </c>
      <c r="G217" s="5" t="s">
        <v>43</v>
      </c>
      <c r="H217" s="5" t="s">
        <v>44</v>
      </c>
      <c r="I217" s="5"/>
      <c r="J217" s="5"/>
      <c r="K217" s="5">
        <v>202</v>
      </c>
      <c r="L217" s="5">
        <v>2</v>
      </c>
      <c r="M217" s="5">
        <v>3</v>
      </c>
      <c r="N217" s="5" t="s">
        <v>3</v>
      </c>
      <c r="O217" s="5">
        <v>2</v>
      </c>
      <c r="P217" s="5">
        <f>ROUND(Source!DH214,O217)</f>
        <v>0</v>
      </c>
      <c r="Q217" s="5"/>
      <c r="R217" s="5"/>
      <c r="S217" s="5"/>
      <c r="T217" s="5"/>
      <c r="U217" s="5"/>
      <c r="V217" s="5"/>
      <c r="W217" s="5">
        <v>0</v>
      </c>
      <c r="X217" s="5">
        <v>1</v>
      </c>
      <c r="Y217" s="5">
        <v>0</v>
      </c>
      <c r="Z217" s="5">
        <v>0</v>
      </c>
      <c r="AA217" s="5">
        <v>1</v>
      </c>
      <c r="AB217" s="5">
        <v>0</v>
      </c>
    </row>
    <row r="218" spans="1:206" x14ac:dyDescent="0.2">
      <c r="A218" s="5">
        <v>50</v>
      </c>
      <c r="B218" s="5">
        <v>0</v>
      </c>
      <c r="C218" s="5">
        <v>0</v>
      </c>
      <c r="D218" s="5">
        <v>1</v>
      </c>
      <c r="E218" s="5">
        <v>222</v>
      </c>
      <c r="F218" s="5">
        <f>ROUND(Source!AO214,O218)</f>
        <v>0</v>
      </c>
      <c r="G218" s="5" t="s">
        <v>45</v>
      </c>
      <c r="H218" s="5" t="s">
        <v>46</v>
      </c>
      <c r="I218" s="5"/>
      <c r="J218" s="5"/>
      <c r="K218" s="5">
        <v>222</v>
      </c>
      <c r="L218" s="5">
        <v>3</v>
      </c>
      <c r="M218" s="5">
        <v>3</v>
      </c>
      <c r="N218" s="5" t="s">
        <v>3</v>
      </c>
      <c r="O218" s="5">
        <v>2</v>
      </c>
      <c r="P218" s="5">
        <f>ROUND(Source!EG214,O218)</f>
        <v>0</v>
      </c>
      <c r="Q218" s="5"/>
      <c r="R218" s="5"/>
      <c r="S218" s="5"/>
      <c r="T218" s="5"/>
      <c r="U218" s="5"/>
      <c r="V218" s="5"/>
      <c r="W218" s="5">
        <v>0</v>
      </c>
      <c r="X218" s="5">
        <v>1</v>
      </c>
      <c r="Y218" s="5">
        <v>0</v>
      </c>
      <c r="Z218" s="5">
        <v>0</v>
      </c>
      <c r="AA218" s="5">
        <v>1</v>
      </c>
      <c r="AB218" s="5">
        <v>0</v>
      </c>
    </row>
    <row r="219" spans="1:206" x14ac:dyDescent="0.2">
      <c r="A219" s="5">
        <v>50</v>
      </c>
      <c r="B219" s="5">
        <v>0</v>
      </c>
      <c r="C219" s="5">
        <v>0</v>
      </c>
      <c r="D219" s="5">
        <v>1</v>
      </c>
      <c r="E219" s="5">
        <v>225</v>
      </c>
      <c r="F219" s="5">
        <f>ROUND(Source!AV214,O219)</f>
        <v>0</v>
      </c>
      <c r="G219" s="5" t="s">
        <v>47</v>
      </c>
      <c r="H219" s="5" t="s">
        <v>48</v>
      </c>
      <c r="I219" s="5"/>
      <c r="J219" s="5"/>
      <c r="K219" s="5">
        <v>225</v>
      </c>
      <c r="L219" s="5">
        <v>4</v>
      </c>
      <c r="M219" s="5">
        <v>3</v>
      </c>
      <c r="N219" s="5" t="s">
        <v>3</v>
      </c>
      <c r="O219" s="5">
        <v>2</v>
      </c>
      <c r="P219" s="5">
        <f>ROUND(Source!EN214,O219)</f>
        <v>0</v>
      </c>
      <c r="Q219" s="5"/>
      <c r="R219" s="5"/>
      <c r="S219" s="5"/>
      <c r="T219" s="5"/>
      <c r="U219" s="5"/>
      <c r="V219" s="5"/>
      <c r="W219" s="5">
        <v>0</v>
      </c>
      <c r="X219" s="5">
        <v>1</v>
      </c>
      <c r="Y219" s="5">
        <v>0</v>
      </c>
      <c r="Z219" s="5">
        <v>0</v>
      </c>
      <c r="AA219" s="5">
        <v>1</v>
      </c>
      <c r="AB219" s="5">
        <v>0</v>
      </c>
    </row>
    <row r="220" spans="1:206" x14ac:dyDescent="0.2">
      <c r="A220" s="5">
        <v>50</v>
      </c>
      <c r="B220" s="5">
        <v>0</v>
      </c>
      <c r="C220" s="5">
        <v>0</v>
      </c>
      <c r="D220" s="5">
        <v>1</v>
      </c>
      <c r="E220" s="5">
        <v>226</v>
      </c>
      <c r="F220" s="5">
        <f>ROUND(Source!AW214,O220)</f>
        <v>0</v>
      </c>
      <c r="G220" s="5" t="s">
        <v>49</v>
      </c>
      <c r="H220" s="5" t="s">
        <v>50</v>
      </c>
      <c r="I220" s="5"/>
      <c r="J220" s="5"/>
      <c r="K220" s="5">
        <v>226</v>
      </c>
      <c r="L220" s="5">
        <v>5</v>
      </c>
      <c r="M220" s="5">
        <v>3</v>
      </c>
      <c r="N220" s="5" t="s">
        <v>3</v>
      </c>
      <c r="O220" s="5">
        <v>2</v>
      </c>
      <c r="P220" s="5">
        <f>ROUND(Source!EO214,O220)</f>
        <v>0</v>
      </c>
      <c r="Q220" s="5"/>
      <c r="R220" s="5"/>
      <c r="S220" s="5"/>
      <c r="T220" s="5"/>
      <c r="U220" s="5"/>
      <c r="V220" s="5"/>
      <c r="W220" s="5">
        <v>0</v>
      </c>
      <c r="X220" s="5">
        <v>1</v>
      </c>
      <c r="Y220" s="5">
        <v>0</v>
      </c>
      <c r="Z220" s="5">
        <v>0</v>
      </c>
      <c r="AA220" s="5">
        <v>1</v>
      </c>
      <c r="AB220" s="5">
        <v>0</v>
      </c>
    </row>
    <row r="221" spans="1:206" x14ac:dyDescent="0.2">
      <c r="A221" s="5">
        <v>50</v>
      </c>
      <c r="B221" s="5">
        <v>0</v>
      </c>
      <c r="C221" s="5">
        <v>0</v>
      </c>
      <c r="D221" s="5">
        <v>1</v>
      </c>
      <c r="E221" s="5">
        <v>227</v>
      </c>
      <c r="F221" s="5">
        <f>ROUND(Source!AX214,O221)</f>
        <v>0</v>
      </c>
      <c r="G221" s="5" t="s">
        <v>51</v>
      </c>
      <c r="H221" s="5" t="s">
        <v>52</v>
      </c>
      <c r="I221" s="5"/>
      <c r="J221" s="5"/>
      <c r="K221" s="5">
        <v>227</v>
      </c>
      <c r="L221" s="5">
        <v>6</v>
      </c>
      <c r="M221" s="5">
        <v>3</v>
      </c>
      <c r="N221" s="5" t="s">
        <v>3</v>
      </c>
      <c r="O221" s="5">
        <v>2</v>
      </c>
      <c r="P221" s="5">
        <f>ROUND(Source!EP214,O221)</f>
        <v>0</v>
      </c>
      <c r="Q221" s="5"/>
      <c r="R221" s="5"/>
      <c r="S221" s="5"/>
      <c r="T221" s="5"/>
      <c r="U221" s="5"/>
      <c r="V221" s="5"/>
      <c r="W221" s="5">
        <v>0</v>
      </c>
      <c r="X221" s="5">
        <v>1</v>
      </c>
      <c r="Y221" s="5">
        <v>0</v>
      </c>
      <c r="Z221" s="5">
        <v>0</v>
      </c>
      <c r="AA221" s="5">
        <v>1</v>
      </c>
      <c r="AB221" s="5">
        <v>0</v>
      </c>
    </row>
    <row r="222" spans="1:206" x14ac:dyDescent="0.2">
      <c r="A222" s="5">
        <v>50</v>
      </c>
      <c r="B222" s="5">
        <v>0</v>
      </c>
      <c r="C222" s="5">
        <v>0</v>
      </c>
      <c r="D222" s="5">
        <v>1</v>
      </c>
      <c r="E222" s="5">
        <v>228</v>
      </c>
      <c r="F222" s="5">
        <f>ROUND(Source!AY214,O222)</f>
        <v>0</v>
      </c>
      <c r="G222" s="5" t="s">
        <v>53</v>
      </c>
      <c r="H222" s="5" t="s">
        <v>54</v>
      </c>
      <c r="I222" s="5"/>
      <c r="J222" s="5"/>
      <c r="K222" s="5">
        <v>228</v>
      </c>
      <c r="L222" s="5">
        <v>7</v>
      </c>
      <c r="M222" s="5">
        <v>3</v>
      </c>
      <c r="N222" s="5" t="s">
        <v>3</v>
      </c>
      <c r="O222" s="5">
        <v>2</v>
      </c>
      <c r="P222" s="5">
        <f>ROUND(Source!EQ214,O222)</f>
        <v>0</v>
      </c>
      <c r="Q222" s="5"/>
      <c r="R222" s="5"/>
      <c r="S222" s="5"/>
      <c r="T222" s="5"/>
      <c r="U222" s="5"/>
      <c r="V222" s="5"/>
      <c r="W222" s="5">
        <v>0</v>
      </c>
      <c r="X222" s="5">
        <v>1</v>
      </c>
      <c r="Y222" s="5">
        <v>0</v>
      </c>
      <c r="Z222" s="5">
        <v>0</v>
      </c>
      <c r="AA222" s="5">
        <v>1</v>
      </c>
      <c r="AB222" s="5">
        <v>0</v>
      </c>
    </row>
    <row r="223" spans="1:206" x14ac:dyDescent="0.2">
      <c r="A223" s="5">
        <v>50</v>
      </c>
      <c r="B223" s="5">
        <v>0</v>
      </c>
      <c r="C223" s="5">
        <v>0</v>
      </c>
      <c r="D223" s="5">
        <v>1</v>
      </c>
      <c r="E223" s="5">
        <v>216</v>
      </c>
      <c r="F223" s="5">
        <f>ROUND(Source!AP214,O223)</f>
        <v>0</v>
      </c>
      <c r="G223" s="5" t="s">
        <v>55</v>
      </c>
      <c r="H223" s="5" t="s">
        <v>56</v>
      </c>
      <c r="I223" s="5"/>
      <c r="J223" s="5"/>
      <c r="K223" s="5">
        <v>216</v>
      </c>
      <c r="L223" s="5">
        <v>8</v>
      </c>
      <c r="M223" s="5">
        <v>3</v>
      </c>
      <c r="N223" s="5" t="s">
        <v>3</v>
      </c>
      <c r="O223" s="5">
        <v>2</v>
      </c>
      <c r="P223" s="5">
        <f>ROUND(Source!EH214,O223)</f>
        <v>0</v>
      </c>
      <c r="Q223" s="5"/>
      <c r="R223" s="5"/>
      <c r="S223" s="5"/>
      <c r="T223" s="5"/>
      <c r="U223" s="5"/>
      <c r="V223" s="5"/>
      <c r="W223" s="5">
        <v>0</v>
      </c>
      <c r="X223" s="5">
        <v>1</v>
      </c>
      <c r="Y223" s="5">
        <v>0</v>
      </c>
      <c r="Z223" s="5">
        <v>0</v>
      </c>
      <c r="AA223" s="5">
        <v>1</v>
      </c>
      <c r="AB223" s="5">
        <v>0</v>
      </c>
    </row>
    <row r="224" spans="1:206" x14ac:dyDescent="0.2">
      <c r="A224" s="5">
        <v>50</v>
      </c>
      <c r="B224" s="5">
        <v>0</v>
      </c>
      <c r="C224" s="5">
        <v>0</v>
      </c>
      <c r="D224" s="5">
        <v>1</v>
      </c>
      <c r="E224" s="5">
        <v>223</v>
      </c>
      <c r="F224" s="5">
        <f>ROUND(Source!AQ214,O224)</f>
        <v>0</v>
      </c>
      <c r="G224" s="5" t="s">
        <v>57</v>
      </c>
      <c r="H224" s="5" t="s">
        <v>58</v>
      </c>
      <c r="I224" s="5"/>
      <c r="J224" s="5"/>
      <c r="K224" s="5">
        <v>223</v>
      </c>
      <c r="L224" s="5">
        <v>9</v>
      </c>
      <c r="M224" s="5">
        <v>3</v>
      </c>
      <c r="N224" s="5" t="s">
        <v>3</v>
      </c>
      <c r="O224" s="5">
        <v>2</v>
      </c>
      <c r="P224" s="5">
        <f>ROUND(Source!EI214,O224)</f>
        <v>0</v>
      </c>
      <c r="Q224" s="5"/>
      <c r="R224" s="5"/>
      <c r="S224" s="5"/>
      <c r="T224" s="5"/>
      <c r="U224" s="5"/>
      <c r="V224" s="5"/>
      <c r="W224" s="5">
        <v>0</v>
      </c>
      <c r="X224" s="5">
        <v>1</v>
      </c>
      <c r="Y224" s="5">
        <v>0</v>
      </c>
      <c r="Z224" s="5">
        <v>0</v>
      </c>
      <c r="AA224" s="5">
        <v>1</v>
      </c>
      <c r="AB224" s="5">
        <v>0</v>
      </c>
    </row>
    <row r="225" spans="1:28" x14ac:dyDescent="0.2">
      <c r="A225" s="5">
        <v>50</v>
      </c>
      <c r="B225" s="5">
        <v>0</v>
      </c>
      <c r="C225" s="5">
        <v>0</v>
      </c>
      <c r="D225" s="5">
        <v>1</v>
      </c>
      <c r="E225" s="5">
        <v>229</v>
      </c>
      <c r="F225" s="5">
        <f>ROUND(Source!AZ214,O225)</f>
        <v>0</v>
      </c>
      <c r="G225" s="5" t="s">
        <v>59</v>
      </c>
      <c r="H225" s="5" t="s">
        <v>60</v>
      </c>
      <c r="I225" s="5"/>
      <c r="J225" s="5"/>
      <c r="K225" s="5">
        <v>229</v>
      </c>
      <c r="L225" s="5">
        <v>10</v>
      </c>
      <c r="M225" s="5">
        <v>3</v>
      </c>
      <c r="N225" s="5" t="s">
        <v>3</v>
      </c>
      <c r="O225" s="5">
        <v>2</v>
      </c>
      <c r="P225" s="5">
        <f>ROUND(Source!ER214,O225)</f>
        <v>0</v>
      </c>
      <c r="Q225" s="5"/>
      <c r="R225" s="5"/>
      <c r="S225" s="5"/>
      <c r="T225" s="5"/>
      <c r="U225" s="5"/>
      <c r="V225" s="5"/>
      <c r="W225" s="5">
        <v>0</v>
      </c>
      <c r="X225" s="5">
        <v>1</v>
      </c>
      <c r="Y225" s="5">
        <v>0</v>
      </c>
      <c r="Z225" s="5">
        <v>0</v>
      </c>
      <c r="AA225" s="5">
        <v>1</v>
      </c>
      <c r="AB225" s="5">
        <v>0</v>
      </c>
    </row>
    <row r="226" spans="1:28" x14ac:dyDescent="0.2">
      <c r="A226" s="5">
        <v>50</v>
      </c>
      <c r="B226" s="5">
        <v>0</v>
      </c>
      <c r="C226" s="5">
        <v>0</v>
      </c>
      <c r="D226" s="5">
        <v>1</v>
      </c>
      <c r="E226" s="5">
        <v>203</v>
      </c>
      <c r="F226" s="5">
        <f>ROUND(Source!Q214,O226)</f>
        <v>4868.34</v>
      </c>
      <c r="G226" s="5" t="s">
        <v>61</v>
      </c>
      <c r="H226" s="5" t="s">
        <v>62</v>
      </c>
      <c r="I226" s="5"/>
      <c r="J226" s="5"/>
      <c r="K226" s="5">
        <v>203</v>
      </c>
      <c r="L226" s="5">
        <v>11</v>
      </c>
      <c r="M226" s="5">
        <v>3</v>
      </c>
      <c r="N226" s="5" t="s">
        <v>3</v>
      </c>
      <c r="O226" s="5">
        <v>2</v>
      </c>
      <c r="P226" s="5">
        <f>ROUND(Source!DI214,O226)</f>
        <v>71217.259999999995</v>
      </c>
      <c r="Q226" s="5"/>
      <c r="R226" s="5"/>
      <c r="S226" s="5"/>
      <c r="T226" s="5"/>
      <c r="U226" s="5"/>
      <c r="V226" s="5"/>
      <c r="W226" s="5">
        <v>4868.34</v>
      </c>
      <c r="X226" s="5">
        <v>1</v>
      </c>
      <c r="Y226" s="5">
        <v>4868.34</v>
      </c>
      <c r="Z226" s="5">
        <v>71217.259999999995</v>
      </c>
      <c r="AA226" s="5">
        <v>1</v>
      </c>
      <c r="AB226" s="5">
        <v>71217.259999999995</v>
      </c>
    </row>
    <row r="227" spans="1:28" x14ac:dyDescent="0.2">
      <c r="A227" s="5">
        <v>50</v>
      </c>
      <c r="B227" s="5">
        <v>0</v>
      </c>
      <c r="C227" s="5">
        <v>0</v>
      </c>
      <c r="D227" s="5">
        <v>1</v>
      </c>
      <c r="E227" s="5">
        <v>231</v>
      </c>
      <c r="F227" s="5">
        <f>ROUND(Source!BB214,O227)</f>
        <v>0</v>
      </c>
      <c r="G227" s="5" t="s">
        <v>63</v>
      </c>
      <c r="H227" s="5" t="s">
        <v>64</v>
      </c>
      <c r="I227" s="5"/>
      <c r="J227" s="5"/>
      <c r="K227" s="5">
        <v>231</v>
      </c>
      <c r="L227" s="5">
        <v>12</v>
      </c>
      <c r="M227" s="5">
        <v>3</v>
      </c>
      <c r="N227" s="5" t="s">
        <v>3</v>
      </c>
      <c r="O227" s="5">
        <v>2</v>
      </c>
      <c r="P227" s="5">
        <f>ROUND(Source!ET214,O227)</f>
        <v>0</v>
      </c>
      <c r="Q227" s="5"/>
      <c r="R227" s="5"/>
      <c r="S227" s="5"/>
      <c r="T227" s="5"/>
      <c r="U227" s="5"/>
      <c r="V227" s="5"/>
      <c r="W227" s="5">
        <v>0</v>
      </c>
      <c r="X227" s="5">
        <v>1</v>
      </c>
      <c r="Y227" s="5">
        <v>0</v>
      </c>
      <c r="Z227" s="5">
        <v>0</v>
      </c>
      <c r="AA227" s="5">
        <v>1</v>
      </c>
      <c r="AB227" s="5">
        <v>0</v>
      </c>
    </row>
    <row r="228" spans="1:28" x14ac:dyDescent="0.2">
      <c r="A228" s="5">
        <v>50</v>
      </c>
      <c r="B228" s="5">
        <v>0</v>
      </c>
      <c r="C228" s="5">
        <v>0</v>
      </c>
      <c r="D228" s="5">
        <v>1</v>
      </c>
      <c r="E228" s="5">
        <v>204</v>
      </c>
      <c r="F228" s="5">
        <f>ROUND(Source!R214,O228)</f>
        <v>0</v>
      </c>
      <c r="G228" s="5" t="s">
        <v>65</v>
      </c>
      <c r="H228" s="5" t="s">
        <v>66</v>
      </c>
      <c r="I228" s="5"/>
      <c r="J228" s="5"/>
      <c r="K228" s="5">
        <v>204</v>
      </c>
      <c r="L228" s="5">
        <v>13</v>
      </c>
      <c r="M228" s="5">
        <v>3</v>
      </c>
      <c r="N228" s="5" t="s">
        <v>3</v>
      </c>
      <c r="O228" s="5">
        <v>2</v>
      </c>
      <c r="P228" s="5">
        <f>ROUND(Source!DJ214,O228)</f>
        <v>0</v>
      </c>
      <c r="Q228" s="5"/>
      <c r="R228" s="5"/>
      <c r="S228" s="5"/>
      <c r="T228" s="5"/>
      <c r="U228" s="5"/>
      <c r="V228" s="5"/>
      <c r="W228" s="5">
        <v>0</v>
      </c>
      <c r="X228" s="5">
        <v>1</v>
      </c>
      <c r="Y228" s="5">
        <v>0</v>
      </c>
      <c r="Z228" s="5">
        <v>0</v>
      </c>
      <c r="AA228" s="5">
        <v>1</v>
      </c>
      <c r="AB228" s="5">
        <v>0</v>
      </c>
    </row>
    <row r="229" spans="1:28" x14ac:dyDescent="0.2">
      <c r="A229" s="5">
        <v>50</v>
      </c>
      <c r="B229" s="5">
        <v>0</v>
      </c>
      <c r="C229" s="5">
        <v>0</v>
      </c>
      <c r="D229" s="5">
        <v>1</v>
      </c>
      <c r="E229" s="5">
        <v>205</v>
      </c>
      <c r="F229" s="5">
        <f>ROUND(Source!S214,O229)</f>
        <v>0</v>
      </c>
      <c r="G229" s="5" t="s">
        <v>67</v>
      </c>
      <c r="H229" s="5" t="s">
        <v>68</v>
      </c>
      <c r="I229" s="5"/>
      <c r="J229" s="5"/>
      <c r="K229" s="5">
        <v>205</v>
      </c>
      <c r="L229" s="5">
        <v>14</v>
      </c>
      <c r="M229" s="5">
        <v>3</v>
      </c>
      <c r="N229" s="5" t="s">
        <v>3</v>
      </c>
      <c r="O229" s="5">
        <v>2</v>
      </c>
      <c r="P229" s="5">
        <f>ROUND(Source!DK214,O229)</f>
        <v>0</v>
      </c>
      <c r="Q229" s="5"/>
      <c r="R229" s="5"/>
      <c r="S229" s="5"/>
      <c r="T229" s="5"/>
      <c r="U229" s="5"/>
      <c r="V229" s="5"/>
      <c r="W229" s="5">
        <v>0</v>
      </c>
      <c r="X229" s="5">
        <v>1</v>
      </c>
      <c r="Y229" s="5">
        <v>0</v>
      </c>
      <c r="Z229" s="5">
        <v>0</v>
      </c>
      <c r="AA229" s="5">
        <v>1</v>
      </c>
      <c r="AB229" s="5">
        <v>0</v>
      </c>
    </row>
    <row r="230" spans="1:28" x14ac:dyDescent="0.2">
      <c r="A230" s="5">
        <v>50</v>
      </c>
      <c r="B230" s="5">
        <v>0</v>
      </c>
      <c r="C230" s="5">
        <v>0</v>
      </c>
      <c r="D230" s="5">
        <v>1</v>
      </c>
      <c r="E230" s="5">
        <v>232</v>
      </c>
      <c r="F230" s="5">
        <f>ROUND(Source!BC214,O230)</f>
        <v>0</v>
      </c>
      <c r="G230" s="5" t="s">
        <v>69</v>
      </c>
      <c r="H230" s="5" t="s">
        <v>70</v>
      </c>
      <c r="I230" s="5"/>
      <c r="J230" s="5"/>
      <c r="K230" s="5">
        <v>232</v>
      </c>
      <c r="L230" s="5">
        <v>15</v>
      </c>
      <c r="M230" s="5">
        <v>3</v>
      </c>
      <c r="N230" s="5" t="s">
        <v>3</v>
      </c>
      <c r="O230" s="5">
        <v>2</v>
      </c>
      <c r="P230" s="5">
        <f>ROUND(Source!EU214,O230)</f>
        <v>0</v>
      </c>
      <c r="Q230" s="5"/>
      <c r="R230" s="5"/>
      <c r="S230" s="5"/>
      <c r="T230" s="5"/>
      <c r="U230" s="5"/>
      <c r="V230" s="5"/>
      <c r="W230" s="5">
        <v>0</v>
      </c>
      <c r="X230" s="5">
        <v>1</v>
      </c>
      <c r="Y230" s="5">
        <v>0</v>
      </c>
      <c r="Z230" s="5">
        <v>0</v>
      </c>
      <c r="AA230" s="5">
        <v>1</v>
      </c>
      <c r="AB230" s="5">
        <v>0</v>
      </c>
    </row>
    <row r="231" spans="1:28" x14ac:dyDescent="0.2">
      <c r="A231" s="5">
        <v>50</v>
      </c>
      <c r="B231" s="5">
        <v>0</v>
      </c>
      <c r="C231" s="5">
        <v>0</v>
      </c>
      <c r="D231" s="5">
        <v>1</v>
      </c>
      <c r="E231" s="5">
        <v>214</v>
      </c>
      <c r="F231" s="5">
        <f>ROUND(Source!AS214,O231)</f>
        <v>0</v>
      </c>
      <c r="G231" s="5" t="s">
        <v>71</v>
      </c>
      <c r="H231" s="5" t="s">
        <v>72</v>
      </c>
      <c r="I231" s="5"/>
      <c r="J231" s="5"/>
      <c r="K231" s="5">
        <v>214</v>
      </c>
      <c r="L231" s="5">
        <v>16</v>
      </c>
      <c r="M231" s="5">
        <v>3</v>
      </c>
      <c r="N231" s="5" t="s">
        <v>3</v>
      </c>
      <c r="O231" s="5">
        <v>2</v>
      </c>
      <c r="P231" s="5">
        <f>ROUND(Source!EK214,O231)</f>
        <v>0</v>
      </c>
      <c r="Q231" s="5"/>
      <c r="R231" s="5"/>
      <c r="S231" s="5"/>
      <c r="T231" s="5"/>
      <c r="U231" s="5"/>
      <c r="V231" s="5"/>
      <c r="W231" s="5">
        <v>0</v>
      </c>
      <c r="X231" s="5">
        <v>1</v>
      </c>
      <c r="Y231" s="5">
        <v>0</v>
      </c>
      <c r="Z231" s="5">
        <v>0</v>
      </c>
      <c r="AA231" s="5">
        <v>1</v>
      </c>
      <c r="AB231" s="5">
        <v>0</v>
      </c>
    </row>
    <row r="232" spans="1:28" x14ac:dyDescent="0.2">
      <c r="A232" s="5">
        <v>50</v>
      </c>
      <c r="B232" s="5">
        <v>0</v>
      </c>
      <c r="C232" s="5">
        <v>0</v>
      </c>
      <c r="D232" s="5">
        <v>1</v>
      </c>
      <c r="E232" s="5">
        <v>215</v>
      </c>
      <c r="F232" s="5">
        <f>ROUND(Source!AT214,O232)</f>
        <v>0</v>
      </c>
      <c r="G232" s="5" t="s">
        <v>73</v>
      </c>
      <c r="H232" s="5" t="s">
        <v>74</v>
      </c>
      <c r="I232" s="5"/>
      <c r="J232" s="5"/>
      <c r="K232" s="5">
        <v>215</v>
      </c>
      <c r="L232" s="5">
        <v>17</v>
      </c>
      <c r="M232" s="5">
        <v>3</v>
      </c>
      <c r="N232" s="5" t="s">
        <v>3</v>
      </c>
      <c r="O232" s="5">
        <v>2</v>
      </c>
      <c r="P232" s="5">
        <f>ROUND(Source!EL214,O232)</f>
        <v>0</v>
      </c>
      <c r="Q232" s="5"/>
      <c r="R232" s="5"/>
      <c r="S232" s="5"/>
      <c r="T232" s="5"/>
      <c r="U232" s="5"/>
      <c r="V232" s="5"/>
      <c r="W232" s="5">
        <v>0</v>
      </c>
      <c r="X232" s="5">
        <v>1</v>
      </c>
      <c r="Y232" s="5">
        <v>0</v>
      </c>
      <c r="Z232" s="5">
        <v>0</v>
      </c>
      <c r="AA232" s="5">
        <v>1</v>
      </c>
      <c r="AB232" s="5">
        <v>0</v>
      </c>
    </row>
    <row r="233" spans="1:28" x14ac:dyDescent="0.2">
      <c r="A233" s="5">
        <v>50</v>
      </c>
      <c r="B233" s="5">
        <v>0</v>
      </c>
      <c r="C233" s="5">
        <v>0</v>
      </c>
      <c r="D233" s="5">
        <v>1</v>
      </c>
      <c r="E233" s="5">
        <v>217</v>
      </c>
      <c r="F233" s="5">
        <f>ROUND(Source!AU214,O233)</f>
        <v>4868.34</v>
      </c>
      <c r="G233" s="5" t="s">
        <v>75</v>
      </c>
      <c r="H233" s="5" t="s">
        <v>76</v>
      </c>
      <c r="I233" s="5"/>
      <c r="J233" s="5"/>
      <c r="K233" s="5">
        <v>217</v>
      </c>
      <c r="L233" s="5">
        <v>18</v>
      </c>
      <c r="M233" s="5">
        <v>3</v>
      </c>
      <c r="N233" s="5" t="s">
        <v>3</v>
      </c>
      <c r="O233" s="5">
        <v>2</v>
      </c>
      <c r="P233" s="5">
        <f>ROUND(Source!EM214,O233)</f>
        <v>71217.259999999995</v>
      </c>
      <c r="Q233" s="5"/>
      <c r="R233" s="5"/>
      <c r="S233" s="5"/>
      <c r="T233" s="5"/>
      <c r="U233" s="5"/>
      <c r="V233" s="5"/>
      <c r="W233" s="5">
        <v>4868.34</v>
      </c>
      <c r="X233" s="5">
        <v>1</v>
      </c>
      <c r="Y233" s="5">
        <v>4868.34</v>
      </c>
      <c r="Z233" s="5">
        <v>71217.259999999995</v>
      </c>
      <c r="AA233" s="5">
        <v>1</v>
      </c>
      <c r="AB233" s="5">
        <v>71217.259999999995</v>
      </c>
    </row>
    <row r="234" spans="1:28" x14ac:dyDescent="0.2">
      <c r="A234" s="5">
        <v>50</v>
      </c>
      <c r="B234" s="5">
        <v>0</v>
      </c>
      <c r="C234" s="5">
        <v>0</v>
      </c>
      <c r="D234" s="5">
        <v>1</v>
      </c>
      <c r="E234" s="5">
        <v>230</v>
      </c>
      <c r="F234" s="5">
        <f>ROUND(Source!BA214,O234)</f>
        <v>0</v>
      </c>
      <c r="G234" s="5" t="s">
        <v>77</v>
      </c>
      <c r="H234" s="5" t="s">
        <v>78</v>
      </c>
      <c r="I234" s="5"/>
      <c r="J234" s="5"/>
      <c r="K234" s="5">
        <v>230</v>
      </c>
      <c r="L234" s="5">
        <v>19</v>
      </c>
      <c r="M234" s="5">
        <v>3</v>
      </c>
      <c r="N234" s="5" t="s">
        <v>3</v>
      </c>
      <c r="O234" s="5">
        <v>2</v>
      </c>
      <c r="P234" s="5">
        <f>ROUND(Source!ES214,O234)</f>
        <v>0</v>
      </c>
      <c r="Q234" s="5"/>
      <c r="R234" s="5"/>
      <c r="S234" s="5"/>
      <c r="T234" s="5"/>
      <c r="U234" s="5"/>
      <c r="V234" s="5"/>
      <c r="W234" s="5">
        <v>0</v>
      </c>
      <c r="X234" s="5">
        <v>1</v>
      </c>
      <c r="Y234" s="5">
        <v>0</v>
      </c>
      <c r="Z234" s="5">
        <v>0</v>
      </c>
      <c r="AA234" s="5">
        <v>1</v>
      </c>
      <c r="AB234" s="5">
        <v>0</v>
      </c>
    </row>
    <row r="235" spans="1:28" x14ac:dyDescent="0.2">
      <c r="A235" s="5">
        <v>50</v>
      </c>
      <c r="B235" s="5">
        <v>0</v>
      </c>
      <c r="C235" s="5">
        <v>0</v>
      </c>
      <c r="D235" s="5">
        <v>1</v>
      </c>
      <c r="E235" s="5">
        <v>206</v>
      </c>
      <c r="F235" s="5">
        <f>ROUND(Source!T214,O235)</f>
        <v>0</v>
      </c>
      <c r="G235" s="5" t="s">
        <v>79</v>
      </c>
      <c r="H235" s="5" t="s">
        <v>80</v>
      </c>
      <c r="I235" s="5"/>
      <c r="J235" s="5"/>
      <c r="K235" s="5">
        <v>206</v>
      </c>
      <c r="L235" s="5">
        <v>20</v>
      </c>
      <c r="M235" s="5">
        <v>3</v>
      </c>
      <c r="N235" s="5" t="s">
        <v>3</v>
      </c>
      <c r="O235" s="5">
        <v>2</v>
      </c>
      <c r="P235" s="5">
        <f>ROUND(Source!DL214,O235)</f>
        <v>0</v>
      </c>
      <c r="Q235" s="5"/>
      <c r="R235" s="5"/>
      <c r="S235" s="5"/>
      <c r="T235" s="5"/>
      <c r="U235" s="5"/>
      <c r="V235" s="5"/>
      <c r="W235" s="5">
        <v>0</v>
      </c>
      <c r="X235" s="5">
        <v>1</v>
      </c>
      <c r="Y235" s="5">
        <v>0</v>
      </c>
      <c r="Z235" s="5">
        <v>0</v>
      </c>
      <c r="AA235" s="5">
        <v>1</v>
      </c>
      <c r="AB235" s="5">
        <v>0</v>
      </c>
    </row>
    <row r="236" spans="1:28" x14ac:dyDescent="0.2">
      <c r="A236" s="5">
        <v>50</v>
      </c>
      <c r="B236" s="5">
        <v>0</v>
      </c>
      <c r="C236" s="5">
        <v>0</v>
      </c>
      <c r="D236" s="5">
        <v>1</v>
      </c>
      <c r="E236" s="5">
        <v>207</v>
      </c>
      <c r="F236" s="5">
        <f>Source!U214</f>
        <v>0</v>
      </c>
      <c r="G236" s="5" t="s">
        <v>81</v>
      </c>
      <c r="H236" s="5" t="s">
        <v>82</v>
      </c>
      <c r="I236" s="5"/>
      <c r="J236" s="5"/>
      <c r="K236" s="5">
        <v>207</v>
      </c>
      <c r="L236" s="5">
        <v>21</v>
      </c>
      <c r="M236" s="5">
        <v>3</v>
      </c>
      <c r="N236" s="5" t="s">
        <v>3</v>
      </c>
      <c r="O236" s="5">
        <v>-1</v>
      </c>
      <c r="P236" s="5">
        <f>Source!DM214</f>
        <v>0</v>
      </c>
      <c r="Q236" s="5"/>
      <c r="R236" s="5"/>
      <c r="S236" s="5"/>
      <c r="T236" s="5"/>
      <c r="U236" s="5"/>
      <c r="V236" s="5"/>
      <c r="W236" s="5">
        <v>0</v>
      </c>
      <c r="X236" s="5">
        <v>1</v>
      </c>
      <c r="Y236" s="5">
        <v>0</v>
      </c>
      <c r="Z236" s="5">
        <v>0</v>
      </c>
      <c r="AA236" s="5">
        <v>1</v>
      </c>
      <c r="AB236" s="5">
        <v>0</v>
      </c>
    </row>
    <row r="237" spans="1:28" x14ac:dyDescent="0.2">
      <c r="A237" s="5">
        <v>50</v>
      </c>
      <c r="B237" s="5">
        <v>0</v>
      </c>
      <c r="C237" s="5">
        <v>0</v>
      </c>
      <c r="D237" s="5">
        <v>1</v>
      </c>
      <c r="E237" s="5">
        <v>208</v>
      </c>
      <c r="F237" s="5">
        <f>Source!V214</f>
        <v>0</v>
      </c>
      <c r="G237" s="5" t="s">
        <v>83</v>
      </c>
      <c r="H237" s="5" t="s">
        <v>84</v>
      </c>
      <c r="I237" s="5"/>
      <c r="J237" s="5"/>
      <c r="K237" s="5">
        <v>208</v>
      </c>
      <c r="L237" s="5">
        <v>22</v>
      </c>
      <c r="M237" s="5">
        <v>3</v>
      </c>
      <c r="N237" s="5" t="s">
        <v>3</v>
      </c>
      <c r="O237" s="5">
        <v>-1</v>
      </c>
      <c r="P237" s="5">
        <f>Source!DN214</f>
        <v>0</v>
      </c>
      <c r="Q237" s="5"/>
      <c r="R237" s="5"/>
      <c r="S237" s="5"/>
      <c r="T237" s="5"/>
      <c r="U237" s="5"/>
      <c r="V237" s="5"/>
      <c r="W237" s="5">
        <v>0</v>
      </c>
      <c r="X237" s="5">
        <v>1</v>
      </c>
      <c r="Y237" s="5">
        <v>0</v>
      </c>
      <c r="Z237" s="5">
        <v>0</v>
      </c>
      <c r="AA237" s="5">
        <v>1</v>
      </c>
      <c r="AB237" s="5">
        <v>0</v>
      </c>
    </row>
    <row r="238" spans="1:28" x14ac:dyDescent="0.2">
      <c r="A238" s="5">
        <v>50</v>
      </c>
      <c r="B238" s="5">
        <v>0</v>
      </c>
      <c r="C238" s="5">
        <v>0</v>
      </c>
      <c r="D238" s="5">
        <v>1</v>
      </c>
      <c r="E238" s="5">
        <v>209</v>
      </c>
      <c r="F238" s="5">
        <f>ROUND(Source!W214,O238)</f>
        <v>0</v>
      </c>
      <c r="G238" s="5" t="s">
        <v>85</v>
      </c>
      <c r="H238" s="5" t="s">
        <v>86</v>
      </c>
      <c r="I238" s="5"/>
      <c r="J238" s="5"/>
      <c r="K238" s="5">
        <v>209</v>
      </c>
      <c r="L238" s="5">
        <v>23</v>
      </c>
      <c r="M238" s="5">
        <v>3</v>
      </c>
      <c r="N238" s="5" t="s">
        <v>3</v>
      </c>
      <c r="O238" s="5">
        <v>2</v>
      </c>
      <c r="P238" s="5">
        <f>ROUND(Source!DO214,O238)</f>
        <v>0</v>
      </c>
      <c r="Q238" s="5"/>
      <c r="R238" s="5"/>
      <c r="S238" s="5"/>
      <c r="T238" s="5"/>
      <c r="U238" s="5"/>
      <c r="V238" s="5"/>
      <c r="W238" s="5">
        <v>0</v>
      </c>
      <c r="X238" s="5">
        <v>1</v>
      </c>
      <c r="Y238" s="5">
        <v>0</v>
      </c>
      <c r="Z238" s="5">
        <v>0</v>
      </c>
      <c r="AA238" s="5">
        <v>1</v>
      </c>
      <c r="AB238" s="5">
        <v>0</v>
      </c>
    </row>
    <row r="239" spans="1:28" x14ac:dyDescent="0.2">
      <c r="A239" s="5">
        <v>50</v>
      </c>
      <c r="B239" s="5">
        <v>0</v>
      </c>
      <c r="C239" s="5">
        <v>0</v>
      </c>
      <c r="D239" s="5">
        <v>1</v>
      </c>
      <c r="E239" s="5">
        <v>233</v>
      </c>
      <c r="F239" s="5">
        <f>ROUND(Source!BD214,O239)</f>
        <v>0</v>
      </c>
      <c r="G239" s="5" t="s">
        <v>87</v>
      </c>
      <c r="H239" s="5" t="s">
        <v>88</v>
      </c>
      <c r="I239" s="5"/>
      <c r="J239" s="5"/>
      <c r="K239" s="5">
        <v>233</v>
      </c>
      <c r="L239" s="5">
        <v>24</v>
      </c>
      <c r="M239" s="5">
        <v>3</v>
      </c>
      <c r="N239" s="5" t="s">
        <v>3</v>
      </c>
      <c r="O239" s="5">
        <v>2</v>
      </c>
      <c r="P239" s="5">
        <f>ROUND(Source!EV214,O239)</f>
        <v>0</v>
      </c>
      <c r="Q239" s="5"/>
      <c r="R239" s="5"/>
      <c r="S239" s="5"/>
      <c r="T239" s="5"/>
      <c r="U239" s="5"/>
      <c r="V239" s="5"/>
      <c r="W239" s="5">
        <v>0</v>
      </c>
      <c r="X239" s="5">
        <v>1</v>
      </c>
      <c r="Y239" s="5">
        <v>0</v>
      </c>
      <c r="Z239" s="5">
        <v>0</v>
      </c>
      <c r="AA239" s="5">
        <v>1</v>
      </c>
      <c r="AB239" s="5">
        <v>0</v>
      </c>
    </row>
    <row r="240" spans="1:28" x14ac:dyDescent="0.2">
      <c r="A240" s="5">
        <v>50</v>
      </c>
      <c r="B240" s="5">
        <v>0</v>
      </c>
      <c r="C240" s="5">
        <v>0</v>
      </c>
      <c r="D240" s="5">
        <v>1</v>
      </c>
      <c r="E240" s="5">
        <v>210</v>
      </c>
      <c r="F240" s="5">
        <f>ROUND(Source!X214,O240)</f>
        <v>0</v>
      </c>
      <c r="G240" s="5" t="s">
        <v>89</v>
      </c>
      <c r="H240" s="5" t="s">
        <v>90</v>
      </c>
      <c r="I240" s="5"/>
      <c r="J240" s="5"/>
      <c r="K240" s="5">
        <v>210</v>
      </c>
      <c r="L240" s="5">
        <v>25</v>
      </c>
      <c r="M240" s="5">
        <v>3</v>
      </c>
      <c r="N240" s="5" t="s">
        <v>3</v>
      </c>
      <c r="O240" s="5">
        <v>2</v>
      </c>
      <c r="P240" s="5">
        <f>ROUND(Source!DP214,O240)</f>
        <v>0</v>
      </c>
      <c r="Q240" s="5"/>
      <c r="R240" s="5"/>
      <c r="S240" s="5"/>
      <c r="T240" s="5"/>
      <c r="U240" s="5"/>
      <c r="V240" s="5"/>
      <c r="W240" s="5">
        <v>0</v>
      </c>
      <c r="X240" s="5">
        <v>1</v>
      </c>
      <c r="Y240" s="5">
        <v>0</v>
      </c>
      <c r="Z240" s="5">
        <v>0</v>
      </c>
      <c r="AA240" s="5">
        <v>1</v>
      </c>
      <c r="AB240" s="5">
        <v>0</v>
      </c>
    </row>
    <row r="241" spans="1:50" x14ac:dyDescent="0.2">
      <c r="A241" s="5">
        <v>50</v>
      </c>
      <c r="B241" s="5">
        <v>0</v>
      </c>
      <c r="C241" s="5">
        <v>0</v>
      </c>
      <c r="D241" s="5">
        <v>1</v>
      </c>
      <c r="E241" s="5">
        <v>211</v>
      </c>
      <c r="F241" s="5">
        <f>ROUND(Source!Y214,O241)</f>
        <v>0</v>
      </c>
      <c r="G241" s="5" t="s">
        <v>91</v>
      </c>
      <c r="H241" s="5" t="s">
        <v>92</v>
      </c>
      <c r="I241" s="5"/>
      <c r="J241" s="5"/>
      <c r="K241" s="5">
        <v>211</v>
      </c>
      <c r="L241" s="5">
        <v>26</v>
      </c>
      <c r="M241" s="5">
        <v>3</v>
      </c>
      <c r="N241" s="5" t="s">
        <v>3</v>
      </c>
      <c r="O241" s="5">
        <v>2</v>
      </c>
      <c r="P241" s="5">
        <f>ROUND(Source!DQ214,O241)</f>
        <v>0</v>
      </c>
      <c r="Q241" s="5"/>
      <c r="R241" s="5"/>
      <c r="S241" s="5"/>
      <c r="T241" s="5"/>
      <c r="U241" s="5"/>
      <c r="V241" s="5"/>
      <c r="W241" s="5">
        <v>0</v>
      </c>
      <c r="X241" s="5">
        <v>1</v>
      </c>
      <c r="Y241" s="5">
        <v>0</v>
      </c>
      <c r="Z241" s="5">
        <v>0</v>
      </c>
      <c r="AA241" s="5">
        <v>1</v>
      </c>
      <c r="AB241" s="5">
        <v>0</v>
      </c>
    </row>
    <row r="242" spans="1:50" x14ac:dyDescent="0.2">
      <c r="A242" s="5">
        <v>50</v>
      </c>
      <c r="B242" s="5">
        <v>0</v>
      </c>
      <c r="C242" s="5">
        <v>0</v>
      </c>
      <c r="D242" s="5">
        <v>1</v>
      </c>
      <c r="E242" s="5">
        <v>224</v>
      </c>
      <c r="F242" s="5">
        <f>ROUND(Source!AR214,O242)</f>
        <v>4868.34</v>
      </c>
      <c r="G242" s="5" t="s">
        <v>93</v>
      </c>
      <c r="H242" s="5" t="s">
        <v>94</v>
      </c>
      <c r="I242" s="5"/>
      <c r="J242" s="5"/>
      <c r="K242" s="5">
        <v>224</v>
      </c>
      <c r="L242" s="5">
        <v>27</v>
      </c>
      <c r="M242" s="5">
        <v>3</v>
      </c>
      <c r="N242" s="5" t="s">
        <v>3</v>
      </c>
      <c r="O242" s="5">
        <v>2</v>
      </c>
      <c r="P242" s="5">
        <f>ROUND(Source!EJ214,O242)</f>
        <v>71217.259999999995</v>
      </c>
      <c r="Q242" s="5"/>
      <c r="R242" s="5"/>
      <c r="S242" s="5"/>
      <c r="T242" s="5"/>
      <c r="U242" s="5"/>
      <c r="V242" s="5"/>
      <c r="W242" s="5">
        <v>4868.34</v>
      </c>
      <c r="X242" s="5">
        <v>1</v>
      </c>
      <c r="Y242" s="5">
        <v>4868.34</v>
      </c>
      <c r="Z242" s="5">
        <v>71217.259999999995</v>
      </c>
      <c r="AA242" s="5">
        <v>1</v>
      </c>
      <c r="AB242" s="5">
        <v>71217.259999999995</v>
      </c>
    </row>
    <row r="245" spans="1:50" x14ac:dyDescent="0.2">
      <c r="A245">
        <v>70</v>
      </c>
      <c r="B245">
        <v>1</v>
      </c>
      <c r="D245">
        <v>1</v>
      </c>
      <c r="E245" t="s">
        <v>115</v>
      </c>
      <c r="F245" t="s">
        <v>116</v>
      </c>
      <c r="G245">
        <v>0</v>
      </c>
      <c r="H245">
        <v>0</v>
      </c>
      <c r="I245" t="s">
        <v>3</v>
      </c>
      <c r="J245">
        <v>0</v>
      </c>
      <c r="K245">
        <v>0</v>
      </c>
      <c r="L245" t="s">
        <v>3</v>
      </c>
      <c r="M245" t="s">
        <v>3</v>
      </c>
      <c r="N245">
        <v>0</v>
      </c>
      <c r="O245">
        <v>0</v>
      </c>
      <c r="P245" t="s">
        <v>3</v>
      </c>
    </row>
    <row r="247" spans="1:50" x14ac:dyDescent="0.2">
      <c r="A247">
        <v>-1</v>
      </c>
    </row>
    <row r="249" spans="1:50" x14ac:dyDescent="0.2">
      <c r="A249" s="4">
        <v>75</v>
      </c>
      <c r="B249" s="4" t="s">
        <v>117</v>
      </c>
      <c r="C249" s="4">
        <v>2000</v>
      </c>
      <c r="D249" s="4">
        <v>0</v>
      </c>
      <c r="E249" s="4">
        <v>1</v>
      </c>
      <c r="F249" s="4"/>
      <c r="G249" s="4">
        <v>0</v>
      </c>
      <c r="H249" s="4">
        <v>1</v>
      </c>
      <c r="I249" s="4">
        <v>0</v>
      </c>
      <c r="J249" s="4">
        <v>1</v>
      </c>
      <c r="K249" s="4">
        <v>98</v>
      </c>
      <c r="L249" s="4">
        <v>77</v>
      </c>
      <c r="M249" s="4">
        <v>0</v>
      </c>
      <c r="N249" s="4">
        <v>57734472</v>
      </c>
      <c r="O249" s="4">
        <v>1</v>
      </c>
    </row>
    <row r="250" spans="1:50" x14ac:dyDescent="0.2">
      <c r="A250" s="4">
        <v>75</v>
      </c>
      <c r="B250" s="4" t="s">
        <v>118</v>
      </c>
      <c r="C250" s="4">
        <v>2024</v>
      </c>
      <c r="D250" s="4">
        <v>0</v>
      </c>
      <c r="E250" s="4">
        <v>4</v>
      </c>
      <c r="F250" s="4"/>
      <c r="G250" s="4">
        <v>0</v>
      </c>
      <c r="H250" s="4">
        <v>2</v>
      </c>
      <c r="I250" s="4">
        <v>1</v>
      </c>
      <c r="J250" s="4">
        <v>1</v>
      </c>
      <c r="K250" s="4">
        <v>95</v>
      </c>
      <c r="L250" s="4">
        <v>65</v>
      </c>
      <c r="M250" s="4">
        <v>1</v>
      </c>
      <c r="N250" s="4">
        <v>57734470</v>
      </c>
      <c r="O250" s="4">
        <v>2</v>
      </c>
    </row>
    <row r="251" spans="1:50" x14ac:dyDescent="0.2">
      <c r="A251" s="6">
        <v>1</v>
      </c>
      <c r="B251" s="6" t="s">
        <v>119</v>
      </c>
      <c r="C251" s="6" t="s">
        <v>120</v>
      </c>
      <c r="D251" s="6">
        <v>2024</v>
      </c>
      <c r="E251" s="6">
        <v>7</v>
      </c>
      <c r="F251" s="6">
        <v>1</v>
      </c>
      <c r="G251" s="6">
        <v>1</v>
      </c>
      <c r="H251" s="6">
        <v>0</v>
      </c>
      <c r="I251" s="6">
        <v>2</v>
      </c>
      <c r="J251" s="6">
        <v>1</v>
      </c>
      <c r="K251" s="6">
        <v>1</v>
      </c>
      <c r="L251" s="6">
        <v>1</v>
      </c>
      <c r="M251" s="6">
        <v>1</v>
      </c>
      <c r="N251" s="6">
        <v>1</v>
      </c>
      <c r="O251" s="6">
        <v>1</v>
      </c>
      <c r="P251" s="6">
        <v>1</v>
      </c>
      <c r="Q251" s="6">
        <v>1</v>
      </c>
      <c r="R251" s="6" t="s">
        <v>3</v>
      </c>
      <c r="S251" s="6" t="s">
        <v>3</v>
      </c>
      <c r="T251" s="6" t="s">
        <v>3</v>
      </c>
      <c r="U251" s="6" t="s">
        <v>3</v>
      </c>
      <c r="V251" s="6" t="s">
        <v>3</v>
      </c>
      <c r="W251" s="6" t="s">
        <v>3</v>
      </c>
      <c r="X251" s="6" t="s">
        <v>3</v>
      </c>
      <c r="Y251" s="6" t="s">
        <v>3</v>
      </c>
      <c r="Z251" s="6" t="s">
        <v>3</v>
      </c>
      <c r="AA251" s="6" t="s">
        <v>121</v>
      </c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>
        <v>57734471</v>
      </c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5" spans="1:50" x14ac:dyDescent="0.2">
      <c r="A255">
        <v>65</v>
      </c>
      <c r="C255">
        <v>1</v>
      </c>
      <c r="D255">
        <v>0</v>
      </c>
      <c r="E255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35F0-507E-48F1-AB0D-AACB9E6A208D}">
  <dimension ref="A1:EC53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122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1</v>
      </c>
    </row>
    <row r="12" spans="1:133" x14ac:dyDescent="0.2">
      <c r="A12" s="1">
        <v>1</v>
      </c>
      <c r="B12" s="1">
        <v>51</v>
      </c>
      <c r="C12" s="1">
        <v>1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175</v>
      </c>
      <c r="S12" s="1">
        <v>160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57734472</v>
      </c>
      <c r="E14" s="1">
        <v>57734470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13</v>
      </c>
      <c r="D16" s="7" t="s">
        <v>13</v>
      </c>
      <c r="E16" s="8">
        <f>ROUND((Source!F201)/1000,2)</f>
        <v>0</v>
      </c>
      <c r="F16" s="8">
        <f>ROUND((Source!F202)/1000,2)</f>
        <v>0</v>
      </c>
      <c r="G16" s="8">
        <f>ROUND((Source!F193)/1000,2)</f>
        <v>0</v>
      </c>
      <c r="H16" s="8">
        <f>ROUND((Source!F203)/1000+(Source!F204)/1000,2)</f>
        <v>4.87</v>
      </c>
      <c r="I16" s="8">
        <f>E16+F16+G16+H16</f>
        <v>4.87</v>
      </c>
      <c r="J16" s="8">
        <f>ROUND((Source!F199+Source!F198)/1000,2)</f>
        <v>0</v>
      </c>
      <c r="K16" s="8">
        <v>4.87</v>
      </c>
      <c r="L16" s="8">
        <v>0</v>
      </c>
      <c r="M16" s="8">
        <v>0</v>
      </c>
      <c r="N16" s="8">
        <f>I16+L16+M16</f>
        <v>4.87</v>
      </c>
      <c r="T16" s="9">
        <f>ROUND((Source!P201)/1000,2)</f>
        <v>0</v>
      </c>
      <c r="U16" s="9">
        <f>ROUND((Source!P202)/1000,2)</f>
        <v>0</v>
      </c>
      <c r="V16" s="9">
        <f>ROUND((Source!P193)/1000,2)</f>
        <v>0</v>
      </c>
      <c r="W16" s="9">
        <f>ROUND((Source!P203)/1000+(Source!P204)/1000,2)</f>
        <v>71.22</v>
      </c>
      <c r="X16" s="9">
        <f>T16+U16+V16+W16</f>
        <v>71.22</v>
      </c>
      <c r="Y16" s="9">
        <f>ROUND((Source!P199+Source!P198)/1000,2)</f>
        <v>0</v>
      </c>
      <c r="Z16" s="9">
        <v>71.22</v>
      </c>
      <c r="AA16" s="9">
        <v>0</v>
      </c>
      <c r="AB16" s="9">
        <v>0</v>
      </c>
      <c r="AC16" s="9">
        <f>X16+AA16+AB16</f>
        <v>71.22</v>
      </c>
      <c r="AI16" s="7">
        <v>0</v>
      </c>
      <c r="AJ16" s="7">
        <v>0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4868.34</v>
      </c>
      <c r="AU16" s="8">
        <v>0</v>
      </c>
      <c r="AV16" s="8">
        <v>0</v>
      </c>
      <c r="AW16" s="8">
        <v>0</v>
      </c>
      <c r="AX16" s="8">
        <v>0</v>
      </c>
      <c r="AY16" s="8">
        <v>4868.34</v>
      </c>
      <c r="AZ16" s="8">
        <v>0</v>
      </c>
      <c r="BA16" s="8">
        <v>0</v>
      </c>
      <c r="BB16" s="8">
        <v>0</v>
      </c>
      <c r="BC16" s="8">
        <v>0</v>
      </c>
      <c r="BD16" s="8">
        <v>4868.34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4868.34</v>
      </c>
      <c r="BR16" s="9">
        <v>71217.259999999995</v>
      </c>
      <c r="BS16" s="9">
        <v>0</v>
      </c>
      <c r="BT16" s="9">
        <v>0</v>
      </c>
      <c r="BU16" s="9">
        <v>0</v>
      </c>
      <c r="BV16" s="9">
        <v>0</v>
      </c>
      <c r="BW16" s="9">
        <v>71217.259999999995</v>
      </c>
      <c r="BX16" s="9">
        <v>0</v>
      </c>
      <c r="BY16" s="9">
        <v>0</v>
      </c>
      <c r="BZ16" s="9">
        <v>0</v>
      </c>
      <c r="CA16" s="9">
        <v>0</v>
      </c>
      <c r="CB16" s="9">
        <v>71217.259999999995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71217.259999999995</v>
      </c>
    </row>
    <row r="18" spans="1:29" x14ac:dyDescent="0.2">
      <c r="A18">
        <v>51</v>
      </c>
      <c r="E18">
        <v>0</v>
      </c>
      <c r="F18">
        <v>0</v>
      </c>
      <c r="G18">
        <v>0</v>
      </c>
      <c r="H18">
        <v>4.87</v>
      </c>
      <c r="I18">
        <v>4.87</v>
      </c>
      <c r="J18">
        <v>0</v>
      </c>
      <c r="K18">
        <v>4.87</v>
      </c>
      <c r="L18">
        <v>0</v>
      </c>
      <c r="M18">
        <v>0</v>
      </c>
      <c r="N18">
        <v>4.87</v>
      </c>
      <c r="T18">
        <v>0</v>
      </c>
      <c r="U18">
        <v>0</v>
      </c>
      <c r="V18">
        <v>0</v>
      </c>
      <c r="W18">
        <v>71.22</v>
      </c>
      <c r="X18">
        <v>71.22</v>
      </c>
      <c r="Y18">
        <v>0</v>
      </c>
      <c r="Z18">
        <v>71.22</v>
      </c>
      <c r="AA18">
        <v>0</v>
      </c>
      <c r="AB18">
        <v>0</v>
      </c>
      <c r="AC18">
        <v>71.22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4868.34</v>
      </c>
      <c r="G20" s="5" t="s">
        <v>41</v>
      </c>
      <c r="H20" s="5" t="s">
        <v>42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71217.259999999995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0</v>
      </c>
      <c r="G21" s="5" t="s">
        <v>43</v>
      </c>
      <c r="H21" s="5" t="s">
        <v>44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0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45</v>
      </c>
      <c r="H22" s="5" t="s">
        <v>46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0</v>
      </c>
      <c r="G23" s="5" t="s">
        <v>47</v>
      </c>
      <c r="H23" s="5" t="s">
        <v>48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0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0</v>
      </c>
      <c r="G24" s="5" t="s">
        <v>49</v>
      </c>
      <c r="H24" s="5" t="s">
        <v>50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0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51</v>
      </c>
      <c r="H25" s="5" t="s">
        <v>52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0</v>
      </c>
      <c r="G26" s="5" t="s">
        <v>53</v>
      </c>
      <c r="H26" s="5" t="s">
        <v>54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0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0</v>
      </c>
      <c r="G27" s="5" t="s">
        <v>55</v>
      </c>
      <c r="H27" s="5" t="s">
        <v>56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0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57</v>
      </c>
      <c r="H28" s="5" t="s">
        <v>58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0</v>
      </c>
      <c r="G29" s="5" t="s">
        <v>59</v>
      </c>
      <c r="H29" s="5" t="s">
        <v>60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0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4868.34</v>
      </c>
      <c r="G30" s="5" t="s">
        <v>61</v>
      </c>
      <c r="H30" s="5" t="s">
        <v>62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71217.259999999995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63</v>
      </c>
      <c r="H31" s="5" t="s">
        <v>64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0</v>
      </c>
      <c r="G32" s="5" t="s">
        <v>65</v>
      </c>
      <c r="H32" s="5" t="s">
        <v>66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0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0</v>
      </c>
      <c r="G33" s="5" t="s">
        <v>67</v>
      </c>
      <c r="H33" s="5" t="s">
        <v>68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0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69</v>
      </c>
      <c r="H34" s="5" t="s">
        <v>70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71</v>
      </c>
      <c r="H35" s="5" t="s">
        <v>72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0</v>
      </c>
      <c r="G36" s="5" t="s">
        <v>73</v>
      </c>
      <c r="H36" s="5" t="s">
        <v>74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0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4868.34</v>
      </c>
      <c r="G37" s="5" t="s">
        <v>75</v>
      </c>
      <c r="H37" s="5" t="s">
        <v>76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71217.259999999995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77</v>
      </c>
      <c r="H38" s="5" t="s">
        <v>78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79</v>
      </c>
      <c r="H39" s="5" t="s">
        <v>80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0</v>
      </c>
      <c r="G40" s="5" t="s">
        <v>81</v>
      </c>
      <c r="H40" s="5" t="s">
        <v>82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0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83</v>
      </c>
      <c r="H41" s="5" t="s">
        <v>84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85</v>
      </c>
      <c r="H42" s="5" t="s">
        <v>86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87</v>
      </c>
      <c r="H43" s="5" t="s">
        <v>88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0</v>
      </c>
      <c r="G44" s="5" t="s">
        <v>89</v>
      </c>
      <c r="H44" s="5" t="s">
        <v>90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0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0</v>
      </c>
      <c r="G45" s="5" t="s">
        <v>91</v>
      </c>
      <c r="H45" s="5" t="s">
        <v>92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0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4868.34</v>
      </c>
      <c r="G46" s="5" t="s">
        <v>93</v>
      </c>
      <c r="H46" s="5" t="s">
        <v>94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71217.259999999995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117</v>
      </c>
      <c r="C51" s="4">
        <v>2000</v>
      </c>
      <c r="D51" s="4">
        <v>0</v>
      </c>
      <c r="E51" s="4">
        <v>1</v>
      </c>
      <c r="F51" s="4"/>
      <c r="G51" s="4">
        <v>0</v>
      </c>
      <c r="H51" s="4">
        <v>1</v>
      </c>
      <c r="I51" s="4">
        <v>0</v>
      </c>
      <c r="J51" s="4">
        <v>1</v>
      </c>
      <c r="K51" s="4">
        <v>98</v>
      </c>
      <c r="L51" s="4">
        <v>77</v>
      </c>
      <c r="M51" s="4">
        <v>0</v>
      </c>
      <c r="N51" s="4">
        <v>57734472</v>
      </c>
      <c r="O51" s="4">
        <v>1</v>
      </c>
    </row>
    <row r="52" spans="1:50" x14ac:dyDescent="0.2">
      <c r="A52" s="4">
        <v>75</v>
      </c>
      <c r="B52" s="4" t="s">
        <v>118</v>
      </c>
      <c r="C52" s="4">
        <v>2024</v>
      </c>
      <c r="D52" s="4">
        <v>0</v>
      </c>
      <c r="E52" s="4">
        <v>4</v>
      </c>
      <c r="F52" s="4"/>
      <c r="G52" s="4">
        <v>0</v>
      </c>
      <c r="H52" s="4">
        <v>2</v>
      </c>
      <c r="I52" s="4">
        <v>1</v>
      </c>
      <c r="J52" s="4">
        <v>1</v>
      </c>
      <c r="K52" s="4">
        <v>95</v>
      </c>
      <c r="L52" s="4">
        <v>65</v>
      </c>
      <c r="M52" s="4">
        <v>1</v>
      </c>
      <c r="N52" s="4">
        <v>57734470</v>
      </c>
      <c r="O52" s="4">
        <v>2</v>
      </c>
    </row>
    <row r="53" spans="1:50" x14ac:dyDescent="0.2">
      <c r="A53" s="6">
        <v>1</v>
      </c>
      <c r="B53" s="6" t="s">
        <v>119</v>
      </c>
      <c r="C53" s="6" t="s">
        <v>120</v>
      </c>
      <c r="D53" s="6">
        <v>2024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121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57734471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B005-F418-4074-AA2B-8BF7D40F8407}">
  <dimension ref="A1:DO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57734472</v>
      </c>
      <c r="C1">
        <v>57734765</v>
      </c>
      <c r="D1">
        <v>47634960</v>
      </c>
      <c r="E1">
        <v>27786564</v>
      </c>
      <c r="F1">
        <v>1</v>
      </c>
      <c r="G1">
        <v>27786564</v>
      </c>
      <c r="H1">
        <v>2</v>
      </c>
      <c r="I1" t="s">
        <v>123</v>
      </c>
      <c r="J1" t="s">
        <v>3</v>
      </c>
      <c r="K1" t="s">
        <v>124</v>
      </c>
      <c r="L1">
        <v>1344</v>
      </c>
      <c r="N1">
        <v>1008</v>
      </c>
      <c r="O1" t="s">
        <v>125</v>
      </c>
      <c r="P1" t="s">
        <v>125</v>
      </c>
      <c r="Q1">
        <v>1</v>
      </c>
      <c r="W1">
        <v>0</v>
      </c>
      <c r="X1">
        <v>-1180195794</v>
      </c>
      <c r="Y1">
        <f>AT1</f>
        <v>42.72</v>
      </c>
      <c r="AA1">
        <v>0</v>
      </c>
      <c r="AB1">
        <v>1</v>
      </c>
      <c r="AC1">
        <v>0</v>
      </c>
      <c r="AD1">
        <v>0</v>
      </c>
      <c r="AE1">
        <v>0</v>
      </c>
      <c r="AF1">
        <v>1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42.72</v>
      </c>
      <c r="AU1" t="s">
        <v>3</v>
      </c>
      <c r="AV1">
        <v>0</v>
      </c>
      <c r="AW1">
        <v>2</v>
      </c>
      <c r="AX1">
        <v>57734767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V1">
        <v>0</v>
      </c>
      <c r="CW1">
        <f>ROUND(Y1*Source!I28*DO1,9)</f>
        <v>0</v>
      </c>
      <c r="CX1">
        <f>ROUND(Y1*Source!I28,9)</f>
        <v>450.69600000000003</v>
      </c>
      <c r="CY1">
        <f>AB1</f>
        <v>1</v>
      </c>
      <c r="CZ1">
        <f>AF1</f>
        <v>1</v>
      </c>
      <c r="DA1">
        <f>AJ1</f>
        <v>1</v>
      </c>
      <c r="DB1">
        <f>ROUND(ROUND(AT1*CZ1,2),6)</f>
        <v>42.72</v>
      </c>
      <c r="DC1">
        <f>ROUND(ROUND(AT1*AG1,2),6)</f>
        <v>0</v>
      </c>
      <c r="DD1" t="s">
        <v>3</v>
      </c>
      <c r="DE1" t="s">
        <v>3</v>
      </c>
      <c r="DF1">
        <f>ROUND(ROUND(AE1,2)*CX1,2)</f>
        <v>0</v>
      </c>
      <c r="DG1">
        <f>ROUND(ROUND(AF1,2)*CX1,2)</f>
        <v>450.7</v>
      </c>
      <c r="DH1">
        <f>ROUND(ROUND(AG1,2)*CX1,2)</f>
        <v>0</v>
      </c>
      <c r="DI1">
        <f>ROUND(ROUND(AH1,2)*CX1,2)</f>
        <v>0</v>
      </c>
      <c r="DJ1">
        <f>DG1</f>
        <v>450.7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ROW(Source!A29)</f>
        <v>29</v>
      </c>
      <c r="B2">
        <v>57734470</v>
      </c>
      <c r="C2">
        <v>57734765</v>
      </c>
      <c r="D2">
        <v>47634960</v>
      </c>
      <c r="E2">
        <v>27786564</v>
      </c>
      <c r="F2">
        <v>1</v>
      </c>
      <c r="G2">
        <v>27786564</v>
      </c>
      <c r="H2">
        <v>2</v>
      </c>
      <c r="I2" t="s">
        <v>123</v>
      </c>
      <c r="J2" t="s">
        <v>3</v>
      </c>
      <c r="K2" t="s">
        <v>124</v>
      </c>
      <c r="L2">
        <v>1344</v>
      </c>
      <c r="N2">
        <v>1008</v>
      </c>
      <c r="O2" t="s">
        <v>125</v>
      </c>
      <c r="P2" t="s">
        <v>125</v>
      </c>
      <c r="Q2">
        <v>1</v>
      </c>
      <c r="W2">
        <v>0</v>
      </c>
      <c r="X2">
        <v>-1180195794</v>
      </c>
      <c r="Y2">
        <f>AT2</f>
        <v>42.72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42.72</v>
      </c>
      <c r="AU2" t="s">
        <v>3</v>
      </c>
      <c r="AV2">
        <v>0</v>
      </c>
      <c r="AW2">
        <v>2</v>
      </c>
      <c r="AX2">
        <v>57734767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ROUND(Y2*Source!I29*DO2,9)</f>
        <v>0</v>
      </c>
      <c r="CX2">
        <f>ROUND(Y2*Source!I29,9)</f>
        <v>450.69600000000003</v>
      </c>
      <c r="CY2">
        <f>AB2</f>
        <v>1</v>
      </c>
      <c r="CZ2">
        <f>AF2</f>
        <v>1</v>
      </c>
      <c r="DA2">
        <f>AJ2</f>
        <v>1</v>
      </c>
      <c r="DB2">
        <f>ROUND(ROUND(AT2*CZ2,2),6)</f>
        <v>42.72</v>
      </c>
      <c r="DC2">
        <f>ROUND(ROUND(AT2*AG2,2),6)</f>
        <v>0</v>
      </c>
      <c r="DD2" t="s">
        <v>3</v>
      </c>
      <c r="DE2" t="s">
        <v>3</v>
      </c>
      <c r="DF2">
        <f>ROUND(ROUND(AE2,2)*CX2,2)</f>
        <v>0</v>
      </c>
      <c r="DG2">
        <f>ROUND(ROUND(AF2,2)*CX2,2)</f>
        <v>450.7</v>
      </c>
      <c r="DH2">
        <f>ROUND(ROUND(AG2,2)*CX2,2)</f>
        <v>0</v>
      </c>
      <c r="DI2">
        <f>ROUND(ROUND(AH2,2)*CX2,2)</f>
        <v>0</v>
      </c>
      <c r="DJ2">
        <f>DG2</f>
        <v>450.7</v>
      </c>
      <c r="DK2">
        <v>0</v>
      </c>
      <c r="DL2" t="s">
        <v>3</v>
      </c>
      <c r="DM2">
        <v>0</v>
      </c>
      <c r="DN2" t="s">
        <v>3</v>
      </c>
      <c r="DO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755EB-7ED2-4746-A4FA-460D98DE6BFC}">
  <dimension ref="A1:AR2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57734767</v>
      </c>
      <c r="C1">
        <v>57734765</v>
      </c>
      <c r="D1">
        <v>47634960</v>
      </c>
      <c r="E1">
        <v>27786564</v>
      </c>
      <c r="F1">
        <v>1</v>
      </c>
      <c r="G1">
        <v>27786564</v>
      </c>
      <c r="H1">
        <v>2</v>
      </c>
      <c r="I1" t="s">
        <v>123</v>
      </c>
      <c r="J1" t="s">
        <v>3</v>
      </c>
      <c r="K1" t="s">
        <v>124</v>
      </c>
      <c r="L1">
        <v>1344</v>
      </c>
      <c r="N1">
        <v>1008</v>
      </c>
      <c r="O1" t="s">
        <v>125</v>
      </c>
      <c r="P1" t="s">
        <v>125</v>
      </c>
      <c r="Q1">
        <v>1</v>
      </c>
      <c r="X1">
        <v>42.72</v>
      </c>
      <c r="Y1">
        <v>0</v>
      </c>
      <c r="Z1">
        <v>1</v>
      </c>
      <c r="AA1">
        <v>0</v>
      </c>
      <c r="AB1">
        <v>0</v>
      </c>
      <c r="AC1">
        <v>0</v>
      </c>
      <c r="AD1">
        <v>1</v>
      </c>
      <c r="AE1">
        <v>0</v>
      </c>
      <c r="AF1" t="s">
        <v>3</v>
      </c>
      <c r="AG1">
        <v>42.72</v>
      </c>
      <c r="AH1">
        <v>2</v>
      </c>
      <c r="AI1">
        <v>57734766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57734767</v>
      </c>
      <c r="C2">
        <v>57734765</v>
      </c>
      <c r="D2">
        <v>47634960</v>
      </c>
      <c r="E2">
        <v>27786564</v>
      </c>
      <c r="F2">
        <v>1</v>
      </c>
      <c r="G2">
        <v>27786564</v>
      </c>
      <c r="H2">
        <v>2</v>
      </c>
      <c r="I2" t="s">
        <v>123</v>
      </c>
      <c r="J2" t="s">
        <v>3</v>
      </c>
      <c r="K2" t="s">
        <v>124</v>
      </c>
      <c r="L2">
        <v>1344</v>
      </c>
      <c r="N2">
        <v>1008</v>
      </c>
      <c r="O2" t="s">
        <v>125</v>
      </c>
      <c r="P2" t="s">
        <v>125</v>
      </c>
      <c r="Q2">
        <v>1</v>
      </c>
      <c r="X2">
        <v>42.72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3</v>
      </c>
      <c r="AG2">
        <v>42.72</v>
      </c>
      <c r="AH2">
        <v>2</v>
      </c>
      <c r="AI2">
        <v>57734766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ROW(Source!A30)</f>
        <v>30</v>
      </c>
      <c r="B3">
        <v>57734769</v>
      </c>
      <c r="C3">
        <v>57734768</v>
      </c>
      <c r="D3">
        <v>47634960</v>
      </c>
      <c r="E3">
        <v>27786564</v>
      </c>
      <c r="F3">
        <v>1</v>
      </c>
      <c r="G3">
        <v>27786564</v>
      </c>
      <c r="H3">
        <v>2</v>
      </c>
      <c r="I3" t="s">
        <v>123</v>
      </c>
      <c r="J3" t="s">
        <v>3</v>
      </c>
      <c r="K3" t="s">
        <v>124</v>
      </c>
      <c r="L3">
        <v>1344</v>
      </c>
      <c r="N3">
        <v>1008</v>
      </c>
      <c r="O3" t="s">
        <v>125</v>
      </c>
      <c r="P3" t="s">
        <v>125</v>
      </c>
      <c r="Q3">
        <v>1</v>
      </c>
      <c r="X3">
        <v>36.590000000000003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3</v>
      </c>
      <c r="AG3">
        <v>36.590000000000003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ROW(Source!A31)</f>
        <v>31</v>
      </c>
      <c r="B4">
        <v>57734769</v>
      </c>
      <c r="C4">
        <v>57734768</v>
      </c>
      <c r="D4">
        <v>47634960</v>
      </c>
      <c r="E4">
        <v>27786564</v>
      </c>
      <c r="F4">
        <v>1</v>
      </c>
      <c r="G4">
        <v>27786564</v>
      </c>
      <c r="H4">
        <v>2</v>
      </c>
      <c r="I4" t="s">
        <v>123</v>
      </c>
      <c r="J4" t="s">
        <v>3</v>
      </c>
      <c r="K4" t="s">
        <v>124</v>
      </c>
      <c r="L4">
        <v>1344</v>
      </c>
      <c r="N4">
        <v>1008</v>
      </c>
      <c r="O4" t="s">
        <v>125</v>
      </c>
      <c r="P4" t="s">
        <v>125</v>
      </c>
      <c r="Q4">
        <v>1</v>
      </c>
      <c r="X4">
        <v>36.590000000000003</v>
      </c>
      <c r="Y4">
        <v>0</v>
      </c>
      <c r="Z4">
        <v>1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3</v>
      </c>
      <c r="AG4">
        <v>36.590000000000003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ROW(Source!A32)</f>
        <v>32</v>
      </c>
      <c r="B5">
        <v>57734771</v>
      </c>
      <c r="C5">
        <v>57734770</v>
      </c>
      <c r="D5">
        <v>47634960</v>
      </c>
      <c r="E5">
        <v>27786564</v>
      </c>
      <c r="F5">
        <v>1</v>
      </c>
      <c r="G5">
        <v>27786564</v>
      </c>
      <c r="H5">
        <v>2</v>
      </c>
      <c r="I5" t="s">
        <v>123</v>
      </c>
      <c r="J5" t="s">
        <v>3</v>
      </c>
      <c r="K5" t="s">
        <v>124</v>
      </c>
      <c r="L5">
        <v>1344</v>
      </c>
      <c r="N5">
        <v>1008</v>
      </c>
      <c r="O5" t="s">
        <v>125</v>
      </c>
      <c r="P5" t="s">
        <v>125</v>
      </c>
      <c r="Q5">
        <v>1</v>
      </c>
      <c r="X5">
        <v>22.57</v>
      </c>
      <c r="Y5">
        <v>0</v>
      </c>
      <c r="Z5">
        <v>1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3</v>
      </c>
      <c r="AG5">
        <v>22.57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ROW(Source!A33)</f>
        <v>33</v>
      </c>
      <c r="B6">
        <v>57734771</v>
      </c>
      <c r="C6">
        <v>57734770</v>
      </c>
      <c r="D6">
        <v>47634960</v>
      </c>
      <c r="E6">
        <v>27786564</v>
      </c>
      <c r="F6">
        <v>1</v>
      </c>
      <c r="G6">
        <v>27786564</v>
      </c>
      <c r="H6">
        <v>2</v>
      </c>
      <c r="I6" t="s">
        <v>123</v>
      </c>
      <c r="J6" t="s">
        <v>3</v>
      </c>
      <c r="K6" t="s">
        <v>124</v>
      </c>
      <c r="L6">
        <v>1344</v>
      </c>
      <c r="N6">
        <v>1008</v>
      </c>
      <c r="O6" t="s">
        <v>125</v>
      </c>
      <c r="P6" t="s">
        <v>125</v>
      </c>
      <c r="Q6">
        <v>1</v>
      </c>
      <c r="X6">
        <v>22.57</v>
      </c>
      <c r="Y6">
        <v>0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3</v>
      </c>
      <c r="AG6">
        <v>22.57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ROW(Source!A34)</f>
        <v>34</v>
      </c>
      <c r="B7">
        <v>57734773</v>
      </c>
      <c r="C7">
        <v>57734772</v>
      </c>
      <c r="D7">
        <v>47634960</v>
      </c>
      <c r="E7">
        <v>27786564</v>
      </c>
      <c r="F7">
        <v>1</v>
      </c>
      <c r="G7">
        <v>27786564</v>
      </c>
      <c r="H7">
        <v>2</v>
      </c>
      <c r="I7" t="s">
        <v>123</v>
      </c>
      <c r="J7" t="s">
        <v>3</v>
      </c>
      <c r="K7" t="s">
        <v>124</v>
      </c>
      <c r="L7">
        <v>1344</v>
      </c>
      <c r="N7">
        <v>1008</v>
      </c>
      <c r="O7" t="s">
        <v>125</v>
      </c>
      <c r="P7" t="s">
        <v>125</v>
      </c>
      <c r="Q7">
        <v>1</v>
      </c>
      <c r="X7">
        <v>17.84</v>
      </c>
      <c r="Y7">
        <v>0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3</v>
      </c>
      <c r="AG7">
        <v>17.84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ROW(Source!A35)</f>
        <v>35</v>
      </c>
      <c r="B8">
        <v>57734773</v>
      </c>
      <c r="C8">
        <v>57734772</v>
      </c>
      <c r="D8">
        <v>47634960</v>
      </c>
      <c r="E8">
        <v>27786564</v>
      </c>
      <c r="F8">
        <v>1</v>
      </c>
      <c r="G8">
        <v>27786564</v>
      </c>
      <c r="H8">
        <v>2</v>
      </c>
      <c r="I8" t="s">
        <v>123</v>
      </c>
      <c r="J8" t="s">
        <v>3</v>
      </c>
      <c r="K8" t="s">
        <v>124</v>
      </c>
      <c r="L8">
        <v>1344</v>
      </c>
      <c r="N8">
        <v>1008</v>
      </c>
      <c r="O8" t="s">
        <v>125</v>
      </c>
      <c r="P8" t="s">
        <v>125</v>
      </c>
      <c r="Q8">
        <v>1</v>
      </c>
      <c r="X8">
        <v>17.84</v>
      </c>
      <c r="Y8">
        <v>0</v>
      </c>
      <c r="Z8">
        <v>1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3</v>
      </c>
      <c r="AG8">
        <v>17.84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ROW(Source!A36)</f>
        <v>36</v>
      </c>
      <c r="B9">
        <v>57734775</v>
      </c>
      <c r="C9">
        <v>57734774</v>
      </c>
      <c r="D9">
        <v>47634960</v>
      </c>
      <c r="E9">
        <v>27786564</v>
      </c>
      <c r="F9">
        <v>1</v>
      </c>
      <c r="G9">
        <v>27786564</v>
      </c>
      <c r="H9">
        <v>2</v>
      </c>
      <c r="I9" t="s">
        <v>123</v>
      </c>
      <c r="J9" t="s">
        <v>3</v>
      </c>
      <c r="K9" t="s">
        <v>124</v>
      </c>
      <c r="L9">
        <v>1344</v>
      </c>
      <c r="N9">
        <v>1008</v>
      </c>
      <c r="O9" t="s">
        <v>125</v>
      </c>
      <c r="P9" t="s">
        <v>125</v>
      </c>
      <c r="Q9">
        <v>1</v>
      </c>
      <c r="X9">
        <v>21.71</v>
      </c>
      <c r="Y9">
        <v>0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3</v>
      </c>
      <c r="AG9">
        <v>21.71</v>
      </c>
      <c r="AH9">
        <v>3</v>
      </c>
      <c r="AI9">
        <v>-1</v>
      </c>
      <c r="AJ9" t="s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ROW(Source!A37)</f>
        <v>37</v>
      </c>
      <c r="B10">
        <v>57734775</v>
      </c>
      <c r="C10">
        <v>57734774</v>
      </c>
      <c r="D10">
        <v>47634960</v>
      </c>
      <c r="E10">
        <v>27786564</v>
      </c>
      <c r="F10">
        <v>1</v>
      </c>
      <c r="G10">
        <v>27786564</v>
      </c>
      <c r="H10">
        <v>2</v>
      </c>
      <c r="I10" t="s">
        <v>123</v>
      </c>
      <c r="J10" t="s">
        <v>3</v>
      </c>
      <c r="K10" t="s">
        <v>124</v>
      </c>
      <c r="L10">
        <v>1344</v>
      </c>
      <c r="N10">
        <v>1008</v>
      </c>
      <c r="O10" t="s">
        <v>125</v>
      </c>
      <c r="P10" t="s">
        <v>125</v>
      </c>
      <c r="Q10">
        <v>1</v>
      </c>
      <c r="X10">
        <v>21.71</v>
      </c>
      <c r="Y10">
        <v>0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</v>
      </c>
      <c r="AG10">
        <v>21.71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ROW(Source!A73)</f>
        <v>73</v>
      </c>
      <c r="B11">
        <v>57734777</v>
      </c>
      <c r="C11">
        <v>57734776</v>
      </c>
      <c r="D11">
        <v>47634960</v>
      </c>
      <c r="E11">
        <v>27786564</v>
      </c>
      <c r="F11">
        <v>1</v>
      </c>
      <c r="G11">
        <v>27786564</v>
      </c>
      <c r="H11">
        <v>2</v>
      </c>
      <c r="I11" t="s">
        <v>123</v>
      </c>
      <c r="J11" t="s">
        <v>3</v>
      </c>
      <c r="K11" t="s">
        <v>124</v>
      </c>
      <c r="L11">
        <v>1344</v>
      </c>
      <c r="N11">
        <v>1008</v>
      </c>
      <c r="O11" t="s">
        <v>125</v>
      </c>
      <c r="P11" t="s">
        <v>125</v>
      </c>
      <c r="Q11">
        <v>1</v>
      </c>
      <c r="X11">
        <v>45.1</v>
      </c>
      <c r="Y11">
        <v>0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3</v>
      </c>
      <c r="AG11">
        <v>45.1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ROW(Source!A74)</f>
        <v>74</v>
      </c>
      <c r="B12">
        <v>57734777</v>
      </c>
      <c r="C12">
        <v>57734776</v>
      </c>
      <c r="D12">
        <v>47634960</v>
      </c>
      <c r="E12">
        <v>27786564</v>
      </c>
      <c r="F12">
        <v>1</v>
      </c>
      <c r="G12">
        <v>27786564</v>
      </c>
      <c r="H12">
        <v>2</v>
      </c>
      <c r="I12" t="s">
        <v>123</v>
      </c>
      <c r="J12" t="s">
        <v>3</v>
      </c>
      <c r="K12" t="s">
        <v>124</v>
      </c>
      <c r="L12">
        <v>1344</v>
      </c>
      <c r="N12">
        <v>1008</v>
      </c>
      <c r="O12" t="s">
        <v>125</v>
      </c>
      <c r="P12" t="s">
        <v>125</v>
      </c>
      <c r="Q12">
        <v>1</v>
      </c>
      <c r="X12">
        <v>45.1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3</v>
      </c>
      <c r="AG12">
        <v>45.1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ROW(Source!A75)</f>
        <v>75</v>
      </c>
      <c r="B13">
        <v>57734779</v>
      </c>
      <c r="C13">
        <v>57734778</v>
      </c>
      <c r="D13">
        <v>47634960</v>
      </c>
      <c r="E13">
        <v>27786564</v>
      </c>
      <c r="F13">
        <v>1</v>
      </c>
      <c r="G13">
        <v>27786564</v>
      </c>
      <c r="H13">
        <v>2</v>
      </c>
      <c r="I13" t="s">
        <v>123</v>
      </c>
      <c r="J13" t="s">
        <v>3</v>
      </c>
      <c r="K13" t="s">
        <v>124</v>
      </c>
      <c r="L13">
        <v>1344</v>
      </c>
      <c r="N13">
        <v>1008</v>
      </c>
      <c r="O13" t="s">
        <v>125</v>
      </c>
      <c r="P13" t="s">
        <v>125</v>
      </c>
      <c r="Q13">
        <v>1</v>
      </c>
      <c r="X13">
        <v>12.61</v>
      </c>
      <c r="Y13">
        <v>0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3</v>
      </c>
      <c r="AG13">
        <v>12.61</v>
      </c>
      <c r="AH13">
        <v>3</v>
      </c>
      <c r="AI13">
        <v>-1</v>
      </c>
      <c r="AJ13" t="s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ROW(Source!A76)</f>
        <v>76</v>
      </c>
      <c r="B14">
        <v>57734779</v>
      </c>
      <c r="C14">
        <v>57734778</v>
      </c>
      <c r="D14">
        <v>47634960</v>
      </c>
      <c r="E14">
        <v>27786564</v>
      </c>
      <c r="F14">
        <v>1</v>
      </c>
      <c r="G14">
        <v>27786564</v>
      </c>
      <c r="H14">
        <v>2</v>
      </c>
      <c r="I14" t="s">
        <v>123</v>
      </c>
      <c r="J14" t="s">
        <v>3</v>
      </c>
      <c r="K14" t="s">
        <v>124</v>
      </c>
      <c r="L14">
        <v>1344</v>
      </c>
      <c r="N14">
        <v>1008</v>
      </c>
      <c r="O14" t="s">
        <v>125</v>
      </c>
      <c r="P14" t="s">
        <v>125</v>
      </c>
      <c r="Q14">
        <v>1</v>
      </c>
      <c r="X14">
        <v>12.61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3</v>
      </c>
      <c r="AG14">
        <v>12.61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ROW(Source!A112)</f>
        <v>112</v>
      </c>
      <c r="B15">
        <v>57734781</v>
      </c>
      <c r="C15">
        <v>57734780</v>
      </c>
      <c r="D15">
        <v>47634960</v>
      </c>
      <c r="E15">
        <v>27786564</v>
      </c>
      <c r="F15">
        <v>1</v>
      </c>
      <c r="G15">
        <v>27786564</v>
      </c>
      <c r="H15">
        <v>2</v>
      </c>
      <c r="I15" t="s">
        <v>123</v>
      </c>
      <c r="J15" t="s">
        <v>3</v>
      </c>
      <c r="K15" t="s">
        <v>124</v>
      </c>
      <c r="L15">
        <v>1344</v>
      </c>
      <c r="N15">
        <v>1008</v>
      </c>
      <c r="O15" t="s">
        <v>125</v>
      </c>
      <c r="P15" t="s">
        <v>125</v>
      </c>
      <c r="Q15">
        <v>1</v>
      </c>
      <c r="X15">
        <v>45.1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3</v>
      </c>
      <c r="AG15">
        <v>45.1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ROW(Source!A113)</f>
        <v>113</v>
      </c>
      <c r="B16">
        <v>57734781</v>
      </c>
      <c r="C16">
        <v>57734780</v>
      </c>
      <c r="D16">
        <v>47634960</v>
      </c>
      <c r="E16">
        <v>27786564</v>
      </c>
      <c r="F16">
        <v>1</v>
      </c>
      <c r="G16">
        <v>27786564</v>
      </c>
      <c r="H16">
        <v>2</v>
      </c>
      <c r="I16" t="s">
        <v>123</v>
      </c>
      <c r="J16" t="s">
        <v>3</v>
      </c>
      <c r="K16" t="s">
        <v>124</v>
      </c>
      <c r="L16">
        <v>1344</v>
      </c>
      <c r="N16">
        <v>1008</v>
      </c>
      <c r="O16" t="s">
        <v>125</v>
      </c>
      <c r="P16" t="s">
        <v>125</v>
      </c>
      <c r="Q16">
        <v>1</v>
      </c>
      <c r="X16">
        <v>45.1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3</v>
      </c>
      <c r="AG16">
        <v>45.1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ROW(Source!A114)</f>
        <v>114</v>
      </c>
      <c r="B17">
        <v>57734783</v>
      </c>
      <c r="C17">
        <v>57734782</v>
      </c>
      <c r="D17">
        <v>47634960</v>
      </c>
      <c r="E17">
        <v>27786564</v>
      </c>
      <c r="F17">
        <v>1</v>
      </c>
      <c r="G17">
        <v>27786564</v>
      </c>
      <c r="H17">
        <v>2</v>
      </c>
      <c r="I17" t="s">
        <v>123</v>
      </c>
      <c r="J17" t="s">
        <v>3</v>
      </c>
      <c r="K17" t="s">
        <v>124</v>
      </c>
      <c r="L17">
        <v>1344</v>
      </c>
      <c r="N17">
        <v>1008</v>
      </c>
      <c r="O17" t="s">
        <v>125</v>
      </c>
      <c r="P17" t="s">
        <v>125</v>
      </c>
      <c r="Q17">
        <v>1</v>
      </c>
      <c r="X17">
        <v>12.61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</v>
      </c>
      <c r="AG17">
        <v>12.61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ROW(Source!A115)</f>
        <v>115</v>
      </c>
      <c r="B18">
        <v>57734783</v>
      </c>
      <c r="C18">
        <v>57734782</v>
      </c>
      <c r="D18">
        <v>47634960</v>
      </c>
      <c r="E18">
        <v>27786564</v>
      </c>
      <c r="F18">
        <v>1</v>
      </c>
      <c r="G18">
        <v>27786564</v>
      </c>
      <c r="H18">
        <v>2</v>
      </c>
      <c r="I18" t="s">
        <v>123</v>
      </c>
      <c r="J18" t="s">
        <v>3</v>
      </c>
      <c r="K18" t="s">
        <v>124</v>
      </c>
      <c r="L18">
        <v>1344</v>
      </c>
      <c r="N18">
        <v>1008</v>
      </c>
      <c r="O18" t="s">
        <v>125</v>
      </c>
      <c r="P18" t="s">
        <v>125</v>
      </c>
      <c r="Q18">
        <v>1</v>
      </c>
      <c r="X18">
        <v>12.61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</v>
      </c>
      <c r="AG18">
        <v>12.61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ROW(Source!A151)</f>
        <v>151</v>
      </c>
      <c r="B19">
        <v>57734785</v>
      </c>
      <c r="C19">
        <v>57734784</v>
      </c>
      <c r="D19">
        <v>47634960</v>
      </c>
      <c r="E19">
        <v>27786564</v>
      </c>
      <c r="F19">
        <v>1</v>
      </c>
      <c r="G19">
        <v>27786564</v>
      </c>
      <c r="H19">
        <v>2</v>
      </c>
      <c r="I19" t="s">
        <v>123</v>
      </c>
      <c r="J19" t="s">
        <v>3</v>
      </c>
      <c r="K19" t="s">
        <v>124</v>
      </c>
      <c r="L19">
        <v>1344</v>
      </c>
      <c r="N19">
        <v>1008</v>
      </c>
      <c r="O19" t="s">
        <v>125</v>
      </c>
      <c r="P19" t="s">
        <v>125</v>
      </c>
      <c r="Q19">
        <v>1</v>
      </c>
      <c r="X19">
        <v>11.17</v>
      </c>
      <c r="Y19">
        <v>0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</v>
      </c>
      <c r="AG19">
        <v>11.17</v>
      </c>
      <c r="AH19">
        <v>3</v>
      </c>
      <c r="AI19">
        <v>-1</v>
      </c>
      <c r="AJ19" t="s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ROW(Source!A152)</f>
        <v>152</v>
      </c>
      <c r="B20">
        <v>57734785</v>
      </c>
      <c r="C20">
        <v>57734784</v>
      </c>
      <c r="D20">
        <v>47634960</v>
      </c>
      <c r="E20">
        <v>27786564</v>
      </c>
      <c r="F20">
        <v>1</v>
      </c>
      <c r="G20">
        <v>27786564</v>
      </c>
      <c r="H20">
        <v>2</v>
      </c>
      <c r="I20" t="s">
        <v>123</v>
      </c>
      <c r="J20" t="s">
        <v>3</v>
      </c>
      <c r="K20" t="s">
        <v>124</v>
      </c>
      <c r="L20">
        <v>1344</v>
      </c>
      <c r="N20">
        <v>1008</v>
      </c>
      <c r="O20" t="s">
        <v>125</v>
      </c>
      <c r="P20" t="s">
        <v>125</v>
      </c>
      <c r="Q20">
        <v>1</v>
      </c>
      <c r="X20">
        <v>11.17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</v>
      </c>
      <c r="AG20">
        <v>11.17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F705-B4AE-4E96-9825-690A501D4C50}">
  <dimension ref="A1"/>
  <sheetViews>
    <sheetView workbookViewId="0"/>
  </sheetViews>
  <sheetFormatPr defaultColWidth="9.140625" defaultRowHeight="12.75" x14ac:dyDescent="0.2"/>
  <cols>
    <col min="1" max="256" width="9.14062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5EBE-D53F-4887-9FCC-935EF44DB56D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1</v>
      </c>
    </row>
    <row r="12" spans="1:103" x14ac:dyDescent="0.2">
      <c r="F12" t="str">
        <f>Source!F12</f>
        <v>09-01-04 Транспортировка_(2 этап)</v>
      </c>
      <c r="G12" t="str">
        <f>Source!G12</f>
        <v>09-01-04 Транспортировка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доп.43</vt:lpstr>
      <vt:lpstr>Source</vt:lpstr>
      <vt:lpstr>SourceObSm</vt:lpstr>
      <vt:lpstr>SmtRes</vt:lpstr>
      <vt:lpstr>EtalonRes</vt:lpstr>
      <vt:lpstr>SrcPoprs</vt:lpstr>
      <vt:lpstr>SrcKA</vt:lpstr>
      <vt:lpstr>'Смета по ТСН-2001(с доп.43'!Заголовки_для_печати</vt:lpstr>
      <vt:lpstr>'Смета по ТСН-2001(с доп.43'!Область_печати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2025-11-21T06:59:23Z</dcterms:created>
  <dcterms:modified xsi:type="dcterms:W3CDTF">2025-11-21T07:01:58Z</dcterms:modified>
</cp:coreProperties>
</file>