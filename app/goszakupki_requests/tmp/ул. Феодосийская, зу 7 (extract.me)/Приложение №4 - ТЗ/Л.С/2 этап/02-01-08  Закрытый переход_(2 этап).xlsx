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Этапы\2 этап\"/>
    </mc:Choice>
  </mc:AlternateContent>
  <xr:revisionPtr revIDLastSave="0" documentId="13_ncr:1_{65EC1A2A-9856-44A9-A679-2C02D0ABCA00}" xr6:coauthVersionLast="47" xr6:coauthVersionMax="47" xr10:uidLastSave="{00000000-0000-0000-0000-000000000000}"/>
  <bookViews>
    <workbookView xWindow="19095" yWindow="0" windowWidth="9810" windowHeight="15585" xr2:uid="{25F72668-E5FA-43A2-9F94-D8E6DDE7F202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доп.43'!$A$1:$K$163</definedName>
  </definedNames>
  <calcPr calcId="191029" iterate="1"/>
</workbook>
</file>

<file path=xl/calcChain.xml><?xml version="1.0" encoding="utf-8"?>
<calcChain xmlns="http://schemas.openxmlformats.org/spreadsheetml/2006/main">
  <c r="H161" i="7" l="1"/>
  <c r="H158" i="7"/>
  <c r="C161" i="7"/>
  <c r="C158" i="7"/>
  <c r="J22" i="7"/>
  <c r="J19" i="7"/>
  <c r="J18" i="7"/>
  <c r="J17" i="7"/>
  <c r="J16" i="7"/>
  <c r="J15" i="7"/>
  <c r="J14" i="7" s="1"/>
  <c r="I22" i="7"/>
  <c r="H155" i="7"/>
  <c r="J155" i="7"/>
  <c r="H154" i="7"/>
  <c r="J154" i="7"/>
  <c r="H152" i="7"/>
  <c r="J152" i="7"/>
  <c r="H151" i="7"/>
  <c r="J151" i="7"/>
  <c r="H148" i="7"/>
  <c r="J148" i="7"/>
  <c r="H147" i="7"/>
  <c r="J147" i="7"/>
  <c r="H144" i="7"/>
  <c r="J144" i="7"/>
  <c r="H143" i="7"/>
  <c r="J143" i="7"/>
  <c r="A142" i="7"/>
  <c r="AA139" i="7"/>
  <c r="Z139" i="7"/>
  <c r="X139" i="7"/>
  <c r="K138" i="7"/>
  <c r="J138" i="7"/>
  <c r="I138" i="7"/>
  <c r="H138" i="7"/>
  <c r="G138" i="7"/>
  <c r="F138" i="7"/>
  <c r="V138" i="7"/>
  <c r="T138" i="7"/>
  <c r="R138" i="7"/>
  <c r="U138" i="7"/>
  <c r="S138" i="7"/>
  <c r="Q138" i="7"/>
  <c r="E138" i="7"/>
  <c r="D138" i="7"/>
  <c r="AA136" i="7"/>
  <c r="Z136" i="7"/>
  <c r="X136" i="7"/>
  <c r="I135" i="7"/>
  <c r="AB135" i="7" s="1"/>
  <c r="H135" i="7"/>
  <c r="G135" i="7"/>
  <c r="E135" i="7"/>
  <c r="J134" i="7"/>
  <c r="E134" i="7"/>
  <c r="J133" i="7"/>
  <c r="E133" i="7"/>
  <c r="J132" i="7"/>
  <c r="E132" i="7"/>
  <c r="K131" i="7"/>
  <c r="J131" i="7"/>
  <c r="I131" i="7"/>
  <c r="H131" i="7"/>
  <c r="G131" i="7"/>
  <c r="F131" i="7"/>
  <c r="K130" i="7"/>
  <c r="J130" i="7"/>
  <c r="I130" i="7"/>
  <c r="W130" i="7" s="1"/>
  <c r="H130" i="7"/>
  <c r="G130" i="7"/>
  <c r="F130" i="7"/>
  <c r="K129" i="7"/>
  <c r="J129" i="7"/>
  <c r="I129" i="7"/>
  <c r="H129" i="7"/>
  <c r="G129" i="7"/>
  <c r="F129" i="7"/>
  <c r="K128" i="7"/>
  <c r="J128" i="7"/>
  <c r="I128" i="7"/>
  <c r="H128" i="7"/>
  <c r="G128" i="7"/>
  <c r="F128" i="7"/>
  <c r="C127" i="7"/>
  <c r="V126" i="7"/>
  <c r="K134" i="7" s="1"/>
  <c r="T126" i="7"/>
  <c r="K133" i="7" s="1"/>
  <c r="R126" i="7"/>
  <c r="K132" i="7" s="1"/>
  <c r="U126" i="7"/>
  <c r="I134" i="7" s="1"/>
  <c r="S126" i="7"/>
  <c r="I133" i="7" s="1"/>
  <c r="Q126" i="7"/>
  <c r="I132" i="7" s="1"/>
  <c r="E126" i="7"/>
  <c r="D126" i="7"/>
  <c r="AA124" i="7"/>
  <c r="Z124" i="7"/>
  <c r="X124" i="7"/>
  <c r="I123" i="7"/>
  <c r="AB123" i="7" s="1"/>
  <c r="H123" i="7"/>
  <c r="G123" i="7"/>
  <c r="E123" i="7"/>
  <c r="J122" i="7"/>
  <c r="E122" i="7"/>
  <c r="J121" i="7"/>
  <c r="E121" i="7"/>
  <c r="J120" i="7"/>
  <c r="E120" i="7"/>
  <c r="K119" i="7"/>
  <c r="J119" i="7"/>
  <c r="H119" i="7"/>
  <c r="AA119" i="7"/>
  <c r="Z119" i="7"/>
  <c r="X119" i="7"/>
  <c r="I119" i="7"/>
  <c r="Y119" i="7" s="1"/>
  <c r="F119" i="7"/>
  <c r="V119" i="7"/>
  <c r="T119" i="7"/>
  <c r="R119" i="7"/>
  <c r="U119" i="7"/>
  <c r="S119" i="7"/>
  <c r="Q119" i="7"/>
  <c r="E119" i="7"/>
  <c r="D119" i="7"/>
  <c r="B119" i="7"/>
  <c r="K118" i="7"/>
  <c r="J118" i="7"/>
  <c r="I118" i="7"/>
  <c r="H118" i="7"/>
  <c r="G118" i="7"/>
  <c r="F118" i="7"/>
  <c r="K117" i="7"/>
  <c r="J117" i="7"/>
  <c r="I117" i="7"/>
  <c r="W117" i="7" s="1"/>
  <c r="H117" i="7"/>
  <c r="G117" i="7"/>
  <c r="F117" i="7"/>
  <c r="K116" i="7"/>
  <c r="J116" i="7"/>
  <c r="I116" i="7"/>
  <c r="H116" i="7"/>
  <c r="G116" i="7"/>
  <c r="F116" i="7"/>
  <c r="K115" i="7"/>
  <c r="J115" i="7"/>
  <c r="I115" i="7"/>
  <c r="W115" i="7" s="1"/>
  <c r="H115" i="7"/>
  <c r="G115" i="7"/>
  <c r="F115" i="7"/>
  <c r="C114" i="7"/>
  <c r="V113" i="7"/>
  <c r="T113" i="7"/>
  <c r="R113" i="7"/>
  <c r="U113" i="7"/>
  <c r="S113" i="7"/>
  <c r="Q113" i="7"/>
  <c r="E113" i="7"/>
  <c r="D113" i="7"/>
  <c r="A112" i="7"/>
  <c r="H110" i="7"/>
  <c r="J110" i="7"/>
  <c r="H109" i="7"/>
  <c r="J109" i="7"/>
  <c r="A108" i="7"/>
  <c r="AA105" i="7"/>
  <c r="Z105" i="7"/>
  <c r="Y105" i="7"/>
  <c r="K104" i="7"/>
  <c r="J104" i="7"/>
  <c r="I104" i="7"/>
  <c r="H104" i="7"/>
  <c r="G104" i="7"/>
  <c r="F104" i="7"/>
  <c r="V104" i="7"/>
  <c r="T104" i="7"/>
  <c r="R104" i="7"/>
  <c r="U104" i="7"/>
  <c r="S104" i="7"/>
  <c r="Q104" i="7"/>
  <c r="E104" i="7"/>
  <c r="D104" i="7"/>
  <c r="AA102" i="7"/>
  <c r="Z102" i="7"/>
  <c r="X102" i="7"/>
  <c r="I101" i="7"/>
  <c r="AB101" i="7" s="1"/>
  <c r="H101" i="7"/>
  <c r="G101" i="7"/>
  <c r="E101" i="7"/>
  <c r="J100" i="7"/>
  <c r="E100" i="7"/>
  <c r="J99" i="7"/>
  <c r="E99" i="7"/>
  <c r="K98" i="7"/>
  <c r="J98" i="7"/>
  <c r="I98" i="7"/>
  <c r="H98" i="7"/>
  <c r="G98" i="7"/>
  <c r="F98" i="7"/>
  <c r="K97" i="7"/>
  <c r="J97" i="7"/>
  <c r="I97" i="7"/>
  <c r="H97" i="7"/>
  <c r="G97" i="7"/>
  <c r="F97" i="7"/>
  <c r="V96" i="7"/>
  <c r="T96" i="7"/>
  <c r="K100" i="7" s="1"/>
  <c r="R96" i="7"/>
  <c r="K99" i="7" s="1"/>
  <c r="U96" i="7"/>
  <c r="S96" i="7"/>
  <c r="I100" i="7" s="1"/>
  <c r="Q96" i="7"/>
  <c r="I99" i="7" s="1"/>
  <c r="E96" i="7"/>
  <c r="D96" i="7"/>
  <c r="AA94" i="7"/>
  <c r="Z94" i="7"/>
  <c r="Y94" i="7"/>
  <c r="I93" i="7"/>
  <c r="AB93" i="7" s="1"/>
  <c r="H93" i="7"/>
  <c r="G93" i="7"/>
  <c r="E93" i="7"/>
  <c r="J92" i="7"/>
  <c r="E92" i="7"/>
  <c r="J91" i="7"/>
  <c r="E91" i="7"/>
  <c r="K90" i="7"/>
  <c r="J90" i="7"/>
  <c r="I90" i="7"/>
  <c r="H90" i="7"/>
  <c r="G90" i="7"/>
  <c r="F90" i="7"/>
  <c r="K89" i="7"/>
  <c r="J89" i="7"/>
  <c r="I89" i="7"/>
  <c r="H89" i="7"/>
  <c r="G89" i="7"/>
  <c r="F89" i="7"/>
  <c r="K88" i="7"/>
  <c r="J88" i="7"/>
  <c r="I88" i="7"/>
  <c r="H88" i="7"/>
  <c r="G88" i="7"/>
  <c r="F88" i="7"/>
  <c r="C87" i="7"/>
  <c r="V86" i="7"/>
  <c r="T86" i="7"/>
  <c r="K92" i="7" s="1"/>
  <c r="R86" i="7"/>
  <c r="K91" i="7" s="1"/>
  <c r="U86" i="7"/>
  <c r="S86" i="7"/>
  <c r="I92" i="7" s="1"/>
  <c r="Q86" i="7"/>
  <c r="I91" i="7" s="1"/>
  <c r="E86" i="7"/>
  <c r="D86" i="7"/>
  <c r="AA84" i="7"/>
  <c r="Z84" i="7"/>
  <c r="Y84" i="7"/>
  <c r="I83" i="7"/>
  <c r="AB83" i="7" s="1"/>
  <c r="H83" i="7"/>
  <c r="G83" i="7"/>
  <c r="E83" i="7"/>
  <c r="J82" i="7"/>
  <c r="E82" i="7"/>
  <c r="J81" i="7"/>
  <c r="E81" i="7"/>
  <c r="J80" i="7"/>
  <c r="E80" i="7"/>
  <c r="K79" i="7"/>
  <c r="J79" i="7"/>
  <c r="I79" i="7"/>
  <c r="W79" i="7" s="1"/>
  <c r="H79" i="7"/>
  <c r="G79" i="7"/>
  <c r="F79" i="7"/>
  <c r="K78" i="7"/>
  <c r="J78" i="7"/>
  <c r="I78" i="7"/>
  <c r="H78" i="7"/>
  <c r="G78" i="7"/>
  <c r="F78" i="7"/>
  <c r="K77" i="7"/>
  <c r="J77" i="7"/>
  <c r="I77" i="7"/>
  <c r="H77" i="7"/>
  <c r="G77" i="7"/>
  <c r="F77" i="7"/>
  <c r="V76" i="7"/>
  <c r="K82" i="7" s="1"/>
  <c r="T76" i="7"/>
  <c r="K81" i="7" s="1"/>
  <c r="R76" i="7"/>
  <c r="K80" i="7" s="1"/>
  <c r="U76" i="7"/>
  <c r="I82" i="7" s="1"/>
  <c r="S76" i="7"/>
  <c r="I81" i="7" s="1"/>
  <c r="Q76" i="7"/>
  <c r="I80" i="7" s="1"/>
  <c r="E76" i="7"/>
  <c r="D76" i="7"/>
  <c r="AA74" i="7"/>
  <c r="Z74" i="7"/>
  <c r="Y74" i="7"/>
  <c r="I73" i="7"/>
  <c r="AB73" i="7" s="1"/>
  <c r="H73" i="7"/>
  <c r="G73" i="7"/>
  <c r="E73" i="7"/>
  <c r="J72" i="7"/>
  <c r="E72" i="7"/>
  <c r="J71" i="7"/>
  <c r="E71" i="7"/>
  <c r="J70" i="7"/>
  <c r="E70" i="7"/>
  <c r="K69" i="7"/>
  <c r="J69" i="7"/>
  <c r="I69" i="7"/>
  <c r="W69" i="7" s="1"/>
  <c r="H69" i="7"/>
  <c r="G69" i="7"/>
  <c r="F69" i="7"/>
  <c r="K68" i="7"/>
  <c r="J68" i="7"/>
  <c r="I68" i="7"/>
  <c r="H68" i="7"/>
  <c r="G68" i="7"/>
  <c r="F68" i="7"/>
  <c r="K67" i="7"/>
  <c r="J67" i="7"/>
  <c r="I67" i="7"/>
  <c r="H67" i="7"/>
  <c r="G67" i="7"/>
  <c r="F67" i="7"/>
  <c r="C66" i="7"/>
  <c r="V65" i="7"/>
  <c r="K72" i="7" s="1"/>
  <c r="T65" i="7"/>
  <c r="K71" i="7" s="1"/>
  <c r="R65" i="7"/>
  <c r="K70" i="7" s="1"/>
  <c r="U65" i="7"/>
  <c r="I72" i="7" s="1"/>
  <c r="S65" i="7"/>
  <c r="I71" i="7" s="1"/>
  <c r="Q65" i="7"/>
  <c r="I70" i="7" s="1"/>
  <c r="E65" i="7"/>
  <c r="D65" i="7"/>
  <c r="AA63" i="7"/>
  <c r="Z63" i="7"/>
  <c r="Y63" i="7"/>
  <c r="C62" i="7"/>
  <c r="K61" i="7"/>
  <c r="J61" i="7"/>
  <c r="I61" i="7"/>
  <c r="H61" i="7"/>
  <c r="G61" i="7"/>
  <c r="F61" i="7"/>
  <c r="V61" i="7"/>
  <c r="T61" i="7"/>
  <c r="R61" i="7"/>
  <c r="U61" i="7"/>
  <c r="S61" i="7"/>
  <c r="Q61" i="7"/>
  <c r="E61" i="7"/>
  <c r="D61" i="7"/>
  <c r="AA59" i="7"/>
  <c r="Z59" i="7"/>
  <c r="Y59" i="7"/>
  <c r="I58" i="7"/>
  <c r="AB58" i="7" s="1"/>
  <c r="H58" i="7"/>
  <c r="G58" i="7"/>
  <c r="E58" i="7"/>
  <c r="J57" i="7"/>
  <c r="E57" i="7"/>
  <c r="J56" i="7"/>
  <c r="E56" i="7"/>
  <c r="J55" i="7"/>
  <c r="E55" i="7"/>
  <c r="K54" i="7"/>
  <c r="J54" i="7"/>
  <c r="H54" i="7"/>
  <c r="AA54" i="7"/>
  <c r="Z54" i="7"/>
  <c r="Y54" i="7"/>
  <c r="I54" i="7"/>
  <c r="X54" i="7" s="1"/>
  <c r="F54" i="7"/>
  <c r="V54" i="7"/>
  <c r="T54" i="7"/>
  <c r="R54" i="7"/>
  <c r="U54" i="7"/>
  <c r="S54" i="7"/>
  <c r="Q54" i="7"/>
  <c r="E54" i="7"/>
  <c r="D54" i="7"/>
  <c r="B54" i="7"/>
  <c r="K53" i="7"/>
  <c r="J53" i="7"/>
  <c r="H53" i="7"/>
  <c r="AA53" i="7"/>
  <c r="Z53" i="7"/>
  <c r="Y53" i="7"/>
  <c r="I53" i="7"/>
  <c r="X53" i="7" s="1"/>
  <c r="F53" i="7"/>
  <c r="V53" i="7"/>
  <c r="T53" i="7"/>
  <c r="R53" i="7"/>
  <c r="U53" i="7"/>
  <c r="S53" i="7"/>
  <c r="Q53" i="7"/>
  <c r="E53" i="7"/>
  <c r="D53" i="7"/>
  <c r="B53" i="7"/>
  <c r="K52" i="7"/>
  <c r="J52" i="7"/>
  <c r="I52" i="7"/>
  <c r="H52" i="7"/>
  <c r="G52" i="7"/>
  <c r="F52" i="7"/>
  <c r="K51" i="7"/>
  <c r="J51" i="7"/>
  <c r="I51" i="7"/>
  <c r="W51" i="7" s="1"/>
  <c r="H51" i="7"/>
  <c r="G51" i="7"/>
  <c r="F51" i="7"/>
  <c r="K50" i="7"/>
  <c r="J50" i="7"/>
  <c r="I50" i="7"/>
  <c r="H50" i="7"/>
  <c r="G50" i="7"/>
  <c r="F50" i="7"/>
  <c r="K49" i="7"/>
  <c r="J49" i="7"/>
  <c r="I49" i="7"/>
  <c r="H49" i="7"/>
  <c r="G49" i="7"/>
  <c r="F49" i="7"/>
  <c r="C48" i="7"/>
  <c r="V47" i="7"/>
  <c r="K57" i="7" s="1"/>
  <c r="T47" i="7"/>
  <c r="K56" i="7" s="1"/>
  <c r="R47" i="7"/>
  <c r="U47" i="7"/>
  <c r="I57" i="7" s="1"/>
  <c r="S47" i="7"/>
  <c r="I56" i="7" s="1"/>
  <c r="Q47" i="7"/>
  <c r="I55" i="7" s="1"/>
  <c r="E47" i="7"/>
  <c r="D47" i="7"/>
  <c r="AA45" i="7"/>
  <c r="Z45" i="7"/>
  <c r="Y45" i="7"/>
  <c r="I44" i="7"/>
  <c r="AB44" i="7" s="1"/>
  <c r="H44" i="7"/>
  <c r="G44" i="7"/>
  <c r="E44" i="7"/>
  <c r="J43" i="7"/>
  <c r="E43" i="7"/>
  <c r="J42" i="7"/>
  <c r="E42" i="7"/>
  <c r="K41" i="7"/>
  <c r="J41" i="7"/>
  <c r="I41" i="7"/>
  <c r="H41" i="7"/>
  <c r="G41" i="7"/>
  <c r="F41" i="7"/>
  <c r="C40" i="7"/>
  <c r="V39" i="7"/>
  <c r="T39" i="7"/>
  <c r="K43" i="7" s="1"/>
  <c r="R39" i="7"/>
  <c r="K42" i="7" s="1"/>
  <c r="U39" i="7"/>
  <c r="S39" i="7"/>
  <c r="I43" i="7" s="1"/>
  <c r="Q39" i="7"/>
  <c r="I42" i="7" s="1"/>
  <c r="E39" i="7"/>
  <c r="D39" i="7"/>
  <c r="AA37" i="7"/>
  <c r="I18" i="7" s="1"/>
  <c r="Z37" i="7"/>
  <c r="I17" i="7" s="1"/>
  <c r="Y37" i="7"/>
  <c r="I36" i="7"/>
  <c r="AB36" i="7" s="1"/>
  <c r="H36" i="7"/>
  <c r="G36" i="7"/>
  <c r="E36" i="7"/>
  <c r="J35" i="7"/>
  <c r="E35" i="7"/>
  <c r="J34" i="7"/>
  <c r="E34" i="7"/>
  <c r="K33" i="7"/>
  <c r="J33" i="7"/>
  <c r="I33" i="7"/>
  <c r="H33" i="7"/>
  <c r="G33" i="7"/>
  <c r="F33" i="7"/>
  <c r="V32" i="7"/>
  <c r="T32" i="7"/>
  <c r="K35" i="7" s="1"/>
  <c r="R32" i="7"/>
  <c r="K34" i="7" s="1"/>
  <c r="U32" i="7"/>
  <c r="S32" i="7"/>
  <c r="I35" i="7" s="1"/>
  <c r="Q32" i="7"/>
  <c r="I34" i="7" s="1"/>
  <c r="E32" i="7"/>
  <c r="D32" i="7"/>
  <c r="A31" i="7"/>
  <c r="A11" i="7"/>
  <c r="A1" i="7"/>
  <c r="F12" i="6"/>
  <c r="G12" i="6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1" i="3"/>
  <c r="Y1" i="3"/>
  <c r="CU1" i="3"/>
  <c r="CV1" i="3"/>
  <c r="CX1" i="3"/>
  <c r="CY1" i="3"/>
  <c r="CZ1" i="3"/>
  <c r="DA1" i="3"/>
  <c r="DB1" i="3"/>
  <c r="DC1" i="3"/>
  <c r="DH1" i="3"/>
  <c r="DI1" i="3"/>
  <c r="DJ1" i="3" s="1"/>
  <c r="A2" i="3"/>
  <c r="Y2" i="3"/>
  <c r="CU2" i="3"/>
  <c r="CV2" i="3"/>
  <c r="CX2" i="3"/>
  <c r="CY2" i="3"/>
  <c r="CZ2" i="3"/>
  <c r="DA2" i="3"/>
  <c r="DB2" i="3"/>
  <c r="DC2" i="3"/>
  <c r="DF2" i="3"/>
  <c r="DG2" i="3"/>
  <c r="DH2" i="3"/>
  <c r="DI2" i="3"/>
  <c r="DJ2" i="3" s="1"/>
  <c r="A3" i="3"/>
  <c r="Y3" i="3"/>
  <c r="CU3" i="3"/>
  <c r="CV3" i="3"/>
  <c r="CX3" i="3"/>
  <c r="CY3" i="3"/>
  <c r="CZ3" i="3"/>
  <c r="DA3" i="3"/>
  <c r="DB3" i="3"/>
  <c r="DC3" i="3"/>
  <c r="DF3" i="3"/>
  <c r="DG3" i="3"/>
  <c r="DH3" i="3"/>
  <c r="DI3" i="3"/>
  <c r="DJ3" i="3"/>
  <c r="A4" i="3"/>
  <c r="Y4" i="3"/>
  <c r="CW4" i="3"/>
  <c r="CX4" i="3"/>
  <c r="CY4" i="3"/>
  <c r="CZ4" i="3"/>
  <c r="DA4" i="3"/>
  <c r="DB4" i="3"/>
  <c r="DC4" i="3"/>
  <c r="DF4" i="3"/>
  <c r="DG4" i="3"/>
  <c r="DJ4" i="3" s="1"/>
  <c r="DH4" i="3"/>
  <c r="DI4" i="3"/>
  <c r="A5" i="3"/>
  <c r="Y5" i="3"/>
  <c r="CY5" i="3"/>
  <c r="CZ5" i="3"/>
  <c r="DA5" i="3"/>
  <c r="DB5" i="3"/>
  <c r="DC5" i="3"/>
  <c r="A6" i="3"/>
  <c r="Y6" i="3"/>
  <c r="CW6" i="3"/>
  <c r="CX6" i="3"/>
  <c r="CY6" i="3"/>
  <c r="CZ6" i="3"/>
  <c r="DA6" i="3"/>
  <c r="DB6" i="3"/>
  <c r="DC6" i="3"/>
  <c r="DF6" i="3"/>
  <c r="DG6" i="3"/>
  <c r="DJ6" i="3" s="1"/>
  <c r="DH6" i="3"/>
  <c r="DI6" i="3"/>
  <c r="A7" i="3"/>
  <c r="Y7" i="3"/>
  <c r="CY7" i="3"/>
  <c r="CZ7" i="3"/>
  <c r="DA7" i="3"/>
  <c r="DB7" i="3"/>
  <c r="DC7" i="3"/>
  <c r="A8" i="3"/>
  <c r="Y8" i="3"/>
  <c r="CW8" i="3"/>
  <c r="CX8" i="3"/>
  <c r="DF8" i="3" s="1"/>
  <c r="CY8" i="3"/>
  <c r="CZ8" i="3"/>
  <c r="DA8" i="3"/>
  <c r="DB8" i="3"/>
  <c r="DC8" i="3"/>
  <c r="DG8" i="3"/>
  <c r="DJ8" i="3" s="1"/>
  <c r="DH8" i="3"/>
  <c r="DI8" i="3"/>
  <c r="A9" i="3"/>
  <c r="Y9" i="3"/>
  <c r="CY9" i="3"/>
  <c r="CZ9" i="3"/>
  <c r="DA9" i="3"/>
  <c r="DB9" i="3"/>
  <c r="DC9" i="3"/>
  <c r="A10" i="3"/>
  <c r="Y10" i="3"/>
  <c r="CW10" i="3"/>
  <c r="CX10" i="3"/>
  <c r="CY10" i="3"/>
  <c r="CZ10" i="3"/>
  <c r="DA10" i="3"/>
  <c r="DB10" i="3"/>
  <c r="DC10" i="3"/>
  <c r="DF10" i="3"/>
  <c r="DG10" i="3"/>
  <c r="DJ10" i="3" s="1"/>
  <c r="DH10" i="3"/>
  <c r="DI10" i="3"/>
  <c r="A11" i="3"/>
  <c r="Y11" i="3"/>
  <c r="CX11" i="3"/>
  <c r="CY11" i="3"/>
  <c r="CZ11" i="3"/>
  <c r="DA11" i="3"/>
  <c r="DB11" i="3"/>
  <c r="DC11" i="3"/>
  <c r="DF11" i="3"/>
  <c r="DJ11" i="3" s="1"/>
  <c r="DG11" i="3"/>
  <c r="DH11" i="3"/>
  <c r="DI11" i="3"/>
  <c r="A12" i="3"/>
  <c r="Y12" i="3"/>
  <c r="CX12" i="3"/>
  <c r="CY12" i="3"/>
  <c r="CZ12" i="3"/>
  <c r="DA12" i="3"/>
  <c r="DB12" i="3"/>
  <c r="DC12" i="3"/>
  <c r="DF12" i="3"/>
  <c r="DJ12" i="3" s="1"/>
  <c r="DG12" i="3"/>
  <c r="A13" i="3"/>
  <c r="Y13" i="3"/>
  <c r="CY13" i="3"/>
  <c r="CZ13" i="3"/>
  <c r="DA13" i="3"/>
  <c r="DB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U19" i="3"/>
  <c r="CV19" i="3"/>
  <c r="CX19" i="3"/>
  <c r="CY19" i="3"/>
  <c r="CZ19" i="3"/>
  <c r="DA19" i="3"/>
  <c r="DB19" i="3"/>
  <c r="DC19" i="3"/>
  <c r="DF19" i="3"/>
  <c r="DG19" i="3"/>
  <c r="DH19" i="3"/>
  <c r="DI19" i="3"/>
  <c r="DJ19" i="3"/>
  <c r="A20" i="3"/>
  <c r="Y20" i="3"/>
  <c r="CW20" i="3"/>
  <c r="CX20" i="3"/>
  <c r="CY20" i="3"/>
  <c r="CZ20" i="3"/>
  <c r="DA20" i="3"/>
  <c r="DB20" i="3"/>
  <c r="DC20" i="3"/>
  <c r="DF20" i="3"/>
  <c r="DG20" i="3"/>
  <c r="DH20" i="3"/>
  <c r="DI20" i="3"/>
  <c r="DJ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A27" i="3"/>
  <c r="DB27" i="3"/>
  <c r="DC27" i="3"/>
  <c r="A28" i="3"/>
  <c r="Y28" i="3"/>
  <c r="CX28" i="3" s="1"/>
  <c r="CY28" i="3"/>
  <c r="CZ28" i="3"/>
  <c r="DA28" i="3"/>
  <c r="DB28" i="3"/>
  <c r="DC28" i="3"/>
  <c r="A29" i="3"/>
  <c r="Y29" i="3"/>
  <c r="CY29" i="3"/>
  <c r="CZ29" i="3"/>
  <c r="DA29" i="3"/>
  <c r="DB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E30" i="1"/>
  <c r="Z30" i="1"/>
  <c r="AA30" i="1"/>
  <c r="AM30" i="1"/>
  <c r="AN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C32" i="1"/>
  <c r="D32" i="1"/>
  <c r="I32" i="1"/>
  <c r="K32" i="1"/>
  <c r="AC32" i="1"/>
  <c r="AE32" i="1"/>
  <c r="AF32" i="1"/>
  <c r="S32" i="1" s="1"/>
  <c r="AG32" i="1"/>
  <c r="AH32" i="1"/>
  <c r="AI32" i="1"/>
  <c r="AJ32" i="1"/>
  <c r="CQ32" i="1"/>
  <c r="CR32" i="1"/>
  <c r="CS32" i="1"/>
  <c r="CT32" i="1"/>
  <c r="CU32" i="1"/>
  <c r="T32" i="1" s="1"/>
  <c r="CV32" i="1"/>
  <c r="U32" i="1" s="1"/>
  <c r="CW32" i="1"/>
  <c r="V32" i="1" s="1"/>
  <c r="CX32" i="1"/>
  <c r="W32" i="1" s="1"/>
  <c r="GL32" i="1"/>
  <c r="GO32" i="1"/>
  <c r="GP32" i="1"/>
  <c r="GV32" i="1"/>
  <c r="HC32" i="1"/>
  <c r="GX32" i="1" s="1"/>
  <c r="C33" i="1"/>
  <c r="D33" i="1"/>
  <c r="I33" i="1"/>
  <c r="K33" i="1"/>
  <c r="AC33" i="1"/>
  <c r="AE33" i="1"/>
  <c r="AF33" i="1"/>
  <c r="S33" i="1" s="1"/>
  <c r="AG33" i="1"/>
  <c r="AH33" i="1"/>
  <c r="AI33" i="1"/>
  <c r="AJ33" i="1"/>
  <c r="CQ33" i="1"/>
  <c r="CR33" i="1"/>
  <c r="CS33" i="1"/>
  <c r="CT33" i="1"/>
  <c r="CU33" i="1"/>
  <c r="T33" i="1" s="1"/>
  <c r="CV33" i="1"/>
  <c r="U33" i="1" s="1"/>
  <c r="CW33" i="1"/>
  <c r="V33" i="1" s="1"/>
  <c r="CX33" i="1"/>
  <c r="W33" i="1" s="1"/>
  <c r="GL33" i="1"/>
  <c r="GO33" i="1"/>
  <c r="GP33" i="1"/>
  <c r="GV33" i="1"/>
  <c r="HC33" i="1"/>
  <c r="GX33" i="1" s="1"/>
  <c r="C34" i="1"/>
  <c r="D34" i="1"/>
  <c r="I34" i="1"/>
  <c r="K34" i="1"/>
  <c r="AC34" i="1"/>
  <c r="AE34" i="1"/>
  <c r="AF34" i="1"/>
  <c r="S34" i="1" s="1"/>
  <c r="AG34" i="1"/>
  <c r="AH34" i="1"/>
  <c r="AI34" i="1"/>
  <c r="AJ34" i="1"/>
  <c r="CQ34" i="1"/>
  <c r="CR34" i="1"/>
  <c r="CS34" i="1"/>
  <c r="CT34" i="1"/>
  <c r="CU34" i="1"/>
  <c r="T34" i="1" s="1"/>
  <c r="CV34" i="1"/>
  <c r="U34" i="1" s="1"/>
  <c r="CW34" i="1"/>
  <c r="V34" i="1" s="1"/>
  <c r="CX34" i="1"/>
  <c r="W34" i="1" s="1"/>
  <c r="GL34" i="1"/>
  <c r="GO34" i="1"/>
  <c r="GP34" i="1"/>
  <c r="GV34" i="1"/>
  <c r="HC34" i="1"/>
  <c r="GX34" i="1" s="1"/>
  <c r="I35" i="1"/>
  <c r="AC35" i="1"/>
  <c r="AE35" i="1"/>
  <c r="AF35" i="1"/>
  <c r="S35" i="1" s="1"/>
  <c r="AG35" i="1"/>
  <c r="AH35" i="1"/>
  <c r="AI35" i="1"/>
  <c r="AJ35" i="1"/>
  <c r="CR35" i="1"/>
  <c r="CS35" i="1"/>
  <c r="CT35" i="1"/>
  <c r="CU35" i="1"/>
  <c r="T35" i="1" s="1"/>
  <c r="CV35" i="1"/>
  <c r="U35" i="1" s="1"/>
  <c r="CW35" i="1"/>
  <c r="V35" i="1" s="1"/>
  <c r="CX35" i="1"/>
  <c r="W35" i="1" s="1"/>
  <c r="GL35" i="1"/>
  <c r="GO35" i="1"/>
  <c r="GP35" i="1"/>
  <c r="GV35" i="1"/>
  <c r="HC35" i="1"/>
  <c r="GX35" i="1" s="1"/>
  <c r="I36" i="1"/>
  <c r="AC36" i="1"/>
  <c r="AE36" i="1"/>
  <c r="AF36" i="1"/>
  <c r="S36" i="1" s="1"/>
  <c r="AG36" i="1"/>
  <c r="AH36" i="1"/>
  <c r="AI36" i="1"/>
  <c r="AJ36" i="1"/>
  <c r="CQ36" i="1"/>
  <c r="CR36" i="1"/>
  <c r="CS36" i="1"/>
  <c r="CT36" i="1"/>
  <c r="CU36" i="1"/>
  <c r="T36" i="1" s="1"/>
  <c r="CV36" i="1"/>
  <c r="U36" i="1" s="1"/>
  <c r="CW36" i="1"/>
  <c r="V36" i="1" s="1"/>
  <c r="CX36" i="1"/>
  <c r="W36" i="1" s="1"/>
  <c r="GL36" i="1"/>
  <c r="GO36" i="1"/>
  <c r="GP36" i="1"/>
  <c r="GV36" i="1"/>
  <c r="HC36" i="1"/>
  <c r="GX36" i="1" s="1"/>
  <c r="I37" i="1"/>
  <c r="K37" i="1"/>
  <c r="AC37" i="1"/>
  <c r="AE37" i="1"/>
  <c r="AF37" i="1"/>
  <c r="S37" i="1" s="1"/>
  <c r="AG37" i="1"/>
  <c r="AH37" i="1"/>
  <c r="AI37" i="1"/>
  <c r="AJ37" i="1"/>
  <c r="CQ37" i="1"/>
  <c r="CR37" i="1"/>
  <c r="CS37" i="1"/>
  <c r="CT37" i="1"/>
  <c r="CU37" i="1"/>
  <c r="T37" i="1" s="1"/>
  <c r="CV37" i="1"/>
  <c r="U37" i="1" s="1"/>
  <c r="CW37" i="1"/>
  <c r="V37" i="1" s="1"/>
  <c r="CX37" i="1"/>
  <c r="W37" i="1" s="1"/>
  <c r="GL37" i="1"/>
  <c r="GO37" i="1"/>
  <c r="GP37" i="1"/>
  <c r="GV37" i="1"/>
  <c r="HC37" i="1"/>
  <c r="GX37" i="1" s="1"/>
  <c r="C38" i="1"/>
  <c r="D38" i="1"/>
  <c r="I38" i="1"/>
  <c r="K38" i="1"/>
  <c r="U38" i="1"/>
  <c r="AC38" i="1"/>
  <c r="AE38" i="1"/>
  <c r="AF38" i="1"/>
  <c r="S38" i="1" s="1"/>
  <c r="AG38" i="1"/>
  <c r="AH38" i="1"/>
  <c r="AI38" i="1"/>
  <c r="AJ38" i="1"/>
  <c r="CQ38" i="1"/>
  <c r="CR38" i="1"/>
  <c r="CS38" i="1"/>
  <c r="CT38" i="1"/>
  <c r="CU38" i="1"/>
  <c r="T38" i="1" s="1"/>
  <c r="CV38" i="1"/>
  <c r="CW38" i="1"/>
  <c r="V38" i="1" s="1"/>
  <c r="CX38" i="1"/>
  <c r="W38" i="1" s="1"/>
  <c r="GL38" i="1"/>
  <c r="GO38" i="1"/>
  <c r="GP38" i="1"/>
  <c r="GV38" i="1"/>
  <c r="HC38" i="1" s="1"/>
  <c r="GX38" i="1" s="1"/>
  <c r="C39" i="1"/>
  <c r="D39" i="1"/>
  <c r="AC39" i="1"/>
  <c r="AE39" i="1"/>
  <c r="AF39" i="1"/>
  <c r="S39" i="1" s="1"/>
  <c r="AG39" i="1"/>
  <c r="AH39" i="1"/>
  <c r="AI39" i="1"/>
  <c r="AJ39" i="1"/>
  <c r="CQ39" i="1"/>
  <c r="CR39" i="1"/>
  <c r="CS39" i="1"/>
  <c r="CT39" i="1"/>
  <c r="CU39" i="1"/>
  <c r="T39" i="1" s="1"/>
  <c r="CV39" i="1"/>
  <c r="U39" i="1" s="1"/>
  <c r="CW39" i="1"/>
  <c r="V39" i="1" s="1"/>
  <c r="CX39" i="1"/>
  <c r="W39" i="1" s="1"/>
  <c r="GL39" i="1"/>
  <c r="GO39" i="1"/>
  <c r="GP39" i="1"/>
  <c r="GV39" i="1"/>
  <c r="HC39" i="1"/>
  <c r="GX39" i="1" s="1"/>
  <c r="C40" i="1"/>
  <c r="D40" i="1"/>
  <c r="I40" i="1"/>
  <c r="K40" i="1"/>
  <c r="AC40" i="1"/>
  <c r="AE40" i="1"/>
  <c r="AF40" i="1"/>
  <c r="S40" i="1" s="1"/>
  <c r="AG40" i="1"/>
  <c r="AH40" i="1"/>
  <c r="AI40" i="1"/>
  <c r="AJ40" i="1"/>
  <c r="CQ40" i="1"/>
  <c r="CR40" i="1"/>
  <c r="CS40" i="1"/>
  <c r="CT40" i="1"/>
  <c r="CU40" i="1"/>
  <c r="T40" i="1" s="1"/>
  <c r="CV40" i="1"/>
  <c r="U40" i="1" s="1"/>
  <c r="CW40" i="1"/>
  <c r="V40" i="1" s="1"/>
  <c r="CX40" i="1"/>
  <c r="W40" i="1" s="1"/>
  <c r="GL40" i="1"/>
  <c r="GO40" i="1"/>
  <c r="GP40" i="1"/>
  <c r="GV40" i="1"/>
  <c r="HC40" i="1"/>
  <c r="GX40" i="1" s="1"/>
  <c r="C41" i="1"/>
  <c r="D41" i="1"/>
  <c r="I41" i="1"/>
  <c r="K41" i="1"/>
  <c r="AC41" i="1"/>
  <c r="AE41" i="1"/>
  <c r="AF41" i="1"/>
  <c r="S41" i="1" s="1"/>
  <c r="AG41" i="1"/>
  <c r="AH41" i="1"/>
  <c r="AI41" i="1"/>
  <c r="AJ41" i="1"/>
  <c r="CQ41" i="1"/>
  <c r="CR41" i="1"/>
  <c r="CS41" i="1"/>
  <c r="CT41" i="1"/>
  <c r="CU41" i="1"/>
  <c r="T41" i="1" s="1"/>
  <c r="CV41" i="1"/>
  <c r="U41" i="1" s="1"/>
  <c r="CW41" i="1"/>
  <c r="V41" i="1" s="1"/>
  <c r="CX41" i="1"/>
  <c r="W41" i="1" s="1"/>
  <c r="GL41" i="1"/>
  <c r="GN41" i="1"/>
  <c r="GP41" i="1"/>
  <c r="GV41" i="1"/>
  <c r="HC41" i="1"/>
  <c r="GX41" i="1" s="1"/>
  <c r="I42" i="1"/>
  <c r="K42" i="1"/>
  <c r="AC42" i="1"/>
  <c r="AE42" i="1"/>
  <c r="AF42" i="1"/>
  <c r="S42" i="1" s="1"/>
  <c r="AG42" i="1"/>
  <c r="AH42" i="1"/>
  <c r="AI42" i="1"/>
  <c r="AJ42" i="1"/>
  <c r="CQ42" i="1"/>
  <c r="CR42" i="1"/>
  <c r="CS42" i="1"/>
  <c r="CT42" i="1"/>
  <c r="CU42" i="1"/>
  <c r="T42" i="1" s="1"/>
  <c r="CV42" i="1"/>
  <c r="U42" i="1" s="1"/>
  <c r="CW42" i="1"/>
  <c r="V42" i="1" s="1"/>
  <c r="CX42" i="1"/>
  <c r="W42" i="1" s="1"/>
  <c r="GL42" i="1"/>
  <c r="GO42" i="1"/>
  <c r="GP42" i="1"/>
  <c r="GV42" i="1"/>
  <c r="HC42" i="1"/>
  <c r="GX42" i="1" s="1"/>
  <c r="B44" i="1"/>
  <c r="B30" i="1" s="1"/>
  <c r="C44" i="1"/>
  <c r="C30" i="1" s="1"/>
  <c r="D44" i="1"/>
  <c r="D30" i="1" s="1"/>
  <c r="F44" i="1"/>
  <c r="F30" i="1" s="1"/>
  <c r="G44" i="1"/>
  <c r="G30" i="1" s="1"/>
  <c r="BX44" i="1"/>
  <c r="BY44" i="1"/>
  <c r="BZ44" i="1"/>
  <c r="CD44" i="1"/>
  <c r="CG44" i="1"/>
  <c r="CI44" i="1"/>
  <c r="CK44" i="1"/>
  <c r="CL44" i="1"/>
  <c r="CM44" i="1"/>
  <c r="D74" i="1"/>
  <c r="E76" i="1"/>
  <c r="Z76" i="1"/>
  <c r="AA76" i="1"/>
  <c r="AM76" i="1"/>
  <c r="AN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X76" i="1"/>
  <c r="C78" i="1"/>
  <c r="D78" i="1"/>
  <c r="I78" i="1"/>
  <c r="K78" i="1"/>
  <c r="AC78" i="1"/>
  <c r="AE78" i="1"/>
  <c r="AF78" i="1"/>
  <c r="S78" i="1" s="1"/>
  <c r="AG78" i="1"/>
  <c r="AH78" i="1"/>
  <c r="AI78" i="1"/>
  <c r="AJ78" i="1"/>
  <c r="CQ78" i="1"/>
  <c r="CR78" i="1"/>
  <c r="CS78" i="1"/>
  <c r="CT78" i="1"/>
  <c r="CU78" i="1"/>
  <c r="T78" i="1" s="1"/>
  <c r="CV78" i="1"/>
  <c r="U78" i="1" s="1"/>
  <c r="CW78" i="1"/>
  <c r="V78" i="1" s="1"/>
  <c r="CX78" i="1"/>
  <c r="W78" i="1" s="1"/>
  <c r="GL78" i="1"/>
  <c r="GN78" i="1"/>
  <c r="CB84" i="1" s="1"/>
  <c r="GP78" i="1"/>
  <c r="CD84" i="1" s="1"/>
  <c r="GV78" i="1"/>
  <c r="HC78" i="1"/>
  <c r="GX78" i="1" s="1"/>
  <c r="I79" i="1"/>
  <c r="AC79" i="1"/>
  <c r="AD79" i="1"/>
  <c r="AE79" i="1"/>
  <c r="AF79" i="1"/>
  <c r="S79" i="1" s="1"/>
  <c r="AG79" i="1"/>
  <c r="AH79" i="1"/>
  <c r="AI79" i="1"/>
  <c r="AJ79" i="1"/>
  <c r="CQ79" i="1"/>
  <c r="CR79" i="1"/>
  <c r="CS79" i="1"/>
  <c r="CT79" i="1"/>
  <c r="CU79" i="1"/>
  <c r="T79" i="1" s="1"/>
  <c r="CV79" i="1"/>
  <c r="U79" i="1" s="1"/>
  <c r="CW79" i="1"/>
  <c r="V79" i="1" s="1"/>
  <c r="CX79" i="1"/>
  <c r="W79" i="1" s="1"/>
  <c r="GL79" i="1"/>
  <c r="GN79" i="1"/>
  <c r="GP79" i="1"/>
  <c r="GV79" i="1"/>
  <c r="HC79" i="1"/>
  <c r="GX79" i="1" s="1"/>
  <c r="AC80" i="1"/>
  <c r="AE80" i="1"/>
  <c r="AF80" i="1"/>
  <c r="S80" i="1" s="1"/>
  <c r="AG80" i="1"/>
  <c r="AH80" i="1"/>
  <c r="AI80" i="1"/>
  <c r="AJ80" i="1"/>
  <c r="CQ80" i="1"/>
  <c r="CR80" i="1"/>
  <c r="CS80" i="1"/>
  <c r="CT80" i="1"/>
  <c r="CU80" i="1"/>
  <c r="T80" i="1" s="1"/>
  <c r="CV80" i="1"/>
  <c r="U80" i="1" s="1"/>
  <c r="CW80" i="1"/>
  <c r="V80" i="1" s="1"/>
  <c r="CX80" i="1"/>
  <c r="W80" i="1" s="1"/>
  <c r="GL80" i="1"/>
  <c r="GN80" i="1"/>
  <c r="GP80" i="1"/>
  <c r="GV80" i="1"/>
  <c r="HC80" i="1"/>
  <c r="GX80" i="1" s="1"/>
  <c r="D81" i="1"/>
  <c r="I81" i="1"/>
  <c r="K81" i="1"/>
  <c r="AC81" i="1"/>
  <c r="AE81" i="1"/>
  <c r="AF81" i="1"/>
  <c r="S81" i="1" s="1"/>
  <c r="AG81" i="1"/>
  <c r="AH81" i="1"/>
  <c r="AI81" i="1"/>
  <c r="AJ81" i="1"/>
  <c r="CQ81" i="1"/>
  <c r="CR81" i="1"/>
  <c r="CS81" i="1"/>
  <c r="CT81" i="1"/>
  <c r="CU81" i="1"/>
  <c r="T81" i="1" s="1"/>
  <c r="CV81" i="1"/>
  <c r="U81" i="1" s="1"/>
  <c r="CW81" i="1"/>
  <c r="V81" i="1" s="1"/>
  <c r="CX81" i="1"/>
  <c r="W81" i="1" s="1"/>
  <c r="GL81" i="1"/>
  <c r="GN81" i="1"/>
  <c r="GP81" i="1"/>
  <c r="GV81" i="1"/>
  <c r="HC81" i="1"/>
  <c r="GX81" i="1" s="1"/>
  <c r="AC82" i="1"/>
  <c r="AE82" i="1"/>
  <c r="AF82" i="1"/>
  <c r="S82" i="1" s="1"/>
  <c r="AG82" i="1"/>
  <c r="AH82" i="1"/>
  <c r="AI82" i="1"/>
  <c r="AJ82" i="1"/>
  <c r="CQ82" i="1"/>
  <c r="CR82" i="1"/>
  <c r="CS82" i="1"/>
  <c r="CT82" i="1"/>
  <c r="CU82" i="1"/>
  <c r="T82" i="1" s="1"/>
  <c r="CV82" i="1"/>
  <c r="U82" i="1" s="1"/>
  <c r="CW82" i="1"/>
  <c r="V82" i="1" s="1"/>
  <c r="CX82" i="1"/>
  <c r="W82" i="1" s="1"/>
  <c r="GL82" i="1"/>
  <c r="GN82" i="1"/>
  <c r="GP82" i="1"/>
  <c r="GV82" i="1"/>
  <c r="HC82" i="1"/>
  <c r="GX82" i="1" s="1"/>
  <c r="B84" i="1"/>
  <c r="B76" i="1" s="1"/>
  <c r="C84" i="1"/>
  <c r="C76" i="1" s="1"/>
  <c r="D84" i="1"/>
  <c r="D76" i="1" s="1"/>
  <c r="F84" i="1"/>
  <c r="F76" i="1" s="1"/>
  <c r="G84" i="1"/>
  <c r="G76" i="1" s="1"/>
  <c r="BB84" i="1"/>
  <c r="BC84" i="1"/>
  <c r="BD84" i="1"/>
  <c r="BX84" i="1"/>
  <c r="BY84" i="1"/>
  <c r="BZ84" i="1"/>
  <c r="CK84" i="1"/>
  <c r="CK76" i="1" s="1"/>
  <c r="CL84" i="1"/>
  <c r="CL76" i="1" s="1"/>
  <c r="CM84" i="1"/>
  <c r="CM76" i="1" s="1"/>
  <c r="B114" i="1"/>
  <c r="B26" i="1" s="1"/>
  <c r="C114" i="1"/>
  <c r="C26" i="1" s="1"/>
  <c r="D114" i="1"/>
  <c r="D26" i="1" s="1"/>
  <c r="F114" i="1"/>
  <c r="F26" i="1" s="1"/>
  <c r="G114" i="1"/>
  <c r="G26" i="1" s="1"/>
  <c r="B144" i="1"/>
  <c r="B22" i="1" s="1"/>
  <c r="C144" i="1"/>
  <c r="C22" i="1" s="1"/>
  <c r="D144" i="1"/>
  <c r="D22" i="1" s="1"/>
  <c r="F144" i="1"/>
  <c r="F22" i="1" s="1"/>
  <c r="G144" i="1"/>
  <c r="G22" i="1" s="1"/>
  <c r="B174" i="1"/>
  <c r="B18" i="1" s="1"/>
  <c r="C174" i="1"/>
  <c r="C18" i="1" s="1"/>
  <c r="D174" i="1"/>
  <c r="D18" i="1" s="1"/>
  <c r="F174" i="1"/>
  <c r="F18" i="1" s="1"/>
  <c r="G174" i="1"/>
  <c r="G18" i="1" s="1"/>
  <c r="K55" i="7" l="1"/>
  <c r="K121" i="7"/>
  <c r="K120" i="7"/>
  <c r="I121" i="7"/>
  <c r="K122" i="7"/>
  <c r="I122" i="7"/>
  <c r="I120" i="7"/>
  <c r="P139" i="7"/>
  <c r="J139" i="7"/>
  <c r="Y139" i="7"/>
  <c r="O139" i="7"/>
  <c r="H139" i="7"/>
  <c r="J136" i="7"/>
  <c r="P136" i="7"/>
  <c r="Y136" i="7"/>
  <c r="O136" i="7"/>
  <c r="H136" i="7"/>
  <c r="W128" i="7"/>
  <c r="J105" i="7"/>
  <c r="P105" i="7"/>
  <c r="H105" i="7"/>
  <c r="O105" i="7"/>
  <c r="X105" i="7"/>
  <c r="J102" i="7"/>
  <c r="P102" i="7"/>
  <c r="H102" i="7"/>
  <c r="Y102" i="7"/>
  <c r="O102" i="7"/>
  <c r="W97" i="7"/>
  <c r="J94" i="7"/>
  <c r="P94" i="7"/>
  <c r="H94" i="7"/>
  <c r="W88" i="7"/>
  <c r="X94" i="7"/>
  <c r="O94" i="7"/>
  <c r="J84" i="7"/>
  <c r="P84" i="7"/>
  <c r="W77" i="7"/>
  <c r="X84" i="7"/>
  <c r="O84" i="7"/>
  <c r="H84" i="7"/>
  <c r="P74" i="7"/>
  <c r="J74" i="7"/>
  <c r="X74" i="7"/>
  <c r="W67" i="7"/>
  <c r="H74" i="7"/>
  <c r="O74" i="7"/>
  <c r="P63" i="7"/>
  <c r="J63" i="7"/>
  <c r="O63" i="7"/>
  <c r="X63" i="7"/>
  <c r="H63" i="7"/>
  <c r="H59" i="7"/>
  <c r="W49" i="7"/>
  <c r="O59" i="7"/>
  <c r="X59" i="7"/>
  <c r="P45" i="7"/>
  <c r="J45" i="7"/>
  <c r="O45" i="7"/>
  <c r="H45" i="7"/>
  <c r="X45" i="7"/>
  <c r="W41" i="7"/>
  <c r="J37" i="7"/>
  <c r="P37" i="7"/>
  <c r="W33" i="7"/>
  <c r="I19" i="7" s="1"/>
  <c r="X37" i="7"/>
  <c r="I15" i="7" s="1"/>
  <c r="H37" i="7"/>
  <c r="O37" i="7"/>
  <c r="I20" i="7"/>
  <c r="DF1" i="3"/>
  <c r="DG1" i="3"/>
  <c r="CW5" i="3"/>
  <c r="CX5" i="3"/>
  <c r="CX7" i="3"/>
  <c r="CW7" i="3"/>
  <c r="CW9" i="3"/>
  <c r="CX9" i="3"/>
  <c r="DH12" i="3"/>
  <c r="DI12" i="3"/>
  <c r="DI28" i="3"/>
  <c r="DH28" i="3"/>
  <c r="DG28" i="3"/>
  <c r="DJ28" i="3" s="1"/>
  <c r="DF28" i="3"/>
  <c r="P32" i="1"/>
  <c r="AD32" i="1"/>
  <c r="AB32" i="1" s="1"/>
  <c r="R32" i="1"/>
  <c r="Q32" i="1"/>
  <c r="CZ32" i="1"/>
  <c r="Y32" i="1" s="1"/>
  <c r="AF44" i="1"/>
  <c r="CY32" i="1"/>
  <c r="X32" i="1" s="1"/>
  <c r="P33" i="1"/>
  <c r="AD33" i="1"/>
  <c r="AB33" i="1" s="1"/>
  <c r="R33" i="1"/>
  <c r="GK33" i="1" s="1"/>
  <c r="Q33" i="1"/>
  <c r="CZ33" i="1"/>
  <c r="Y33" i="1" s="1"/>
  <c r="CY33" i="1"/>
  <c r="X33" i="1" s="1"/>
  <c r="CX14" i="3"/>
  <c r="CX15" i="3"/>
  <c r="CX13" i="3"/>
  <c r="P34" i="1"/>
  <c r="Q34" i="1"/>
  <c r="AD34" i="1"/>
  <c r="AB34" i="1" s="1"/>
  <c r="R34" i="1"/>
  <c r="GK34" i="1" s="1"/>
  <c r="CY34" i="1"/>
  <c r="X34" i="1" s="1"/>
  <c r="CZ34" i="1"/>
  <c r="Y34" i="1" s="1"/>
  <c r="P35" i="1"/>
  <c r="CQ35" i="1"/>
  <c r="R35" i="1"/>
  <c r="GK35" i="1" s="1"/>
  <c r="Q35" i="1"/>
  <c r="AD35" i="1"/>
  <c r="AB35" i="1" s="1"/>
  <c r="CY35" i="1"/>
  <c r="X35" i="1" s="1"/>
  <c r="CZ35" i="1"/>
  <c r="Y35" i="1" s="1"/>
  <c r="AB36" i="1"/>
  <c r="P36" i="1"/>
  <c r="CP36" i="1" s="1"/>
  <c r="O36" i="1" s="1"/>
  <c r="GM36" i="1" s="1"/>
  <c r="GN36" i="1" s="1"/>
  <c r="Q36" i="1"/>
  <c r="AD36" i="1"/>
  <c r="R36" i="1"/>
  <c r="GK36" i="1" s="1"/>
  <c r="CZ36" i="1"/>
  <c r="Y36" i="1" s="1"/>
  <c r="CY36" i="1"/>
  <c r="X36" i="1" s="1"/>
  <c r="P37" i="1"/>
  <c r="R37" i="1"/>
  <c r="GK37" i="1" s="1"/>
  <c r="AD37" i="1"/>
  <c r="AB37" i="1" s="1"/>
  <c r="Q37" i="1"/>
  <c r="CZ37" i="1"/>
  <c r="Y37" i="1" s="1"/>
  <c r="CY37" i="1"/>
  <c r="X37" i="1" s="1"/>
  <c r="CV16" i="3"/>
  <c r="CX16" i="3"/>
  <c r="CW17" i="3"/>
  <c r="CX17" i="3"/>
  <c r="CW18" i="3"/>
  <c r="CX18" i="3"/>
  <c r="CU16" i="3"/>
  <c r="P38" i="1"/>
  <c r="R38" i="1"/>
  <c r="GK38" i="1" s="1"/>
  <c r="Q38" i="1"/>
  <c r="AD38" i="1"/>
  <c r="AB38" i="1" s="1"/>
  <c r="CY38" i="1"/>
  <c r="X38" i="1" s="1"/>
  <c r="CZ38" i="1"/>
  <c r="Y38" i="1" s="1"/>
  <c r="P39" i="1"/>
  <c r="R39" i="1"/>
  <c r="GK39" i="1" s="1"/>
  <c r="AD39" i="1"/>
  <c r="AB39" i="1" s="1"/>
  <c r="Q39" i="1"/>
  <c r="CY39" i="1"/>
  <c r="X39" i="1" s="1"/>
  <c r="CZ39" i="1"/>
  <c r="Y39" i="1" s="1"/>
  <c r="CX22" i="3"/>
  <c r="CX24" i="3"/>
  <c r="CX23" i="3"/>
  <c r="CW22" i="3"/>
  <c r="CX21" i="3"/>
  <c r="CV21" i="3"/>
  <c r="CU21" i="3"/>
  <c r="P40" i="1"/>
  <c r="AD40" i="1"/>
  <c r="AB40" i="1" s="1"/>
  <c r="Q40" i="1"/>
  <c r="R40" i="1"/>
  <c r="GK40" i="1" s="1"/>
  <c r="CZ40" i="1"/>
  <c r="Y40" i="1" s="1"/>
  <c r="CY40" i="1"/>
  <c r="X40" i="1" s="1"/>
  <c r="CU25" i="3"/>
  <c r="CX25" i="3"/>
  <c r="CV25" i="3"/>
  <c r="P41" i="1"/>
  <c r="R41" i="1"/>
  <c r="GK41" i="1" s="1"/>
  <c r="AD41" i="1"/>
  <c r="AB41" i="1" s="1"/>
  <c r="Q41" i="1"/>
  <c r="CY41" i="1"/>
  <c r="X41" i="1" s="1"/>
  <c r="CZ41" i="1"/>
  <c r="Y41" i="1" s="1"/>
  <c r="P42" i="1"/>
  <c r="AD42" i="1"/>
  <c r="AB42" i="1" s="1"/>
  <c r="R42" i="1"/>
  <c r="GK42" i="1" s="1"/>
  <c r="Q42" i="1"/>
  <c r="CZ42" i="1"/>
  <c r="Y42" i="1" s="1"/>
  <c r="CY42" i="1"/>
  <c r="X42" i="1" s="1"/>
  <c r="BX30" i="1"/>
  <c r="AO44" i="1"/>
  <c r="AP44" i="1"/>
  <c r="BY30" i="1"/>
  <c r="BZ30" i="1"/>
  <c r="AQ44" i="1"/>
  <c r="AU44" i="1"/>
  <c r="CD30" i="1"/>
  <c r="AX44" i="1"/>
  <c r="CG30" i="1"/>
  <c r="CI30" i="1"/>
  <c r="AZ44" i="1"/>
  <c r="CK30" i="1"/>
  <c r="BB44" i="1"/>
  <c r="CL30" i="1"/>
  <c r="BC44" i="1"/>
  <c r="CM30" i="1"/>
  <c r="BD44" i="1"/>
  <c r="CX30" i="3"/>
  <c r="CX29" i="3"/>
  <c r="CW29" i="3"/>
  <c r="CW28" i="3"/>
  <c r="CX36" i="3"/>
  <c r="CW27" i="3"/>
  <c r="CV26" i="3"/>
  <c r="CU26" i="3"/>
  <c r="CX31" i="3"/>
  <c r="CX35" i="3"/>
  <c r="CX27" i="3"/>
  <c r="CX37" i="3"/>
  <c r="CX26" i="3"/>
  <c r="CX34" i="3"/>
  <c r="CX33" i="3"/>
  <c r="CX32" i="3"/>
  <c r="P78" i="1"/>
  <c r="Q78" i="1"/>
  <c r="AD78" i="1"/>
  <c r="AB78" i="1" s="1"/>
  <c r="R78" i="1"/>
  <c r="AF84" i="1"/>
  <c r="CZ78" i="1"/>
  <c r="Y78" i="1" s="1"/>
  <c r="CY78" i="1"/>
  <c r="X78" i="1" s="1"/>
  <c r="CB76" i="1"/>
  <c r="AS84" i="1"/>
  <c r="CD76" i="1"/>
  <c r="AU84" i="1"/>
  <c r="P79" i="1"/>
  <c r="AB79" i="1"/>
  <c r="Q79" i="1"/>
  <c r="R79" i="1"/>
  <c r="GK79" i="1" s="1"/>
  <c r="CZ79" i="1"/>
  <c r="Y79" i="1" s="1"/>
  <c r="CY79" i="1"/>
  <c r="X79" i="1" s="1"/>
  <c r="P80" i="1"/>
  <c r="R80" i="1"/>
  <c r="GK80" i="1" s="1"/>
  <c r="AD80" i="1"/>
  <c r="AB80" i="1" s="1"/>
  <c r="Q80" i="1"/>
  <c r="CY80" i="1"/>
  <c r="X80" i="1" s="1"/>
  <c r="CZ80" i="1"/>
  <c r="Y80" i="1" s="1"/>
  <c r="P81" i="1"/>
  <c r="Q81" i="1"/>
  <c r="AD81" i="1"/>
  <c r="AB81" i="1" s="1"/>
  <c r="R81" i="1"/>
  <c r="GK81" i="1" s="1"/>
  <c r="CY81" i="1"/>
  <c r="X81" i="1" s="1"/>
  <c r="CZ81" i="1"/>
  <c r="Y81" i="1" s="1"/>
  <c r="P82" i="1"/>
  <c r="Q82" i="1"/>
  <c r="R82" i="1"/>
  <c r="GK82" i="1" s="1"/>
  <c r="AD82" i="1"/>
  <c r="AB82" i="1" s="1"/>
  <c r="CY82" i="1"/>
  <c r="X82" i="1" s="1"/>
  <c r="CZ82" i="1"/>
  <c r="Y82" i="1" s="1"/>
  <c r="F97" i="1"/>
  <c r="BB76" i="1"/>
  <c r="BC76" i="1"/>
  <c r="F100" i="1"/>
  <c r="F109" i="1"/>
  <c r="BD76" i="1"/>
  <c r="AO84" i="1"/>
  <c r="CG84" i="1"/>
  <c r="BX76" i="1"/>
  <c r="CI84" i="1"/>
  <c r="AP84" i="1"/>
  <c r="BY76" i="1"/>
  <c r="AQ84" i="1"/>
  <c r="BZ76" i="1"/>
  <c r="AI84" i="1"/>
  <c r="AH44" i="1"/>
  <c r="AH84" i="1"/>
  <c r="AG44" i="1"/>
  <c r="AI44" i="1"/>
  <c r="AJ44" i="1"/>
  <c r="CJ44" i="1"/>
  <c r="AG84" i="1"/>
  <c r="AJ84" i="1"/>
  <c r="CJ84" i="1"/>
  <c r="P59" i="7" l="1"/>
  <c r="J108" i="7" s="1"/>
  <c r="J59" i="7"/>
  <c r="P124" i="7"/>
  <c r="J124" i="7"/>
  <c r="Y124" i="7"/>
  <c r="I16" i="7" s="1"/>
  <c r="I14" i="7" s="1"/>
  <c r="O124" i="7"/>
  <c r="H150" i="7" s="1"/>
  <c r="H124" i="7"/>
  <c r="H108" i="7"/>
  <c r="DH5" i="3"/>
  <c r="DI5" i="3"/>
  <c r="DF5" i="3"/>
  <c r="DG5" i="3"/>
  <c r="DJ5" i="3" s="1"/>
  <c r="DH7" i="3"/>
  <c r="DG7" i="3"/>
  <c r="DJ7" i="3" s="1"/>
  <c r="DI7" i="3"/>
  <c r="DF7" i="3"/>
  <c r="DI9" i="3"/>
  <c r="DG9" i="3"/>
  <c r="DJ9" i="3" s="1"/>
  <c r="DH9" i="3"/>
  <c r="DF9" i="3"/>
  <c r="AC44" i="1"/>
  <c r="CP32" i="1"/>
  <c r="O32" i="1" s="1"/>
  <c r="AE44" i="1"/>
  <c r="GK32" i="1"/>
  <c r="S44" i="1"/>
  <c r="AF30" i="1"/>
  <c r="DI14" i="3"/>
  <c r="DH14" i="3"/>
  <c r="DG14" i="3"/>
  <c r="DF14" i="3"/>
  <c r="DJ14" i="3" s="1"/>
  <c r="DI15" i="3"/>
  <c r="DH15" i="3"/>
  <c r="DG15" i="3"/>
  <c r="DF15" i="3"/>
  <c r="DJ15" i="3" s="1"/>
  <c r="DI13" i="3"/>
  <c r="DH13" i="3"/>
  <c r="DG13" i="3"/>
  <c r="DF13" i="3"/>
  <c r="DJ13" i="3" s="1"/>
  <c r="DI16" i="3"/>
  <c r="DJ16" i="3" s="1"/>
  <c r="DH16" i="3"/>
  <c r="DG16" i="3"/>
  <c r="DF16" i="3"/>
  <c r="DI17" i="3"/>
  <c r="DH17" i="3"/>
  <c r="DG17" i="3"/>
  <c r="DJ17" i="3" s="1"/>
  <c r="DF17" i="3"/>
  <c r="DI18" i="3"/>
  <c r="DH18" i="3"/>
  <c r="DG18" i="3"/>
  <c r="DJ18" i="3" s="1"/>
  <c r="DF18" i="3"/>
  <c r="DI22" i="3"/>
  <c r="DH22" i="3"/>
  <c r="DG22" i="3"/>
  <c r="DJ22" i="3" s="1"/>
  <c r="DF22" i="3"/>
  <c r="DI24" i="3"/>
  <c r="DH24" i="3"/>
  <c r="DG24" i="3"/>
  <c r="DF24" i="3"/>
  <c r="DJ24" i="3" s="1"/>
  <c r="DI23" i="3"/>
  <c r="DH23" i="3"/>
  <c r="DG23" i="3"/>
  <c r="DF23" i="3"/>
  <c r="DJ23" i="3" s="1"/>
  <c r="DI21" i="3"/>
  <c r="DJ21" i="3" s="1"/>
  <c r="DH21" i="3"/>
  <c r="DG21" i="3"/>
  <c r="DF21" i="3"/>
  <c r="DI25" i="3"/>
  <c r="DJ25" i="3" s="1"/>
  <c r="DH25" i="3"/>
  <c r="DG25" i="3"/>
  <c r="DF25" i="3"/>
  <c r="AO30" i="1"/>
  <c r="F48" i="1"/>
  <c r="AO114" i="1"/>
  <c r="F53" i="1"/>
  <c r="AP30" i="1"/>
  <c r="AP114" i="1"/>
  <c r="AQ30" i="1"/>
  <c r="F54" i="1"/>
  <c r="AQ114" i="1"/>
  <c r="F63" i="1"/>
  <c r="AU30" i="1"/>
  <c r="AU114" i="1"/>
  <c r="AX30" i="1"/>
  <c r="F51" i="1"/>
  <c r="AX114" i="1"/>
  <c r="AZ30" i="1"/>
  <c r="AZ114" i="1"/>
  <c r="F55" i="1"/>
  <c r="BB30" i="1"/>
  <c r="F57" i="1"/>
  <c r="BB114" i="1"/>
  <c r="BC30" i="1"/>
  <c r="BC114" i="1"/>
  <c r="F60" i="1"/>
  <c r="BD30" i="1"/>
  <c r="BD114" i="1"/>
  <c r="F69" i="1"/>
  <c r="DI30" i="3"/>
  <c r="DH30" i="3"/>
  <c r="DG30" i="3"/>
  <c r="DF30" i="3"/>
  <c r="DJ30" i="3" s="1"/>
  <c r="DI29" i="3"/>
  <c r="DH29" i="3"/>
  <c r="DG29" i="3"/>
  <c r="DJ29" i="3" s="1"/>
  <c r="DF29" i="3"/>
  <c r="DI36" i="3"/>
  <c r="DH36" i="3"/>
  <c r="DG36" i="3"/>
  <c r="DF36" i="3"/>
  <c r="DJ36" i="3" s="1"/>
  <c r="DI31" i="3"/>
  <c r="DH31" i="3"/>
  <c r="DG31" i="3"/>
  <c r="DF31" i="3"/>
  <c r="DJ31" i="3" s="1"/>
  <c r="DI35" i="3"/>
  <c r="DH35" i="3"/>
  <c r="DG35" i="3"/>
  <c r="DF35" i="3"/>
  <c r="DJ35" i="3" s="1"/>
  <c r="DI27" i="3"/>
  <c r="DH27" i="3"/>
  <c r="DG27" i="3"/>
  <c r="DJ27" i="3" s="1"/>
  <c r="DF27" i="3"/>
  <c r="DI37" i="3"/>
  <c r="DH37" i="3"/>
  <c r="DG37" i="3"/>
  <c r="DF37" i="3"/>
  <c r="DJ37" i="3" s="1"/>
  <c r="DI26" i="3"/>
  <c r="DJ26" i="3" s="1"/>
  <c r="DH26" i="3"/>
  <c r="DG26" i="3"/>
  <c r="DF26" i="3"/>
  <c r="DI34" i="3"/>
  <c r="DH34" i="3"/>
  <c r="DG34" i="3"/>
  <c r="DF34" i="3"/>
  <c r="DJ34" i="3" s="1"/>
  <c r="DI33" i="3"/>
  <c r="DH33" i="3"/>
  <c r="DG33" i="3"/>
  <c r="DF33" i="3"/>
  <c r="DJ33" i="3" s="1"/>
  <c r="DI32" i="3"/>
  <c r="DH32" i="3"/>
  <c r="DG32" i="3"/>
  <c r="DF32" i="3"/>
  <c r="DJ32" i="3" s="1"/>
  <c r="AC84" i="1"/>
  <c r="CP78" i="1"/>
  <c r="O78" i="1" s="1"/>
  <c r="AE84" i="1"/>
  <c r="GK78" i="1"/>
  <c r="AF76" i="1"/>
  <c r="S84" i="1"/>
  <c r="F101" i="1"/>
  <c r="AS76" i="1"/>
  <c r="F103" i="1"/>
  <c r="AU76" i="1"/>
  <c r="F88" i="1"/>
  <c r="AO76" i="1"/>
  <c r="CG76" i="1"/>
  <c r="AX84" i="1"/>
  <c r="CI76" i="1"/>
  <c r="AZ84" i="1"/>
  <c r="F93" i="1"/>
  <c r="AP76" i="1"/>
  <c r="F94" i="1"/>
  <c r="AQ76" i="1"/>
  <c r="AI76" i="1"/>
  <c r="V84" i="1"/>
  <c r="AH30" i="1"/>
  <c r="U44" i="1"/>
  <c r="U84" i="1"/>
  <c r="AH76" i="1"/>
  <c r="T44" i="1"/>
  <c r="AG30" i="1"/>
  <c r="AI30" i="1"/>
  <c r="V44" i="1"/>
  <c r="W44" i="1"/>
  <c r="AJ30" i="1"/>
  <c r="CJ30" i="1"/>
  <c r="BA44" i="1"/>
  <c r="AG76" i="1"/>
  <c r="T84" i="1"/>
  <c r="AJ76" i="1"/>
  <c r="W84" i="1"/>
  <c r="BA84" i="1"/>
  <c r="CJ76" i="1"/>
  <c r="CP37" i="1"/>
  <c r="O37" i="1" s="1"/>
  <c r="GM37" i="1" s="1"/>
  <c r="GN37" i="1" s="1"/>
  <c r="CP38" i="1"/>
  <c r="O38" i="1" s="1"/>
  <c r="GM38" i="1" s="1"/>
  <c r="GN38" i="1" s="1"/>
  <c r="CP39" i="1"/>
  <c r="O39" i="1" s="1"/>
  <c r="GM39" i="1" s="1"/>
  <c r="GN39" i="1" s="1"/>
  <c r="CP41" i="1"/>
  <c r="O41" i="1" s="1"/>
  <c r="GM41" i="1" s="1"/>
  <c r="GO41" i="1" s="1"/>
  <c r="CC44" i="1" s="1"/>
  <c r="CP42" i="1"/>
  <c r="O42" i="1" s="1"/>
  <c r="GM42" i="1" s="1"/>
  <c r="GN42" i="1" s="1"/>
  <c r="AK84" i="1"/>
  <c r="CP81" i="1"/>
  <c r="O81" i="1" s="1"/>
  <c r="GM81" i="1" s="1"/>
  <c r="GO81" i="1" s="1"/>
  <c r="CP82" i="1"/>
  <c r="O82" i="1" s="1"/>
  <c r="GM82" i="1" s="1"/>
  <c r="GO82" i="1" s="1"/>
  <c r="AK44" i="1"/>
  <c r="AD84" i="1"/>
  <c r="AL44" i="1"/>
  <c r="CP40" i="1"/>
  <c r="O40" i="1" s="1"/>
  <c r="GM40" i="1" s="1"/>
  <c r="GN40" i="1" s="1"/>
  <c r="AL84" i="1"/>
  <c r="CP79" i="1"/>
  <c r="O79" i="1" s="1"/>
  <c r="GM79" i="1" s="1"/>
  <c r="GO79" i="1" s="1"/>
  <c r="CP80" i="1"/>
  <c r="O80" i="1" s="1"/>
  <c r="GM80" i="1" s="1"/>
  <c r="GO80" i="1" s="1"/>
  <c r="AD44" i="1"/>
  <c r="CP33" i="1"/>
  <c r="O33" i="1" s="1"/>
  <c r="GM33" i="1" s="1"/>
  <c r="GN33" i="1" s="1"/>
  <c r="CP34" i="1"/>
  <c r="O34" i="1" s="1"/>
  <c r="GM34" i="1" s="1"/>
  <c r="GN34" i="1" s="1"/>
  <c r="CP35" i="1"/>
  <c r="O35" i="1" s="1"/>
  <c r="GM35" i="1" s="1"/>
  <c r="GN35" i="1" s="1"/>
  <c r="J142" i="7" l="1"/>
  <c r="J146" i="7"/>
  <c r="J150" i="7"/>
  <c r="H142" i="7"/>
  <c r="H146" i="7"/>
  <c r="AC30" i="1"/>
  <c r="P44" i="1"/>
  <c r="CH44" i="1"/>
  <c r="CF44" i="1"/>
  <c r="CE44" i="1"/>
  <c r="AB44" i="1"/>
  <c r="GM32" i="1"/>
  <c r="AE30" i="1"/>
  <c r="R44" i="1"/>
  <c r="F59" i="1"/>
  <c r="S114" i="1"/>
  <c r="S30" i="1"/>
  <c r="AO26" i="1"/>
  <c r="AO144" i="1"/>
  <c r="F118" i="1"/>
  <c r="AP26" i="1"/>
  <c r="AP144" i="1"/>
  <c r="F123" i="1"/>
  <c r="AQ26" i="1"/>
  <c r="AQ144" i="1"/>
  <c r="F124" i="1"/>
  <c r="AU26" i="1"/>
  <c r="AU144" i="1"/>
  <c r="F133" i="1"/>
  <c r="AX26" i="1"/>
  <c r="AX144" i="1"/>
  <c r="F121" i="1"/>
  <c r="AZ26" i="1"/>
  <c r="AZ144" i="1"/>
  <c r="F125" i="1"/>
  <c r="BB26" i="1"/>
  <c r="BB144" i="1"/>
  <c r="F127" i="1"/>
  <c r="BC26" i="1"/>
  <c r="BC144" i="1"/>
  <c r="F130" i="1"/>
  <c r="BD26" i="1"/>
  <c r="BD144" i="1"/>
  <c r="F139" i="1"/>
  <c r="AC76" i="1"/>
  <c r="P84" i="1"/>
  <c r="CH84" i="1"/>
  <c r="CF84" i="1"/>
  <c r="CE84" i="1"/>
  <c r="AB84" i="1"/>
  <c r="GM78" i="1"/>
  <c r="AE76" i="1"/>
  <c r="R84" i="1"/>
  <c r="F99" i="1"/>
  <c r="S76" i="1"/>
  <c r="F91" i="1"/>
  <c r="AX76" i="1"/>
  <c r="F95" i="1"/>
  <c r="AZ76" i="1"/>
  <c r="F107" i="1"/>
  <c r="V76" i="1"/>
  <c r="U30" i="1"/>
  <c r="F66" i="1"/>
  <c r="U114" i="1"/>
  <c r="U76" i="1"/>
  <c r="F106" i="1"/>
  <c r="T30" i="1"/>
  <c r="T114" i="1"/>
  <c r="F65" i="1"/>
  <c r="V114" i="1"/>
  <c r="F67" i="1"/>
  <c r="V30" i="1"/>
  <c r="W30" i="1"/>
  <c r="F68" i="1"/>
  <c r="W114" i="1"/>
  <c r="F64" i="1"/>
  <c r="BA30" i="1"/>
  <c r="BA114" i="1"/>
  <c r="T76" i="1"/>
  <c r="F105" i="1"/>
  <c r="W76" i="1"/>
  <c r="F108" i="1"/>
  <c r="F104" i="1"/>
  <c r="BA76" i="1"/>
  <c r="CC30" i="1"/>
  <c r="AT44" i="1"/>
  <c r="X84" i="1"/>
  <c r="AK76" i="1"/>
  <c r="AK30" i="1"/>
  <c r="X44" i="1"/>
  <c r="AD76" i="1"/>
  <c r="Q84" i="1"/>
  <c r="AL30" i="1"/>
  <c r="Y44" i="1"/>
  <c r="AL76" i="1"/>
  <c r="Y84" i="1"/>
  <c r="AD30" i="1"/>
  <c r="Q44" i="1"/>
  <c r="P30" i="1" l="1"/>
  <c r="P114" i="1"/>
  <c r="F47" i="1"/>
  <c r="CH30" i="1"/>
  <c r="AY44" i="1"/>
  <c r="AW44" i="1"/>
  <c r="CF30" i="1"/>
  <c r="CE30" i="1"/>
  <c r="AV44" i="1"/>
  <c r="O44" i="1"/>
  <c r="AB30" i="1"/>
  <c r="GN32" i="1"/>
  <c r="CB44" i="1" s="1"/>
  <c r="CA44" i="1"/>
  <c r="R30" i="1"/>
  <c r="R114" i="1"/>
  <c r="F58" i="1"/>
  <c r="S26" i="1"/>
  <c r="S144" i="1"/>
  <c r="F129" i="1"/>
  <c r="AO22" i="1"/>
  <c r="AO174" i="1"/>
  <c r="F148" i="1"/>
  <c r="AP22" i="1"/>
  <c r="AP174" i="1"/>
  <c r="F153" i="1"/>
  <c r="G16" i="2" s="1"/>
  <c r="AQ174" i="1"/>
  <c r="AQ22" i="1"/>
  <c r="F154" i="1"/>
  <c r="AU174" i="1"/>
  <c r="AU22" i="1"/>
  <c r="F163" i="1"/>
  <c r="AX174" i="1"/>
  <c r="AX22" i="1"/>
  <c r="F151" i="1"/>
  <c r="AZ174" i="1"/>
  <c r="AZ22" i="1"/>
  <c r="F155" i="1"/>
  <c r="BB174" i="1"/>
  <c r="BB22" i="1"/>
  <c r="F157" i="1"/>
  <c r="BC174" i="1"/>
  <c r="BC22" i="1"/>
  <c r="F160" i="1"/>
  <c r="BD174" i="1"/>
  <c r="BD22" i="1"/>
  <c r="F169" i="1"/>
  <c r="P76" i="1"/>
  <c r="F87" i="1"/>
  <c r="CH76" i="1"/>
  <c r="AY84" i="1"/>
  <c r="CF76" i="1"/>
  <c r="AW84" i="1"/>
  <c r="CE76" i="1"/>
  <c r="AV84" i="1"/>
  <c r="O84" i="1"/>
  <c r="AB76" i="1"/>
  <c r="CA84" i="1"/>
  <c r="GO78" i="1"/>
  <c r="CC84" i="1" s="1"/>
  <c r="R76" i="1"/>
  <c r="F98" i="1"/>
  <c r="U26" i="1"/>
  <c r="U144" i="1"/>
  <c r="F136" i="1"/>
  <c r="T26" i="1"/>
  <c r="T144" i="1"/>
  <c r="F135" i="1"/>
  <c r="V26" i="1"/>
  <c r="V144" i="1"/>
  <c r="F137" i="1"/>
  <c r="W26" i="1"/>
  <c r="W144" i="1"/>
  <c r="F138" i="1"/>
  <c r="BA26" i="1"/>
  <c r="BA144" i="1"/>
  <c r="F134" i="1"/>
  <c r="AT30" i="1"/>
  <c r="F62" i="1"/>
  <c r="X76" i="1"/>
  <c r="F110" i="1"/>
  <c r="X30" i="1"/>
  <c r="X114" i="1"/>
  <c r="F70" i="1"/>
  <c r="F96" i="1"/>
  <c r="Q76" i="1"/>
  <c r="Y30" i="1"/>
  <c r="Y114" i="1"/>
  <c r="F71" i="1"/>
  <c r="F111" i="1"/>
  <c r="Y76" i="1"/>
  <c r="Q114" i="1"/>
  <c r="F56" i="1"/>
  <c r="Q30" i="1"/>
  <c r="P26" i="1" l="1"/>
  <c r="P144" i="1"/>
  <c r="F117" i="1"/>
  <c r="AY30" i="1"/>
  <c r="F52" i="1"/>
  <c r="AY114" i="1"/>
  <c r="AW30" i="1"/>
  <c r="AW114" i="1"/>
  <c r="F50" i="1"/>
  <c r="AV30" i="1"/>
  <c r="AV114" i="1"/>
  <c r="F49" i="1"/>
  <c r="O30" i="1"/>
  <c r="F46" i="1"/>
  <c r="O114" i="1"/>
  <c r="CB30" i="1"/>
  <c r="AS44" i="1"/>
  <c r="AR44" i="1"/>
  <c r="CA30" i="1"/>
  <c r="R26" i="1"/>
  <c r="R144" i="1"/>
  <c r="F128" i="1"/>
  <c r="S174" i="1"/>
  <c r="S22" i="1"/>
  <c r="F159" i="1"/>
  <c r="F178" i="1"/>
  <c r="AO18" i="1"/>
  <c r="AP18" i="1"/>
  <c r="F183" i="1"/>
  <c r="AQ18" i="1"/>
  <c r="F184" i="1"/>
  <c r="AU18" i="1"/>
  <c r="F193" i="1"/>
  <c r="AX18" i="1"/>
  <c r="F181" i="1"/>
  <c r="F185" i="1"/>
  <c r="AZ18" i="1"/>
  <c r="BB18" i="1"/>
  <c r="F187" i="1"/>
  <c r="F190" i="1"/>
  <c r="BC18" i="1"/>
  <c r="BD18" i="1"/>
  <c r="F199" i="1"/>
  <c r="F92" i="1"/>
  <c r="AY76" i="1"/>
  <c r="F90" i="1"/>
  <c r="AW76" i="1"/>
  <c r="F89" i="1"/>
  <c r="AV76" i="1"/>
  <c r="O76" i="1"/>
  <c r="F86" i="1"/>
  <c r="CA76" i="1"/>
  <c r="AR84" i="1"/>
  <c r="CC76" i="1"/>
  <c r="AT84" i="1"/>
  <c r="U22" i="1"/>
  <c r="U174" i="1"/>
  <c r="F166" i="1"/>
  <c r="T174" i="1"/>
  <c r="T22" i="1"/>
  <c r="F165" i="1"/>
  <c r="V174" i="1"/>
  <c r="V22" i="1"/>
  <c r="F167" i="1"/>
  <c r="W174" i="1"/>
  <c r="W22" i="1"/>
  <c r="F168" i="1"/>
  <c r="BA22" i="1"/>
  <c r="BA174" i="1"/>
  <c r="F164" i="1"/>
  <c r="H16" i="2" s="1"/>
  <c r="X26" i="1"/>
  <c r="X144" i="1"/>
  <c r="F140" i="1"/>
  <c r="Y26" i="1"/>
  <c r="Y144" i="1"/>
  <c r="F141" i="1"/>
  <c r="Q26" i="1"/>
  <c r="Q144" i="1"/>
  <c r="F126" i="1"/>
  <c r="P174" i="1" l="1"/>
  <c r="P22" i="1"/>
  <c r="F147" i="1"/>
  <c r="AY26" i="1"/>
  <c r="AY144" i="1"/>
  <c r="F122" i="1"/>
  <c r="AW26" i="1"/>
  <c r="AW144" i="1"/>
  <c r="F120" i="1"/>
  <c r="AV26" i="1"/>
  <c r="AV144" i="1"/>
  <c r="F119" i="1"/>
  <c r="O26" i="1"/>
  <c r="O144" i="1"/>
  <c r="F116" i="1"/>
  <c r="F61" i="1"/>
  <c r="AS30" i="1"/>
  <c r="AS114" i="1"/>
  <c r="AR30" i="1"/>
  <c r="F72" i="1"/>
  <c r="AR114" i="1"/>
  <c r="R22" i="1"/>
  <c r="R174" i="1"/>
  <c r="F158" i="1"/>
  <c r="J16" i="2" s="1"/>
  <c r="F189" i="1"/>
  <c r="S18" i="1"/>
  <c r="F112" i="1"/>
  <c r="AR76" i="1"/>
  <c r="AT114" i="1"/>
  <c r="F102" i="1"/>
  <c r="AT76" i="1"/>
  <c r="F196" i="1"/>
  <c r="U18" i="1"/>
  <c r="T18" i="1"/>
  <c r="F195" i="1"/>
  <c r="F197" i="1"/>
  <c r="V18" i="1"/>
  <c r="W18" i="1"/>
  <c r="F198" i="1"/>
  <c r="BA18" i="1"/>
  <c r="F194" i="1"/>
  <c r="X22" i="1"/>
  <c r="X174" i="1"/>
  <c r="F170" i="1"/>
  <c r="Y174" i="1"/>
  <c r="Y22" i="1"/>
  <c r="F171" i="1"/>
  <c r="Q174" i="1"/>
  <c r="Q22" i="1"/>
  <c r="F156" i="1"/>
  <c r="F177" i="1" l="1"/>
  <c r="P18" i="1"/>
  <c r="AY22" i="1"/>
  <c r="AY174" i="1"/>
  <c r="F152" i="1"/>
  <c r="AW174" i="1"/>
  <c r="AW22" i="1"/>
  <c r="F150" i="1"/>
  <c r="AV174" i="1"/>
  <c r="AV22" i="1"/>
  <c r="F149" i="1"/>
  <c r="O174" i="1"/>
  <c r="O22" i="1"/>
  <c r="F146" i="1"/>
  <c r="AS26" i="1"/>
  <c r="AS144" i="1"/>
  <c r="F131" i="1"/>
  <c r="AR26" i="1"/>
  <c r="AR144" i="1"/>
  <c r="F142" i="1"/>
  <c r="F188" i="1"/>
  <c r="R18" i="1"/>
  <c r="F132" i="1"/>
  <c r="AT144" i="1"/>
  <c r="AT26" i="1"/>
  <c r="X18" i="1"/>
  <c r="F200" i="1"/>
  <c r="F201" i="1"/>
  <c r="Y18" i="1"/>
  <c r="Q18" i="1"/>
  <c r="F186" i="1"/>
  <c r="F182" i="1" l="1"/>
  <c r="AY18" i="1"/>
  <c r="F180" i="1"/>
  <c r="AW18" i="1"/>
  <c r="AV18" i="1"/>
  <c r="F179" i="1"/>
  <c r="O18" i="1"/>
  <c r="F176" i="1"/>
  <c r="AS22" i="1"/>
  <c r="AS174" i="1"/>
  <c r="F161" i="1"/>
  <c r="E16" i="2" s="1"/>
  <c r="I16" i="2" s="1"/>
  <c r="N16" i="2" s="1"/>
  <c r="AR174" i="1"/>
  <c r="AR22" i="1"/>
  <c r="F172" i="1"/>
  <c r="AT174" i="1"/>
  <c r="AT22" i="1"/>
  <c r="F162" i="1"/>
  <c r="F16" i="2" s="1"/>
  <c r="AS18" i="1" l="1"/>
  <c r="F191" i="1"/>
  <c r="AR18" i="1"/>
  <c r="F202" i="1"/>
  <c r="F203" i="1" s="1"/>
  <c r="AT18" i="1"/>
  <c r="F192" i="1"/>
</calcChain>
</file>

<file path=xl/sharedStrings.xml><?xml version="1.0" encoding="utf-8"?>
<sst xmlns="http://schemas.openxmlformats.org/spreadsheetml/2006/main" count="2624" uniqueCount="358">
  <si>
    <t>Smeta.RU  (495) 974-1589</t>
  </si>
  <si>
    <t>_PS_</t>
  </si>
  <si>
    <t>Smeta.RU</t>
  </si>
  <si>
    <t/>
  </si>
  <si>
    <t>02-01-08  Закрытый переход_(2 этап)</t>
  </si>
  <si>
    <t>02-01-08  Закрытый переход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</si>
  <si>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</si>
  <si>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</si>
  <si>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</si>
  <si>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</si>
  <si>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</si>
  <si>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</si>
  <si>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</si>
  <si>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</si>
  <si>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Закрытые переходы</t>
  </si>
  <si>
    <t>Новый раздел</t>
  </si>
  <si>
    <t>Закрытый переход 2 сквх3тр (104,1м; 113,4м)</t>
  </si>
  <si>
    <t>Новый подраздел</t>
  </si>
  <si>
    <t>Строительные работы</t>
  </si>
  <si>
    <t>1</t>
  </si>
  <si>
    <t>3.1-51-1</t>
  </si>
  <si>
    <t>Разработка грунта вручную в траншеях глубиной до 2 м без креплений с откосами группа грунтов 1-3</t>
  </si>
  <si>
    <t>100 м3 грунта</t>
  </si>
  <si>
    <t>ТСН-2001.3. Доп. 1-42. Сб. 1, т. 51, поз. 1</t>
  </si>
  <si>
    <t>*1,05</t>
  </si>
  <si>
    <t>ТСН-2001.3-1. 1-49...1-55</t>
  </si>
  <si>
    <t>ТСН-2001.3-1-15</t>
  </si>
  <si>
    <t>Поправка: О.П. п.3.4.30.г</t>
  </si>
  <si>
    <t>2</t>
  </si>
  <si>
    <t>3.1-53-1</t>
  </si>
  <si>
    <t>Засыпка вручную траншей, пазух котлованов и ям группа грунтов 1-3</t>
  </si>
  <si>
    <t>ТСН-2001.3. Доп. 1-42. Сб. 1, т. 53, поз. 1</t>
  </si>
  <si>
    <t>3</t>
  </si>
  <si>
    <t>3.4-23-3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</si>
  <si>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500 кН для труб Dy = 400 мм длиной до 400 м</t>
  </si>
  <si>
    <t>1 М</t>
  </si>
  <si>
    <t>ТСН-2001.3 Доп. 69, Сб. 4, т. 23, поз. 3</t>
  </si>
  <si>
    <t>ТСН-2001.3-4. 4-23-1...4-23-5 (доп. 47)</t>
  </si>
  <si>
    <t>ТСН-2001.3-4-4</t>
  </si>
  <si>
    <t>3,1</t>
  </si>
  <si>
    <t>1.1-1-1835</t>
  </si>
  <si>
    <t>Бентонит натриевый тонкого помола с содержанием органических полимеров, для сгущения, увеличения объема и придания гелеобразующих свойств буровым растворам, укрепления, снижения просачивания воды в стенках каналов</t>
  </si>
  <si>
    <t>кг</t>
  </si>
  <si>
    <t>ТСН-2001.1 Доп. 49, Р. 1, о. 1, поз. 1835</t>
  </si>
  <si>
    <t>3,2</t>
  </si>
  <si>
    <t>1.1-1-3290</t>
  </si>
  <si>
    <t>л</t>
  </si>
  <si>
    <t>ТСН-2001.1 Доп. 67, Р. 1, о. 1, поз. 3290</t>
  </si>
  <si>
    <t>4</t>
  </si>
  <si>
    <t>Цена поставщика</t>
  </si>
  <si>
    <t>Трубы из полиэтилена  ТЗК Энергопласт ТСЗ 160*8,9 Sn 16 F3</t>
  </si>
  <si>
    <t>м</t>
  </si>
  <si>
    <t>Материалы</t>
  </si>
  <si>
    <t>Материалы, изделия и конструкции</t>
  </si>
  <si>
    <t>[939,56 /  9,74]</t>
  </si>
  <si>
    <t>0</t>
  </si>
  <si>
    <t>5</t>
  </si>
  <si>
    <t>3.4-21-2</t>
  </si>
  <si>
    <t>Монтаж установки горизонтально направленного бурения с тяговым усилием до 500 кН</t>
  </si>
  <si>
    <t>1  ШТ.</t>
  </si>
  <si>
    <t>ТСН-2001.3 Доп. 68, Сб. 4, т. 21, поз. 2</t>
  </si>
  <si>
    <t>ТСН-2001.3-4. 4-21-1...4-21-4 (доп. 47)</t>
  </si>
  <si>
    <t>ТСН-2001.3-4-2</t>
  </si>
  <si>
    <t>6</t>
  </si>
  <si>
    <t>3.4-21-4</t>
  </si>
  <si>
    <t>Демонтаж установки горизонтального направленного бурения с тяговым усилием до 500 кН</t>
  </si>
  <si>
    <t>ТСН-2001.3 Доп. 68, Сб. 4, т. 21, поз. 4</t>
  </si>
  <si>
    <t>7</t>
  </si>
  <si>
    <t>3.22-73-2</t>
  </si>
  <si>
    <t>Сварка полиэтиленовых труб номинальным наружным диаметром 140 мм - 160 мм</t>
  </si>
  <si>
    <t>1 стык</t>
  </si>
  <si>
    <t>ТСН-2001.3 Доп. 68, Сб. 22, т. 73, поз. 2</t>
  </si>
  <si>
    <t>ТСН-2001.3-22. 22-73-1...22-73-16 (доп. 60)</t>
  </si>
  <si>
    <t>ТСН-2001.3-22-9</t>
  </si>
  <si>
    <t>8</t>
  </si>
  <si>
    <t>4.10-115-29</t>
  </si>
  <si>
    <t>Разные работы, герметизация свободного канала кабельной канализации</t>
  </si>
  <si>
    <t>канал</t>
  </si>
  <si>
    <t>ТСН-2001.4. Доп. 1-42. Сб. 10, т. 115, поз. 29</t>
  </si>
  <si>
    <t>Монтаж оборудования</t>
  </si>
  <si>
    <t>ТСН-2001.4-10. 10-115-26...10-115-33</t>
  </si>
  <si>
    <t>ТСН-2001.4-10-3</t>
  </si>
  <si>
    <t>9</t>
  </si>
  <si>
    <t>1.12-3-62</t>
  </si>
  <si>
    <t>Заглушки (пробки) полиэтиленовые для каналов кабельной канализации из хризотилцементных труб внутренним диаметром 150 мм</t>
  </si>
  <si>
    <t>шт.</t>
  </si>
  <si>
    <t>ТСН-2001.1 Доп. 70, Р. 12, о. 3, поз. 62</t>
  </si>
  <si>
    <t>Материалы строительные</t>
  </si>
  <si>
    <t>ТСН-2001.1 Материалы строительные</t>
  </si>
  <si>
    <t>ТСН-2001.1-1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</si>
  <si>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</si>
  <si>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</si>
  <si>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</si>
  <si>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</si>
  <si>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</si>
  <si>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</si>
  <si>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</si>
  <si>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</si>
  <si>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</si>
  <si>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</si>
  <si>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</si>
  <si>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</si>
  <si>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</si>
  <si>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</si>
  <si>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</si>
  <si>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</si>
  <si>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</si>
  <si>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</si>
  <si>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</si>
  <si>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</si>
  <si>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</si>
  <si>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</si>
  <si>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</si>
  <si>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</si>
  <si>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</si>
  <si>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</si>
  <si>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</si>
  <si>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</si>
  <si>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</si>
  <si>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</si>
  <si>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</si>
  <si>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</si>
  <si>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</si>
  <si>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</si>
  <si>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</si>
  <si>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</si>
  <si>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</si>
  <si>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</si>
  <si>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</si>
  <si>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</si>
  <si>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</si>
  <si>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</si>
  <si>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</si>
  <si>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</si>
  <si>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</si>
  <si>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</si>
  <si>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</si>
  <si>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</si>
  <si>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</si>
  <si>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</si>
  <si>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</si>
  <si>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</si>
  <si>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</si>
  <si>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</si>
  <si>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Монтажные работы</t>
  </si>
  <si>
    <t>10</t>
  </si>
  <si>
    <t>4.8-80-2</t>
  </si>
  <si>
    <t>Прокладка кабеля напряжением до 35 кВ в проложенных трубах, блоках и коробах, при массе 1 м до 2 кг</t>
  </si>
  <si>
    <t>100 М КАБЕЛЯ</t>
  </si>
  <si>
    <t>ТСН-2001.4 Доп. 69, Сб. 8, т. 80, поз. 2</t>
  </si>
  <si>
    <t>ТСН-2001.4-8. 8-73...8-80</t>
  </si>
  <si>
    <t>ТСН-2001.4-8-3</t>
  </si>
  <si>
    <t>10,1</t>
  </si>
  <si>
    <t>1.23-7-391</t>
  </si>
  <si>
    <t>Кабель силовой с алюминиевой многопроволочной жилой, с изоляцией из сшитого полиэтилена, с медным экраном, с водоблокирующей лентой под металлическим экраном, марка АПвПуг, напряжение 10000 В, число жил, сечение жилы, экран 1х120/35 мм2</t>
  </si>
  <si>
    <t>км</t>
  </si>
  <si>
    <t>ТСН-2001.1 Доп. 73, Р. 23, о. 7, поз. 391</t>
  </si>
  <si>
    <t>11</t>
  </si>
  <si>
    <t>Материалы монтажные</t>
  </si>
  <si>
    <t>ТСН-2001.1 Материалы монтажные</t>
  </si>
  <si>
    <t>ТСН-2001.1-2</t>
  </si>
  <si>
    <t>12</t>
  </si>
  <si>
    <t>4.8-301-1</t>
  </si>
  <si>
    <t>Монтаж уплотнителя кабельного прохода термоусаживаемого</t>
  </si>
  <si>
    <t>100 компл.</t>
  </si>
  <si>
    <t>ТСН-2001.4 Доп. 68, Сб. 8, т. 301, поз. 1</t>
  </si>
  <si>
    <t>ТСН-2001.4-8. 8-301…8-309 (доп. 30)</t>
  </si>
  <si>
    <t>ТСН-2001.4-8-34</t>
  </si>
  <si>
    <t>13</t>
  </si>
  <si>
    <t>1.21-5-1069</t>
  </si>
  <si>
    <t>Уплотнитель кабельных проходов, типа УКПТ</t>
  </si>
  <si>
    <t>КОМПЛЕКТ</t>
  </si>
  <si>
    <t>ТСН-2001.1 Доп. 73, Р. 21, о. 5, поз. 1069</t>
  </si>
  <si>
    <t>и1</t>
  </si>
  <si>
    <t>Итого:</t>
  </si>
  <si>
    <t>Инд_исп.Сводный</t>
  </si>
  <si>
    <t>Используется Индекс "по сводному"</t>
  </si>
  <si>
    <t>Текущий 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</si>
  <si>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</si>
  <si>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</si>
  <si>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</si>
  <si>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</si>
  <si>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</si>
  <si>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</si>
  <si>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</si>
  <si>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2.1-11-91</t>
  </si>
  <si>
    <t>ТСН-2001.2. Доп. 68. п.1-11-91 (110701)</t>
  </si>
  <si>
    <t>Насосы водоотливные, производительность до 54 м3/ч, мощность до 3,2 кВт (4,8 л.с)</t>
  </si>
  <si>
    <t>маш.-ч</t>
  </si>
  <si>
    <t>2.1-17-203</t>
  </si>
  <si>
    <t>ТСН-2001.2. Доп. 68. п.1-17-203 (172706)</t>
  </si>
  <si>
    <t>Установки направленного бурения, тяговое усилие до 500 кН</t>
  </si>
  <si>
    <t>2.1-17-49</t>
  </si>
  <si>
    <t>ТСН-2001.2. Доп. 68. п.1-17-49 (176802)</t>
  </si>
  <si>
    <t>Машины комбинированные илососные промывочные на базе автомобиля, объем цистерн до 10 м3, производительность до 720 м3/ч</t>
  </si>
  <si>
    <t>2.1-18-23</t>
  </si>
  <si>
    <t>ТСН-2001.2. Доп. 68. п.1-18-23 (183201)</t>
  </si>
  <si>
    <t>Автомобили бортовые с краном-манипулятором, грузоподъемность до 6 т</t>
  </si>
  <si>
    <t>2.1-3-69</t>
  </si>
  <si>
    <t>ТСН-2001.2. Доп. 68. п.1-3-69 (038003)</t>
  </si>
  <si>
    <t>Трубоукладчики, диаметр труб до 400 мм</t>
  </si>
  <si>
    <t>2.1-5-18</t>
  </si>
  <si>
    <t>ТСН-2001.2. Доп. 68. п.1-5-18 (050902)</t>
  </si>
  <si>
    <t>Машины поливомоечные, емкость цистерны до 8 м3</t>
  </si>
  <si>
    <t>2.1-6-79</t>
  </si>
  <si>
    <t>ТСН-2001.2. Доп. 68. п.1-6-79 (061105)</t>
  </si>
  <si>
    <t>Установки смесительные стационарные для приготовления бентонитового раствора, емкость до 4000 л</t>
  </si>
  <si>
    <t>1.1-1-1049</t>
  </si>
  <si>
    <t>ТСН-2001.1 Доп. 67, Р. 1, о. 1, поз. 1049</t>
  </si>
  <si>
    <t>Сода кальцинированная, техническая</t>
  </si>
  <si>
    <t>т</t>
  </si>
  <si>
    <t>1.1-1-118</t>
  </si>
  <si>
    <t>ТСН-2001.1. Доп. 1-42. Р. 1, о. 1, поз. 118</t>
  </si>
  <si>
    <t>Вода</t>
  </si>
  <si>
    <t>м3</t>
  </si>
  <si>
    <t>1.1-1-2948</t>
  </si>
  <si>
    <t>ТСН-2001.1 Доп. 68, Р. 1, о. 1, поз. 2948</t>
  </si>
  <si>
    <t>Смазка графитная</t>
  </si>
  <si>
    <t>2.1-9-2</t>
  </si>
  <si>
    <t>ТСН-2001.2. Доп. 68. п.1-9-2 (090201)</t>
  </si>
  <si>
    <t>Машины бурильно-крановые на базе автомобиля, глубина бурения до 5 м</t>
  </si>
  <si>
    <t>2.1-13-40</t>
  </si>
  <si>
    <t>ТСН-2001.2. Доп. 68. п.1-13-40 (135505)</t>
  </si>
  <si>
    <t>Аппараты для стыковой сварки труб из термопластов диаметром от 40 до 160 мм</t>
  </si>
  <si>
    <t>1.1-1-1064</t>
  </si>
  <si>
    <t>ТСН-2001.1 Доп. 65, Р. 1, о. 1, поз. 1064</t>
  </si>
  <si>
    <t>Спирт этиловый технический</t>
  </si>
  <si>
    <t>1.1-1-115</t>
  </si>
  <si>
    <t>ТСН-2001.1. Доп. 1-42. Р. 1, о. 1, поз. 115</t>
  </si>
  <si>
    <t>Ветошь</t>
  </si>
  <si>
    <t>2.1-18-7</t>
  </si>
  <si>
    <t>ТСН-2001.2. Доп. 68. п.1-18-7 (183001)</t>
  </si>
  <si>
    <t>Автомобили грузовые бортовые, грузоподъемность до 5 т</t>
  </si>
  <si>
    <t>2.1-4-31</t>
  </si>
  <si>
    <t>ТСН-2001.2. Доп. 68. п.1-4-31 (042903)</t>
  </si>
  <si>
    <t>Лебедки электрические, тяговое усилие до 14,71 кН (1,5 тс)</t>
  </si>
  <si>
    <t>2.1-4-45</t>
  </si>
  <si>
    <t>ТСН-2001.2. Доп. 68. п.1-4-45 (043403)</t>
  </si>
  <si>
    <t>Домкраты гидравлические, грузоподъемность до 100 т</t>
  </si>
  <si>
    <t>1.1-1-491</t>
  </si>
  <si>
    <t>ТСН-2001.1 Доп. 67,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</si>
  <si>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</si>
  <si>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</si>
  <si>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</si>
  <si>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</si>
  <si>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1.1-1-944</t>
  </si>
  <si>
    <t>ТСН-2001.1 Доп. 67, Р. 1, о. 1, поз. 944</t>
  </si>
  <si>
    <t>Припой оловянно-свинцовый, в прутках, диаметр 8 мм, типа ПОС-30</t>
  </si>
  <si>
    <t>1.1-1-967</t>
  </si>
  <si>
    <t>ТСН-2001.1 Доп. 67, Р. 1, о. 1, поз. 967</t>
  </si>
  <si>
    <t>Проволока стальная низкоуглеродистая общего назначения оцинкованная, диаметр от 1,6 до 3,0 мм</t>
  </si>
  <si>
    <t>1.21-5-1180</t>
  </si>
  <si>
    <t>ТСН-2001.1 Доп. 73, Р. 21, о. 5, поз. 1180</t>
  </si>
  <si>
    <t>Бирка маркировочная для кабелей и проводов, типа У134 У3,5</t>
  </si>
  <si>
    <t>1000 шт.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</si>
  <si>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</si>
  <si>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</si>
  <si>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</si>
  <si>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</si>
  <si>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</si>
  <si>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</si>
  <si>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2164500000</t>
  </si>
  <si>
    <t>Бентониты</t>
  </si>
  <si>
    <t>2248110000</t>
  </si>
  <si>
    <t>Трубы из полиэтилена</t>
  </si>
  <si>
    <t>2452910000</t>
  </si>
  <si>
    <t>Полимеры для флотации</t>
  </si>
  <si>
    <t>ТСН-2001.1 Доп. 67, Р. 21, о. 5, поз. 1180</t>
  </si>
  <si>
    <t>3500000000</t>
  </si>
  <si>
    <t>Кабели напряжением до 35 кВ</t>
  </si>
  <si>
    <t>3599190000</t>
  </si>
  <si>
    <t>Оконцеватели (капы) термоусаживаемые</t>
  </si>
  <si>
    <t>2.1-17-24</t>
  </si>
  <si>
    <t>ТСН-2001.2. Доп. 1-42, п. 1-17-24 (174302)</t>
  </si>
  <si>
    <t>Инжекторные газовые горелки</t>
  </si>
  <si>
    <t>маш.-ч.</t>
  </si>
  <si>
    <t>1.1-1-1464</t>
  </si>
  <si>
    <t>ТСН-2001.1 Доп. 67, Р. 1, о. 1, поз. 1464</t>
  </si>
  <si>
    <t>Бумага наждачная шлифовальная, на тканевой основе, водостойкая</t>
  </si>
  <si>
    <t>м2</t>
  </si>
  <si>
    <t>1.1-1-2613</t>
  </si>
  <si>
    <t>ТСН-2001.1 Доп. 56, Р. 1, о. 1, поз. 2613</t>
  </si>
  <si>
    <t>Пропан-бутан, сжиженный газ</t>
  </si>
  <si>
    <t>1.1-2-158</t>
  </si>
  <si>
    <t>ТСН-2001.1. Доп. 1-42. Р. 1, о. 2, поз. 158</t>
  </si>
  <si>
    <t>Бензин авиационный, марка Б-70</t>
  </si>
  <si>
    <t>1.21-5-1134</t>
  </si>
  <si>
    <t>ТСН-2001.1 Доп. 67, Р. 21, о. 5, поз. 1134</t>
  </si>
  <si>
    <t>Хомут (стяжка) кабельный из полиамида, размеры 4,8х300 мм</t>
  </si>
  <si>
    <t>100 шт.</t>
  </si>
  <si>
    <t>5296335000</t>
  </si>
  <si>
    <t>Уплотнители кабельных проходов термоусаживаемые</t>
  </si>
  <si>
    <t>О.П. п.3.4.30.г</t>
  </si>
  <si>
    <t>Глава 12</t>
  </si>
  <si>
    <t>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</t>
  </si>
  <si>
    <t>Поправка: О.П. п.3.4.30.г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</t>
  </si>
  <si>
    <t>Средство полимерное, жидкое, водородный показатель рН от 8,5 до 10,5, для кондиционирования грунтов при проходке тоннелей с использованием ТПМК с грунтопригрузом, улучшения рабочих характеристик пенных реагентов в сложных грунтовых условиях, модификации бентонитового раствора для ТПМК с гидропригрузом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</si>
  <si>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</si>
  <si>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</si>
  <si>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</si>
  <si>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</si>
  <si>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</si>
  <si>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</si>
  <si>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</si>
  <si>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</si>
  <si>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</si>
  <si>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</si>
  <si>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</si>
  <si>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</si>
  <si>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</si>
  <si>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</si>
  <si>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</si>
  <si>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</si>
  <si>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</si>
  <si>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</si>
  <si>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</si>
  <si>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</si>
  <si>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</si>
  <si>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</si>
  <si>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</si>
  <si>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</si>
  <si>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</si>
  <si>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r>
      <t>3.1-51-1</t>
    </r>
    <r>
      <rPr>
        <i/>
        <sz val="10"/>
        <rFont val="Arial"/>
        <family val="2"/>
        <charset val="204"/>
      </rPr>
      <t xml:space="preserve">
Поправка: О.П. п.3.4.30.г</t>
    </r>
  </si>
  <si>
    <t>ЗП</t>
  </si>
  <si>
    <t>НР от ЗП</t>
  </si>
  <si>
    <t>%</t>
  </si>
  <si>
    <t>СП от ЗП</t>
  </si>
  <si>
    <t>ЗТР</t>
  </si>
  <si>
    <t>чел-ч</t>
  </si>
  <si>
    <t>Всего по позиции:</t>
  </si>
  <si>
    <r>
      <t>3.1-53-1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</si>
  <si>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3.4-23-3</t>
    </r>
    <r>
      <rPr>
        <i/>
        <sz val="10"/>
        <rFont val="Arial"/>
        <family val="2"/>
        <charset val="204"/>
      </rPr>
      <t xml:space="preserve">
Поправка: О.П. п.3.4.30.г</t>
    </r>
  </si>
  <si>
    <t>ЭМ</t>
  </si>
  <si>
    <t>в т.ч. ЗПМ</t>
  </si>
  <si>
    <t>МР</t>
  </si>
  <si>
    <t>НР и СП от ЗПМ</t>
  </si>
  <si>
    <r>
      <t>Трубы из полиэтилена  ТЗК Энергопласт ТСЗ 160*8,9 Sn 16 F3</t>
    </r>
    <r>
      <rPr>
        <i/>
        <sz val="10"/>
        <rFont val="Arial"/>
        <family val="2"/>
        <charset val="204"/>
      </rPr>
      <t xml:space="preserve">
96,46 = [939,56 /  9,74]</t>
    </r>
  </si>
  <si>
    <r>
      <t>Цена поставщика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</si>
  <si>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3.4-21-2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</si>
  <si>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3.4-21-4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</si>
  <si>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3.22-73-2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</si>
  <si>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4.10-115-29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</si>
  <si>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1.12-3-62</t>
    </r>
    <r>
      <rPr>
        <i/>
        <sz val="10"/>
        <rFont val="Arial"/>
        <family val="2"/>
        <charset val="204"/>
      </rPr>
      <t xml:space="preserve">
Поправка: О.П. п.3.4.30.г</t>
    </r>
  </si>
  <si>
    <t xml:space="preserve">   Итого по ТСН-2001.16</t>
  </si>
  <si>
    <t xml:space="preserve">   Итого возвратных сумм</t>
  </si>
  <si>
    <r>
      <t>4.8-80-2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</si>
  <si>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4.8-301-1</t>
    </r>
    <r>
      <rPr>
        <i/>
        <sz val="10"/>
        <rFont val="Arial"/>
        <family val="2"/>
        <charset val="204"/>
      </rPr>
      <t xml:space="preserve">
Поправка: О.П. п.3.4.30.г</t>
    </r>
  </si>
  <si>
    <r>
      <t>1.21-5-1069</t>
    </r>
    <r>
      <rPr>
        <i/>
        <sz val="10"/>
        <rFont val="Arial"/>
        <family val="2"/>
        <charset val="204"/>
      </rPr>
      <t xml:space="preserve">
Поправка: О.П. п.3.4.30.г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</si>
  <si>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</si>
  <si>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</si>
  <si>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</si>
  <si>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</si>
  <si>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</si>
  <si>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02-01-08</t>
  </si>
  <si>
    <t>Строительство закрытых переходов (2 этап)</t>
  </si>
  <si>
    <t>Раздел: Закрытый переход 2 сквх3тр (72,8м; 113,4м)</t>
  </si>
  <si>
    <t>Итого по разделу: Закрытый переход 2 сквх3тр (71,8м; 113,4м)</t>
  </si>
  <si>
    <t>Итого по локальной смете: Строительство закрытых переходов (2 этап)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</si>
</sst>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\ #,##0.00"/>
    <numFmt numFmtId="165" formatCode="General;\-General;"/>
  </numFmts>
  <fonts count="18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/>
    <xf numFmtId="0" fontId="10" fillId="0" borderId="1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/>
    </xf>
    <xf numFmtId="164" fontId="14" fillId="0" borderId="0" xfId="0" applyNumberFormat="1" applyFont="1"/>
    <xf numFmtId="0" fontId="14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/>
    <xf numFmtId="0" fontId="10" fillId="0" borderId="0" xfId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left" wrapText="1"/>
    </xf>
    <xf numFmtId="0" fontId="15" fillId="0" borderId="0" xfId="0" applyFont="1" applyAlignment="1">
      <alignment horizont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/>
    </xf>
    <xf numFmtId="164" fontId="0" fillId="0" borderId="0" xfId="0" applyNumberFormat="1"/>
    <xf numFmtId="0" fontId="1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 wrapText="1"/>
    </xf>
    <xf numFmtId="164" fontId="14" fillId="0" borderId="2" xfId="0" applyNumberFormat="1" applyFont="1" applyBorder="1" applyAlignment="1">
      <alignment horizontal="right"/>
    </xf>
    <xf numFmtId="0" fontId="8" fillId="0" borderId="0" xfId="0" applyFont="1" applyAlignment="1">
      <alignment vertical="top" wrapText="1"/>
    </xf>
    <xf numFmtId="164" fontId="16" fillId="0" borderId="0" xfId="0" applyNumberFormat="1" applyFont="1" applyAlignment="1">
      <alignment horizontal="right"/>
    </xf>
    <xf numFmtId="165" fontId="10" fillId="0" borderId="0" xfId="0" quotePrefix="1" applyNumberFormat="1" applyFont="1" applyAlignment="1">
      <alignment horizontal="right" wrapText="1"/>
    </xf>
    <xf numFmtId="0" fontId="0" fillId="0" borderId="1" xfId="0" applyBorder="1"/>
    <xf numFmtId="0" fontId="8" fillId="0" borderId="1" xfId="0" applyFont="1" applyBorder="1" applyAlignment="1">
      <alignment vertical="top" wrapText="1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 wrapText="1"/>
    </xf>
    <xf numFmtId="0" fontId="10" fillId="0" borderId="0" xfId="0" applyFont="1" applyAlignment="1">
      <alignment horizontal="right" vertical="center"/>
    </xf>
    <xf numFmtId="0" fontId="10" fillId="0" borderId="1" xfId="0" applyFont="1" applyBorder="1"/>
  </cellXfs>
  <cellStyles count="2">
    <cellStyle name="Обычный" xfId="0" builtinId="0"/>
    <cellStyle name="Обычный 4" xfId="1" xr:uid="{4897CF5D-FC47-499D-8DBD-F8181F966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2A27-718F-44DC-92CD-AC6C200BBE9F}">
  <sheetPr>
    <pageSetUpPr fitToPage="1"/>
  </sheetPr>
  <dimension ref="A1:AP162"/>
  <sheetViews>
    <sheetView tabSelected="1" topLeftCell="G1" zoomScaleNormal="100" workbookViewId="0">
      <selection activeCell="I1" sqref="I1:J1048576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1.28515625" bestFit="1" customWidth="1"/>
    <col min="6" max="6" width="10.140625" bestFit="1" customWidth="1"/>
    <col min="7" max="7" width="8.5703125" bestFit="1" customWidth="1"/>
    <col min="9" max="10" width="13.85546875" customWidth="1"/>
    <col min="11" max="11" width="13.140625" bestFit="1" customWidth="1"/>
    <col min="14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8" t="str">
        <f>Source!B1</f>
        <v>Smeta.RU  (495) 974-1589</v>
      </c>
    </row>
    <row r="2" spans="1:11" ht="14.25" x14ac:dyDescent="0.2">
      <c r="A2" s="9"/>
      <c r="B2" s="9"/>
      <c r="C2" s="9"/>
      <c r="D2" s="9"/>
      <c r="E2" s="9"/>
      <c r="F2" s="9"/>
      <c r="G2" s="9"/>
      <c r="H2" s="9"/>
      <c r="I2" s="9"/>
      <c r="J2" s="28" t="s">
        <v>319</v>
      </c>
      <c r="K2" s="28"/>
    </row>
    <row r="3" spans="1:11" ht="69" customHeight="1" x14ac:dyDescent="0.25">
      <c r="A3" s="10" t="s">
        <v>352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1" t="s">
        <v>297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4.25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5.75" x14ac:dyDescent="0.25">
      <c r="A6" s="10" t="s">
        <v>353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4.2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8" x14ac:dyDescent="0.25">
      <c r="A8" s="13" t="s">
        <v>354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">
      <c r="A9" s="14" t="s">
        <v>298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4.2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4.25" x14ac:dyDescent="0.2">
      <c r="A11" s="16" t="str">
        <f>CONCATENATE( "Основание: чертежи № ", Source!J12)</f>
        <v xml:space="preserve">Основание: чертежи № 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36" customHeight="1" x14ac:dyDescent="0.2">
      <c r="A13" s="9"/>
      <c r="B13" s="9"/>
      <c r="C13" s="9"/>
      <c r="D13" s="9"/>
      <c r="E13" s="9"/>
      <c r="F13" s="9"/>
      <c r="G13" s="9"/>
      <c r="H13" s="9"/>
      <c r="I13" s="18" t="s">
        <v>299</v>
      </c>
      <c r="J13" s="18" t="s">
        <v>300</v>
      </c>
      <c r="K13" s="9"/>
    </row>
    <row r="14" spans="1:11" ht="15" x14ac:dyDescent="0.25">
      <c r="A14" s="9"/>
      <c r="B14" s="9"/>
      <c r="C14" s="9"/>
      <c r="D14" s="9"/>
      <c r="E14" s="19" t="s">
        <v>301</v>
      </c>
      <c r="F14" s="19"/>
      <c r="G14" s="19"/>
      <c r="H14" s="19"/>
      <c r="I14" s="20">
        <f>I15+I16+I17+I18</f>
        <v>973.4</v>
      </c>
      <c r="J14" s="20">
        <f>J15+J16+J17+J18</f>
        <v>8742.94</v>
      </c>
      <c r="K14" s="21" t="s">
        <v>348</v>
      </c>
    </row>
    <row r="15" spans="1:11" ht="14.25" x14ac:dyDescent="0.2">
      <c r="A15" s="9"/>
      <c r="B15" s="9"/>
      <c r="C15" s="9"/>
      <c r="D15" s="9"/>
      <c r="E15" s="22" t="s">
        <v>18</v>
      </c>
      <c r="F15" s="22"/>
      <c r="G15" s="22"/>
      <c r="H15" s="22"/>
      <c r="I15" s="23">
        <f>ROUND(SUM(X1:X155)/1000, 2)</f>
        <v>852.04</v>
      </c>
      <c r="J15" s="23">
        <f>ROUND((Source!F191)/1000, 2)</f>
        <v>7591.87</v>
      </c>
      <c r="K15" s="9" t="s">
        <v>348</v>
      </c>
    </row>
    <row r="16" spans="1:11" ht="14.25" x14ac:dyDescent="0.2">
      <c r="A16" s="9"/>
      <c r="B16" s="9"/>
      <c r="C16" s="9"/>
      <c r="D16" s="9"/>
      <c r="E16" s="22" t="s">
        <v>302</v>
      </c>
      <c r="F16" s="22"/>
      <c r="G16" s="22"/>
      <c r="H16" s="22"/>
      <c r="I16" s="23">
        <f>ROUND(SUM(Y1:Y155)/1000, 2)</f>
        <v>121.36</v>
      </c>
      <c r="J16" s="23">
        <f>ROUND((Source!F192)/1000, 2)</f>
        <v>1151.07</v>
      </c>
      <c r="K16" s="9" t="s">
        <v>348</v>
      </c>
    </row>
    <row r="17" spans="1:42" ht="14.25" x14ac:dyDescent="0.2">
      <c r="A17" s="9"/>
      <c r="B17" s="9"/>
      <c r="C17" s="9"/>
      <c r="D17" s="9"/>
      <c r="E17" s="22" t="s">
        <v>303</v>
      </c>
      <c r="F17" s="22"/>
      <c r="G17" s="22"/>
      <c r="H17" s="22"/>
      <c r="I17" s="23">
        <f>ROUND(SUM(Z1:Z155)/1000, 2)</f>
        <v>0</v>
      </c>
      <c r="J17" s="23">
        <f>ROUND((Source!F183)/1000, 2)</f>
        <v>0</v>
      </c>
      <c r="K17" s="9" t="s">
        <v>348</v>
      </c>
    </row>
    <row r="18" spans="1:42" ht="14.25" x14ac:dyDescent="0.2">
      <c r="A18" s="9"/>
      <c r="B18" s="9"/>
      <c r="C18" s="9"/>
      <c r="D18" s="9"/>
      <c r="E18" s="22" t="s">
        <v>304</v>
      </c>
      <c r="F18" s="22"/>
      <c r="G18" s="22"/>
      <c r="H18" s="22"/>
      <c r="I18" s="23">
        <f>ROUND(SUM(AA1:AA155)/1000, 2)</f>
        <v>0</v>
      </c>
      <c r="J18" s="23">
        <f>ROUND((Source!F193+Source!F194)/1000, 2)</f>
        <v>0</v>
      </c>
      <c r="K18" s="9" t="s">
        <v>348</v>
      </c>
    </row>
    <row r="19" spans="1:42" ht="14.25" x14ac:dyDescent="0.2">
      <c r="A19" s="9"/>
      <c r="B19" s="9"/>
      <c r="C19" s="9"/>
      <c r="D19" s="9"/>
      <c r="E19" s="22" t="s">
        <v>305</v>
      </c>
      <c r="F19" s="22"/>
      <c r="G19" s="22"/>
      <c r="H19" s="22"/>
      <c r="I19" s="23">
        <f>ROUND(SUM(W1:W155)/1000, 2)</f>
        <v>21.84</v>
      </c>
      <c r="J19" s="23">
        <f>(Source!F189+ Source!F188)/1000</f>
        <v>753.82437000000016</v>
      </c>
      <c r="K19" s="9" t="s">
        <v>348</v>
      </c>
    </row>
    <row r="20" spans="1:42" ht="14.25" x14ac:dyDescent="0.2">
      <c r="A20" s="9"/>
      <c r="B20" s="9"/>
      <c r="C20" s="9"/>
      <c r="D20" s="9"/>
      <c r="E20" s="22" t="s">
        <v>306</v>
      </c>
      <c r="F20" s="22"/>
      <c r="G20" s="22"/>
      <c r="H20" s="22"/>
      <c r="I20" s="23">
        <f>SUM(AB1:AB155)</f>
        <v>748.80027990515998</v>
      </c>
      <c r="J20" s="23"/>
      <c r="K20" s="9" t="s">
        <v>184</v>
      </c>
    </row>
    <row r="21" spans="1:42" ht="14.25" hidden="1" x14ac:dyDescent="0.2">
      <c r="A21" s="9"/>
      <c r="B21" s="9"/>
      <c r="C21" s="9"/>
      <c r="D21" s="9"/>
      <c r="E21" s="22" t="s">
        <v>307</v>
      </c>
      <c r="F21" s="22"/>
      <c r="G21" s="22"/>
      <c r="H21" s="22"/>
      <c r="I21" s="23"/>
      <c r="J21" s="23"/>
      <c r="K21" s="9"/>
    </row>
    <row r="22" spans="1:42" ht="14.25" hidden="1" x14ac:dyDescent="0.2">
      <c r="A22" s="9"/>
      <c r="B22" s="9"/>
      <c r="C22" s="9"/>
      <c r="D22" s="9"/>
      <c r="E22" s="24" t="s">
        <v>129</v>
      </c>
      <c r="F22" s="24"/>
      <c r="G22" s="24"/>
      <c r="H22" s="24"/>
      <c r="I22" s="23">
        <f>ROUND(SUM(AE1:AE155)/1000, 2)</f>
        <v>0</v>
      </c>
      <c r="J22" s="23">
        <f>SUM(AF1:AF155)/1000</f>
        <v>0</v>
      </c>
      <c r="K22" s="9" t="s">
        <v>348</v>
      </c>
    </row>
    <row r="23" spans="1:42" ht="14.25" x14ac:dyDescent="0.2">
      <c r="A23" s="9"/>
      <c r="B23" s="9"/>
      <c r="C23" s="9"/>
      <c r="D23" s="9"/>
      <c r="E23" s="9"/>
      <c r="F23" s="25"/>
      <c r="G23" s="25"/>
      <c r="H23" s="25"/>
      <c r="I23" s="23"/>
      <c r="J23" s="23"/>
      <c r="K23" s="9"/>
    </row>
    <row r="24" spans="1:42" ht="14.25" x14ac:dyDescent="0.2">
      <c r="A24" s="9" t="s">
        <v>320</v>
      </c>
      <c r="B24" s="9"/>
      <c r="C24" s="9"/>
      <c r="D24" s="9"/>
      <c r="E24" s="9"/>
      <c r="F24" s="25"/>
      <c r="G24" s="25"/>
      <c r="H24" s="25"/>
      <c r="I24" s="23"/>
      <c r="J24" s="23"/>
      <c r="K24" s="9"/>
    </row>
    <row r="25" spans="1:42" ht="14.25" x14ac:dyDescent="0.2">
      <c r="A25" s="16" t="s">
        <v>321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AP25" s="29" t="s">
        <v>321</v>
      </c>
    </row>
    <row r="26" spans="1:42" ht="114" x14ac:dyDescent="0.2">
      <c r="A26" s="26" t="s">
        <v>308</v>
      </c>
      <c r="B26" s="26" t="s">
        <v>309</v>
      </c>
      <c r="C26" s="26" t="s">
        <v>310</v>
      </c>
      <c r="D26" s="26" t="s">
        <v>311</v>
      </c>
      <c r="E26" s="26" t="s">
        <v>312</v>
      </c>
      <c r="F26" s="26" t="s">
        <v>313</v>
      </c>
      <c r="G26" s="27" t="s">
        <v>314</v>
      </c>
      <c r="H26" s="27" t="s">
        <v>315</v>
      </c>
      <c r="I26" s="26" t="s">
        <v>316</v>
      </c>
      <c r="J26" s="26" t="s">
        <v>317</v>
      </c>
      <c r="K26" s="26" t="s">
        <v>318</v>
      </c>
    </row>
    <row r="27" spans="1:42" ht="14.25" x14ac:dyDescent="0.2">
      <c r="A27" s="26">
        <v>1</v>
      </c>
      <c r="B27" s="26">
        <v>2</v>
      </c>
      <c r="C27" s="26">
        <v>3</v>
      </c>
      <c r="D27" s="26">
        <v>4</v>
      </c>
      <c r="E27" s="26">
        <v>5</v>
      </c>
      <c r="F27" s="26">
        <v>6</v>
      </c>
      <c r="G27" s="26">
        <v>7</v>
      </c>
      <c r="H27" s="26">
        <v>8</v>
      </c>
      <c r="I27" s="26">
        <v>9</v>
      </c>
      <c r="J27" s="26">
        <v>10</v>
      </c>
      <c r="K27" s="26">
        <v>11</v>
      </c>
    </row>
    <row r="29" spans="1:42" ht="16.5" x14ac:dyDescent="0.25">
      <c r="A29" s="30" t="s">
        <v>355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1" spans="1:42" ht="16.5" x14ac:dyDescent="0.25">
      <c r="A31" s="30" t="str">
        <f>CONCATENATE("Подраздел: ",IF(Source!G28&lt;&gt;"Новый подраздел", Source!G28, ""))</f>
        <v>Подраздел: Строительные работы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42" ht="52.5" x14ac:dyDescent="0.2">
      <c r="A32" s="31">
        <v>1</v>
      </c>
      <c r="B32" s="31" t="s">
        <v>322</v>
      </c>
      <c r="C32" s="31" t="s">
        <v>21</v>
      </c>
      <c r="D32" s="33" t="str">
        <f>Source!DW32</f>
        <v>100 м3 грунта</v>
      </c>
      <c r="E32" s="32">
        <f>Source!I32</f>
        <v>1.9154999999999998E-2</v>
      </c>
      <c r="F32" s="35"/>
      <c r="G32" s="34"/>
      <c r="H32" s="32"/>
      <c r="I32" s="35"/>
      <c r="J32" s="32"/>
      <c r="K32" s="35"/>
      <c r="Q32">
        <f>ROUND((Source!DN32/100)*ROUND((ROUND((Source!AF32*Source!AV32*Source!I32),2)),2), 2)</f>
        <v>53.83</v>
      </c>
      <c r="R32">
        <f>Source!X32</f>
        <v>1539.32</v>
      </c>
      <c r="S32">
        <f>ROUND((Source!DO32/100)*ROUND((ROUND((Source!AF32*Source!AV32*Source!I32),2)),2), 2)</f>
        <v>39.479999999999997</v>
      </c>
      <c r="T32">
        <f>Source!Y32</f>
        <v>725.43</v>
      </c>
      <c r="U32">
        <f>ROUND((175/100)*ROUND((ROUND((Source!AE32*Source!AV32*Source!I32),2)),2), 2)</f>
        <v>0</v>
      </c>
      <c r="V32">
        <f>ROUND((160/100)*ROUND(ROUND((ROUND((Source!AE32*Source!AV32*Source!I32),2)*Source!BS32),2), 2), 2)</f>
        <v>0</v>
      </c>
      <c r="AI32">
        <v>0</v>
      </c>
    </row>
    <row r="33" spans="1:35" ht="14.25" x14ac:dyDescent="0.2">
      <c r="A33" s="31"/>
      <c r="B33" s="31"/>
      <c r="C33" s="31" t="s">
        <v>323</v>
      </c>
      <c r="D33" s="33"/>
      <c r="E33" s="32"/>
      <c r="F33" s="35">
        <f>Source!AO32</f>
        <v>2042.62</v>
      </c>
      <c r="G33" s="34" t="str">
        <f>Source!DG32</f>
        <v>*1,05</v>
      </c>
      <c r="H33" s="32">
        <f>Source!AV32</f>
        <v>1.248</v>
      </c>
      <c r="I33" s="35">
        <f>ROUND((ROUND((Source!AF32*Source!AV32*Source!I32),2)),2)</f>
        <v>51.27</v>
      </c>
      <c r="J33" s="32">
        <f>IF(Source!BA32&lt;&gt; 0, Source!BA32, 1)</f>
        <v>34.51</v>
      </c>
      <c r="K33" s="35">
        <f>Source!S32</f>
        <v>1769.33</v>
      </c>
      <c r="W33">
        <f>I33</f>
        <v>51.27</v>
      </c>
    </row>
    <row r="34" spans="1:35" ht="14.25" x14ac:dyDescent="0.2">
      <c r="A34" s="31"/>
      <c r="B34" s="31"/>
      <c r="C34" s="31" t="s">
        <v>324</v>
      </c>
      <c r="D34" s="33" t="s">
        <v>325</v>
      </c>
      <c r="E34" s="32">
        <f>Source!DN32</f>
        <v>105</v>
      </c>
      <c r="F34" s="35"/>
      <c r="G34" s="34"/>
      <c r="H34" s="32"/>
      <c r="I34" s="35">
        <f>SUM(Q32:Q33)</f>
        <v>53.83</v>
      </c>
      <c r="J34" s="32">
        <f>Source!BZ32</f>
        <v>87</v>
      </c>
      <c r="K34" s="35">
        <f>SUM(R32:R33)</f>
        <v>1539.32</v>
      </c>
    </row>
    <row r="35" spans="1:35" ht="14.25" x14ac:dyDescent="0.2">
      <c r="A35" s="31"/>
      <c r="B35" s="31"/>
      <c r="C35" s="31" t="s">
        <v>326</v>
      </c>
      <c r="D35" s="33" t="s">
        <v>325</v>
      </c>
      <c r="E35" s="32">
        <f>Source!DO32</f>
        <v>77</v>
      </c>
      <c r="F35" s="35"/>
      <c r="G35" s="34"/>
      <c r="H35" s="32"/>
      <c r="I35" s="35">
        <f>SUM(S32:S34)</f>
        <v>39.479999999999997</v>
      </c>
      <c r="J35" s="32">
        <f>Source!CA32</f>
        <v>41</v>
      </c>
      <c r="K35" s="35">
        <f>SUM(T32:T34)</f>
        <v>725.43</v>
      </c>
    </row>
    <row r="36" spans="1:35" ht="14.25" x14ac:dyDescent="0.2">
      <c r="A36" s="37"/>
      <c r="B36" s="37"/>
      <c r="C36" s="37" t="s">
        <v>327</v>
      </c>
      <c r="D36" s="38" t="s">
        <v>328</v>
      </c>
      <c r="E36" s="39">
        <f>Source!AQ32</f>
        <v>192.7</v>
      </c>
      <c r="F36" s="40"/>
      <c r="G36" s="41" t="str">
        <f>Source!DI32</f>
        <v>*1,05</v>
      </c>
      <c r="H36" s="39">
        <f>Source!AV32</f>
        <v>1.248</v>
      </c>
      <c r="I36" s="40">
        <f>Source!U32</f>
        <v>4.8369072023999999</v>
      </c>
      <c r="J36" s="39"/>
      <c r="K36" s="40"/>
      <c r="AB36" s="36">
        <f>I36</f>
        <v>4.8369072023999999</v>
      </c>
    </row>
    <row r="37" spans="1:35" ht="15" x14ac:dyDescent="0.25">
      <c r="C37" s="21" t="s">
        <v>329</v>
      </c>
      <c r="H37" s="42">
        <f>I33+I34+I35+0</f>
        <v>144.57999999999998</v>
      </c>
      <c r="I37" s="42"/>
      <c r="J37" s="42">
        <f>K33+K34+K35+0</f>
        <v>4034.0799999999995</v>
      </c>
      <c r="K37" s="42"/>
      <c r="O37" s="36">
        <f>I33+I34+I35+0</f>
        <v>144.57999999999998</v>
      </c>
      <c r="P37" s="36">
        <f>K33+K34+K35+0</f>
        <v>4034.0799999999995</v>
      </c>
      <c r="X37">
        <f>IF(Source!BI32&lt;=1,I33+I34+I35-0, 0)</f>
        <v>144.57999999999998</v>
      </c>
      <c r="Y37">
        <f>IF(Source!BI32=2,I33+I34+I35-0, 0)</f>
        <v>0</v>
      </c>
      <c r="Z37">
        <f>IF(Source!BI32=3,I33+I34+I35-0, 0)</f>
        <v>0</v>
      </c>
      <c r="AA37">
        <f>IF(Source!BI32=4,I33+I34+I35,0)</f>
        <v>0</v>
      </c>
    </row>
    <row r="39" spans="1:35" ht="52.5" x14ac:dyDescent="0.2">
      <c r="A39" s="31">
        <v>2</v>
      </c>
      <c r="B39" s="31" t="s">
        <v>330</v>
      </c>
      <c r="C39" s="31" t="s">
        <v>30</v>
      </c>
      <c r="D39" s="33" t="str">
        <f>Source!DW33</f>
        <v>100 м3 грунта</v>
      </c>
      <c r="E39" s="32">
        <f>Source!I33</f>
        <v>4.5359999999999998E-2</v>
      </c>
      <c r="F39" s="35"/>
      <c r="G39" s="34"/>
      <c r="H39" s="32"/>
      <c r="I39" s="35"/>
      <c r="J39" s="32"/>
      <c r="K39" s="35"/>
      <c r="Q39">
        <f>ROUND((Source!DN33/100)*ROUND((ROUND((Source!AF33*Source!AV33*Source!I33),2)),2), 2)</f>
        <v>65.599999999999994</v>
      </c>
      <c r="R39">
        <f>Source!X33</f>
        <v>1875.88</v>
      </c>
      <c r="S39">
        <f>ROUND((Source!DO33/100)*ROUND((ROUND((Source!AF33*Source!AV33*Source!I33),2)),2), 2)</f>
        <v>48.11</v>
      </c>
      <c r="T39">
        <f>Source!Y33</f>
        <v>884.03</v>
      </c>
      <c r="U39">
        <f>ROUND((175/100)*ROUND((ROUND((Source!AE33*Source!AV33*Source!I33),2)),2), 2)</f>
        <v>0</v>
      </c>
      <c r="V39">
        <f>ROUND((160/100)*ROUND(ROUND((ROUND((Source!AE33*Source!AV33*Source!I33),2)*Source!BS33),2), 2), 2)</f>
        <v>0</v>
      </c>
      <c r="AI39">
        <v>0</v>
      </c>
    </row>
    <row r="40" spans="1:35" x14ac:dyDescent="0.2">
      <c r="C40" s="43" t="str">
        <f>"Объем: "&amp;Source!I33&amp;"=4,536/"&amp;"100"</f>
        <v>Объем: 0,04536=4,536/100</v>
      </c>
    </row>
    <row r="41" spans="1:35" ht="14.25" x14ac:dyDescent="0.2">
      <c r="A41" s="31"/>
      <c r="B41" s="31"/>
      <c r="C41" s="31" t="s">
        <v>323</v>
      </c>
      <c r="D41" s="33"/>
      <c r="E41" s="32"/>
      <c r="F41" s="35">
        <f>Source!AO33</f>
        <v>1051.1300000000001</v>
      </c>
      <c r="G41" s="34" t="str">
        <f>Source!DG33</f>
        <v>*1,05</v>
      </c>
      <c r="H41" s="32">
        <f>Source!AV33</f>
        <v>1.248</v>
      </c>
      <c r="I41" s="35">
        <f>ROUND((ROUND((Source!AF33*Source!AV33*Source!I33),2)),2)</f>
        <v>62.48</v>
      </c>
      <c r="J41" s="32">
        <f>IF(Source!BA33&lt;&gt; 0, Source!BA33, 1)</f>
        <v>34.51</v>
      </c>
      <c r="K41" s="35">
        <f>Source!S33</f>
        <v>2156.1799999999998</v>
      </c>
      <c r="W41">
        <f>I41</f>
        <v>62.48</v>
      </c>
    </row>
    <row r="42" spans="1:35" ht="14.25" x14ac:dyDescent="0.2">
      <c r="A42" s="31"/>
      <c r="B42" s="31"/>
      <c r="C42" s="31" t="s">
        <v>324</v>
      </c>
      <c r="D42" s="33" t="s">
        <v>325</v>
      </c>
      <c r="E42" s="32">
        <f>Source!DN33</f>
        <v>105</v>
      </c>
      <c r="F42" s="35"/>
      <c r="G42" s="34"/>
      <c r="H42" s="32"/>
      <c r="I42" s="35">
        <f>SUM(Q39:Q41)</f>
        <v>65.599999999999994</v>
      </c>
      <c r="J42" s="32">
        <f>Source!BZ33</f>
        <v>87</v>
      </c>
      <c r="K42" s="35">
        <f>SUM(R39:R41)</f>
        <v>1875.88</v>
      </c>
    </row>
    <row r="43" spans="1:35" ht="14.25" x14ac:dyDescent="0.2">
      <c r="A43" s="31"/>
      <c r="B43" s="31"/>
      <c r="C43" s="31" t="s">
        <v>326</v>
      </c>
      <c r="D43" s="33" t="s">
        <v>325</v>
      </c>
      <c r="E43" s="32">
        <f>Source!DO33</f>
        <v>77</v>
      </c>
      <c r="F43" s="35"/>
      <c r="G43" s="34"/>
      <c r="H43" s="32"/>
      <c r="I43" s="35">
        <f>SUM(S39:S42)</f>
        <v>48.11</v>
      </c>
      <c r="J43" s="32">
        <f>Source!CA33</f>
        <v>41</v>
      </c>
      <c r="K43" s="35">
        <f>SUM(T39:T42)</f>
        <v>884.03</v>
      </c>
    </row>
    <row r="44" spans="1:35" ht="14.25" x14ac:dyDescent="0.2">
      <c r="A44" s="37"/>
      <c r="B44" s="37"/>
      <c r="C44" s="37" t="s">
        <v>327</v>
      </c>
      <c r="D44" s="38" t="s">
        <v>328</v>
      </c>
      <c r="E44" s="39">
        <f>Source!AQ33</f>
        <v>107.04</v>
      </c>
      <c r="F44" s="40"/>
      <c r="G44" s="41" t="str">
        <f>Source!DI33</f>
        <v>*1,05</v>
      </c>
      <c r="H44" s="39">
        <f>Source!AV33</f>
        <v>1.248</v>
      </c>
      <c r="I44" s="40">
        <f>Source!U33</f>
        <v>6.3624301977600002</v>
      </c>
      <c r="J44" s="39"/>
      <c r="K44" s="40"/>
      <c r="AB44" s="36">
        <f>I44</f>
        <v>6.3624301977600002</v>
      </c>
    </row>
    <row r="45" spans="1:35" ht="15" x14ac:dyDescent="0.25">
      <c r="C45" s="21" t="s">
        <v>329</v>
      </c>
      <c r="H45" s="42">
        <f>I41+I42+I43+0</f>
        <v>176.19</v>
      </c>
      <c r="I45" s="42"/>
      <c r="J45" s="42">
        <f>K41+K42+K43+0</f>
        <v>4916.09</v>
      </c>
      <c r="K45" s="42"/>
      <c r="O45" s="36">
        <f>I41+I42+I43+0</f>
        <v>176.19</v>
      </c>
      <c r="P45" s="36">
        <f>K41+K42+K43+0</f>
        <v>4916.09</v>
      </c>
      <c r="X45">
        <f>IF(Source!BI33&lt;=1,I41+I42+I43-0, 0)</f>
        <v>176.19</v>
      </c>
      <c r="Y45">
        <f>IF(Source!BI33=2,I41+I42+I43-0, 0)</f>
        <v>0</v>
      </c>
      <c r="Z45">
        <f>IF(Source!BI33=3,I41+I42+I43-0, 0)</f>
        <v>0</v>
      </c>
      <c r="AA45">
        <f>IF(Source!BI33=4,I41+I42+I43,0)</f>
        <v>0</v>
      </c>
    </row>
    <row r="47" spans="1:35" ht="114" x14ac:dyDescent="0.2">
      <c r="A47" s="31">
        <v>3</v>
      </c>
      <c r="B47" s="31" t="s">
        <v>331</v>
      </c>
      <c r="C47" s="31" t="s">
        <v>34</v>
      </c>
      <c r="D47" s="33" t="str">
        <f>Source!DW34</f>
        <v>1 М</v>
      </c>
      <c r="E47" s="32">
        <f>Source!I34</f>
        <v>186.2</v>
      </c>
      <c r="F47" s="35"/>
      <c r="G47" s="34"/>
      <c r="H47" s="32"/>
      <c r="I47" s="35"/>
      <c r="J47" s="32"/>
      <c r="K47" s="35"/>
      <c r="Q47">
        <f>ROUND((Source!DN34/100)*ROUND((ROUND((Source!AF34*Source!AV34*Source!I34),2)),2), 2)</f>
        <v>8857.25</v>
      </c>
      <c r="R47">
        <f>Source!X34</f>
        <v>244120.54</v>
      </c>
      <c r="S47">
        <f>ROUND((Source!DO34/100)*ROUND((ROUND((Source!AF34*Source!AV34*Source!I34),2)),2), 2)</f>
        <v>9392.25</v>
      </c>
      <c r="T47">
        <f>Source!Y34</f>
        <v>114880.25</v>
      </c>
      <c r="U47">
        <f>ROUND((175/100)*ROUND((ROUND((Source!AE34*Source!AV34*Source!I34),2)),2), 2)</f>
        <v>20526.189999999999</v>
      </c>
      <c r="V47">
        <f>ROUND((160/100)*ROUND(ROUND((ROUND((Source!AE34*Source!AV34*Source!I34),2)*Source!BS34),2), 2), 2)</f>
        <v>647642.27</v>
      </c>
      <c r="AI47">
        <v>0</v>
      </c>
    </row>
    <row r="48" spans="1:35" x14ac:dyDescent="0.2">
      <c r="C48" s="43" t="str">
        <f>"Объем: "&amp;Source!I34&amp;"=104,1+"&amp;"113,4-"&amp;"31,3"</f>
        <v>Объем: 186,2=104,1+113,4-31,3</v>
      </c>
    </row>
    <row r="49" spans="1:35" ht="14.25" x14ac:dyDescent="0.2">
      <c r="A49" s="31"/>
      <c r="B49" s="31"/>
      <c r="C49" s="31" t="s">
        <v>323</v>
      </c>
      <c r="D49" s="33"/>
      <c r="E49" s="32"/>
      <c r="F49" s="35">
        <f>Source!AO34</f>
        <v>29.04</v>
      </c>
      <c r="G49" s="34" t="str">
        <f>Source!DG34</f>
        <v>*1,05</v>
      </c>
      <c r="H49" s="32">
        <f>Source!AV34</f>
        <v>1.0469999999999999</v>
      </c>
      <c r="I49" s="35">
        <f>ROUND((ROUND((Source!AF34*Source!AV34*Source!I34),2)),2)</f>
        <v>5944.46</v>
      </c>
      <c r="J49" s="32">
        <f>IF(Source!BA34&lt;&gt; 0, Source!BA34, 1)</f>
        <v>34.51</v>
      </c>
      <c r="K49" s="35">
        <f>Source!S34</f>
        <v>205143.31</v>
      </c>
      <c r="W49">
        <f>I49</f>
        <v>5944.46</v>
      </c>
    </row>
    <row r="50" spans="1:35" ht="14.25" x14ac:dyDescent="0.2">
      <c r="A50" s="31"/>
      <c r="B50" s="31"/>
      <c r="C50" s="31" t="s">
        <v>332</v>
      </c>
      <c r="D50" s="33"/>
      <c r="E50" s="32"/>
      <c r="F50" s="35">
        <f>Source!AM34</f>
        <v>1775.53</v>
      </c>
      <c r="G50" s="34" t="str">
        <f>Source!DE34</f>
        <v>*1,05</v>
      </c>
      <c r="H50" s="32">
        <f>Source!AV34</f>
        <v>1.0469999999999999</v>
      </c>
      <c r="I50" s="35">
        <f>(ROUND((ROUND((((Source!ET34*1.05))*Source!AV34*Source!I34),2)),2)+ROUND((ROUND(((Source!AE34-((Source!EU34*1.05)))*Source!AV34*Source!I34),2)),2))</f>
        <v>363449.16</v>
      </c>
      <c r="J50" s="32">
        <f>IF(Source!BB34&lt;&gt; 0, Source!BB34, 1)</f>
        <v>9.7100000000000009</v>
      </c>
      <c r="K50" s="35">
        <f>Source!Q34</f>
        <v>3529091.34</v>
      </c>
    </row>
    <row r="51" spans="1:35" ht="14.25" x14ac:dyDescent="0.2">
      <c r="A51" s="31"/>
      <c r="B51" s="31"/>
      <c r="C51" s="31" t="s">
        <v>333</v>
      </c>
      <c r="D51" s="33"/>
      <c r="E51" s="32"/>
      <c r="F51" s="35">
        <f>Source!AN34</f>
        <v>57.3</v>
      </c>
      <c r="G51" s="34" t="str">
        <f>Source!DF34</f>
        <v>*1,05</v>
      </c>
      <c r="H51" s="32">
        <f>Source!AV34</f>
        <v>1.0469999999999999</v>
      </c>
      <c r="I51" s="44">
        <f>ROUND((ROUND((Source!AE34*Source!AV34*Source!I34),2)),2)</f>
        <v>11729.25</v>
      </c>
      <c r="J51" s="32">
        <f>IF(Source!BS34&lt;&gt; 0, Source!BS34, 1)</f>
        <v>34.51</v>
      </c>
      <c r="K51" s="44">
        <f>Source!R34</f>
        <v>404776.42</v>
      </c>
      <c r="W51">
        <f>I51</f>
        <v>11729.25</v>
      </c>
    </row>
    <row r="52" spans="1:35" ht="14.25" x14ac:dyDescent="0.2">
      <c r="A52" s="31"/>
      <c r="B52" s="31"/>
      <c r="C52" s="31" t="s">
        <v>334</v>
      </c>
      <c r="D52" s="33"/>
      <c r="E52" s="32"/>
      <c r="F52" s="35">
        <f>Source!AL34</f>
        <v>22.45</v>
      </c>
      <c r="G52" s="34" t="str">
        <f>Source!DD34</f>
        <v/>
      </c>
      <c r="H52" s="32">
        <f>Source!AW34</f>
        <v>1.079</v>
      </c>
      <c r="I52" s="35">
        <f>ROUND((ROUND((Source!AC34*Source!AW34*Source!I34),2)),2)</f>
        <v>4510.43</v>
      </c>
      <c r="J52" s="32">
        <f>IF(Source!BC34&lt;&gt; 0, Source!BC34, 1)</f>
        <v>5.92</v>
      </c>
      <c r="K52" s="35">
        <f>Source!P34</f>
        <v>26701.75</v>
      </c>
    </row>
    <row r="53" spans="1:35" ht="99.75" x14ac:dyDescent="0.2">
      <c r="A53" s="31" t="s">
        <v>39</v>
      </c>
      <c r="B53" s="31" t="str">
        <f>Source!F35</f>
        <v>1.1-1-1835</v>
      </c>
      <c r="C53" s="31" t="s">
        <v>41</v>
      </c>
      <c r="D53" s="33" t="str">
        <f>Source!DW35</f>
        <v>кг</v>
      </c>
      <c r="E53" s="32">
        <f>Source!I35</f>
        <v>21748.16</v>
      </c>
      <c r="F53" s="35">
        <f>Source!AK35</f>
        <v>11.3</v>
      </c>
      <c r="G53" s="45" t="s">
        <v>3</v>
      </c>
      <c r="H53" s="32">
        <f>Source!AW35</f>
        <v>1.079</v>
      </c>
      <c r="I53" s="35">
        <f>ROUND((ROUND((Source!AC35*Source!AW35*Source!I35),2)),2)+(ROUND((ROUND(((Source!ET35)*Source!AV35*Source!I35),2)),2)+ROUND((ROUND(((Source!AE35-(Source!EU35))*Source!AV35*Source!I35),2)),2))+ROUND((ROUND((Source!AF35*Source!AV35*Source!I35),2)),2)</f>
        <v>265168.78999999998</v>
      </c>
      <c r="J53" s="32">
        <f>IF(Source!BC35&lt;&gt; 0, Source!BC35, 1)</f>
        <v>4.57</v>
      </c>
      <c r="K53" s="35">
        <f>Source!O35</f>
        <v>1211821.3700000001</v>
      </c>
      <c r="Q53">
        <f>ROUND((Source!DN35/100)*ROUND((ROUND((Source!AF35*Source!AV35*Source!I35),2)),2), 2)</f>
        <v>0</v>
      </c>
      <c r="R53">
        <f>Source!X35</f>
        <v>0</v>
      </c>
      <c r="S53">
        <f>ROUND((Source!DO35/100)*ROUND((ROUND((Source!AF35*Source!AV35*Source!I35),2)),2), 2)</f>
        <v>0</v>
      </c>
      <c r="T53">
        <f>Source!Y35</f>
        <v>0</v>
      </c>
      <c r="U53">
        <f>ROUND((175/100)*ROUND((ROUND((Source!AE35*Source!AV35*Source!I35),2)),2), 2)</f>
        <v>0</v>
      </c>
      <c r="V53">
        <f>ROUND((160/100)*ROUND(ROUND((ROUND((Source!AE35*Source!AV35*Source!I35),2)*Source!BS35),2), 2), 2)</f>
        <v>0</v>
      </c>
      <c r="X53">
        <f>IF(Source!BI35&lt;=1,I53, 0)</f>
        <v>265168.78999999998</v>
      </c>
      <c r="Y53">
        <f>IF(Source!BI35=2,I53, 0)</f>
        <v>0</v>
      </c>
      <c r="Z53">
        <f>IF(Source!BI35=3,I53, 0)</f>
        <v>0</v>
      </c>
      <c r="AA53">
        <f>IF(Source!BI35=4,I53, 0)</f>
        <v>0</v>
      </c>
      <c r="AI53">
        <v>3</v>
      </c>
    </row>
    <row r="54" spans="1:35" ht="142.5" x14ac:dyDescent="0.2">
      <c r="A54" s="31" t="s">
        <v>44</v>
      </c>
      <c r="B54" s="31" t="str">
        <f>Source!F36</f>
        <v>1.1-1-3290</v>
      </c>
      <c r="C54" s="31" t="s">
        <v>296</v>
      </c>
      <c r="D54" s="33" t="str">
        <f>Source!DW36</f>
        <v>л</v>
      </c>
      <c r="E54" s="32">
        <f>Source!I36</f>
        <v>1103.7936</v>
      </c>
      <c r="F54" s="35">
        <f>Source!AK36</f>
        <v>95.37</v>
      </c>
      <c r="G54" s="45" t="s">
        <v>3</v>
      </c>
      <c r="H54" s="32">
        <f>Source!AW36</f>
        <v>1.079</v>
      </c>
      <c r="I54" s="35">
        <f>ROUND((ROUND((Source!AC36*Source!AW36*Source!I36),2)),2)+(ROUND((ROUND(((Source!ET36)*Source!AV36*Source!I36),2)),2)+ROUND((ROUND(((Source!AE36-(Source!EU36))*Source!AV36*Source!I36),2)),2))+ROUND((ROUND((Source!AF36*Source!AV36*Source!I36),2)),2)</f>
        <v>113585.03</v>
      </c>
      <c r="J54" s="32">
        <f>IF(Source!BC36&lt;&gt; 0, Source!BC36, 1)</f>
        <v>8.48</v>
      </c>
      <c r="K54" s="35">
        <f>Source!O36</f>
        <v>963201.05</v>
      </c>
      <c r="Q54">
        <f>ROUND((Source!DN36/100)*ROUND((ROUND((Source!AF36*Source!AV36*Source!I36),2)),2), 2)</f>
        <v>0</v>
      </c>
      <c r="R54">
        <f>Source!X36</f>
        <v>0</v>
      </c>
      <c r="S54">
        <f>ROUND((Source!DO36/100)*ROUND((ROUND((Source!AF36*Source!AV36*Source!I36),2)),2), 2)</f>
        <v>0</v>
      </c>
      <c r="T54">
        <f>Source!Y36</f>
        <v>0</v>
      </c>
      <c r="U54">
        <f>ROUND((175/100)*ROUND((ROUND((Source!AE36*Source!AV36*Source!I36),2)),2), 2)</f>
        <v>0</v>
      </c>
      <c r="V54">
        <f>ROUND((160/100)*ROUND(ROUND((ROUND((Source!AE36*Source!AV36*Source!I36),2)*Source!BS36),2), 2), 2)</f>
        <v>0</v>
      </c>
      <c r="X54">
        <f>IF(Source!BI36&lt;=1,I54, 0)</f>
        <v>113585.03</v>
      </c>
      <c r="Y54">
        <f>IF(Source!BI36=2,I54, 0)</f>
        <v>0</v>
      </c>
      <c r="Z54">
        <f>IF(Source!BI36=3,I54, 0)</f>
        <v>0</v>
      </c>
      <c r="AA54">
        <f>IF(Source!BI36=4,I54, 0)</f>
        <v>0</v>
      </c>
      <c r="AI54">
        <v>3</v>
      </c>
    </row>
    <row r="55" spans="1:35" ht="14.25" x14ac:dyDescent="0.2">
      <c r="A55" s="31"/>
      <c r="B55" s="31"/>
      <c r="C55" s="31" t="s">
        <v>324</v>
      </c>
      <c r="D55" s="33" t="s">
        <v>325</v>
      </c>
      <c r="E55" s="32">
        <f>Source!DN34</f>
        <v>149</v>
      </c>
      <c r="F55" s="35"/>
      <c r="G55" s="34"/>
      <c r="H55" s="32"/>
      <c r="I55" s="35">
        <f>SUM(Q47:Q54)</f>
        <v>8857.25</v>
      </c>
      <c r="J55" s="32">
        <f>Source!BZ34</f>
        <v>119</v>
      </c>
      <c r="K55" s="35">
        <f>SUM(R47:R54)</f>
        <v>244120.54</v>
      </c>
    </row>
    <row r="56" spans="1:35" ht="14.25" x14ac:dyDescent="0.2">
      <c r="A56" s="31"/>
      <c r="B56" s="31"/>
      <c r="C56" s="31" t="s">
        <v>326</v>
      </c>
      <c r="D56" s="33" t="s">
        <v>325</v>
      </c>
      <c r="E56" s="32">
        <f>Source!DO34</f>
        <v>158</v>
      </c>
      <c r="F56" s="35"/>
      <c r="G56" s="34"/>
      <c r="H56" s="32"/>
      <c r="I56" s="35">
        <f>SUM(S47:S55)</f>
        <v>9392.25</v>
      </c>
      <c r="J56" s="32">
        <f>Source!CA34</f>
        <v>56</v>
      </c>
      <c r="K56" s="35">
        <f>SUM(T47:T55)</f>
        <v>114880.25</v>
      </c>
    </row>
    <row r="57" spans="1:35" ht="14.25" x14ac:dyDescent="0.2">
      <c r="A57" s="31"/>
      <c r="B57" s="31"/>
      <c r="C57" s="31" t="s">
        <v>335</v>
      </c>
      <c r="D57" s="33" t="s">
        <v>325</v>
      </c>
      <c r="E57" s="32">
        <f>175</f>
        <v>175</v>
      </c>
      <c r="F57" s="35"/>
      <c r="G57" s="34"/>
      <c r="H57" s="32"/>
      <c r="I57" s="35">
        <f>SUM(U47:U56)</f>
        <v>20526.189999999999</v>
      </c>
      <c r="J57" s="32">
        <f>160</f>
        <v>160</v>
      </c>
      <c r="K57" s="35">
        <f>SUM(V47:V56)</f>
        <v>647642.27</v>
      </c>
    </row>
    <row r="58" spans="1:35" ht="14.25" x14ac:dyDescent="0.2">
      <c r="A58" s="37"/>
      <c r="B58" s="37"/>
      <c r="C58" s="37" t="s">
        <v>327</v>
      </c>
      <c r="D58" s="38" t="s">
        <v>328</v>
      </c>
      <c r="E58" s="39">
        <f>Source!AQ34</f>
        <v>2.08</v>
      </c>
      <c r="F58" s="40"/>
      <c r="G58" s="41" t="str">
        <f>Source!DI34</f>
        <v>*1,05</v>
      </c>
      <c r="H58" s="39">
        <f>Source!AV34</f>
        <v>1.0469999999999999</v>
      </c>
      <c r="I58" s="40">
        <f>Source!U34</f>
        <v>425.77385759999999</v>
      </c>
      <c r="J58" s="39"/>
      <c r="K58" s="40"/>
      <c r="AB58" s="36">
        <f>I58</f>
        <v>425.77385759999999</v>
      </c>
    </row>
    <row r="59" spans="1:35" ht="15" x14ac:dyDescent="0.25">
      <c r="C59" s="21" t="s">
        <v>329</v>
      </c>
      <c r="H59" s="42">
        <f>I49+I50+I52+I55+I56+I57+SUM(I53:I54)</f>
        <v>791433.55999999994</v>
      </c>
      <c r="I59" s="42"/>
      <c r="J59" s="42">
        <f>K49+K50+K52+K55+K56+K57+SUM(K53:K54)</f>
        <v>6942601.8799999999</v>
      </c>
      <c r="K59" s="42"/>
      <c r="O59" s="36">
        <f>I49+I50+I52+I55+I56+I57+SUM(I53:I54)</f>
        <v>791433.55999999994</v>
      </c>
      <c r="P59" s="36">
        <f>K49+K50+K52+K55+K56+K57+SUM(K53:K54)</f>
        <v>6942601.8799999999</v>
      </c>
      <c r="X59">
        <f>IF(Source!BI34&lt;=1,I49+I50+I52+I55+I56+I57-0, 0)</f>
        <v>412679.74</v>
      </c>
      <c r="Y59">
        <f>IF(Source!BI34=2,I49+I50+I52+I55+I56+I57-0, 0)</f>
        <v>0</v>
      </c>
      <c r="Z59">
        <f>IF(Source!BI34=3,I49+I50+I52+I55+I56+I57-0, 0)</f>
        <v>0</v>
      </c>
      <c r="AA59">
        <f>IF(Source!BI34=4,I49+I50+I52+I55+I56+I57,0)</f>
        <v>0</v>
      </c>
    </row>
    <row r="61" spans="1:35" ht="81" x14ac:dyDescent="0.2">
      <c r="A61" s="31">
        <v>4</v>
      </c>
      <c r="B61" s="31" t="s">
        <v>337</v>
      </c>
      <c r="C61" s="31" t="s">
        <v>336</v>
      </c>
      <c r="D61" s="33" t="str">
        <f>Source!DW37</f>
        <v>м</v>
      </c>
      <c r="E61" s="32">
        <f>Source!I37</f>
        <v>567.6</v>
      </c>
      <c r="F61" s="35">
        <f>Source!AL37</f>
        <v>96.46</v>
      </c>
      <c r="G61" s="34" t="str">
        <f>Source!DD37</f>
        <v/>
      </c>
      <c r="H61" s="32">
        <f>Source!AW37</f>
        <v>1</v>
      </c>
      <c r="I61" s="35">
        <f>ROUND((ROUND((Source!AC37*Source!AW37*Source!I37),2)),2)</f>
        <v>54750.7</v>
      </c>
      <c r="J61" s="32">
        <f>IF(Source!BC37&lt;&gt; 0, Source!BC37, 1)</f>
        <v>9.74</v>
      </c>
      <c r="K61" s="35">
        <f>Source!P37</f>
        <v>533271.81999999995</v>
      </c>
      <c r="Q61">
        <f>ROUND((Source!DN37/100)*ROUND((ROUND((Source!AF37*Source!AV37*Source!I37),2)),2), 2)</f>
        <v>0</v>
      </c>
      <c r="R61">
        <f>Source!X37</f>
        <v>0</v>
      </c>
      <c r="S61">
        <f>ROUND((Source!DO37/100)*ROUND((ROUND((Source!AF37*Source!AV37*Source!I37),2)),2), 2)</f>
        <v>0</v>
      </c>
      <c r="T61">
        <f>Source!Y37</f>
        <v>0</v>
      </c>
      <c r="U61">
        <f>ROUND((175/100)*ROUND((ROUND((Source!AE37*Source!AV37*Source!I37),2)),2), 2)</f>
        <v>0</v>
      </c>
      <c r="V61">
        <f>ROUND((160/100)*ROUND(ROUND((ROUND((Source!AE37*Source!AV37*Source!I37),2)*Source!BS37),2), 2), 2)</f>
        <v>0</v>
      </c>
      <c r="AI61">
        <v>3</v>
      </c>
    </row>
    <row r="62" spans="1:35" x14ac:dyDescent="0.2">
      <c r="A62" s="46"/>
      <c r="B62" s="46"/>
      <c r="C62" s="47" t="str">
        <f>"Объем: "&amp;Source!I37&amp;"="&amp;Source!I34&amp;"*"&amp;"3+"&amp;"9"</f>
        <v>Объем: 567,6=186,2*3+9</v>
      </c>
      <c r="D62" s="46"/>
      <c r="E62" s="46"/>
      <c r="F62" s="46"/>
      <c r="G62" s="46"/>
      <c r="H62" s="46"/>
      <c r="I62" s="46"/>
      <c r="J62" s="46"/>
      <c r="K62" s="46"/>
    </row>
    <row r="63" spans="1:35" ht="15" x14ac:dyDescent="0.25">
      <c r="C63" s="21" t="s">
        <v>329</v>
      </c>
      <c r="H63" s="42">
        <f>I61+0</f>
        <v>54750.7</v>
      </c>
      <c r="I63" s="42"/>
      <c r="J63" s="42">
        <f>K61+0</f>
        <v>533271.81999999995</v>
      </c>
      <c r="K63" s="42"/>
      <c r="O63" s="36">
        <f>I61+0</f>
        <v>54750.7</v>
      </c>
      <c r="P63" s="36">
        <f>K61+0</f>
        <v>533271.81999999995</v>
      </c>
      <c r="X63">
        <f>IF(Source!BI37&lt;=1,I61-0, 0)</f>
        <v>54750.7</v>
      </c>
      <c r="Y63">
        <f>IF(Source!BI37=2,I61-0, 0)</f>
        <v>0</v>
      </c>
      <c r="Z63">
        <f>IF(Source!BI37=3,I61-0, 0)</f>
        <v>0</v>
      </c>
      <c r="AA63">
        <f>IF(Source!BI37=4,I61,0)</f>
        <v>0</v>
      </c>
    </row>
    <row r="65" spans="1:35" ht="52.5" x14ac:dyDescent="0.2">
      <c r="A65" s="31">
        <v>5</v>
      </c>
      <c r="B65" s="31" t="s">
        <v>338</v>
      </c>
      <c r="C65" s="31" t="s">
        <v>58</v>
      </c>
      <c r="D65" s="33" t="str">
        <f>Source!DW38</f>
        <v>1  ШТ.</v>
      </c>
      <c r="E65" s="32">
        <f>Source!I38</f>
        <v>1</v>
      </c>
      <c r="F65" s="35"/>
      <c r="G65" s="34"/>
      <c r="H65" s="32"/>
      <c r="I65" s="35"/>
      <c r="J65" s="32"/>
      <c r="K65" s="35"/>
      <c r="Q65">
        <f>ROUND((Source!DN38/100)*ROUND((ROUND((Source!AF38*Source!AV38*Source!I38),2)),2), 2)</f>
        <v>12.4</v>
      </c>
      <c r="R65">
        <f>Source!X38</f>
        <v>341.67</v>
      </c>
      <c r="S65">
        <f>ROUND((Source!DO38/100)*ROUND((ROUND((Source!AF38*Source!AV38*Source!I38),2)),2), 2)</f>
        <v>13.15</v>
      </c>
      <c r="T65">
        <f>Source!Y38</f>
        <v>160.79</v>
      </c>
      <c r="U65">
        <f>ROUND((175/100)*ROUND((ROUND((Source!AE38*Source!AV38*Source!I38),2)),2), 2)</f>
        <v>61.18</v>
      </c>
      <c r="V65">
        <f>ROUND((160/100)*ROUND(ROUND((ROUND((Source!AE38*Source!AV38*Source!I38),2)*Source!BS38),2), 2), 2)</f>
        <v>1930.35</v>
      </c>
      <c r="AI65">
        <v>0</v>
      </c>
    </row>
    <row r="66" spans="1:35" x14ac:dyDescent="0.2">
      <c r="C66" s="43" t="str">
        <f>"Объем: "&amp;Source!I38&amp;"=2*"&amp;"0+"&amp;"1"</f>
        <v>Объем: 1=2*0+1</v>
      </c>
    </row>
    <row r="67" spans="1:35" ht="14.25" x14ac:dyDescent="0.2">
      <c r="A67" s="31"/>
      <c r="B67" s="31"/>
      <c r="C67" s="31" t="s">
        <v>323</v>
      </c>
      <c r="D67" s="33"/>
      <c r="E67" s="32"/>
      <c r="F67" s="35">
        <f>Source!AO38</f>
        <v>7.57</v>
      </c>
      <c r="G67" s="34" t="str">
        <f>Source!DG38</f>
        <v>*1,05</v>
      </c>
      <c r="H67" s="32">
        <f>Source!AV38</f>
        <v>1.0469999999999999</v>
      </c>
      <c r="I67" s="35">
        <f>ROUND((ROUND((Source!AF38*Source!AV38*Source!I38),2)),2)</f>
        <v>8.32</v>
      </c>
      <c r="J67" s="32">
        <f>IF(Source!BA38&lt;&gt; 0, Source!BA38, 1)</f>
        <v>34.51</v>
      </c>
      <c r="K67" s="35">
        <f>Source!S38</f>
        <v>287.12</v>
      </c>
      <c r="W67">
        <f>I67</f>
        <v>8.32</v>
      </c>
    </row>
    <row r="68" spans="1:35" ht="14.25" x14ac:dyDescent="0.2">
      <c r="A68" s="31"/>
      <c r="B68" s="31"/>
      <c r="C68" s="31" t="s">
        <v>332</v>
      </c>
      <c r="D68" s="33"/>
      <c r="E68" s="32"/>
      <c r="F68" s="35">
        <f>Source!AM38</f>
        <v>1202.6400000000001</v>
      </c>
      <c r="G68" s="34" t="str">
        <f>Source!DE38</f>
        <v>*1,05</v>
      </c>
      <c r="H68" s="32">
        <f>Source!AV38</f>
        <v>1.0469999999999999</v>
      </c>
      <c r="I68" s="35">
        <f>(ROUND((ROUND((((Source!ET38*1.05))*Source!AV38*Source!I38),2)),2)+ROUND((ROUND(((Source!AE38-((Source!EU38*1.05)))*Source!AV38*Source!I38),2)),2))</f>
        <v>1322.12</v>
      </c>
      <c r="J68" s="32">
        <f>IF(Source!BB38&lt;&gt; 0, Source!BB38, 1)</f>
        <v>9.56</v>
      </c>
      <c r="K68" s="35">
        <f>Source!Q38</f>
        <v>12639.47</v>
      </c>
    </row>
    <row r="69" spans="1:35" ht="14.25" x14ac:dyDescent="0.2">
      <c r="A69" s="31"/>
      <c r="B69" s="31"/>
      <c r="C69" s="31" t="s">
        <v>333</v>
      </c>
      <c r="D69" s="33"/>
      <c r="E69" s="32"/>
      <c r="F69" s="35">
        <f>Source!AN38</f>
        <v>31.8</v>
      </c>
      <c r="G69" s="34" t="str">
        <f>Source!DF38</f>
        <v>*1,05</v>
      </c>
      <c r="H69" s="32">
        <f>Source!AV38</f>
        <v>1.0469999999999999</v>
      </c>
      <c r="I69" s="44">
        <f>ROUND((ROUND((Source!AE38*Source!AV38*Source!I38),2)),2)</f>
        <v>34.96</v>
      </c>
      <c r="J69" s="32">
        <f>IF(Source!BS38&lt;&gt; 0, Source!BS38, 1)</f>
        <v>34.51</v>
      </c>
      <c r="K69" s="44">
        <f>Source!R38</f>
        <v>1206.47</v>
      </c>
      <c r="W69">
        <f>I69</f>
        <v>34.96</v>
      </c>
    </row>
    <row r="70" spans="1:35" ht="14.25" x14ac:dyDescent="0.2">
      <c r="A70" s="31"/>
      <c r="B70" s="31"/>
      <c r="C70" s="31" t="s">
        <v>324</v>
      </c>
      <c r="D70" s="33" t="s">
        <v>325</v>
      </c>
      <c r="E70" s="32">
        <f>Source!DN38</f>
        <v>149</v>
      </c>
      <c r="F70" s="35"/>
      <c r="G70" s="34"/>
      <c r="H70" s="32"/>
      <c r="I70" s="35">
        <f>SUM(Q65:Q69)</f>
        <v>12.4</v>
      </c>
      <c r="J70" s="32">
        <f>Source!BZ38</f>
        <v>119</v>
      </c>
      <c r="K70" s="35">
        <f>SUM(R65:R69)</f>
        <v>341.67</v>
      </c>
    </row>
    <row r="71" spans="1:35" ht="14.25" x14ac:dyDescent="0.2">
      <c r="A71" s="31"/>
      <c r="B71" s="31"/>
      <c r="C71" s="31" t="s">
        <v>326</v>
      </c>
      <c r="D71" s="33" t="s">
        <v>325</v>
      </c>
      <c r="E71" s="32">
        <f>Source!DO38</f>
        <v>158</v>
      </c>
      <c r="F71" s="35"/>
      <c r="G71" s="34"/>
      <c r="H71" s="32"/>
      <c r="I71" s="35">
        <f>SUM(S65:S70)</f>
        <v>13.15</v>
      </c>
      <c r="J71" s="32">
        <f>Source!CA38</f>
        <v>56</v>
      </c>
      <c r="K71" s="35">
        <f>SUM(T65:T70)</f>
        <v>160.79</v>
      </c>
    </row>
    <row r="72" spans="1:35" ht="14.25" x14ac:dyDescent="0.2">
      <c r="A72" s="31"/>
      <c r="B72" s="31"/>
      <c r="C72" s="31" t="s">
        <v>335</v>
      </c>
      <c r="D72" s="33" t="s">
        <v>325</v>
      </c>
      <c r="E72" s="32">
        <f>175</f>
        <v>175</v>
      </c>
      <c r="F72" s="35"/>
      <c r="G72" s="34"/>
      <c r="H72" s="32"/>
      <c r="I72" s="35">
        <f>SUM(U65:U71)</f>
        <v>61.18</v>
      </c>
      <c r="J72" s="32">
        <f>160</f>
        <v>160</v>
      </c>
      <c r="K72" s="35">
        <f>SUM(V65:V71)</f>
        <v>1930.35</v>
      </c>
    </row>
    <row r="73" spans="1:35" ht="14.25" x14ac:dyDescent="0.2">
      <c r="A73" s="37"/>
      <c r="B73" s="37"/>
      <c r="C73" s="37" t="s">
        <v>327</v>
      </c>
      <c r="D73" s="38" t="s">
        <v>328</v>
      </c>
      <c r="E73" s="39">
        <f>Source!AQ38</f>
        <v>0.6</v>
      </c>
      <c r="F73" s="40"/>
      <c r="G73" s="41" t="str">
        <f>Source!DI38</f>
        <v>*1,05</v>
      </c>
      <c r="H73" s="39">
        <f>Source!AV38</f>
        <v>1.0469999999999999</v>
      </c>
      <c r="I73" s="40">
        <f>Source!U38</f>
        <v>0.65960999999999992</v>
      </c>
      <c r="J73" s="39"/>
      <c r="K73" s="40"/>
      <c r="AB73" s="36">
        <f>I73</f>
        <v>0.65960999999999992</v>
      </c>
    </row>
    <row r="74" spans="1:35" ht="15" x14ac:dyDescent="0.25">
      <c r="C74" s="21" t="s">
        <v>329</v>
      </c>
      <c r="H74" s="42">
        <f>I67+I68+I70+I71+I72+0</f>
        <v>1417.17</v>
      </c>
      <c r="I74" s="42"/>
      <c r="J74" s="42">
        <f>K67+K68+K70+K71+K72+0</f>
        <v>15359.400000000001</v>
      </c>
      <c r="K74" s="42"/>
      <c r="O74" s="36">
        <f>I67+I68+I70+I71+I72+0</f>
        <v>1417.17</v>
      </c>
      <c r="P74" s="36">
        <f>K67+K68+K70+K71+K72+0</f>
        <v>15359.400000000001</v>
      </c>
      <c r="X74">
        <f>IF(Source!BI38&lt;=1,I67+I68+I70+I71+I72-0, 0)</f>
        <v>1417.17</v>
      </c>
      <c r="Y74">
        <f>IF(Source!BI38=2,I67+I68+I70+I71+I72-0, 0)</f>
        <v>0</v>
      </c>
      <c r="Z74">
        <f>IF(Source!BI38=3,I67+I68+I70+I71+I72-0, 0)</f>
        <v>0</v>
      </c>
      <c r="AA74">
        <f>IF(Source!BI38=4,I67+I68+I70+I71+I72,0)</f>
        <v>0</v>
      </c>
    </row>
    <row r="76" spans="1:35" ht="52.5" x14ac:dyDescent="0.2">
      <c r="A76" s="31">
        <v>6</v>
      </c>
      <c r="B76" s="31" t="s">
        <v>339</v>
      </c>
      <c r="C76" s="31" t="s">
        <v>65</v>
      </c>
      <c r="D76" s="33" t="str">
        <f>Source!DW39</f>
        <v>1  ШТ.</v>
      </c>
      <c r="E76" s="32">
        <f>Source!I39</f>
        <v>2</v>
      </c>
      <c r="F76" s="35"/>
      <c r="G76" s="34"/>
      <c r="H76" s="32"/>
      <c r="I76" s="35"/>
      <c r="J76" s="32"/>
      <c r="K76" s="35"/>
      <c r="Q76">
        <f>ROUND((Source!DN39/100)*ROUND((ROUND((Source!AF39*Source!AV39*Source!I39),2)),2), 2)</f>
        <v>10.74</v>
      </c>
      <c r="R76">
        <f>Source!X39</f>
        <v>296.10000000000002</v>
      </c>
      <c r="S76">
        <f>ROUND((Source!DO39/100)*ROUND((ROUND((Source!AF39*Source!AV39*Source!I39),2)),2), 2)</f>
        <v>11.39</v>
      </c>
      <c r="T76">
        <f>Source!Y39</f>
        <v>139.34</v>
      </c>
      <c r="U76">
        <f>ROUND((175/100)*ROUND((ROUND((Source!AE39*Source!AV39*Source!I39),2)),2), 2)</f>
        <v>38.94</v>
      </c>
      <c r="V76">
        <f>ROUND((160/100)*ROUND(ROUND((ROUND((Source!AE39*Source!AV39*Source!I39),2)*Source!BS39),2), 2), 2)</f>
        <v>1228.56</v>
      </c>
      <c r="AI76">
        <v>0</v>
      </c>
    </row>
    <row r="77" spans="1:35" ht="14.25" x14ac:dyDescent="0.2">
      <c r="A77" s="31"/>
      <c r="B77" s="31"/>
      <c r="C77" s="31" t="s">
        <v>323</v>
      </c>
      <c r="D77" s="33"/>
      <c r="E77" s="32"/>
      <c r="F77" s="35">
        <f>Source!AO39</f>
        <v>3.28</v>
      </c>
      <c r="G77" s="34" t="str">
        <f>Source!DG39</f>
        <v>*1,05</v>
      </c>
      <c r="H77" s="32">
        <f>Source!AV39</f>
        <v>1.0469999999999999</v>
      </c>
      <c r="I77" s="35">
        <f>ROUND((ROUND((Source!AF39*Source!AV39*Source!I39),2)),2)</f>
        <v>7.21</v>
      </c>
      <c r="J77" s="32">
        <f>IF(Source!BA39&lt;&gt; 0, Source!BA39, 1)</f>
        <v>34.51</v>
      </c>
      <c r="K77" s="35">
        <f>Source!S39</f>
        <v>248.82</v>
      </c>
      <c r="W77">
        <f>I77</f>
        <v>7.21</v>
      </c>
    </row>
    <row r="78" spans="1:35" ht="14.25" x14ac:dyDescent="0.2">
      <c r="A78" s="31"/>
      <c r="B78" s="31"/>
      <c r="C78" s="31" t="s">
        <v>332</v>
      </c>
      <c r="D78" s="33"/>
      <c r="E78" s="32"/>
      <c r="F78" s="35">
        <f>Source!AM39</f>
        <v>479.26</v>
      </c>
      <c r="G78" s="34" t="str">
        <f>Source!DE39</f>
        <v>*1,05</v>
      </c>
      <c r="H78" s="32">
        <f>Source!AV39</f>
        <v>1.0469999999999999</v>
      </c>
      <c r="I78" s="35">
        <f>(ROUND((ROUND((((Source!ET39*1.05))*Source!AV39*Source!I39),2)),2)+ROUND((ROUND(((Source!AE39-((Source!EU39*1.05)))*Source!AV39*Source!I39),2)),2))</f>
        <v>1053.75</v>
      </c>
      <c r="J78" s="32">
        <f>IF(Source!BB39&lt;&gt; 0, Source!BB39, 1)</f>
        <v>9.36</v>
      </c>
      <c r="K78" s="35">
        <f>Source!Q39</f>
        <v>9863.1</v>
      </c>
    </row>
    <row r="79" spans="1:35" ht="14.25" x14ac:dyDescent="0.2">
      <c r="A79" s="31"/>
      <c r="B79" s="31"/>
      <c r="C79" s="31" t="s">
        <v>333</v>
      </c>
      <c r="D79" s="33"/>
      <c r="E79" s="32"/>
      <c r="F79" s="35">
        <f>Source!AN39</f>
        <v>10.119999999999999</v>
      </c>
      <c r="G79" s="34" t="str">
        <f>Source!DF39</f>
        <v>*1,05</v>
      </c>
      <c r="H79" s="32">
        <f>Source!AV39</f>
        <v>1.0469999999999999</v>
      </c>
      <c r="I79" s="44">
        <f>ROUND((ROUND((Source!AE39*Source!AV39*Source!I39),2)),2)</f>
        <v>22.25</v>
      </c>
      <c r="J79" s="32">
        <f>IF(Source!BS39&lt;&gt; 0, Source!BS39, 1)</f>
        <v>34.51</v>
      </c>
      <c r="K79" s="44">
        <f>Source!R39</f>
        <v>767.85</v>
      </c>
      <c r="W79">
        <f>I79</f>
        <v>22.25</v>
      </c>
    </row>
    <row r="80" spans="1:35" ht="14.25" x14ac:dyDescent="0.2">
      <c r="A80" s="31"/>
      <c r="B80" s="31"/>
      <c r="C80" s="31" t="s">
        <v>324</v>
      </c>
      <c r="D80" s="33" t="s">
        <v>325</v>
      </c>
      <c r="E80" s="32">
        <f>Source!DN39</f>
        <v>149</v>
      </c>
      <c r="F80" s="35"/>
      <c r="G80" s="34"/>
      <c r="H80" s="32"/>
      <c r="I80" s="35">
        <f>SUM(Q76:Q79)</f>
        <v>10.74</v>
      </c>
      <c r="J80" s="32">
        <f>Source!BZ39</f>
        <v>119</v>
      </c>
      <c r="K80" s="35">
        <f>SUM(R76:R79)</f>
        <v>296.10000000000002</v>
      </c>
    </row>
    <row r="81" spans="1:35" ht="14.25" x14ac:dyDescent="0.2">
      <c r="A81" s="31"/>
      <c r="B81" s="31"/>
      <c r="C81" s="31" t="s">
        <v>326</v>
      </c>
      <c r="D81" s="33" t="s">
        <v>325</v>
      </c>
      <c r="E81" s="32">
        <f>Source!DO39</f>
        <v>158</v>
      </c>
      <c r="F81" s="35"/>
      <c r="G81" s="34"/>
      <c r="H81" s="32"/>
      <c r="I81" s="35">
        <f>SUM(S76:S80)</f>
        <v>11.39</v>
      </c>
      <c r="J81" s="32">
        <f>Source!CA39</f>
        <v>56</v>
      </c>
      <c r="K81" s="35">
        <f>SUM(T76:T80)</f>
        <v>139.34</v>
      </c>
    </row>
    <row r="82" spans="1:35" ht="14.25" x14ac:dyDescent="0.2">
      <c r="A82" s="31"/>
      <c r="B82" s="31"/>
      <c r="C82" s="31" t="s">
        <v>335</v>
      </c>
      <c r="D82" s="33" t="s">
        <v>325</v>
      </c>
      <c r="E82" s="32">
        <f>175</f>
        <v>175</v>
      </c>
      <c r="F82" s="35"/>
      <c r="G82" s="34"/>
      <c r="H82" s="32"/>
      <c r="I82" s="35">
        <f>SUM(U76:U81)</f>
        <v>38.94</v>
      </c>
      <c r="J82" s="32">
        <f>160</f>
        <v>160</v>
      </c>
      <c r="K82" s="35">
        <f>SUM(V76:V81)</f>
        <v>1228.56</v>
      </c>
    </row>
    <row r="83" spans="1:35" ht="14.25" x14ac:dyDescent="0.2">
      <c r="A83" s="37"/>
      <c r="B83" s="37"/>
      <c r="C83" s="37" t="s">
        <v>327</v>
      </c>
      <c r="D83" s="38" t="s">
        <v>328</v>
      </c>
      <c r="E83" s="39">
        <f>Source!AQ39</f>
        <v>0.26</v>
      </c>
      <c r="F83" s="40"/>
      <c r="G83" s="41" t="str">
        <f>Source!DI39</f>
        <v>*1,05</v>
      </c>
      <c r="H83" s="39">
        <f>Source!AV39</f>
        <v>1.0469999999999999</v>
      </c>
      <c r="I83" s="40">
        <f>Source!U39</f>
        <v>0.571662</v>
      </c>
      <c r="J83" s="39"/>
      <c r="K83" s="40"/>
      <c r="AB83" s="36">
        <f>I83</f>
        <v>0.571662</v>
      </c>
    </row>
    <row r="84" spans="1:35" ht="15" x14ac:dyDescent="0.25">
      <c r="C84" s="21" t="s">
        <v>329</v>
      </c>
      <c r="H84" s="42">
        <f>I77+I78+I80+I81+I82+0</f>
        <v>1122.0300000000002</v>
      </c>
      <c r="I84" s="42"/>
      <c r="J84" s="42">
        <f>K77+K78+K80+K81+K82+0</f>
        <v>11775.92</v>
      </c>
      <c r="K84" s="42"/>
      <c r="O84" s="36">
        <f>I77+I78+I80+I81+I82+0</f>
        <v>1122.0300000000002</v>
      </c>
      <c r="P84" s="36">
        <f>K77+K78+K80+K81+K82+0</f>
        <v>11775.92</v>
      </c>
      <c r="X84">
        <f>IF(Source!BI39&lt;=1,I77+I78+I80+I81+I82-0, 0)</f>
        <v>1122.0300000000002</v>
      </c>
      <c r="Y84">
        <f>IF(Source!BI39=2,I77+I78+I80+I81+I82-0, 0)</f>
        <v>0</v>
      </c>
      <c r="Z84">
        <f>IF(Source!BI39=3,I77+I78+I80+I81+I82-0, 0)</f>
        <v>0</v>
      </c>
      <c r="AA84">
        <f>IF(Source!BI39=4,I77+I78+I80+I81+I82,0)</f>
        <v>0</v>
      </c>
    </row>
    <row r="86" spans="1:35" ht="52.5" x14ac:dyDescent="0.2">
      <c r="A86" s="31">
        <v>7</v>
      </c>
      <c r="B86" s="31" t="s">
        <v>340</v>
      </c>
      <c r="C86" s="31" t="s">
        <v>69</v>
      </c>
      <c r="D86" s="33" t="str">
        <f>Source!DW40</f>
        <v>1 стык</v>
      </c>
      <c r="E86" s="32">
        <f>Source!I40</f>
        <v>49</v>
      </c>
      <c r="F86" s="35"/>
      <c r="G86" s="34"/>
      <c r="H86" s="32"/>
      <c r="I86" s="35"/>
      <c r="J86" s="32"/>
      <c r="K86" s="35"/>
      <c r="Q86">
        <f>ROUND((Source!DN40/100)*ROUND((ROUND((Source!AF40*Source!AV40*Source!I40),2)),2), 2)</f>
        <v>1082.78</v>
      </c>
      <c r="R86">
        <f>Source!X40</f>
        <v>30623.86</v>
      </c>
      <c r="S86">
        <f>ROUND((Source!DO40/100)*ROUND((ROUND((Source!AF40*Source!AV40*Source!I40),2)),2), 2)</f>
        <v>919.96</v>
      </c>
      <c r="T86">
        <f>Source!Y40</f>
        <v>15171.45</v>
      </c>
      <c r="U86">
        <f>ROUND((175/100)*ROUND((ROUND((Source!AE40*Source!AV40*Source!I40),2)),2), 2)</f>
        <v>0</v>
      </c>
      <c r="V86">
        <f>ROUND((160/100)*ROUND(ROUND((ROUND((Source!AE40*Source!AV40*Source!I40),2)*Source!BS40),2), 2), 2)</f>
        <v>0</v>
      </c>
      <c r="AI86">
        <v>0</v>
      </c>
    </row>
    <row r="87" spans="1:35" x14ac:dyDescent="0.2">
      <c r="C87" s="43" t="str">
        <f>"Объем: "&amp;Source!I40&amp;"=55-"&amp;"6"</f>
        <v>Объем: 49=55-6</v>
      </c>
    </row>
    <row r="88" spans="1:35" ht="14.25" x14ac:dyDescent="0.2">
      <c r="A88" s="31"/>
      <c r="B88" s="31"/>
      <c r="C88" s="31" t="s">
        <v>323</v>
      </c>
      <c r="D88" s="33"/>
      <c r="E88" s="32"/>
      <c r="F88" s="35">
        <f>Source!AO40</f>
        <v>14.83</v>
      </c>
      <c r="G88" s="34" t="str">
        <f>Source!DG40</f>
        <v>*1,05</v>
      </c>
      <c r="H88" s="32">
        <f>Source!AV40</f>
        <v>1.0669999999999999</v>
      </c>
      <c r="I88" s="35">
        <f>ROUND((ROUND((Source!AF40*Source!AV40*Source!I40),2)),2)</f>
        <v>814.12</v>
      </c>
      <c r="J88" s="32">
        <f>IF(Source!BA40&lt;&gt; 0, Source!BA40, 1)</f>
        <v>34.51</v>
      </c>
      <c r="K88" s="35">
        <f>Source!S40</f>
        <v>28095.279999999999</v>
      </c>
      <c r="W88">
        <f>I88</f>
        <v>814.12</v>
      </c>
    </row>
    <row r="89" spans="1:35" ht="14.25" x14ac:dyDescent="0.2">
      <c r="A89" s="31"/>
      <c r="B89" s="31"/>
      <c r="C89" s="31" t="s">
        <v>332</v>
      </c>
      <c r="D89" s="33"/>
      <c r="E89" s="32"/>
      <c r="F89" s="35">
        <f>Source!AM40</f>
        <v>2.25</v>
      </c>
      <c r="G89" s="34" t="str">
        <f>Source!DE40</f>
        <v>*1,05</v>
      </c>
      <c r="H89" s="32">
        <f>Source!AV40</f>
        <v>1.0669999999999999</v>
      </c>
      <c r="I89" s="35">
        <f>(ROUND((ROUND((((Source!ET40*1.05))*Source!AV40*Source!I40),2)),2)+ROUND((ROUND(((Source!AE40-((Source!EU40*1.05)))*Source!AV40*Source!I40),2)),2))</f>
        <v>123.52</v>
      </c>
      <c r="J89" s="32">
        <f>IF(Source!BB40&lt;&gt; 0, Source!BB40, 1)</f>
        <v>8.85</v>
      </c>
      <c r="K89" s="35">
        <f>Source!Q40</f>
        <v>1093.1500000000001</v>
      </c>
    </row>
    <row r="90" spans="1:35" ht="14.25" x14ac:dyDescent="0.2">
      <c r="A90" s="31"/>
      <c r="B90" s="31"/>
      <c r="C90" s="31" t="s">
        <v>334</v>
      </c>
      <c r="D90" s="33"/>
      <c r="E90" s="32"/>
      <c r="F90" s="35">
        <f>Source!AL40</f>
        <v>0.91</v>
      </c>
      <c r="G90" s="34" t="str">
        <f>Source!DD40</f>
        <v/>
      </c>
      <c r="H90" s="32">
        <f>Source!AW40</f>
        <v>1.0029999999999999</v>
      </c>
      <c r="I90" s="35">
        <f>ROUND((ROUND((Source!AC40*Source!AW40*Source!I40),2)),2)</f>
        <v>44.72</v>
      </c>
      <c r="J90" s="32">
        <f>IF(Source!BC40&lt;&gt; 0, Source!BC40, 1)</f>
        <v>105.24</v>
      </c>
      <c r="K90" s="35">
        <f>Source!P40</f>
        <v>4706.33</v>
      </c>
    </row>
    <row r="91" spans="1:35" ht="14.25" x14ac:dyDescent="0.2">
      <c r="A91" s="31"/>
      <c r="B91" s="31"/>
      <c r="C91" s="31" t="s">
        <v>324</v>
      </c>
      <c r="D91" s="33" t="s">
        <v>325</v>
      </c>
      <c r="E91" s="32">
        <f>Source!DN40</f>
        <v>133</v>
      </c>
      <c r="F91" s="35"/>
      <c r="G91" s="34"/>
      <c r="H91" s="32"/>
      <c r="I91" s="35">
        <f>SUM(Q86:Q90)</f>
        <v>1082.78</v>
      </c>
      <c r="J91" s="32">
        <f>Source!BZ40</f>
        <v>109</v>
      </c>
      <c r="K91" s="35">
        <f>SUM(R86:R90)</f>
        <v>30623.86</v>
      </c>
    </row>
    <row r="92" spans="1:35" ht="14.25" x14ac:dyDescent="0.2">
      <c r="A92" s="31"/>
      <c r="B92" s="31"/>
      <c r="C92" s="31" t="s">
        <v>326</v>
      </c>
      <c r="D92" s="33" t="s">
        <v>325</v>
      </c>
      <c r="E92" s="32">
        <f>Source!DO40</f>
        <v>113</v>
      </c>
      <c r="F92" s="35"/>
      <c r="G92" s="34"/>
      <c r="H92" s="32"/>
      <c r="I92" s="35">
        <f>SUM(S86:S91)</f>
        <v>919.96</v>
      </c>
      <c r="J92" s="32">
        <f>Source!CA40</f>
        <v>54</v>
      </c>
      <c r="K92" s="35">
        <f>SUM(T86:T91)</f>
        <v>15171.45</v>
      </c>
    </row>
    <row r="93" spans="1:35" ht="14.25" x14ac:dyDescent="0.2">
      <c r="A93" s="37"/>
      <c r="B93" s="37"/>
      <c r="C93" s="37" t="s">
        <v>327</v>
      </c>
      <c r="D93" s="38" t="s">
        <v>328</v>
      </c>
      <c r="E93" s="39">
        <f>Source!AQ40</f>
        <v>1.1499999999999999</v>
      </c>
      <c r="F93" s="40"/>
      <c r="G93" s="41" t="str">
        <f>Source!DI40</f>
        <v>*1,05</v>
      </c>
      <c r="H93" s="39">
        <f>Source!AV40</f>
        <v>1.0669999999999999</v>
      </c>
      <c r="I93" s="40">
        <f>Source!U40</f>
        <v>63.131722499999995</v>
      </c>
      <c r="J93" s="39"/>
      <c r="K93" s="40"/>
      <c r="AB93" s="36">
        <f>I93</f>
        <v>63.131722499999995</v>
      </c>
    </row>
    <row r="94" spans="1:35" ht="15" x14ac:dyDescent="0.25">
      <c r="C94" s="21" t="s">
        <v>329</v>
      </c>
      <c r="H94" s="42">
        <f>I88+I89+I90+I91+I92+0</f>
        <v>2985.1</v>
      </c>
      <c r="I94" s="42"/>
      <c r="J94" s="42">
        <f>K88+K89+K90+K91+K92+0</f>
        <v>79690.070000000007</v>
      </c>
      <c r="K94" s="42"/>
      <c r="O94" s="36">
        <f>I88+I89+I90+I91+I92+0</f>
        <v>2985.1</v>
      </c>
      <c r="P94" s="36">
        <f>K88+K89+K90+K91+K92+0</f>
        <v>79690.070000000007</v>
      </c>
      <c r="X94">
        <f>IF(Source!BI40&lt;=1,I88+I89+I90+I91+I92-0, 0)</f>
        <v>2985.1</v>
      </c>
      <c r="Y94">
        <f>IF(Source!BI40=2,I88+I89+I90+I91+I92-0, 0)</f>
        <v>0</v>
      </c>
      <c r="Z94">
        <f>IF(Source!BI40=3,I88+I89+I90+I91+I92-0, 0)</f>
        <v>0</v>
      </c>
      <c r="AA94">
        <f>IF(Source!BI40=4,I88+I89+I90+I91+I92,0)</f>
        <v>0</v>
      </c>
    </row>
    <row r="96" spans="1:35" ht="66.75" x14ac:dyDescent="0.2">
      <c r="A96" s="31">
        <v>8</v>
      </c>
      <c r="B96" s="31" t="s">
        <v>341</v>
      </c>
      <c r="C96" s="31" t="s">
        <v>76</v>
      </c>
      <c r="D96" s="33" t="str">
        <f>Source!DW41</f>
        <v>канал</v>
      </c>
      <c r="E96" s="32">
        <f>Source!I41</f>
        <v>4</v>
      </c>
      <c r="F96" s="35"/>
      <c r="G96" s="34"/>
      <c r="H96" s="32"/>
      <c r="I96" s="35"/>
      <c r="J96" s="32"/>
      <c r="K96" s="35"/>
      <c r="Q96">
        <f>ROUND((Source!DN41/100)*ROUND((ROUND((Source!AF41*Source!AV41*Source!I41),2)),2), 2)</f>
        <v>6.2</v>
      </c>
      <c r="R96">
        <f>Source!X41</f>
        <v>175.89</v>
      </c>
      <c r="S96">
        <f>ROUND((Source!DO41/100)*ROUND((ROUND((Source!AF41*Source!AV41*Source!I41),2)),2), 2)</f>
        <v>3.88</v>
      </c>
      <c r="T96">
        <f>Source!Y41</f>
        <v>82.21</v>
      </c>
      <c r="U96">
        <f>ROUND((175/100)*ROUND((ROUND((Source!AE41*Source!AV41*Source!I41),2)),2), 2)</f>
        <v>0</v>
      </c>
      <c r="V96">
        <f>ROUND((160/100)*ROUND(ROUND((ROUND((Source!AE41*Source!AV41*Source!I41),2)*Source!BS41),2), 2), 2)</f>
        <v>0</v>
      </c>
      <c r="AI96">
        <v>0</v>
      </c>
    </row>
    <row r="97" spans="1:35" ht="14.25" x14ac:dyDescent="0.2">
      <c r="A97" s="31"/>
      <c r="B97" s="31"/>
      <c r="C97" s="31" t="s">
        <v>323</v>
      </c>
      <c r="D97" s="33"/>
      <c r="E97" s="32"/>
      <c r="F97" s="35">
        <f>Source!AO41</f>
        <v>1.26</v>
      </c>
      <c r="G97" s="34" t="str">
        <f>Source!DG41</f>
        <v>*1,05</v>
      </c>
      <c r="H97" s="32">
        <f>Source!AV41</f>
        <v>1.0469999999999999</v>
      </c>
      <c r="I97" s="35">
        <f>ROUND((ROUND((Source!AF41*Source!AV41*Source!I41),2)),2)</f>
        <v>5.54</v>
      </c>
      <c r="J97" s="32">
        <f>IF(Source!BA41&lt;&gt; 0, Source!BA41, 1)</f>
        <v>34.51</v>
      </c>
      <c r="K97" s="35">
        <f>Source!S41</f>
        <v>191.19</v>
      </c>
      <c r="W97">
        <f>I97</f>
        <v>5.54</v>
      </c>
    </row>
    <row r="98" spans="1:35" ht="14.25" x14ac:dyDescent="0.2">
      <c r="A98" s="31"/>
      <c r="B98" s="31"/>
      <c r="C98" s="31" t="s">
        <v>334</v>
      </c>
      <c r="D98" s="33"/>
      <c r="E98" s="32"/>
      <c r="F98" s="35">
        <f>Source!AL41</f>
        <v>11.3</v>
      </c>
      <c r="G98" s="34" t="str">
        <f>Source!DD41</f>
        <v/>
      </c>
      <c r="H98" s="32">
        <f>Source!AW41</f>
        <v>1</v>
      </c>
      <c r="I98" s="35">
        <f>ROUND((ROUND((Source!AC41*Source!AW41*Source!I41),2)),2)</f>
        <v>45.2</v>
      </c>
      <c r="J98" s="32">
        <f>IF(Source!BC41&lt;&gt; 0, Source!BC41, 1)</f>
        <v>9.74</v>
      </c>
      <c r="K98" s="35">
        <f>Source!P41</f>
        <v>440.25</v>
      </c>
    </row>
    <row r="99" spans="1:35" ht="14.25" x14ac:dyDescent="0.2">
      <c r="A99" s="31"/>
      <c r="B99" s="31"/>
      <c r="C99" s="31" t="s">
        <v>324</v>
      </c>
      <c r="D99" s="33" t="s">
        <v>325</v>
      </c>
      <c r="E99" s="32">
        <f>Source!DN41</f>
        <v>112</v>
      </c>
      <c r="F99" s="35"/>
      <c r="G99" s="34"/>
      <c r="H99" s="32"/>
      <c r="I99" s="35">
        <f>SUM(Q96:Q98)</f>
        <v>6.2</v>
      </c>
      <c r="J99" s="32">
        <f>Source!BZ41</f>
        <v>92</v>
      </c>
      <c r="K99" s="35">
        <f>SUM(R96:R98)</f>
        <v>175.89</v>
      </c>
    </row>
    <row r="100" spans="1:35" ht="14.25" x14ac:dyDescent="0.2">
      <c r="A100" s="31"/>
      <c r="B100" s="31"/>
      <c r="C100" s="31" t="s">
        <v>326</v>
      </c>
      <c r="D100" s="33" t="s">
        <v>325</v>
      </c>
      <c r="E100" s="32">
        <f>Source!DO41</f>
        <v>70</v>
      </c>
      <c r="F100" s="35"/>
      <c r="G100" s="34"/>
      <c r="H100" s="32"/>
      <c r="I100" s="35">
        <f>SUM(S96:S99)</f>
        <v>3.88</v>
      </c>
      <c r="J100" s="32">
        <f>Source!CA41</f>
        <v>43</v>
      </c>
      <c r="K100" s="35">
        <f>SUM(T96:T99)</f>
        <v>82.21</v>
      </c>
    </row>
    <row r="101" spans="1:35" ht="14.25" x14ac:dyDescent="0.2">
      <c r="A101" s="37"/>
      <c r="B101" s="37"/>
      <c r="C101" s="37" t="s">
        <v>327</v>
      </c>
      <c r="D101" s="38" t="s">
        <v>328</v>
      </c>
      <c r="E101" s="39">
        <f>Source!AQ41</f>
        <v>0.1</v>
      </c>
      <c r="F101" s="40"/>
      <c r="G101" s="41" t="str">
        <f>Source!DI41</f>
        <v>*1,05</v>
      </c>
      <c r="H101" s="39">
        <f>Source!AV41</f>
        <v>1.0469999999999999</v>
      </c>
      <c r="I101" s="40">
        <f>Source!U41</f>
        <v>0.43974000000000002</v>
      </c>
      <c r="J101" s="39"/>
      <c r="K101" s="40"/>
      <c r="AB101" s="36">
        <f>I101</f>
        <v>0.43974000000000002</v>
      </c>
    </row>
    <row r="102" spans="1:35" ht="15" x14ac:dyDescent="0.25">
      <c r="C102" s="21" t="s">
        <v>329</v>
      </c>
      <c r="H102" s="42">
        <f>I97+I98+I99+I100+0</f>
        <v>60.820000000000007</v>
      </c>
      <c r="I102" s="42"/>
      <c r="J102" s="42">
        <f>K97+K98+K99+K100+0</f>
        <v>889.54000000000008</v>
      </c>
      <c r="K102" s="42"/>
      <c r="O102" s="36">
        <f>I97+I98+I99+I100+0</f>
        <v>60.820000000000007</v>
      </c>
      <c r="P102" s="36">
        <f>K97+K98+K99+K100+0</f>
        <v>889.54000000000008</v>
      </c>
      <c r="X102">
        <f>IF(Source!BI41&lt;=1,I97+I98+I99+I100-0, 0)</f>
        <v>0</v>
      </c>
      <c r="Y102">
        <f>IF(Source!BI41=2,I97+I98+I99+I100-0, 0)</f>
        <v>60.820000000000007</v>
      </c>
      <c r="Z102">
        <f>IF(Source!BI41=3,I97+I98+I99+I100-0, 0)</f>
        <v>0</v>
      </c>
      <c r="AA102">
        <f>IF(Source!BI41=4,I97+I98+I99+I100,0)</f>
        <v>0</v>
      </c>
    </row>
    <row r="104" spans="1:35" ht="57" x14ac:dyDescent="0.2">
      <c r="A104" s="37">
        <v>9</v>
      </c>
      <c r="B104" s="37" t="s">
        <v>342</v>
      </c>
      <c r="C104" s="37" t="s">
        <v>84</v>
      </c>
      <c r="D104" s="38" t="str">
        <f>Source!DW42</f>
        <v>шт.</v>
      </c>
      <c r="E104" s="39">
        <f>Source!I42</f>
        <v>4</v>
      </c>
      <c r="F104" s="40">
        <f>Source!AL42</f>
        <v>3.9</v>
      </c>
      <c r="G104" s="41" t="str">
        <f>Source!DD42</f>
        <v/>
      </c>
      <c r="H104" s="39">
        <f>Source!AW42</f>
        <v>1</v>
      </c>
      <c r="I104" s="40">
        <f>ROUND((ROUND((Source!AC42*Source!AW42*Source!I42),2)),2)</f>
        <v>15.6</v>
      </c>
      <c r="J104" s="39">
        <f>IF(Source!BC42&lt;&gt; 0, Source!BC42, 1)</f>
        <v>13.93</v>
      </c>
      <c r="K104" s="40">
        <f>Source!P42</f>
        <v>217.31</v>
      </c>
      <c r="Q104">
        <f>ROUND((Source!DN42/100)*ROUND((ROUND((Source!AF42*Source!AV42*Source!I42),2)),2), 2)</f>
        <v>0</v>
      </c>
      <c r="R104">
        <f>Source!X42</f>
        <v>0</v>
      </c>
      <c r="S104">
        <f>ROUND((Source!DO42/100)*ROUND((ROUND((Source!AF42*Source!AV42*Source!I42),2)),2), 2)</f>
        <v>0</v>
      </c>
      <c r="T104">
        <f>Source!Y42</f>
        <v>0</v>
      </c>
      <c r="U104">
        <f>ROUND((175/100)*ROUND((ROUND((Source!AE42*Source!AV42*Source!I42),2)),2), 2)</f>
        <v>0</v>
      </c>
      <c r="V104">
        <f>ROUND((160/100)*ROUND(ROUND((ROUND((Source!AE42*Source!AV42*Source!I42),2)*Source!BS42),2), 2), 2)</f>
        <v>0</v>
      </c>
      <c r="AI104">
        <v>3</v>
      </c>
    </row>
    <row r="105" spans="1:35" ht="15" x14ac:dyDescent="0.25">
      <c r="C105" s="21" t="s">
        <v>329</v>
      </c>
      <c r="H105" s="42">
        <f>I104+0</f>
        <v>15.6</v>
      </c>
      <c r="I105" s="42"/>
      <c r="J105" s="42">
        <f>K104+0</f>
        <v>217.31</v>
      </c>
      <c r="K105" s="42"/>
      <c r="O105" s="36">
        <f>I104+0</f>
        <v>15.6</v>
      </c>
      <c r="P105" s="36">
        <f>K104+0</f>
        <v>217.31</v>
      </c>
      <c r="X105">
        <f>IF(Source!BI42&lt;=1,I104-0, 0)</f>
        <v>15.6</v>
      </c>
      <c r="Y105">
        <f>IF(Source!BI42=2,I104-0, 0)</f>
        <v>0</v>
      </c>
      <c r="Z105">
        <f>IF(Source!BI42=3,I104-0, 0)</f>
        <v>0</v>
      </c>
      <c r="AA105">
        <f>IF(Source!BI42=4,I104,0)</f>
        <v>0</v>
      </c>
    </row>
    <row r="108" spans="1:35" ht="15" x14ac:dyDescent="0.25">
      <c r="A108" s="50" t="str">
        <f>CONCATENATE("Итого по подразделу: ",IF(Source!G44&lt;&gt;"Новый подраздел", Source!G44, ""))</f>
        <v>Итого по подразделу: Строительные работы</v>
      </c>
      <c r="B108" s="50"/>
      <c r="C108" s="50"/>
      <c r="D108" s="50"/>
      <c r="E108" s="50"/>
      <c r="F108" s="50"/>
      <c r="G108" s="50"/>
      <c r="H108" s="49">
        <f>SUM(O31:O107)</f>
        <v>852105.74999999988</v>
      </c>
      <c r="I108" s="48"/>
      <c r="J108" s="49">
        <f>SUM(P31:P107)</f>
        <v>7592756.1100000003</v>
      </c>
      <c r="K108" s="48"/>
    </row>
    <row r="109" spans="1:35" hidden="1" x14ac:dyDescent="0.2">
      <c r="A109" t="s">
        <v>343</v>
      </c>
      <c r="H109">
        <f>SUM(AC31:AC108)</f>
        <v>0</v>
      </c>
      <c r="J109">
        <f>SUM(AD31:AD108)</f>
        <v>0</v>
      </c>
    </row>
    <row r="110" spans="1:35" hidden="1" x14ac:dyDescent="0.2">
      <c r="A110" t="s">
        <v>344</v>
      </c>
      <c r="H110">
        <f>SUM(AE31:AE109)</f>
        <v>0</v>
      </c>
      <c r="J110">
        <f>SUM(AF31:AF109)</f>
        <v>0</v>
      </c>
    </row>
    <row r="112" spans="1:35" ht="16.5" x14ac:dyDescent="0.25">
      <c r="A112" s="30" t="str">
        <f>CONCATENATE("Подраздел: ",IF(Source!G74&lt;&gt;"Новый подраздел", Source!G74, ""))</f>
        <v>Подраздел: Монтажные работы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 spans="1:35" ht="52.5" x14ac:dyDescent="0.2">
      <c r="A113" s="31">
        <v>10</v>
      </c>
      <c r="B113" s="31" t="s">
        <v>345</v>
      </c>
      <c r="C113" s="31" t="s">
        <v>147</v>
      </c>
      <c r="D113" s="33" t="str">
        <f>Source!DW78</f>
        <v>100 М КАБЕЛЯ</v>
      </c>
      <c r="E113" s="32">
        <f>Source!I78</f>
        <v>13.1805</v>
      </c>
      <c r="F113" s="35"/>
      <c r="G113" s="34"/>
      <c r="H113" s="32"/>
      <c r="I113" s="35"/>
      <c r="J113" s="32"/>
      <c r="K113" s="35"/>
      <c r="Q113">
        <f>ROUND((Source!DN78/100)*ROUND((ROUND((Source!AF78*Source!AV78*Source!I78),2)),2), 2)</f>
        <v>3219.44</v>
      </c>
      <c r="R113">
        <f>Source!X78</f>
        <v>91263.08</v>
      </c>
      <c r="S113">
        <f>ROUND((Source!DO78/100)*ROUND((ROUND((Source!AF78*Source!AV78*Source!I78),2)),2), 2)</f>
        <v>2012.15</v>
      </c>
      <c r="T113">
        <f>Source!Y78</f>
        <v>42655.57</v>
      </c>
      <c r="U113">
        <f>ROUND((175/100)*ROUND((ROUND((Source!AE78*Source!AV78*Source!I78),2)),2), 2)</f>
        <v>166.43</v>
      </c>
      <c r="V113">
        <f>ROUND((160/100)*ROUND(ROUND((ROUND((Source!AE78*Source!AV78*Source!I78),2)*Source!BS78),2), 2), 2)</f>
        <v>5251.04</v>
      </c>
      <c r="AI113">
        <v>0</v>
      </c>
    </row>
    <row r="114" spans="1:35" x14ac:dyDescent="0.2">
      <c r="C114" s="43" t="str">
        <f>"Объем: "&amp;Source!I78&amp;"=1318,05/"&amp;"100"</f>
        <v>Объем: 13,1805=1318,05/100</v>
      </c>
    </row>
    <row r="115" spans="1:35" ht="14.25" x14ac:dyDescent="0.2">
      <c r="A115" s="31"/>
      <c r="B115" s="31"/>
      <c r="C115" s="31" t="s">
        <v>323</v>
      </c>
      <c r="D115" s="33"/>
      <c r="E115" s="32"/>
      <c r="F115" s="35">
        <f>Source!AO78</f>
        <v>194.66</v>
      </c>
      <c r="G115" s="34" t="str">
        <f>Source!DG78</f>
        <v>*1,05</v>
      </c>
      <c r="H115" s="32">
        <f>Source!AV78</f>
        <v>1.0669999999999999</v>
      </c>
      <c r="I115" s="35">
        <f>ROUND((ROUND((Source!AF78*Source!AV78*Source!I78),2)),2)</f>
        <v>2874.5</v>
      </c>
      <c r="J115" s="32">
        <f>IF(Source!BA78&lt;&gt; 0, Source!BA78, 1)</f>
        <v>34.51</v>
      </c>
      <c r="K115" s="35">
        <f>Source!S78</f>
        <v>99199</v>
      </c>
      <c r="W115">
        <f>I115</f>
        <v>2874.5</v>
      </c>
    </row>
    <row r="116" spans="1:35" ht="14.25" x14ac:dyDescent="0.2">
      <c r="A116" s="31"/>
      <c r="B116" s="31"/>
      <c r="C116" s="31" t="s">
        <v>332</v>
      </c>
      <c r="D116" s="33"/>
      <c r="E116" s="32"/>
      <c r="F116" s="35">
        <f>Source!AM78</f>
        <v>52.8</v>
      </c>
      <c r="G116" s="34" t="str">
        <f>Source!DE78</f>
        <v>*1,05</v>
      </c>
      <c r="H116" s="32">
        <f>Source!AV78</f>
        <v>1.0669999999999999</v>
      </c>
      <c r="I116" s="35">
        <f>(ROUND((ROUND((((Source!ET78*1.05))*Source!AV78*Source!I78),2)),2)+ROUND((ROUND(((Source!AE78-((Source!EU78*1.05)))*Source!AV78*Source!I78),2)),2))</f>
        <v>779.69</v>
      </c>
      <c r="J116" s="32">
        <f>IF(Source!BB78&lt;&gt; 0, Source!BB78, 1)</f>
        <v>12.04</v>
      </c>
      <c r="K116" s="35">
        <f>Source!Q78</f>
        <v>9387.4699999999993</v>
      </c>
    </row>
    <row r="117" spans="1:35" ht="14.25" x14ac:dyDescent="0.2">
      <c r="A117" s="31"/>
      <c r="B117" s="31"/>
      <c r="C117" s="31" t="s">
        <v>333</v>
      </c>
      <c r="D117" s="33"/>
      <c r="E117" s="32"/>
      <c r="F117" s="35">
        <f>Source!AN78</f>
        <v>6.44</v>
      </c>
      <c r="G117" s="34" t="str">
        <f>Source!DF78</f>
        <v>*1,05</v>
      </c>
      <c r="H117" s="32">
        <f>Source!AV78</f>
        <v>1.0669999999999999</v>
      </c>
      <c r="I117" s="44">
        <f>ROUND((ROUND((Source!AE78*Source!AV78*Source!I78),2)),2)</f>
        <v>95.1</v>
      </c>
      <c r="J117" s="32">
        <f>IF(Source!BS78&lt;&gt; 0, Source!BS78, 1)</f>
        <v>34.51</v>
      </c>
      <c r="K117" s="44">
        <f>Source!R78</f>
        <v>3281.9</v>
      </c>
      <c r="W117">
        <f>I117</f>
        <v>95.1</v>
      </c>
    </row>
    <row r="118" spans="1:35" ht="14.25" x14ac:dyDescent="0.2">
      <c r="A118" s="31"/>
      <c r="B118" s="31"/>
      <c r="C118" s="31" t="s">
        <v>334</v>
      </c>
      <c r="D118" s="33"/>
      <c r="E118" s="32"/>
      <c r="F118" s="35">
        <f>Source!AL78</f>
        <v>52.94</v>
      </c>
      <c r="G118" s="34" t="str">
        <f>Source!DD78</f>
        <v/>
      </c>
      <c r="H118" s="32">
        <f>Source!AW78</f>
        <v>1.081</v>
      </c>
      <c r="I118" s="35">
        <f>ROUND((ROUND((Source!AC78*Source!AW78*Source!I78),2)),2)</f>
        <v>754.3</v>
      </c>
      <c r="J118" s="32">
        <f>IF(Source!BC78&lt;&gt; 0, Source!BC78, 1)</f>
        <v>17.38</v>
      </c>
      <c r="K118" s="35">
        <f>Source!P78</f>
        <v>13109.73</v>
      </c>
    </row>
    <row r="119" spans="1:35" ht="99.75" x14ac:dyDescent="0.2">
      <c r="A119" s="31" t="s">
        <v>152</v>
      </c>
      <c r="B119" s="31" t="str">
        <f>Source!F79</f>
        <v>1.23-7-391</v>
      </c>
      <c r="C119" s="31" t="s">
        <v>154</v>
      </c>
      <c r="D119" s="33" t="str">
        <f>Source!DW79</f>
        <v>км</v>
      </c>
      <c r="E119" s="32">
        <f>Source!I79</f>
        <v>1.344411</v>
      </c>
      <c r="F119" s="35">
        <f>Source!AK79</f>
        <v>81534.37</v>
      </c>
      <c r="G119" s="45" t="s">
        <v>3</v>
      </c>
      <c r="H119" s="32">
        <f>Source!AW79</f>
        <v>1</v>
      </c>
      <c r="I119" s="35">
        <f>ROUND((ROUND((Source!AC79*Source!AW79*Source!I79),2)),2)+(ROUND((ROUND(((Source!ET79)*Source!AV79*Source!I79),2)),2)+ROUND((ROUND(((Source!AE79-(Source!EU79))*Source!AV79*Source!I79),2)),2))+ROUND((ROUND((Source!AF79*Source!AV79*Source!I79),2)),2)</f>
        <v>109615.7</v>
      </c>
      <c r="J119" s="32">
        <f>IF(Source!BC79&lt;&gt; 0, Source!BC79, 1)</f>
        <v>7.94</v>
      </c>
      <c r="K119" s="35">
        <f>Source!O79</f>
        <v>870348.66</v>
      </c>
      <c r="Q119">
        <f>ROUND((Source!DN79/100)*ROUND((ROUND((Source!AF79*Source!AV79*Source!I79),2)),2), 2)</f>
        <v>0</v>
      </c>
      <c r="R119">
        <f>Source!X79</f>
        <v>0</v>
      </c>
      <c r="S119">
        <f>ROUND((Source!DO79/100)*ROUND((ROUND((Source!AF79*Source!AV79*Source!I79),2)),2), 2)</f>
        <v>0</v>
      </c>
      <c r="T119">
        <f>Source!Y79</f>
        <v>0</v>
      </c>
      <c r="U119">
        <f>ROUND((175/100)*ROUND((ROUND((Source!AE79*Source!AV79*Source!I79),2)),2), 2)</f>
        <v>0</v>
      </c>
      <c r="V119">
        <f>ROUND((160/100)*ROUND(ROUND((ROUND((Source!AE79*Source!AV79*Source!I79),2)*Source!BS79),2), 2), 2)</f>
        <v>0</v>
      </c>
      <c r="X119">
        <f>IF(Source!BI79&lt;=1,I119, 0)</f>
        <v>0</v>
      </c>
      <c r="Y119">
        <f>IF(Source!BI79=2,I119, 0)</f>
        <v>109615.7</v>
      </c>
      <c r="Z119">
        <f>IF(Source!BI79=3,I119, 0)</f>
        <v>0</v>
      </c>
      <c r="AA119">
        <f>IF(Source!BI79=4,I119, 0)</f>
        <v>0</v>
      </c>
      <c r="AI119">
        <v>3</v>
      </c>
    </row>
    <row r="120" spans="1:35" ht="14.25" x14ac:dyDescent="0.2">
      <c r="A120" s="31"/>
      <c r="B120" s="31"/>
      <c r="C120" s="31" t="s">
        <v>324</v>
      </c>
      <c r="D120" s="33" t="s">
        <v>325</v>
      </c>
      <c r="E120" s="32">
        <f>Source!DN78</f>
        <v>112</v>
      </c>
      <c r="F120" s="35"/>
      <c r="G120" s="34"/>
      <c r="H120" s="32"/>
      <c r="I120" s="35">
        <f>SUM(Q113:Q119)</f>
        <v>3219.44</v>
      </c>
      <c r="J120" s="32">
        <f>Source!BZ78</f>
        <v>92</v>
      </c>
      <c r="K120" s="35">
        <f>SUM(R113:R119)</f>
        <v>91263.08</v>
      </c>
    </row>
    <row r="121" spans="1:35" ht="14.25" x14ac:dyDescent="0.2">
      <c r="A121" s="31"/>
      <c r="B121" s="31"/>
      <c r="C121" s="31" t="s">
        <v>326</v>
      </c>
      <c r="D121" s="33" t="s">
        <v>325</v>
      </c>
      <c r="E121" s="32">
        <f>Source!DO78</f>
        <v>70</v>
      </c>
      <c r="F121" s="35"/>
      <c r="G121" s="34"/>
      <c r="H121" s="32"/>
      <c r="I121" s="35">
        <f>SUM(S113:S120)</f>
        <v>2012.15</v>
      </c>
      <c r="J121" s="32">
        <f>Source!CA78</f>
        <v>43</v>
      </c>
      <c r="K121" s="35">
        <f>SUM(T113:T120)</f>
        <v>42655.57</v>
      </c>
    </row>
    <row r="122" spans="1:35" ht="14.25" x14ac:dyDescent="0.2">
      <c r="A122" s="31"/>
      <c r="B122" s="31"/>
      <c r="C122" s="31" t="s">
        <v>335</v>
      </c>
      <c r="D122" s="33" t="s">
        <v>325</v>
      </c>
      <c r="E122" s="32">
        <f>175</f>
        <v>175</v>
      </c>
      <c r="F122" s="35"/>
      <c r="G122" s="34"/>
      <c r="H122" s="32"/>
      <c r="I122" s="35">
        <f>SUM(U113:U121)</f>
        <v>166.43</v>
      </c>
      <c r="J122" s="32">
        <f>160</f>
        <v>160</v>
      </c>
      <c r="K122" s="35">
        <f>SUM(V113:V121)</f>
        <v>5251.04</v>
      </c>
    </row>
    <row r="123" spans="1:35" ht="14.25" x14ac:dyDescent="0.2">
      <c r="A123" s="37"/>
      <c r="B123" s="37"/>
      <c r="C123" s="37" t="s">
        <v>327</v>
      </c>
      <c r="D123" s="38" t="s">
        <v>328</v>
      </c>
      <c r="E123" s="39">
        <f>Source!AQ78</f>
        <v>15.8</v>
      </c>
      <c r="F123" s="40"/>
      <c r="G123" s="41" t="str">
        <f>Source!DI78</f>
        <v>*1,05</v>
      </c>
      <c r="H123" s="39">
        <f>Source!AV78</f>
        <v>1.0669999999999999</v>
      </c>
      <c r="I123" s="40">
        <f>Source!U78</f>
        <v>233.31501616499997</v>
      </c>
      <c r="J123" s="39"/>
      <c r="K123" s="40"/>
      <c r="AB123" s="36">
        <f>I123</f>
        <v>233.31501616499997</v>
      </c>
    </row>
    <row r="124" spans="1:35" ht="15" x14ac:dyDescent="0.25">
      <c r="C124" s="21" t="s">
        <v>329</v>
      </c>
      <c r="H124" s="42">
        <f>I115+I116+I118+I120+I121+I122+SUM(I119:I119)</f>
        <v>119422.20999999999</v>
      </c>
      <c r="I124" s="42"/>
      <c r="J124" s="42">
        <f>K115+K116+K118+K120+K121+K122+SUM(K119:K119)</f>
        <v>1131214.55</v>
      </c>
      <c r="K124" s="42"/>
      <c r="O124" s="36">
        <f>I115+I116+I118+I120+I121+I122+SUM(I119:I119)</f>
        <v>119422.20999999999</v>
      </c>
      <c r="P124" s="36">
        <f>K115+K116+K118+K120+K121+K122+SUM(K119:K119)</f>
        <v>1131214.55</v>
      </c>
      <c r="X124">
        <f>IF(Source!BI78&lt;=1,I115+I116+I118+I120+I121+I122-0, 0)</f>
        <v>0</v>
      </c>
      <c r="Y124">
        <f>IF(Source!BI78=2,I115+I116+I118+I120+I121+I122-0, 0)</f>
        <v>9806.51</v>
      </c>
      <c r="Z124">
        <f>IF(Source!BI78=3,I115+I116+I118+I120+I121+I122-0, 0)</f>
        <v>0</v>
      </c>
      <c r="AA124">
        <f>IF(Source!BI78=4,I115+I116+I118+I120+I121+I122,0)</f>
        <v>0</v>
      </c>
    </row>
    <row r="126" spans="1:35" ht="52.5" x14ac:dyDescent="0.2">
      <c r="A126" s="31">
        <v>12</v>
      </c>
      <c r="B126" s="31" t="s">
        <v>346</v>
      </c>
      <c r="C126" s="31" t="s">
        <v>163</v>
      </c>
      <c r="D126" s="33" t="str">
        <f>Source!DW81</f>
        <v>100 компл.</v>
      </c>
      <c r="E126" s="32">
        <f>Source!I81</f>
        <v>0.08</v>
      </c>
      <c r="F126" s="35"/>
      <c r="G126" s="34"/>
      <c r="H126" s="32"/>
      <c r="I126" s="35"/>
      <c r="J126" s="32"/>
      <c r="K126" s="35"/>
      <c r="Q126">
        <f>ROUND((Source!DN81/100)*ROUND((ROUND((Source!AF81*Source!AV81*Source!I81),2)),2), 2)</f>
        <v>211.41</v>
      </c>
      <c r="R126">
        <f>Source!X81</f>
        <v>5992.98</v>
      </c>
      <c r="S126">
        <f>ROUND((Source!DO81/100)*ROUND((ROUND((Source!AF81*Source!AV81*Source!I81),2)),2), 2)</f>
        <v>132.13</v>
      </c>
      <c r="T126">
        <f>Source!Y81</f>
        <v>2801.07</v>
      </c>
      <c r="U126">
        <f>ROUND((175/100)*ROUND((ROUND((Source!AE81*Source!AV81*Source!I81),2)),2), 2)</f>
        <v>9.5</v>
      </c>
      <c r="V126">
        <f>ROUND((160/100)*ROUND(ROUND((ROUND((Source!AE81*Source!AV81*Source!I81),2)*Source!BS81),2), 2), 2)</f>
        <v>299.82</v>
      </c>
      <c r="AI126">
        <v>0</v>
      </c>
    </row>
    <row r="127" spans="1:35" x14ac:dyDescent="0.2">
      <c r="C127" s="43" t="str">
        <f>"Объем: "&amp;Source!I81&amp;"=8/"&amp;"100"</f>
        <v>Объем: 0,08=8/100</v>
      </c>
    </row>
    <row r="128" spans="1:35" ht="14.25" x14ac:dyDescent="0.2">
      <c r="A128" s="31"/>
      <c r="B128" s="31"/>
      <c r="C128" s="31" t="s">
        <v>323</v>
      </c>
      <c r="D128" s="33"/>
      <c r="E128" s="32"/>
      <c r="F128" s="35">
        <f>Source!AO81</f>
        <v>2146.23</v>
      </c>
      <c r="G128" s="34" t="str">
        <f>Source!DG81</f>
        <v>*1,05</v>
      </c>
      <c r="H128" s="32">
        <f>Source!AV81</f>
        <v>1.0469999999999999</v>
      </c>
      <c r="I128" s="35">
        <f>ROUND((ROUND((Source!AF81*Source!AV81*Source!I81),2)),2)</f>
        <v>188.76</v>
      </c>
      <c r="J128" s="32">
        <f>IF(Source!BA81&lt;&gt; 0, Source!BA81, 1)</f>
        <v>34.51</v>
      </c>
      <c r="K128" s="35">
        <f>Source!S81</f>
        <v>6514.11</v>
      </c>
      <c r="W128">
        <f>I128</f>
        <v>188.76</v>
      </c>
    </row>
    <row r="129" spans="1:35" ht="14.25" x14ac:dyDescent="0.2">
      <c r="A129" s="31"/>
      <c r="B129" s="31"/>
      <c r="C129" s="31" t="s">
        <v>332</v>
      </c>
      <c r="D129" s="33"/>
      <c r="E129" s="32"/>
      <c r="F129" s="35">
        <f>Source!AM81</f>
        <v>715.67</v>
      </c>
      <c r="G129" s="34" t="str">
        <f>Source!DE81</f>
        <v>*1,05</v>
      </c>
      <c r="H129" s="32">
        <f>Source!AV81</f>
        <v>1.0469999999999999</v>
      </c>
      <c r="I129" s="35">
        <f>(ROUND((ROUND((((Source!ET81*1.05))*Source!AV81*Source!I81),2)),2)+ROUND((ROUND(((Source!AE81-((Source!EU81*1.05)))*Source!AV81*Source!I81),2)),2))</f>
        <v>62.94</v>
      </c>
      <c r="J129" s="32">
        <f>IF(Source!BB81&lt;&gt; 0, Source!BB81, 1)</f>
        <v>7.03</v>
      </c>
      <c r="K129" s="35">
        <f>Source!Q81</f>
        <v>442.47</v>
      </c>
    </row>
    <row r="130" spans="1:35" ht="14.25" x14ac:dyDescent="0.2">
      <c r="A130" s="31"/>
      <c r="B130" s="31"/>
      <c r="C130" s="31" t="s">
        <v>333</v>
      </c>
      <c r="D130" s="33"/>
      <c r="E130" s="32"/>
      <c r="F130" s="35">
        <f>Source!AN81</f>
        <v>61.76</v>
      </c>
      <c r="G130" s="34" t="str">
        <f>Source!DF81</f>
        <v>*1,05</v>
      </c>
      <c r="H130" s="32">
        <f>Source!AV81</f>
        <v>1.0469999999999999</v>
      </c>
      <c r="I130" s="44">
        <f>ROUND((ROUND((Source!AE81*Source!AV81*Source!I81),2)),2)</f>
        <v>5.43</v>
      </c>
      <c r="J130" s="32">
        <f>IF(Source!BS81&lt;&gt; 0, Source!BS81, 1)</f>
        <v>34.51</v>
      </c>
      <c r="K130" s="44">
        <f>Source!R81</f>
        <v>187.39</v>
      </c>
      <c r="W130">
        <f>I130</f>
        <v>5.43</v>
      </c>
    </row>
    <row r="131" spans="1:35" ht="14.25" x14ac:dyDescent="0.2">
      <c r="A131" s="31"/>
      <c r="B131" s="31"/>
      <c r="C131" s="31" t="s">
        <v>334</v>
      </c>
      <c r="D131" s="33"/>
      <c r="E131" s="32"/>
      <c r="F131" s="35">
        <f>Source!AL81</f>
        <v>535.53</v>
      </c>
      <c r="G131" s="34" t="str">
        <f>Source!DD81</f>
        <v/>
      </c>
      <c r="H131" s="32">
        <f>Source!AW81</f>
        <v>1</v>
      </c>
      <c r="I131" s="35">
        <f>ROUND((ROUND((Source!AC81*Source!AW81*Source!I81),2)),2)</f>
        <v>42.84</v>
      </c>
      <c r="J131" s="32">
        <f>IF(Source!BC81&lt;&gt; 0, Source!BC81, 1)</f>
        <v>7.41</v>
      </c>
      <c r="K131" s="35">
        <f>Source!P81</f>
        <v>317.44</v>
      </c>
    </row>
    <row r="132" spans="1:35" ht="14.25" x14ac:dyDescent="0.2">
      <c r="A132" s="31"/>
      <c r="B132" s="31"/>
      <c r="C132" s="31" t="s">
        <v>324</v>
      </c>
      <c r="D132" s="33" t="s">
        <v>325</v>
      </c>
      <c r="E132" s="32">
        <f>Source!DN81</f>
        <v>112</v>
      </c>
      <c r="F132" s="35"/>
      <c r="G132" s="34"/>
      <c r="H132" s="32"/>
      <c r="I132" s="35">
        <f>SUM(Q126:Q131)</f>
        <v>211.41</v>
      </c>
      <c r="J132" s="32">
        <f>Source!BZ81</f>
        <v>92</v>
      </c>
      <c r="K132" s="35">
        <f>SUM(R126:R131)</f>
        <v>5992.98</v>
      </c>
    </row>
    <row r="133" spans="1:35" ht="14.25" x14ac:dyDescent="0.2">
      <c r="A133" s="31"/>
      <c r="B133" s="31"/>
      <c r="C133" s="31" t="s">
        <v>326</v>
      </c>
      <c r="D133" s="33" t="s">
        <v>325</v>
      </c>
      <c r="E133" s="32">
        <f>Source!DO81</f>
        <v>70</v>
      </c>
      <c r="F133" s="35"/>
      <c r="G133" s="34"/>
      <c r="H133" s="32"/>
      <c r="I133" s="35">
        <f>SUM(S126:S132)</f>
        <v>132.13</v>
      </c>
      <c r="J133" s="32">
        <f>Source!CA81</f>
        <v>43</v>
      </c>
      <c r="K133" s="35">
        <f>SUM(T126:T132)</f>
        <v>2801.07</v>
      </c>
    </row>
    <row r="134" spans="1:35" ht="14.25" x14ac:dyDescent="0.2">
      <c r="A134" s="31"/>
      <c r="B134" s="31"/>
      <c r="C134" s="31" t="s">
        <v>335</v>
      </c>
      <c r="D134" s="33" t="s">
        <v>325</v>
      </c>
      <c r="E134" s="32">
        <f>175</f>
        <v>175</v>
      </c>
      <c r="F134" s="35"/>
      <c r="G134" s="34"/>
      <c r="H134" s="32"/>
      <c r="I134" s="35">
        <f>SUM(U126:U133)</f>
        <v>9.5</v>
      </c>
      <c r="J134" s="32">
        <f>160</f>
        <v>160</v>
      </c>
      <c r="K134" s="35">
        <f>SUM(V126:V133)</f>
        <v>299.82</v>
      </c>
    </row>
    <row r="135" spans="1:35" ht="14.25" x14ac:dyDescent="0.2">
      <c r="A135" s="37"/>
      <c r="B135" s="37"/>
      <c r="C135" s="37" t="s">
        <v>327</v>
      </c>
      <c r="D135" s="38" t="s">
        <v>328</v>
      </c>
      <c r="E135" s="39">
        <f>Source!AQ81</f>
        <v>155.88</v>
      </c>
      <c r="F135" s="40"/>
      <c r="G135" s="41" t="str">
        <f>Source!DI81</f>
        <v>*1,05</v>
      </c>
      <c r="H135" s="39">
        <f>Source!AV81</f>
        <v>1.0469999999999999</v>
      </c>
      <c r="I135" s="40">
        <f>Source!U81</f>
        <v>13.70933424</v>
      </c>
      <c r="J135" s="39"/>
      <c r="K135" s="40"/>
      <c r="AB135" s="36">
        <f>I135</f>
        <v>13.70933424</v>
      </c>
    </row>
    <row r="136" spans="1:35" ht="15" x14ac:dyDescent="0.25">
      <c r="C136" s="21" t="s">
        <v>329</v>
      </c>
      <c r="H136" s="42">
        <f>I128+I129+I131+I132+I133+I134+0</f>
        <v>647.57999999999993</v>
      </c>
      <c r="I136" s="42"/>
      <c r="J136" s="42">
        <f>K128+K129+K131+K132+K133+K134+0</f>
        <v>16367.89</v>
      </c>
      <c r="K136" s="42"/>
      <c r="O136" s="36">
        <f>I128+I129+I131+I132+I133+I134+0</f>
        <v>647.57999999999993</v>
      </c>
      <c r="P136" s="36">
        <f>K128+K129+K131+K132+K133+K134+0</f>
        <v>16367.89</v>
      </c>
      <c r="X136">
        <f>IF(Source!BI81&lt;=1,I128+I129+I131+I132+I133+I134-0, 0)</f>
        <v>0</v>
      </c>
      <c r="Y136">
        <f>IF(Source!BI81=2,I128+I129+I131+I132+I133+I134-0, 0)</f>
        <v>647.57999999999993</v>
      </c>
      <c r="Z136">
        <f>IF(Source!BI81=3,I128+I129+I131+I132+I133+I134-0, 0)</f>
        <v>0</v>
      </c>
      <c r="AA136">
        <f>IF(Source!BI81=4,I128+I129+I131+I132+I133+I134,0)</f>
        <v>0</v>
      </c>
    </row>
    <row r="138" spans="1:35" ht="66.75" x14ac:dyDescent="0.2">
      <c r="A138" s="37">
        <v>13</v>
      </c>
      <c r="B138" s="37" t="s">
        <v>347</v>
      </c>
      <c r="C138" s="37" t="s">
        <v>170</v>
      </c>
      <c r="D138" s="38" t="str">
        <f>Source!DW82</f>
        <v>КОМПЛЕКТ</v>
      </c>
      <c r="E138" s="39">
        <f>Source!I82</f>
        <v>8</v>
      </c>
      <c r="F138" s="40">
        <f>Source!AL82</f>
        <v>153.63</v>
      </c>
      <c r="G138" s="41" t="str">
        <f>Source!DD82</f>
        <v/>
      </c>
      <c r="H138" s="39">
        <f>Source!AW82</f>
        <v>1</v>
      </c>
      <c r="I138" s="40">
        <f>ROUND((ROUND((Source!AC82*Source!AW82*Source!I82),2)),2)</f>
        <v>1229.04</v>
      </c>
      <c r="J138" s="39">
        <f>IF(Source!BC82&lt;&gt; 0, Source!BC82, 1)</f>
        <v>2.11</v>
      </c>
      <c r="K138" s="40">
        <f>Source!P82</f>
        <v>2593.27</v>
      </c>
      <c r="Q138">
        <f>ROUND((Source!DN82/100)*ROUND((ROUND((Source!AF82*Source!AV82*Source!I82),2)),2), 2)</f>
        <v>0</v>
      </c>
      <c r="R138">
        <f>Source!X82</f>
        <v>0</v>
      </c>
      <c r="S138">
        <f>ROUND((Source!DO82/100)*ROUND((ROUND((Source!AF82*Source!AV82*Source!I82),2)),2), 2)</f>
        <v>0</v>
      </c>
      <c r="T138">
        <f>Source!Y82</f>
        <v>0</v>
      </c>
      <c r="U138">
        <f>ROUND((175/100)*ROUND((ROUND((Source!AE82*Source!AV82*Source!I82),2)),2), 2)</f>
        <v>0</v>
      </c>
      <c r="V138">
        <f>ROUND((160/100)*ROUND(ROUND((ROUND((Source!AE82*Source!AV82*Source!I82),2)*Source!BS82),2), 2), 2)</f>
        <v>0</v>
      </c>
      <c r="AI138">
        <v>3</v>
      </c>
    </row>
    <row r="139" spans="1:35" ht="15" x14ac:dyDescent="0.25">
      <c r="C139" s="21" t="s">
        <v>329</v>
      </c>
      <c r="H139" s="42">
        <f>I138+0</f>
        <v>1229.04</v>
      </c>
      <c r="I139" s="42"/>
      <c r="J139" s="42">
        <f>K138+0</f>
        <v>2593.27</v>
      </c>
      <c r="K139" s="42"/>
      <c r="O139" s="36">
        <f>I138+0</f>
        <v>1229.04</v>
      </c>
      <c r="P139" s="36">
        <f>K138+0</f>
        <v>2593.27</v>
      </c>
      <c r="X139">
        <f>IF(Source!BI82&lt;=1,I138-0, 0)</f>
        <v>0</v>
      </c>
      <c r="Y139">
        <f>IF(Source!BI82=2,I138-0, 0)</f>
        <v>1229.04</v>
      </c>
      <c r="Z139">
        <f>IF(Source!BI82=3,I138-0, 0)</f>
        <v>0</v>
      </c>
      <c r="AA139">
        <f>IF(Source!BI82=4,I138,0)</f>
        <v>0</v>
      </c>
    </row>
    <row r="142" spans="1:35" ht="15" x14ac:dyDescent="0.25">
      <c r="A142" s="50" t="str">
        <f>CONCATENATE("Итого по подразделу: ",IF(Source!G84&lt;&gt;"Новый подраздел", Source!G84, ""))</f>
        <v>Итого по подразделу: Монтажные работы</v>
      </c>
      <c r="B142" s="50"/>
      <c r="C142" s="50"/>
      <c r="D142" s="50"/>
      <c r="E142" s="50"/>
      <c r="F142" s="50"/>
      <c r="G142" s="50"/>
      <c r="H142" s="49">
        <f>SUM(O112:O141)</f>
        <v>121298.82999999999</v>
      </c>
      <c r="I142" s="48"/>
      <c r="J142" s="49">
        <f>SUM(P112:P141)</f>
        <v>1150175.71</v>
      </c>
      <c r="K142" s="48"/>
    </row>
    <row r="143" spans="1:35" hidden="1" x14ac:dyDescent="0.2">
      <c r="A143" t="s">
        <v>343</v>
      </c>
      <c r="H143">
        <f>SUM(AC112:AC142)</f>
        <v>0</v>
      </c>
      <c r="J143">
        <f>SUM(AD112:AD142)</f>
        <v>0</v>
      </c>
    </row>
    <row r="144" spans="1:35" hidden="1" x14ac:dyDescent="0.2">
      <c r="A144" t="s">
        <v>344</v>
      </c>
      <c r="H144">
        <f>SUM(AE112:AE143)</f>
        <v>0</v>
      </c>
      <c r="J144">
        <f>SUM(AF112:AF143)</f>
        <v>0</v>
      </c>
    </row>
    <row r="146" spans="1:11" ht="15" x14ac:dyDescent="0.25">
      <c r="A146" s="50" t="s">
        <v>356</v>
      </c>
      <c r="B146" s="50"/>
      <c r="C146" s="50"/>
      <c r="D146" s="50"/>
      <c r="E146" s="50"/>
      <c r="F146" s="50"/>
      <c r="G146" s="50"/>
      <c r="H146" s="49">
        <f>SUM(O29:O145)</f>
        <v>973404.57999999984</v>
      </c>
      <c r="I146" s="48"/>
      <c r="J146" s="49">
        <f>SUM(P29:P145)</f>
        <v>8742931.8200000003</v>
      </c>
      <c r="K146" s="48"/>
    </row>
    <row r="147" spans="1:11" hidden="1" x14ac:dyDescent="0.2">
      <c r="A147" t="s">
        <v>343</v>
      </c>
      <c r="H147">
        <f>SUM(AC29:AC146)</f>
        <v>0</v>
      </c>
      <c r="J147">
        <f>SUM(AD29:AD146)</f>
        <v>0</v>
      </c>
    </row>
    <row r="148" spans="1:11" hidden="1" x14ac:dyDescent="0.2">
      <c r="A148" t="s">
        <v>344</v>
      </c>
      <c r="H148">
        <f>SUM(AE29:AE147)</f>
        <v>0</v>
      </c>
      <c r="J148">
        <f>SUM(AF29:AF147)</f>
        <v>0</v>
      </c>
    </row>
    <row r="150" spans="1:11" ht="15" x14ac:dyDescent="0.25">
      <c r="A150" s="50" t="s">
        <v>357</v>
      </c>
      <c r="B150" s="50"/>
      <c r="C150" s="50"/>
      <c r="D150" s="50"/>
      <c r="E150" s="50"/>
      <c r="F150" s="50"/>
      <c r="G150" s="50"/>
      <c r="H150" s="49">
        <f>SUM(O28:O149)</f>
        <v>973404.57999999984</v>
      </c>
      <c r="I150" s="48"/>
      <c r="J150" s="49">
        <f>SUM(P28:P149)</f>
        <v>8742931.8200000003</v>
      </c>
      <c r="K150" s="48"/>
    </row>
    <row r="151" spans="1:11" hidden="1" x14ac:dyDescent="0.2">
      <c r="A151" t="s">
        <v>343</v>
      </c>
      <c r="H151">
        <f>SUM(AC28:AC150)</f>
        <v>0</v>
      </c>
      <c r="J151">
        <f>SUM(AD28:AD150)</f>
        <v>0</v>
      </c>
    </row>
    <row r="152" spans="1:11" hidden="1" x14ac:dyDescent="0.2">
      <c r="A152" t="s">
        <v>344</v>
      </c>
      <c r="H152">
        <f>SUM(AE28:AE151)</f>
        <v>0</v>
      </c>
      <c r="J152">
        <f>SUM(AF28:AF151)</f>
        <v>0</v>
      </c>
    </row>
    <row r="154" spans="1:11" hidden="1" x14ac:dyDescent="0.2">
      <c r="A154" t="s">
        <v>343</v>
      </c>
      <c r="H154">
        <f>SUM(AC1:AC153)</f>
        <v>0</v>
      </c>
      <c r="J154">
        <f>SUM(AD1:AD153)</f>
        <v>0</v>
      </c>
    </row>
    <row r="155" spans="1:11" hidden="1" x14ac:dyDescent="0.2">
      <c r="A155" t="s">
        <v>344</v>
      </c>
      <c r="H155">
        <f>SUM(AE1:AE154)</f>
        <v>0</v>
      </c>
      <c r="J155">
        <f>SUM(AF1:AF154)</f>
        <v>0</v>
      </c>
    </row>
    <row r="158" spans="1:11" ht="14.25" x14ac:dyDescent="0.2">
      <c r="A158" s="51" t="s">
        <v>349</v>
      </c>
      <c r="B158" s="51"/>
      <c r="C158" s="52" t="str">
        <f>IF(Source!AC12&lt;&gt;"", Source!AC12," ")</f>
        <v xml:space="preserve"> </v>
      </c>
      <c r="D158" s="52"/>
      <c r="E158" s="52"/>
      <c r="F158" s="52"/>
      <c r="G158" s="52"/>
      <c r="H158" s="22" t="str">
        <f>IF(Source!AB12&lt;&gt;"", Source!AB12," ")</f>
        <v xml:space="preserve"> </v>
      </c>
      <c r="I158" s="22"/>
      <c r="J158" s="22"/>
      <c r="K158" s="22"/>
    </row>
    <row r="159" spans="1:11" ht="14.25" x14ac:dyDescent="0.2">
      <c r="A159" s="9"/>
      <c r="B159" s="9"/>
      <c r="C159" s="11" t="s">
        <v>350</v>
      </c>
      <c r="D159" s="11"/>
      <c r="E159" s="11"/>
      <c r="F159" s="11"/>
      <c r="G159" s="11"/>
      <c r="H159" s="9"/>
      <c r="I159" s="9"/>
      <c r="J159" s="9"/>
      <c r="K159" s="9"/>
    </row>
    <row r="160" spans="1:11" ht="14.25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ht="14.25" x14ac:dyDescent="0.2">
      <c r="A161" s="51" t="s">
        <v>351</v>
      </c>
      <c r="B161" s="51"/>
      <c r="C161" s="52" t="str">
        <f>IF(Source!AE12&lt;&gt;"", Source!AE12," ")</f>
        <v xml:space="preserve"> </v>
      </c>
      <c r="D161" s="52"/>
      <c r="E161" s="52"/>
      <c r="F161" s="52"/>
      <c r="G161" s="52"/>
      <c r="H161" s="22" t="str">
        <f>IF(Source!AD12&lt;&gt;"", Source!AD12," ")</f>
        <v xml:space="preserve"> </v>
      </c>
      <c r="I161" s="22"/>
      <c r="J161" s="22"/>
      <c r="K161" s="22"/>
    </row>
    <row r="162" spans="1:11" ht="14.25" x14ac:dyDescent="0.2">
      <c r="A162" s="9"/>
      <c r="B162" s="9"/>
      <c r="C162" s="11" t="s">
        <v>350</v>
      </c>
      <c r="D162" s="11"/>
      <c r="E162" s="11"/>
      <c r="F162" s="11"/>
      <c r="G162" s="11"/>
      <c r="H162" s="9"/>
      <c r="I162" s="9"/>
      <c r="J162" s="9"/>
      <c r="K162" s="9"/>
    </row>
  </sheetData>
  <mergeCells count="62">
    <mergeCell ref="C162:G162"/>
    <mergeCell ref="A158:B158"/>
    <mergeCell ref="H158:K158"/>
    <mergeCell ref="C159:G159"/>
    <mergeCell ref="A161:B161"/>
    <mergeCell ref="H161:K161"/>
    <mergeCell ref="J150:K150"/>
    <mergeCell ref="H150:I150"/>
    <mergeCell ref="A150:G150"/>
    <mergeCell ref="J142:K142"/>
    <mergeCell ref="H142:I142"/>
    <mergeCell ref="A142:G142"/>
    <mergeCell ref="J146:K146"/>
    <mergeCell ref="H146:I146"/>
    <mergeCell ref="A146:G146"/>
    <mergeCell ref="H124:I124"/>
    <mergeCell ref="J124:K124"/>
    <mergeCell ref="H136:I136"/>
    <mergeCell ref="J136:K136"/>
    <mergeCell ref="H139:I139"/>
    <mergeCell ref="J139:K139"/>
    <mergeCell ref="H105:I105"/>
    <mergeCell ref="J105:K105"/>
    <mergeCell ref="J108:K108"/>
    <mergeCell ref="H108:I108"/>
    <mergeCell ref="A108:G108"/>
    <mergeCell ref="A112:K112"/>
    <mergeCell ref="H84:I84"/>
    <mergeCell ref="J84:K84"/>
    <mergeCell ref="H94:I94"/>
    <mergeCell ref="J94:K94"/>
    <mergeCell ref="H102:I102"/>
    <mergeCell ref="J102:K102"/>
    <mergeCell ref="H59:I59"/>
    <mergeCell ref="J59:K59"/>
    <mergeCell ref="H63:I63"/>
    <mergeCell ref="J63:K63"/>
    <mergeCell ref="H74:I74"/>
    <mergeCell ref="J74:K74"/>
    <mergeCell ref="A29:K29"/>
    <mergeCell ref="A31:K31"/>
    <mergeCell ref="H37:I37"/>
    <mergeCell ref="J37:K37"/>
    <mergeCell ref="H45:I45"/>
    <mergeCell ref="J45:K45"/>
    <mergeCell ref="E20:H20"/>
    <mergeCell ref="E21:H21"/>
    <mergeCell ref="E22:H22"/>
    <mergeCell ref="A25:K25"/>
    <mergeCell ref="J2:K2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6" fitToHeight="0" orientation="portrait" verticalDpi="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4AE0-4A26-45B2-9D7B-4DD42E46615E}">
  <dimension ref="A1:IK215"/>
  <sheetViews>
    <sheetView workbookViewId="0">
      <selection activeCell="A211" sqref="A211:AX211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210</v>
      </c>
      <c r="C12" s="1">
        <v>1</v>
      </c>
      <c r="D12" s="1">
        <f>ROW(A174)</f>
        <v>174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B174</f>
        <v>210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02-01-08  Закрытый переход_(2 этап)</v>
      </c>
      <c r="G18" s="2" t="str">
        <f t="shared" si="0"/>
        <v>02-01-08  Закрытый переход</v>
      </c>
      <c r="H18" s="2"/>
      <c r="I18" s="2"/>
      <c r="J18" s="2"/>
      <c r="K18" s="2"/>
      <c r="L18" s="2"/>
      <c r="M18" s="2"/>
      <c r="N18" s="2"/>
      <c r="O18" s="2">
        <f t="shared" ref="O18:AT18" si="1">O174</f>
        <v>7532850.3200000003</v>
      </c>
      <c r="P18" s="2">
        <f t="shared" si="1"/>
        <v>3626728.98</v>
      </c>
      <c r="Q18" s="2">
        <f t="shared" si="1"/>
        <v>3562517</v>
      </c>
      <c r="R18" s="2">
        <f t="shared" si="1"/>
        <v>410220.03</v>
      </c>
      <c r="S18" s="2">
        <f t="shared" si="1"/>
        <v>343604.34</v>
      </c>
      <c r="T18" s="2">
        <f t="shared" si="1"/>
        <v>0</v>
      </c>
      <c r="U18" s="2">
        <f t="shared" si="1"/>
        <v>748.80027990515998</v>
      </c>
      <c r="V18" s="2">
        <f t="shared" si="1"/>
        <v>0</v>
      </c>
      <c r="W18" s="2">
        <f t="shared" si="1"/>
        <v>0</v>
      </c>
      <c r="X18" s="2">
        <f t="shared" si="1"/>
        <v>376229.32</v>
      </c>
      <c r="Y18" s="2">
        <f t="shared" si="1"/>
        <v>177500.14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0</v>
      </c>
      <c r="AQ18" s="2">
        <f t="shared" si="1"/>
        <v>0</v>
      </c>
      <c r="AR18" s="2">
        <f t="shared" si="1"/>
        <v>8742931.8200000003</v>
      </c>
      <c r="AS18" s="2">
        <f t="shared" si="1"/>
        <v>7591866.5700000003</v>
      </c>
      <c r="AT18" s="2">
        <f t="shared" si="1"/>
        <v>1151065.25</v>
      </c>
      <c r="AU18" s="2">
        <f t="shared" ref="AU18:BZ18" si="2">AU174</f>
        <v>0</v>
      </c>
      <c r="AV18" s="2">
        <f t="shared" si="2"/>
        <v>3626728.98</v>
      </c>
      <c r="AW18" s="2">
        <f t="shared" si="2"/>
        <v>3626728.98</v>
      </c>
      <c r="AX18" s="2">
        <f t="shared" si="2"/>
        <v>0</v>
      </c>
      <c r="AY18" s="2">
        <f t="shared" si="2"/>
        <v>3626728.98</v>
      </c>
      <c r="AZ18" s="2">
        <f t="shared" si="2"/>
        <v>0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CA174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DG174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EM174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FS174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ROW(A144)</f>
        <v>144</v>
      </c>
      <c r="E20" s="1"/>
      <c r="F20" s="1" t="s">
        <v>13</v>
      </c>
      <c r="G20" s="1" t="s">
        <v>14</v>
      </c>
      <c r="H20" s="1" t="s">
        <v>3</v>
      </c>
      <c r="I20" s="1">
        <v>0</v>
      </c>
      <c r="J20" s="1" t="s">
        <v>3</v>
      </c>
      <c r="K20" s="1">
        <v>-1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45" x14ac:dyDescent="0.2">
      <c r="A22" s="2">
        <v>52</v>
      </c>
      <c r="B22" s="2">
        <f t="shared" ref="B22:G22" si="7">B144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>Новая локальная смета</v>
      </c>
      <c r="G22" s="2" t="str">
        <f t="shared" si="7"/>
        <v>Закрытые переходы</v>
      </c>
      <c r="H22" s="2"/>
      <c r="I22" s="2"/>
      <c r="J22" s="2"/>
      <c r="K22" s="2"/>
      <c r="L22" s="2"/>
      <c r="M22" s="2"/>
      <c r="N22" s="2"/>
      <c r="O22" s="2">
        <f t="shared" ref="O22:AT22" si="8">O144</f>
        <v>7532850.3200000003</v>
      </c>
      <c r="P22" s="2">
        <f t="shared" si="8"/>
        <v>3626728.98</v>
      </c>
      <c r="Q22" s="2">
        <f t="shared" si="8"/>
        <v>3562517</v>
      </c>
      <c r="R22" s="2">
        <f t="shared" si="8"/>
        <v>410220.03</v>
      </c>
      <c r="S22" s="2">
        <f t="shared" si="8"/>
        <v>343604.34</v>
      </c>
      <c r="T22" s="2">
        <f t="shared" si="8"/>
        <v>0</v>
      </c>
      <c r="U22" s="2">
        <f t="shared" si="8"/>
        <v>748.80027990515998</v>
      </c>
      <c r="V22" s="2">
        <f t="shared" si="8"/>
        <v>0</v>
      </c>
      <c r="W22" s="2">
        <f t="shared" si="8"/>
        <v>0</v>
      </c>
      <c r="X22" s="2">
        <f t="shared" si="8"/>
        <v>376229.32</v>
      </c>
      <c r="Y22" s="2">
        <f t="shared" si="8"/>
        <v>177500.14</v>
      </c>
      <c r="Z22" s="2">
        <f t="shared" si="8"/>
        <v>0</v>
      </c>
      <c r="AA22" s="2">
        <f t="shared" si="8"/>
        <v>0</v>
      </c>
      <c r="AB22" s="2">
        <f t="shared" si="8"/>
        <v>0</v>
      </c>
      <c r="AC22" s="2">
        <f t="shared" si="8"/>
        <v>0</v>
      </c>
      <c r="AD22" s="2">
        <f t="shared" si="8"/>
        <v>0</v>
      </c>
      <c r="AE22" s="2">
        <f t="shared" si="8"/>
        <v>0</v>
      </c>
      <c r="AF22" s="2">
        <f t="shared" si="8"/>
        <v>0</v>
      </c>
      <c r="AG22" s="2">
        <f t="shared" si="8"/>
        <v>0</v>
      </c>
      <c r="AH22" s="2">
        <f t="shared" si="8"/>
        <v>0</v>
      </c>
      <c r="AI22" s="2">
        <f t="shared" si="8"/>
        <v>0</v>
      </c>
      <c r="AJ22" s="2">
        <f t="shared" si="8"/>
        <v>0</v>
      </c>
      <c r="AK22" s="2">
        <f t="shared" si="8"/>
        <v>0</v>
      </c>
      <c r="AL22" s="2">
        <f t="shared" si="8"/>
        <v>0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0</v>
      </c>
      <c r="AQ22" s="2">
        <f t="shared" si="8"/>
        <v>0</v>
      </c>
      <c r="AR22" s="2">
        <f t="shared" si="8"/>
        <v>8742931.8200000003</v>
      </c>
      <c r="AS22" s="2">
        <f t="shared" si="8"/>
        <v>7591866.5700000003</v>
      </c>
      <c r="AT22" s="2">
        <f t="shared" si="8"/>
        <v>1151065.25</v>
      </c>
      <c r="AU22" s="2">
        <f t="shared" ref="AU22:BZ22" si="9">AU144</f>
        <v>0</v>
      </c>
      <c r="AV22" s="2">
        <f t="shared" si="9"/>
        <v>3626728.98</v>
      </c>
      <c r="AW22" s="2">
        <f t="shared" si="9"/>
        <v>3626728.98</v>
      </c>
      <c r="AX22" s="2">
        <f t="shared" si="9"/>
        <v>0</v>
      </c>
      <c r="AY22" s="2">
        <f t="shared" si="9"/>
        <v>3626728.98</v>
      </c>
      <c r="AZ22" s="2">
        <f t="shared" si="9"/>
        <v>0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CA144</f>
        <v>0</v>
      </c>
      <c r="CB22" s="2">
        <f t="shared" si="10"/>
        <v>0</v>
      </c>
      <c r="CC22" s="2">
        <f t="shared" si="10"/>
        <v>0</v>
      </c>
      <c r="CD22" s="2">
        <f t="shared" si="10"/>
        <v>0</v>
      </c>
      <c r="CE22" s="2">
        <f t="shared" si="10"/>
        <v>0</v>
      </c>
      <c r="CF22" s="2">
        <f t="shared" si="10"/>
        <v>0</v>
      </c>
      <c r="CG22" s="2">
        <f t="shared" si="10"/>
        <v>0</v>
      </c>
      <c r="CH22" s="2">
        <f t="shared" si="10"/>
        <v>0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DG144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EM144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FS144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 s="1">
        <v>4</v>
      </c>
      <c r="B24" s="1">
        <v>1</v>
      </c>
      <c r="C24" s="1"/>
      <c r="D24" s="1">
        <f>ROW(A114)</f>
        <v>114</v>
      </c>
      <c r="E24" s="1"/>
      <c r="F24" s="1" t="s">
        <v>15</v>
      </c>
      <c r="G24" s="1" t="s">
        <v>16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/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45" x14ac:dyDescent="0.2">
      <c r="A26" s="2">
        <v>52</v>
      </c>
      <c r="B26" s="2">
        <f t="shared" ref="B26:G26" si="14">B114</f>
        <v>1</v>
      </c>
      <c r="C26" s="2">
        <f t="shared" si="14"/>
        <v>4</v>
      </c>
      <c r="D26" s="2">
        <f t="shared" si="14"/>
        <v>24</v>
      </c>
      <c r="E26" s="2">
        <f t="shared" si="14"/>
        <v>0</v>
      </c>
      <c r="F26" s="2" t="str">
        <f t="shared" si="14"/>
        <v>Новый раздел</v>
      </c>
      <c r="G26" s="2" t="str">
        <f t="shared" si="14"/>
        <v>Закрытый переход 2 сквх3тр (104,1м; 113,4м)</v>
      </c>
      <c r="H26" s="2"/>
      <c r="I26" s="2"/>
      <c r="J26" s="2"/>
      <c r="K26" s="2"/>
      <c r="L26" s="2"/>
      <c r="M26" s="2"/>
      <c r="N26" s="2"/>
      <c r="O26" s="2">
        <f t="shared" ref="O26:AT26" si="15">O114</f>
        <v>7532850.3200000003</v>
      </c>
      <c r="P26" s="2">
        <f t="shared" si="15"/>
        <v>3626728.98</v>
      </c>
      <c r="Q26" s="2">
        <f t="shared" si="15"/>
        <v>3562517</v>
      </c>
      <c r="R26" s="2">
        <f t="shared" si="15"/>
        <v>410220.03</v>
      </c>
      <c r="S26" s="2">
        <f t="shared" si="15"/>
        <v>343604.34</v>
      </c>
      <c r="T26" s="2">
        <f t="shared" si="15"/>
        <v>0</v>
      </c>
      <c r="U26" s="2">
        <f t="shared" si="15"/>
        <v>748.80027990515998</v>
      </c>
      <c r="V26" s="2">
        <f t="shared" si="15"/>
        <v>0</v>
      </c>
      <c r="W26" s="2">
        <f t="shared" si="15"/>
        <v>0</v>
      </c>
      <c r="X26" s="2">
        <f t="shared" si="15"/>
        <v>376229.32</v>
      </c>
      <c r="Y26" s="2">
        <f t="shared" si="15"/>
        <v>177500.14</v>
      </c>
      <c r="Z26" s="2">
        <f t="shared" si="15"/>
        <v>0</v>
      </c>
      <c r="AA26" s="2">
        <f t="shared" si="15"/>
        <v>0</v>
      </c>
      <c r="AB26" s="2">
        <f t="shared" si="15"/>
        <v>0</v>
      </c>
      <c r="AC26" s="2">
        <f t="shared" si="15"/>
        <v>0</v>
      </c>
      <c r="AD26" s="2">
        <f t="shared" si="15"/>
        <v>0</v>
      </c>
      <c r="AE26" s="2">
        <f t="shared" si="15"/>
        <v>0</v>
      </c>
      <c r="AF26" s="2">
        <f t="shared" si="15"/>
        <v>0</v>
      </c>
      <c r="AG26" s="2">
        <f t="shared" si="15"/>
        <v>0</v>
      </c>
      <c r="AH26" s="2">
        <f t="shared" si="15"/>
        <v>0</v>
      </c>
      <c r="AI26" s="2">
        <f t="shared" si="15"/>
        <v>0</v>
      </c>
      <c r="AJ26" s="2">
        <f t="shared" si="15"/>
        <v>0</v>
      </c>
      <c r="AK26" s="2">
        <f t="shared" si="15"/>
        <v>0</v>
      </c>
      <c r="AL26" s="2">
        <f t="shared" si="15"/>
        <v>0</v>
      </c>
      <c r="AM26" s="2">
        <f t="shared" si="15"/>
        <v>0</v>
      </c>
      <c r="AN26" s="2">
        <f t="shared" si="15"/>
        <v>0</v>
      </c>
      <c r="AO26" s="2">
        <f t="shared" si="15"/>
        <v>0</v>
      </c>
      <c r="AP26" s="2">
        <f t="shared" si="15"/>
        <v>0</v>
      </c>
      <c r="AQ26" s="2">
        <f t="shared" si="15"/>
        <v>0</v>
      </c>
      <c r="AR26" s="2">
        <f t="shared" si="15"/>
        <v>8742931.8200000003</v>
      </c>
      <c r="AS26" s="2">
        <f t="shared" si="15"/>
        <v>7591866.5700000003</v>
      </c>
      <c r="AT26" s="2">
        <f t="shared" si="15"/>
        <v>1151065.25</v>
      </c>
      <c r="AU26" s="2">
        <f t="shared" ref="AU26:BZ26" si="16">AU114</f>
        <v>0</v>
      </c>
      <c r="AV26" s="2">
        <f t="shared" si="16"/>
        <v>3626728.98</v>
      </c>
      <c r="AW26" s="2">
        <f t="shared" si="16"/>
        <v>3626728.98</v>
      </c>
      <c r="AX26" s="2">
        <f t="shared" si="16"/>
        <v>0</v>
      </c>
      <c r="AY26" s="2">
        <f t="shared" si="16"/>
        <v>3626728.98</v>
      </c>
      <c r="AZ26" s="2">
        <f t="shared" si="16"/>
        <v>0</v>
      </c>
      <c r="BA26" s="2">
        <f t="shared" si="16"/>
        <v>0</v>
      </c>
      <c r="BB26" s="2">
        <f t="shared" si="16"/>
        <v>0</v>
      </c>
      <c r="BC26" s="2">
        <f t="shared" si="16"/>
        <v>0</v>
      </c>
      <c r="BD26" s="2">
        <f t="shared" si="16"/>
        <v>0</v>
      </c>
      <c r="BE26" s="2">
        <f t="shared" si="16"/>
        <v>0</v>
      </c>
      <c r="BF26" s="2">
        <f t="shared" si="16"/>
        <v>0</v>
      </c>
      <c r="BG26" s="2">
        <f t="shared" si="16"/>
        <v>0</v>
      </c>
      <c r="BH26" s="2">
        <f t="shared" si="16"/>
        <v>0</v>
      </c>
      <c r="BI26" s="2">
        <f t="shared" si="16"/>
        <v>0</v>
      </c>
      <c r="BJ26" s="2">
        <f t="shared" si="16"/>
        <v>0</v>
      </c>
      <c r="BK26" s="2">
        <f t="shared" si="16"/>
        <v>0</v>
      </c>
      <c r="BL26" s="2">
        <f t="shared" si="16"/>
        <v>0</v>
      </c>
      <c r="BM26" s="2">
        <f t="shared" si="16"/>
        <v>0</v>
      </c>
      <c r="BN26" s="2">
        <f t="shared" si="16"/>
        <v>0</v>
      </c>
      <c r="BO26" s="2">
        <f t="shared" si="16"/>
        <v>0</v>
      </c>
      <c r="BP26" s="2">
        <f t="shared" si="16"/>
        <v>0</v>
      </c>
      <c r="BQ26" s="2">
        <f t="shared" si="16"/>
        <v>0</v>
      </c>
      <c r="BR26" s="2">
        <f t="shared" si="16"/>
        <v>0</v>
      </c>
      <c r="BS26" s="2">
        <f t="shared" si="16"/>
        <v>0</v>
      </c>
      <c r="BT26" s="2">
        <f t="shared" si="16"/>
        <v>0</v>
      </c>
      <c r="BU26" s="2">
        <f t="shared" si="16"/>
        <v>0</v>
      </c>
      <c r="BV26" s="2">
        <f t="shared" si="16"/>
        <v>0</v>
      </c>
      <c r="BW26" s="2">
        <f t="shared" si="16"/>
        <v>0</v>
      </c>
      <c r="BX26" s="2">
        <f t="shared" si="16"/>
        <v>0</v>
      </c>
      <c r="BY26" s="2">
        <f t="shared" si="16"/>
        <v>0</v>
      </c>
      <c r="BZ26" s="2">
        <f t="shared" si="16"/>
        <v>0</v>
      </c>
      <c r="CA26" s="2">
        <f t="shared" ref="CA26:DF26" si="17">CA114</f>
        <v>0</v>
      </c>
      <c r="CB26" s="2">
        <f t="shared" si="17"/>
        <v>0</v>
      </c>
      <c r="CC26" s="2">
        <f t="shared" si="17"/>
        <v>0</v>
      </c>
      <c r="CD26" s="2">
        <f t="shared" si="17"/>
        <v>0</v>
      </c>
      <c r="CE26" s="2">
        <f t="shared" si="17"/>
        <v>0</v>
      </c>
      <c r="CF26" s="2">
        <f t="shared" si="17"/>
        <v>0</v>
      </c>
      <c r="CG26" s="2">
        <f t="shared" si="17"/>
        <v>0</v>
      </c>
      <c r="CH26" s="2">
        <f t="shared" si="17"/>
        <v>0</v>
      </c>
      <c r="CI26" s="2">
        <f t="shared" si="17"/>
        <v>0</v>
      </c>
      <c r="CJ26" s="2">
        <f t="shared" si="17"/>
        <v>0</v>
      </c>
      <c r="CK26" s="2">
        <f t="shared" si="17"/>
        <v>0</v>
      </c>
      <c r="CL26" s="2">
        <f t="shared" si="17"/>
        <v>0</v>
      </c>
      <c r="CM26" s="2">
        <f t="shared" si="17"/>
        <v>0</v>
      </c>
      <c r="CN26" s="2">
        <f t="shared" si="17"/>
        <v>0</v>
      </c>
      <c r="CO26" s="2">
        <f t="shared" si="17"/>
        <v>0</v>
      </c>
      <c r="CP26" s="2">
        <f t="shared" si="17"/>
        <v>0</v>
      </c>
      <c r="CQ26" s="2">
        <f t="shared" si="17"/>
        <v>0</v>
      </c>
      <c r="CR26" s="2">
        <f t="shared" si="17"/>
        <v>0</v>
      </c>
      <c r="CS26" s="2">
        <f t="shared" si="17"/>
        <v>0</v>
      </c>
      <c r="CT26" s="2">
        <f t="shared" si="17"/>
        <v>0</v>
      </c>
      <c r="CU26" s="2">
        <f t="shared" si="17"/>
        <v>0</v>
      </c>
      <c r="CV26" s="2">
        <f t="shared" si="17"/>
        <v>0</v>
      </c>
      <c r="CW26" s="2">
        <f t="shared" si="17"/>
        <v>0</v>
      </c>
      <c r="CX26" s="2">
        <f t="shared" si="17"/>
        <v>0</v>
      </c>
      <c r="CY26" s="2">
        <f t="shared" si="17"/>
        <v>0</v>
      </c>
      <c r="CZ26" s="2">
        <f t="shared" si="17"/>
        <v>0</v>
      </c>
      <c r="DA26" s="2">
        <f t="shared" si="17"/>
        <v>0</v>
      </c>
      <c r="DB26" s="2">
        <f t="shared" si="17"/>
        <v>0</v>
      </c>
      <c r="DC26" s="2">
        <f t="shared" si="17"/>
        <v>0</v>
      </c>
      <c r="DD26" s="2">
        <f t="shared" si="17"/>
        <v>0</v>
      </c>
      <c r="DE26" s="2">
        <f t="shared" si="17"/>
        <v>0</v>
      </c>
      <c r="DF26" s="2">
        <f t="shared" si="17"/>
        <v>0</v>
      </c>
      <c r="DG26" s="3">
        <f t="shared" ref="DG26:EL26" si="18">DG114</f>
        <v>0</v>
      </c>
      <c r="DH26" s="3">
        <f t="shared" si="18"/>
        <v>0</v>
      </c>
      <c r="DI26" s="3">
        <f t="shared" si="18"/>
        <v>0</v>
      </c>
      <c r="DJ26" s="3">
        <f t="shared" si="18"/>
        <v>0</v>
      </c>
      <c r="DK26" s="3">
        <f t="shared" si="18"/>
        <v>0</v>
      </c>
      <c r="DL26" s="3">
        <f t="shared" si="18"/>
        <v>0</v>
      </c>
      <c r="DM26" s="3">
        <f t="shared" si="18"/>
        <v>0</v>
      </c>
      <c r="DN26" s="3">
        <f t="shared" si="18"/>
        <v>0</v>
      </c>
      <c r="DO26" s="3">
        <f t="shared" si="18"/>
        <v>0</v>
      </c>
      <c r="DP26" s="3">
        <f t="shared" si="18"/>
        <v>0</v>
      </c>
      <c r="DQ26" s="3">
        <f t="shared" si="18"/>
        <v>0</v>
      </c>
      <c r="DR26" s="3">
        <f t="shared" si="18"/>
        <v>0</v>
      </c>
      <c r="DS26" s="3">
        <f t="shared" si="18"/>
        <v>0</v>
      </c>
      <c r="DT26" s="3">
        <f t="shared" si="18"/>
        <v>0</v>
      </c>
      <c r="DU26" s="3">
        <f t="shared" si="18"/>
        <v>0</v>
      </c>
      <c r="DV26" s="3">
        <f t="shared" si="18"/>
        <v>0</v>
      </c>
      <c r="DW26" s="3">
        <f t="shared" si="18"/>
        <v>0</v>
      </c>
      <c r="DX26" s="3">
        <f t="shared" si="18"/>
        <v>0</v>
      </c>
      <c r="DY26" s="3">
        <f t="shared" si="18"/>
        <v>0</v>
      </c>
      <c r="DZ26" s="3">
        <f t="shared" si="18"/>
        <v>0</v>
      </c>
      <c r="EA26" s="3">
        <f t="shared" si="18"/>
        <v>0</v>
      </c>
      <c r="EB26" s="3">
        <f t="shared" si="18"/>
        <v>0</v>
      </c>
      <c r="EC26" s="3">
        <f t="shared" si="18"/>
        <v>0</v>
      </c>
      <c r="ED26" s="3">
        <f t="shared" si="18"/>
        <v>0</v>
      </c>
      <c r="EE26" s="3">
        <f t="shared" si="18"/>
        <v>0</v>
      </c>
      <c r="EF26" s="3">
        <f t="shared" si="18"/>
        <v>0</v>
      </c>
      <c r="EG26" s="3">
        <f t="shared" si="18"/>
        <v>0</v>
      </c>
      <c r="EH26" s="3">
        <f t="shared" si="18"/>
        <v>0</v>
      </c>
      <c r="EI26" s="3">
        <f t="shared" si="18"/>
        <v>0</v>
      </c>
      <c r="EJ26" s="3">
        <f t="shared" si="18"/>
        <v>0</v>
      </c>
      <c r="EK26" s="3">
        <f t="shared" si="18"/>
        <v>0</v>
      </c>
      <c r="EL26" s="3">
        <f t="shared" si="18"/>
        <v>0</v>
      </c>
      <c r="EM26" s="3">
        <f t="shared" ref="EM26:FR26" si="19">EM114</f>
        <v>0</v>
      </c>
      <c r="EN26" s="3">
        <f t="shared" si="19"/>
        <v>0</v>
      </c>
      <c r="EO26" s="3">
        <f t="shared" si="19"/>
        <v>0</v>
      </c>
      <c r="EP26" s="3">
        <f t="shared" si="19"/>
        <v>0</v>
      </c>
      <c r="EQ26" s="3">
        <f t="shared" si="19"/>
        <v>0</v>
      </c>
      <c r="ER26" s="3">
        <f t="shared" si="19"/>
        <v>0</v>
      </c>
      <c r="ES26" s="3">
        <f t="shared" si="19"/>
        <v>0</v>
      </c>
      <c r="ET26" s="3">
        <f t="shared" si="19"/>
        <v>0</v>
      </c>
      <c r="EU26" s="3">
        <f t="shared" si="19"/>
        <v>0</v>
      </c>
      <c r="EV26" s="3">
        <f t="shared" si="19"/>
        <v>0</v>
      </c>
      <c r="EW26" s="3">
        <f t="shared" si="19"/>
        <v>0</v>
      </c>
      <c r="EX26" s="3">
        <f t="shared" si="19"/>
        <v>0</v>
      </c>
      <c r="EY26" s="3">
        <f t="shared" si="19"/>
        <v>0</v>
      </c>
      <c r="EZ26" s="3">
        <f t="shared" si="19"/>
        <v>0</v>
      </c>
      <c r="FA26" s="3">
        <f t="shared" si="19"/>
        <v>0</v>
      </c>
      <c r="FB26" s="3">
        <f t="shared" si="19"/>
        <v>0</v>
      </c>
      <c r="FC26" s="3">
        <f t="shared" si="19"/>
        <v>0</v>
      </c>
      <c r="FD26" s="3">
        <f t="shared" si="19"/>
        <v>0</v>
      </c>
      <c r="FE26" s="3">
        <f t="shared" si="19"/>
        <v>0</v>
      </c>
      <c r="FF26" s="3">
        <f t="shared" si="19"/>
        <v>0</v>
      </c>
      <c r="FG26" s="3">
        <f t="shared" si="19"/>
        <v>0</v>
      </c>
      <c r="FH26" s="3">
        <f t="shared" si="19"/>
        <v>0</v>
      </c>
      <c r="FI26" s="3">
        <f t="shared" si="19"/>
        <v>0</v>
      </c>
      <c r="FJ26" s="3">
        <f t="shared" si="19"/>
        <v>0</v>
      </c>
      <c r="FK26" s="3">
        <f t="shared" si="19"/>
        <v>0</v>
      </c>
      <c r="FL26" s="3">
        <f t="shared" si="19"/>
        <v>0</v>
      </c>
      <c r="FM26" s="3">
        <f t="shared" si="19"/>
        <v>0</v>
      </c>
      <c r="FN26" s="3">
        <f t="shared" si="19"/>
        <v>0</v>
      </c>
      <c r="FO26" s="3">
        <f t="shared" si="19"/>
        <v>0</v>
      </c>
      <c r="FP26" s="3">
        <f t="shared" si="19"/>
        <v>0</v>
      </c>
      <c r="FQ26" s="3">
        <f t="shared" si="19"/>
        <v>0</v>
      </c>
      <c r="FR26" s="3">
        <f t="shared" si="19"/>
        <v>0</v>
      </c>
      <c r="FS26" s="3">
        <f t="shared" ref="FS26:GX26" si="20">FS114</f>
        <v>0</v>
      </c>
      <c r="FT26" s="3">
        <f t="shared" si="20"/>
        <v>0</v>
      </c>
      <c r="FU26" s="3">
        <f t="shared" si="20"/>
        <v>0</v>
      </c>
      <c r="FV26" s="3">
        <f t="shared" si="20"/>
        <v>0</v>
      </c>
      <c r="FW26" s="3">
        <f t="shared" si="20"/>
        <v>0</v>
      </c>
      <c r="FX26" s="3">
        <f t="shared" si="20"/>
        <v>0</v>
      </c>
      <c r="FY26" s="3">
        <f t="shared" si="20"/>
        <v>0</v>
      </c>
      <c r="FZ26" s="3">
        <f t="shared" si="20"/>
        <v>0</v>
      </c>
      <c r="GA26" s="3">
        <f t="shared" si="20"/>
        <v>0</v>
      </c>
      <c r="GB26" s="3">
        <f t="shared" si="20"/>
        <v>0</v>
      </c>
      <c r="GC26" s="3">
        <f t="shared" si="20"/>
        <v>0</v>
      </c>
      <c r="GD26" s="3">
        <f t="shared" si="20"/>
        <v>0</v>
      </c>
      <c r="GE26" s="3">
        <f t="shared" si="20"/>
        <v>0</v>
      </c>
      <c r="GF26" s="3">
        <f t="shared" si="20"/>
        <v>0</v>
      </c>
      <c r="GG26" s="3">
        <f t="shared" si="20"/>
        <v>0</v>
      </c>
      <c r="GH26" s="3">
        <f t="shared" si="20"/>
        <v>0</v>
      </c>
      <c r="GI26" s="3">
        <f t="shared" si="20"/>
        <v>0</v>
      </c>
      <c r="GJ26" s="3">
        <f t="shared" si="20"/>
        <v>0</v>
      </c>
      <c r="GK26" s="3">
        <f t="shared" si="20"/>
        <v>0</v>
      </c>
      <c r="GL26" s="3">
        <f t="shared" si="20"/>
        <v>0</v>
      </c>
      <c r="GM26" s="3">
        <f t="shared" si="20"/>
        <v>0</v>
      </c>
      <c r="GN26" s="3">
        <f t="shared" si="20"/>
        <v>0</v>
      </c>
      <c r="GO26" s="3">
        <f t="shared" si="20"/>
        <v>0</v>
      </c>
      <c r="GP26" s="3">
        <f t="shared" si="20"/>
        <v>0</v>
      </c>
      <c r="GQ26" s="3">
        <f t="shared" si="20"/>
        <v>0</v>
      </c>
      <c r="GR26" s="3">
        <f t="shared" si="20"/>
        <v>0</v>
      </c>
      <c r="GS26" s="3">
        <f t="shared" si="20"/>
        <v>0</v>
      </c>
      <c r="GT26" s="3">
        <f t="shared" si="20"/>
        <v>0</v>
      </c>
      <c r="GU26" s="3">
        <f t="shared" si="20"/>
        <v>0</v>
      </c>
      <c r="GV26" s="3">
        <f t="shared" si="20"/>
        <v>0</v>
      </c>
      <c r="GW26" s="3">
        <f t="shared" si="20"/>
        <v>0</v>
      </c>
      <c r="GX26" s="3">
        <f t="shared" si="20"/>
        <v>0</v>
      </c>
    </row>
    <row r="28" spans="1:245" x14ac:dyDescent="0.2">
      <c r="A28" s="1">
        <v>5</v>
      </c>
      <c r="B28" s="1">
        <v>1</v>
      </c>
      <c r="C28" s="1"/>
      <c r="D28" s="1">
        <f>ROW(A44)</f>
        <v>44</v>
      </c>
      <c r="E28" s="1"/>
      <c r="F28" s="1" t="s">
        <v>17</v>
      </c>
      <c r="G28" s="1" t="s">
        <v>18</v>
      </c>
      <c r="H28" s="1" t="s">
        <v>3</v>
      </c>
      <c r="I28" s="1">
        <v>0</v>
      </c>
      <c r="J28" s="1"/>
      <c r="K28" s="1">
        <v>0</v>
      </c>
      <c r="L28" s="1"/>
      <c r="M28" s="1" t="s">
        <v>3</v>
      </c>
      <c r="N28" s="1"/>
      <c r="O28" s="1"/>
      <c r="P28" s="1"/>
      <c r="Q28" s="1"/>
      <c r="R28" s="1"/>
      <c r="S28" s="1">
        <v>0</v>
      </c>
      <c r="T28" s="1"/>
      <c r="U28" s="1" t="s">
        <v>3</v>
      </c>
      <c r="V28" s="1">
        <v>0</v>
      </c>
      <c r="W28" s="1"/>
      <c r="X28" s="1"/>
      <c r="Y28" s="1"/>
      <c r="Z28" s="1"/>
      <c r="AA28" s="1"/>
      <c r="AB28" s="1" t="s">
        <v>3</v>
      </c>
      <c r="AC28" s="1" t="s">
        <v>3</v>
      </c>
      <c r="AD28" s="1" t="s">
        <v>3</v>
      </c>
      <c r="AE28" s="1" t="s">
        <v>3</v>
      </c>
      <c r="AF28" s="1" t="s">
        <v>3</v>
      </c>
      <c r="AG28" s="1" t="s">
        <v>3</v>
      </c>
      <c r="AH28" s="1"/>
      <c r="AI28" s="1"/>
      <c r="AJ28" s="1"/>
      <c r="AK28" s="1"/>
      <c r="AL28" s="1"/>
      <c r="AM28" s="1"/>
      <c r="AN28" s="1"/>
      <c r="AO28" s="1"/>
      <c r="AP28" s="1" t="s">
        <v>3</v>
      </c>
      <c r="AQ28" s="1" t="s">
        <v>3</v>
      </c>
      <c r="AR28" s="1" t="s">
        <v>3</v>
      </c>
      <c r="AS28" s="1"/>
      <c r="AT28" s="1"/>
      <c r="AU28" s="1"/>
      <c r="AV28" s="1"/>
      <c r="AW28" s="1"/>
      <c r="AX28" s="1"/>
      <c r="AY28" s="1"/>
      <c r="AZ28" s="1" t="s">
        <v>3</v>
      </c>
      <c r="BA28" s="1"/>
      <c r="BB28" s="1" t="s">
        <v>3</v>
      </c>
      <c r="BC28" s="1" t="s">
        <v>3</v>
      </c>
      <c r="BD28" s="1" t="s">
        <v>3</v>
      </c>
      <c r="BE28" s="1" t="s">
        <v>3</v>
      </c>
      <c r="BF28" s="1" t="s">
        <v>3</v>
      </c>
      <c r="BG28" s="1" t="s">
        <v>3</v>
      </c>
      <c r="BH28" s="1" t="s">
        <v>3</v>
      </c>
      <c r="BI28" s="1" t="s">
        <v>3</v>
      </c>
      <c r="BJ28" s="1" t="s">
        <v>3</v>
      </c>
      <c r="BK28" s="1" t="s">
        <v>3</v>
      </c>
      <c r="BL28" s="1" t="s">
        <v>3</v>
      </c>
      <c r="BM28" s="1" t="s">
        <v>3</v>
      </c>
      <c r="BN28" s="1" t="s">
        <v>3</v>
      </c>
      <c r="BO28" s="1" t="s">
        <v>3</v>
      </c>
      <c r="BP28" s="1" t="s">
        <v>3</v>
      </c>
      <c r="BQ28" s="1"/>
      <c r="BR28" s="1"/>
      <c r="BS28" s="1"/>
      <c r="BT28" s="1"/>
      <c r="BU28" s="1"/>
      <c r="BV28" s="1"/>
      <c r="BW28" s="1"/>
      <c r="BX28" s="1">
        <v>0</v>
      </c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>
        <v>0</v>
      </c>
    </row>
    <row r="30" spans="1:245" x14ac:dyDescent="0.2">
      <c r="A30" s="2">
        <v>52</v>
      </c>
      <c r="B30" s="2">
        <f t="shared" ref="B30:G30" si="21">B44</f>
        <v>1</v>
      </c>
      <c r="C30" s="2">
        <f t="shared" si="21"/>
        <v>5</v>
      </c>
      <c r="D30" s="2">
        <f t="shared" si="21"/>
        <v>28</v>
      </c>
      <c r="E30" s="2">
        <f t="shared" si="21"/>
        <v>0</v>
      </c>
      <c r="F30" s="2" t="str">
        <f t="shared" si="21"/>
        <v>Новый подраздел</v>
      </c>
      <c r="G30" s="2" t="str">
        <f t="shared" si="21"/>
        <v>Строительные работы</v>
      </c>
      <c r="H30" s="2"/>
      <c r="I30" s="2"/>
      <c r="J30" s="2"/>
      <c r="K30" s="2"/>
      <c r="L30" s="2"/>
      <c r="M30" s="2"/>
      <c r="N30" s="2"/>
      <c r="O30" s="2">
        <f t="shared" ref="O30:AT30" si="22">O44</f>
        <v>6530938.1699999999</v>
      </c>
      <c r="P30" s="2">
        <f t="shared" si="22"/>
        <v>2740359.88</v>
      </c>
      <c r="Q30" s="2">
        <f t="shared" si="22"/>
        <v>3552687.06</v>
      </c>
      <c r="R30" s="2">
        <f t="shared" si="22"/>
        <v>406750.74</v>
      </c>
      <c r="S30" s="2">
        <f t="shared" si="22"/>
        <v>237891.23</v>
      </c>
      <c r="T30" s="2">
        <f t="shared" si="22"/>
        <v>0</v>
      </c>
      <c r="U30" s="2">
        <f t="shared" si="22"/>
        <v>501.77592950015998</v>
      </c>
      <c r="V30" s="2">
        <f t="shared" si="22"/>
        <v>0</v>
      </c>
      <c r="W30" s="2">
        <f t="shared" si="22"/>
        <v>0</v>
      </c>
      <c r="X30" s="2">
        <f t="shared" si="22"/>
        <v>278973.26</v>
      </c>
      <c r="Y30" s="2">
        <f t="shared" si="22"/>
        <v>132043.5</v>
      </c>
      <c r="Z30" s="2">
        <f t="shared" si="22"/>
        <v>0</v>
      </c>
      <c r="AA30" s="2">
        <f t="shared" si="22"/>
        <v>0</v>
      </c>
      <c r="AB30" s="2">
        <f t="shared" si="22"/>
        <v>6530938.1699999999</v>
      </c>
      <c r="AC30" s="2">
        <f t="shared" si="22"/>
        <v>2740359.88</v>
      </c>
      <c r="AD30" s="2">
        <f t="shared" si="22"/>
        <v>3552687.06</v>
      </c>
      <c r="AE30" s="2">
        <f t="shared" si="22"/>
        <v>406750.74</v>
      </c>
      <c r="AF30" s="2">
        <f t="shared" si="22"/>
        <v>237891.23</v>
      </c>
      <c r="AG30" s="2">
        <f t="shared" si="22"/>
        <v>0</v>
      </c>
      <c r="AH30" s="2">
        <f t="shared" si="22"/>
        <v>501.77592950015998</v>
      </c>
      <c r="AI30" s="2">
        <f t="shared" si="22"/>
        <v>0</v>
      </c>
      <c r="AJ30" s="2">
        <f t="shared" si="22"/>
        <v>0</v>
      </c>
      <c r="AK30" s="2">
        <f t="shared" si="22"/>
        <v>278973.26</v>
      </c>
      <c r="AL30" s="2">
        <f t="shared" si="22"/>
        <v>132043.5</v>
      </c>
      <c r="AM30" s="2">
        <f t="shared" si="22"/>
        <v>0</v>
      </c>
      <c r="AN30" s="2">
        <f t="shared" si="22"/>
        <v>0</v>
      </c>
      <c r="AO30" s="2">
        <f t="shared" si="22"/>
        <v>0</v>
      </c>
      <c r="AP30" s="2">
        <f t="shared" si="22"/>
        <v>0</v>
      </c>
      <c r="AQ30" s="2">
        <f t="shared" si="22"/>
        <v>0</v>
      </c>
      <c r="AR30" s="2">
        <f t="shared" si="22"/>
        <v>7592756.1100000003</v>
      </c>
      <c r="AS30" s="2">
        <f t="shared" si="22"/>
        <v>7591866.5700000003</v>
      </c>
      <c r="AT30" s="2">
        <f t="shared" si="22"/>
        <v>889.54</v>
      </c>
      <c r="AU30" s="2">
        <f t="shared" ref="AU30:BZ30" si="23">AU44</f>
        <v>0</v>
      </c>
      <c r="AV30" s="2">
        <f t="shared" si="23"/>
        <v>2740359.88</v>
      </c>
      <c r="AW30" s="2">
        <f t="shared" si="23"/>
        <v>2740359.88</v>
      </c>
      <c r="AX30" s="2">
        <f t="shared" si="23"/>
        <v>0</v>
      </c>
      <c r="AY30" s="2">
        <f t="shared" si="23"/>
        <v>2740359.88</v>
      </c>
      <c r="AZ30" s="2">
        <f t="shared" si="23"/>
        <v>0</v>
      </c>
      <c r="BA30" s="2">
        <f t="shared" si="23"/>
        <v>0</v>
      </c>
      <c r="BB30" s="2">
        <f t="shared" si="23"/>
        <v>0</v>
      </c>
      <c r="BC30" s="2">
        <f t="shared" si="23"/>
        <v>0</v>
      </c>
      <c r="BD30" s="2">
        <f t="shared" si="23"/>
        <v>0</v>
      </c>
      <c r="BE30" s="2">
        <f t="shared" si="23"/>
        <v>0</v>
      </c>
      <c r="BF30" s="2">
        <f t="shared" si="23"/>
        <v>0</v>
      </c>
      <c r="BG30" s="2">
        <f t="shared" si="23"/>
        <v>0</v>
      </c>
      <c r="BH30" s="2">
        <f t="shared" si="23"/>
        <v>0</v>
      </c>
      <c r="BI30" s="2">
        <f t="shared" si="23"/>
        <v>0</v>
      </c>
      <c r="BJ30" s="2">
        <f t="shared" si="23"/>
        <v>0</v>
      </c>
      <c r="BK30" s="2">
        <f t="shared" si="23"/>
        <v>0</v>
      </c>
      <c r="BL30" s="2">
        <f t="shared" si="23"/>
        <v>0</v>
      </c>
      <c r="BM30" s="2">
        <f t="shared" si="23"/>
        <v>0</v>
      </c>
      <c r="BN30" s="2">
        <f t="shared" si="23"/>
        <v>0</v>
      </c>
      <c r="BO30" s="2">
        <f t="shared" si="23"/>
        <v>0</v>
      </c>
      <c r="BP30" s="2">
        <f t="shared" si="23"/>
        <v>0</v>
      </c>
      <c r="BQ30" s="2">
        <f t="shared" si="23"/>
        <v>0</v>
      </c>
      <c r="BR30" s="2">
        <f t="shared" si="23"/>
        <v>0</v>
      </c>
      <c r="BS30" s="2">
        <f t="shared" si="23"/>
        <v>0</v>
      </c>
      <c r="BT30" s="2">
        <f t="shared" si="23"/>
        <v>0</v>
      </c>
      <c r="BU30" s="2">
        <f t="shared" si="23"/>
        <v>0</v>
      </c>
      <c r="BV30" s="2">
        <f t="shared" si="23"/>
        <v>0</v>
      </c>
      <c r="BW30" s="2">
        <f t="shared" si="23"/>
        <v>0</v>
      </c>
      <c r="BX30" s="2">
        <f t="shared" si="23"/>
        <v>0</v>
      </c>
      <c r="BY30" s="2">
        <f t="shared" si="23"/>
        <v>0</v>
      </c>
      <c r="BZ30" s="2">
        <f t="shared" si="23"/>
        <v>0</v>
      </c>
      <c r="CA30" s="2">
        <f t="shared" ref="CA30:DF30" si="24">CA44</f>
        <v>7592756.1100000003</v>
      </c>
      <c r="CB30" s="2">
        <f t="shared" si="24"/>
        <v>7591866.5700000003</v>
      </c>
      <c r="CC30" s="2">
        <f t="shared" si="24"/>
        <v>889.54</v>
      </c>
      <c r="CD30" s="2">
        <f t="shared" si="24"/>
        <v>0</v>
      </c>
      <c r="CE30" s="2">
        <f t="shared" si="24"/>
        <v>2740359.88</v>
      </c>
      <c r="CF30" s="2">
        <f t="shared" si="24"/>
        <v>2740359.88</v>
      </c>
      <c r="CG30" s="2">
        <f t="shared" si="24"/>
        <v>0</v>
      </c>
      <c r="CH30" s="2">
        <f t="shared" si="24"/>
        <v>2740359.88</v>
      </c>
      <c r="CI30" s="2">
        <f t="shared" si="24"/>
        <v>0</v>
      </c>
      <c r="CJ30" s="2">
        <f t="shared" si="24"/>
        <v>0</v>
      </c>
      <c r="CK30" s="2">
        <f t="shared" si="24"/>
        <v>0</v>
      </c>
      <c r="CL30" s="2">
        <f t="shared" si="24"/>
        <v>0</v>
      </c>
      <c r="CM30" s="2">
        <f t="shared" si="24"/>
        <v>0</v>
      </c>
      <c r="CN30" s="2">
        <f t="shared" si="24"/>
        <v>0</v>
      </c>
      <c r="CO30" s="2">
        <f t="shared" si="24"/>
        <v>0</v>
      </c>
      <c r="CP30" s="2">
        <f t="shared" si="24"/>
        <v>0</v>
      </c>
      <c r="CQ30" s="2">
        <f t="shared" si="24"/>
        <v>0</v>
      </c>
      <c r="CR30" s="2">
        <f t="shared" si="24"/>
        <v>0</v>
      </c>
      <c r="CS30" s="2">
        <f t="shared" si="24"/>
        <v>0</v>
      </c>
      <c r="CT30" s="2">
        <f t="shared" si="24"/>
        <v>0</v>
      </c>
      <c r="CU30" s="2">
        <f t="shared" si="24"/>
        <v>0</v>
      </c>
      <c r="CV30" s="2">
        <f t="shared" si="24"/>
        <v>0</v>
      </c>
      <c r="CW30" s="2">
        <f t="shared" si="24"/>
        <v>0</v>
      </c>
      <c r="CX30" s="2">
        <f t="shared" si="24"/>
        <v>0</v>
      </c>
      <c r="CY30" s="2">
        <f t="shared" si="24"/>
        <v>0</v>
      </c>
      <c r="CZ30" s="2">
        <f t="shared" si="24"/>
        <v>0</v>
      </c>
      <c r="DA30" s="2">
        <f t="shared" si="24"/>
        <v>0</v>
      </c>
      <c r="DB30" s="2">
        <f t="shared" si="24"/>
        <v>0</v>
      </c>
      <c r="DC30" s="2">
        <f t="shared" si="24"/>
        <v>0</v>
      </c>
      <c r="DD30" s="2">
        <f t="shared" si="24"/>
        <v>0</v>
      </c>
      <c r="DE30" s="2">
        <f t="shared" si="24"/>
        <v>0</v>
      </c>
      <c r="DF30" s="2">
        <f t="shared" si="24"/>
        <v>0</v>
      </c>
      <c r="DG30" s="3">
        <f t="shared" ref="DG30:EL30" si="25">DG44</f>
        <v>0</v>
      </c>
      <c r="DH30" s="3">
        <f t="shared" si="25"/>
        <v>0</v>
      </c>
      <c r="DI30" s="3">
        <f t="shared" si="25"/>
        <v>0</v>
      </c>
      <c r="DJ30" s="3">
        <f t="shared" si="25"/>
        <v>0</v>
      </c>
      <c r="DK30" s="3">
        <f t="shared" si="25"/>
        <v>0</v>
      </c>
      <c r="DL30" s="3">
        <f t="shared" si="25"/>
        <v>0</v>
      </c>
      <c r="DM30" s="3">
        <f t="shared" si="25"/>
        <v>0</v>
      </c>
      <c r="DN30" s="3">
        <f t="shared" si="25"/>
        <v>0</v>
      </c>
      <c r="DO30" s="3">
        <f t="shared" si="25"/>
        <v>0</v>
      </c>
      <c r="DP30" s="3">
        <f t="shared" si="25"/>
        <v>0</v>
      </c>
      <c r="DQ30" s="3">
        <f t="shared" si="25"/>
        <v>0</v>
      </c>
      <c r="DR30" s="3">
        <f t="shared" si="25"/>
        <v>0</v>
      </c>
      <c r="DS30" s="3">
        <f t="shared" si="25"/>
        <v>0</v>
      </c>
      <c r="DT30" s="3">
        <f t="shared" si="25"/>
        <v>0</v>
      </c>
      <c r="DU30" s="3">
        <f t="shared" si="25"/>
        <v>0</v>
      </c>
      <c r="DV30" s="3">
        <f t="shared" si="25"/>
        <v>0</v>
      </c>
      <c r="DW30" s="3">
        <f t="shared" si="25"/>
        <v>0</v>
      </c>
      <c r="DX30" s="3">
        <f t="shared" si="25"/>
        <v>0</v>
      </c>
      <c r="DY30" s="3">
        <f t="shared" si="25"/>
        <v>0</v>
      </c>
      <c r="DZ30" s="3">
        <f t="shared" si="25"/>
        <v>0</v>
      </c>
      <c r="EA30" s="3">
        <f t="shared" si="25"/>
        <v>0</v>
      </c>
      <c r="EB30" s="3">
        <f t="shared" si="25"/>
        <v>0</v>
      </c>
      <c r="EC30" s="3">
        <f t="shared" si="25"/>
        <v>0</v>
      </c>
      <c r="ED30" s="3">
        <f t="shared" si="25"/>
        <v>0</v>
      </c>
      <c r="EE30" s="3">
        <f t="shared" si="25"/>
        <v>0</v>
      </c>
      <c r="EF30" s="3">
        <f t="shared" si="25"/>
        <v>0</v>
      </c>
      <c r="EG30" s="3">
        <f t="shared" si="25"/>
        <v>0</v>
      </c>
      <c r="EH30" s="3">
        <f t="shared" si="25"/>
        <v>0</v>
      </c>
      <c r="EI30" s="3">
        <f t="shared" si="25"/>
        <v>0</v>
      </c>
      <c r="EJ30" s="3">
        <f t="shared" si="25"/>
        <v>0</v>
      </c>
      <c r="EK30" s="3">
        <f t="shared" si="25"/>
        <v>0</v>
      </c>
      <c r="EL30" s="3">
        <f t="shared" si="25"/>
        <v>0</v>
      </c>
      <c r="EM30" s="3">
        <f t="shared" ref="EM30:FR30" si="26">EM44</f>
        <v>0</v>
      </c>
      <c r="EN30" s="3">
        <f t="shared" si="26"/>
        <v>0</v>
      </c>
      <c r="EO30" s="3">
        <f t="shared" si="26"/>
        <v>0</v>
      </c>
      <c r="EP30" s="3">
        <f t="shared" si="26"/>
        <v>0</v>
      </c>
      <c r="EQ30" s="3">
        <f t="shared" si="26"/>
        <v>0</v>
      </c>
      <c r="ER30" s="3">
        <f t="shared" si="26"/>
        <v>0</v>
      </c>
      <c r="ES30" s="3">
        <f t="shared" si="26"/>
        <v>0</v>
      </c>
      <c r="ET30" s="3">
        <f t="shared" si="26"/>
        <v>0</v>
      </c>
      <c r="EU30" s="3">
        <f t="shared" si="26"/>
        <v>0</v>
      </c>
      <c r="EV30" s="3">
        <f t="shared" si="26"/>
        <v>0</v>
      </c>
      <c r="EW30" s="3">
        <f t="shared" si="26"/>
        <v>0</v>
      </c>
      <c r="EX30" s="3">
        <f t="shared" si="26"/>
        <v>0</v>
      </c>
      <c r="EY30" s="3">
        <f t="shared" si="26"/>
        <v>0</v>
      </c>
      <c r="EZ30" s="3">
        <f t="shared" si="26"/>
        <v>0</v>
      </c>
      <c r="FA30" s="3">
        <f t="shared" si="26"/>
        <v>0</v>
      </c>
      <c r="FB30" s="3">
        <f t="shared" si="26"/>
        <v>0</v>
      </c>
      <c r="FC30" s="3">
        <f t="shared" si="26"/>
        <v>0</v>
      </c>
      <c r="FD30" s="3">
        <f t="shared" si="26"/>
        <v>0</v>
      </c>
      <c r="FE30" s="3">
        <f t="shared" si="26"/>
        <v>0</v>
      </c>
      <c r="FF30" s="3">
        <f t="shared" si="26"/>
        <v>0</v>
      </c>
      <c r="FG30" s="3">
        <f t="shared" si="26"/>
        <v>0</v>
      </c>
      <c r="FH30" s="3">
        <f t="shared" si="26"/>
        <v>0</v>
      </c>
      <c r="FI30" s="3">
        <f t="shared" si="26"/>
        <v>0</v>
      </c>
      <c r="FJ30" s="3">
        <f t="shared" si="26"/>
        <v>0</v>
      </c>
      <c r="FK30" s="3">
        <f t="shared" si="26"/>
        <v>0</v>
      </c>
      <c r="FL30" s="3">
        <f t="shared" si="26"/>
        <v>0</v>
      </c>
      <c r="FM30" s="3">
        <f t="shared" si="26"/>
        <v>0</v>
      </c>
      <c r="FN30" s="3">
        <f t="shared" si="26"/>
        <v>0</v>
      </c>
      <c r="FO30" s="3">
        <f t="shared" si="26"/>
        <v>0</v>
      </c>
      <c r="FP30" s="3">
        <f t="shared" si="26"/>
        <v>0</v>
      </c>
      <c r="FQ30" s="3">
        <f t="shared" si="26"/>
        <v>0</v>
      </c>
      <c r="FR30" s="3">
        <f t="shared" si="26"/>
        <v>0</v>
      </c>
      <c r="FS30" s="3">
        <f t="shared" ref="FS30:GX30" si="27">FS44</f>
        <v>0</v>
      </c>
      <c r="FT30" s="3">
        <f t="shared" si="27"/>
        <v>0</v>
      </c>
      <c r="FU30" s="3">
        <f t="shared" si="27"/>
        <v>0</v>
      </c>
      <c r="FV30" s="3">
        <f t="shared" si="27"/>
        <v>0</v>
      </c>
      <c r="FW30" s="3">
        <f t="shared" si="27"/>
        <v>0</v>
      </c>
      <c r="FX30" s="3">
        <f t="shared" si="27"/>
        <v>0</v>
      </c>
      <c r="FY30" s="3">
        <f t="shared" si="27"/>
        <v>0</v>
      </c>
      <c r="FZ30" s="3">
        <f t="shared" si="27"/>
        <v>0</v>
      </c>
      <c r="GA30" s="3">
        <f t="shared" si="27"/>
        <v>0</v>
      </c>
      <c r="GB30" s="3">
        <f t="shared" si="27"/>
        <v>0</v>
      </c>
      <c r="GC30" s="3">
        <f t="shared" si="27"/>
        <v>0</v>
      </c>
      <c r="GD30" s="3">
        <f t="shared" si="27"/>
        <v>0</v>
      </c>
      <c r="GE30" s="3">
        <f t="shared" si="27"/>
        <v>0</v>
      </c>
      <c r="GF30" s="3">
        <f t="shared" si="27"/>
        <v>0</v>
      </c>
      <c r="GG30" s="3">
        <f t="shared" si="27"/>
        <v>0</v>
      </c>
      <c r="GH30" s="3">
        <f t="shared" si="27"/>
        <v>0</v>
      </c>
      <c r="GI30" s="3">
        <f t="shared" si="27"/>
        <v>0</v>
      </c>
      <c r="GJ30" s="3">
        <f t="shared" si="27"/>
        <v>0</v>
      </c>
      <c r="GK30" s="3">
        <f t="shared" si="27"/>
        <v>0</v>
      </c>
      <c r="GL30" s="3">
        <f t="shared" si="27"/>
        <v>0</v>
      </c>
      <c r="GM30" s="3">
        <f t="shared" si="27"/>
        <v>0</v>
      </c>
      <c r="GN30" s="3">
        <f t="shared" si="27"/>
        <v>0</v>
      </c>
      <c r="GO30" s="3">
        <f t="shared" si="27"/>
        <v>0</v>
      </c>
      <c r="GP30" s="3">
        <f t="shared" si="27"/>
        <v>0</v>
      </c>
      <c r="GQ30" s="3">
        <f t="shared" si="27"/>
        <v>0</v>
      </c>
      <c r="GR30" s="3">
        <f t="shared" si="27"/>
        <v>0</v>
      </c>
      <c r="GS30" s="3">
        <f t="shared" si="27"/>
        <v>0</v>
      </c>
      <c r="GT30" s="3">
        <f t="shared" si="27"/>
        <v>0</v>
      </c>
      <c r="GU30" s="3">
        <f t="shared" si="27"/>
        <v>0</v>
      </c>
      <c r="GV30" s="3">
        <f t="shared" si="27"/>
        <v>0</v>
      </c>
      <c r="GW30" s="3">
        <f t="shared" si="27"/>
        <v>0</v>
      </c>
      <c r="GX30" s="3">
        <f t="shared" si="27"/>
        <v>0</v>
      </c>
    </row>
    <row r="32" spans="1:245" x14ac:dyDescent="0.2">
      <c r="A32">
        <v>17</v>
      </c>
      <c r="B32">
        <v>1</v>
      </c>
      <c r="C32">
        <f>ROW(SmtRes!A1)</f>
        <v>1</v>
      </c>
      <c r="D32">
        <f>ROW(EtalonRes!A1)</f>
        <v>1</v>
      </c>
      <c r="E32" t="s">
        <v>19</v>
      </c>
      <c r="F32" t="s">
        <v>20</v>
      </c>
      <c r="G32" t="s">
        <v>21</v>
      </c>
      <c r="H32" t="s">
        <v>22</v>
      </c>
      <c r="I32">
        <f>ROUND(0.019155,9)</f>
        <v>1.9154999999999998E-2</v>
      </c>
      <c r="J32">
        <v>0</v>
      </c>
      <c r="K32">
        <f>ROUND(0.019155,9)</f>
        <v>1.9154999999999998E-2</v>
      </c>
      <c r="O32">
        <f t="shared" ref="O32:O42" si="28">ROUND(CP32,2)</f>
        <v>1769.33</v>
      </c>
      <c r="P32">
        <f t="shared" ref="P32:P42" si="29">ROUND((ROUND((AC32*AW32*I32),2)*BC32),2)</f>
        <v>0</v>
      </c>
      <c r="Q32">
        <f>(ROUND((ROUND((((ET32*1.05))*AV32*I32),2)*BB32),2)+ROUND((ROUND(((AE32-((EU32*1.05)))*AV32*I32),2)*BS32),2))</f>
        <v>0</v>
      </c>
      <c r="R32">
        <f t="shared" ref="R32:R42" si="30">ROUND((ROUND((AE32*AV32*I32),2)*BS32),2)</f>
        <v>0</v>
      </c>
      <c r="S32">
        <f t="shared" ref="S32:S42" si="31">ROUND((ROUND((AF32*AV32*I32),2)*BA32),2)</f>
        <v>1769.33</v>
      </c>
      <c r="T32">
        <f t="shared" ref="T32:T42" si="32">ROUND(CU32*I32,2)</f>
        <v>0</v>
      </c>
      <c r="U32">
        <f t="shared" ref="U32:U42" si="33">CV32*I32</f>
        <v>4.8369072023999999</v>
      </c>
      <c r="V32">
        <f t="shared" ref="V32:V42" si="34">CW32*I32</f>
        <v>0</v>
      </c>
      <c r="W32">
        <f t="shared" ref="W32:W42" si="35">ROUND(CX32*I32,2)</f>
        <v>0</v>
      </c>
      <c r="X32">
        <f t="shared" ref="X32:X42" si="36">ROUND(CY32,2)</f>
        <v>1539.32</v>
      </c>
      <c r="Y32">
        <f t="shared" ref="Y32:Y42" si="37">ROUND(CZ32,2)</f>
        <v>725.43</v>
      </c>
      <c r="AA32">
        <v>57737055</v>
      </c>
      <c r="AB32">
        <f t="shared" ref="AB32:AB42" si="38">ROUND((AC32+AD32+AF32),6)</f>
        <v>2144.7510000000002</v>
      </c>
      <c r="AC32">
        <f t="shared" ref="AC32:AC42" si="39">ROUND((ES32),6)</f>
        <v>0</v>
      </c>
      <c r="AD32">
        <f>ROUND(((((ET32*1.05))-((EU32*1.05)))+AE32),6)</f>
        <v>0</v>
      </c>
      <c r="AE32">
        <f t="shared" ref="AE32:AF34" si="40">ROUND(((EU32*1.05)),6)</f>
        <v>0</v>
      </c>
      <c r="AF32">
        <f t="shared" si="40"/>
        <v>2144.7510000000002</v>
      </c>
      <c r="AG32">
        <f t="shared" ref="AG32:AG42" si="41">ROUND((AP32),6)</f>
        <v>0</v>
      </c>
      <c r="AH32">
        <f t="shared" ref="AH32:AI34" si="42">((EW32*1.05))</f>
        <v>202.33500000000001</v>
      </c>
      <c r="AI32">
        <f t="shared" si="42"/>
        <v>0</v>
      </c>
      <c r="AJ32">
        <f t="shared" ref="AJ32:AJ42" si="43">(AS32)</f>
        <v>0</v>
      </c>
      <c r="AK32">
        <v>2042.62</v>
      </c>
      <c r="AL32">
        <v>0</v>
      </c>
      <c r="AM32">
        <v>0</v>
      </c>
      <c r="AN32">
        <v>0</v>
      </c>
      <c r="AO32">
        <v>2042.62</v>
      </c>
      <c r="AP32">
        <v>0</v>
      </c>
      <c r="AQ32">
        <v>192.7</v>
      </c>
      <c r="AR32">
        <v>0</v>
      </c>
      <c r="AS32">
        <v>0</v>
      </c>
      <c r="AT32">
        <v>87</v>
      </c>
      <c r="AU32">
        <v>41</v>
      </c>
      <c r="AV32">
        <v>1.248</v>
      </c>
      <c r="AW32">
        <v>1</v>
      </c>
      <c r="AZ32">
        <v>1</v>
      </c>
      <c r="BA32">
        <v>34.51</v>
      </c>
      <c r="BB32">
        <v>1</v>
      </c>
      <c r="BC32">
        <v>1</v>
      </c>
      <c r="BD32" t="s">
        <v>3</v>
      </c>
      <c r="BE32" t="s">
        <v>3</v>
      </c>
      <c r="BF32" t="s">
        <v>3</v>
      </c>
      <c r="BG32" t="s">
        <v>3</v>
      </c>
      <c r="BH32">
        <v>0</v>
      </c>
      <c r="BI32">
        <v>1</v>
      </c>
      <c r="BJ32" t="s">
        <v>23</v>
      </c>
      <c r="BM32">
        <v>16</v>
      </c>
      <c r="BN32">
        <v>0</v>
      </c>
      <c r="BO32" t="s">
        <v>20</v>
      </c>
      <c r="BP32">
        <v>1</v>
      </c>
      <c r="BQ32">
        <v>30</v>
      </c>
      <c r="BR32">
        <v>0</v>
      </c>
      <c r="BS32">
        <v>34.51</v>
      </c>
      <c r="BT32">
        <v>1</v>
      </c>
      <c r="BU32">
        <v>1</v>
      </c>
      <c r="BV32">
        <v>1</v>
      </c>
      <c r="BW32">
        <v>1</v>
      </c>
      <c r="BX32">
        <v>1</v>
      </c>
      <c r="BY32" t="s">
        <v>3</v>
      </c>
      <c r="BZ32">
        <v>87</v>
      </c>
      <c r="CA32">
        <v>41</v>
      </c>
      <c r="CB32" t="s">
        <v>3</v>
      </c>
      <c r="CE32">
        <v>30</v>
      </c>
      <c r="CF32">
        <v>0</v>
      </c>
      <c r="CG32">
        <v>0</v>
      </c>
      <c r="CM32">
        <v>0</v>
      </c>
      <c r="CN32" t="s">
        <v>295</v>
      </c>
      <c r="CO32">
        <v>0</v>
      </c>
      <c r="CP32">
        <f t="shared" ref="CP32:CP42" si="44">(P32+Q32+S32)</f>
        <v>1769.33</v>
      </c>
      <c r="CQ32">
        <f t="shared" ref="CQ32:CQ42" si="45">ROUND((ROUND((AC32*AW32*1),2)*BC32),2)</f>
        <v>0</v>
      </c>
      <c r="CR32">
        <f>(ROUND((ROUND((((ET32*1.05))*AV32*1),2)*BB32),2)+ROUND((ROUND(((AE32-((EU32*1.05)))*AV32*1),2)*BS32),2))</f>
        <v>0</v>
      </c>
      <c r="CS32">
        <f t="shared" ref="CS32:CS42" si="46">ROUND((ROUND((AE32*AV32*1),2)*BS32),2)</f>
        <v>0</v>
      </c>
      <c r="CT32">
        <f t="shared" ref="CT32:CT42" si="47">ROUND((ROUND((AF32*AV32*1),2)*BA32),2)</f>
        <v>92371.19</v>
      </c>
      <c r="CU32">
        <f t="shared" ref="CU32:CU42" si="48">AG32</f>
        <v>0</v>
      </c>
      <c r="CV32">
        <f t="shared" ref="CV32:CV42" si="49">(AH32*AV32)</f>
        <v>252.51408000000001</v>
      </c>
      <c r="CW32">
        <f t="shared" ref="CW32:CW42" si="50">AI32</f>
        <v>0</v>
      </c>
      <c r="CX32">
        <f t="shared" ref="CX32:CX42" si="51">AJ32</f>
        <v>0</v>
      </c>
      <c r="CY32">
        <f t="shared" ref="CY32:CY42" si="52">S32*(BZ32/100)</f>
        <v>1539.3171</v>
      </c>
      <c r="CZ32">
        <f t="shared" ref="CZ32:CZ42" si="53">S32*(CA32/100)</f>
        <v>725.42529999999988</v>
      </c>
      <c r="DB32">
        <v>1</v>
      </c>
      <c r="DC32" t="s">
        <v>3</v>
      </c>
      <c r="DD32" t="s">
        <v>3</v>
      </c>
      <c r="DE32" t="s">
        <v>24</v>
      </c>
      <c r="DF32" t="s">
        <v>24</v>
      </c>
      <c r="DG32" t="s">
        <v>24</v>
      </c>
      <c r="DH32" t="s">
        <v>3</v>
      </c>
      <c r="DI32" t="s">
        <v>24</v>
      </c>
      <c r="DJ32" t="s">
        <v>24</v>
      </c>
      <c r="DK32" t="s">
        <v>3</v>
      </c>
      <c r="DL32" t="s">
        <v>3</v>
      </c>
      <c r="DM32" t="s">
        <v>3</v>
      </c>
      <c r="DN32">
        <v>105</v>
      </c>
      <c r="DO32">
        <v>77</v>
      </c>
      <c r="DP32">
        <v>1.248</v>
      </c>
      <c r="DQ32">
        <v>1</v>
      </c>
      <c r="DU32">
        <v>1013</v>
      </c>
      <c r="DV32" t="s">
        <v>22</v>
      </c>
      <c r="DW32" t="s">
        <v>22</v>
      </c>
      <c r="DX32">
        <v>1</v>
      </c>
      <c r="DZ32" t="s">
        <v>3</v>
      </c>
      <c r="EA32" t="s">
        <v>3</v>
      </c>
      <c r="EB32" t="s">
        <v>3</v>
      </c>
      <c r="EC32" t="s">
        <v>3</v>
      </c>
      <c r="EE32">
        <v>51696099</v>
      </c>
      <c r="EF32">
        <v>30</v>
      </c>
      <c r="EG32" t="s">
        <v>18</v>
      </c>
      <c r="EH32">
        <v>0</v>
      </c>
      <c r="EI32" t="s">
        <v>3</v>
      </c>
      <c r="EJ32">
        <v>1</v>
      </c>
      <c r="EK32">
        <v>16</v>
      </c>
      <c r="EL32" t="s">
        <v>25</v>
      </c>
      <c r="EM32" t="s">
        <v>26</v>
      </c>
      <c r="EO32" t="s">
        <v>27</v>
      </c>
      <c r="EQ32">
        <v>131072</v>
      </c>
      <c r="ER32">
        <v>2042.62</v>
      </c>
      <c r="ES32">
        <v>0</v>
      </c>
      <c r="ET32">
        <v>0</v>
      </c>
      <c r="EU32">
        <v>0</v>
      </c>
      <c r="EV32">
        <v>2042.62</v>
      </c>
      <c r="EW32">
        <v>192.7</v>
      </c>
      <c r="EX32">
        <v>0</v>
      </c>
      <c r="EY32">
        <v>0</v>
      </c>
      <c r="FQ32">
        <v>0</v>
      </c>
      <c r="FR32">
        <v>0</v>
      </c>
      <c r="FS32">
        <v>0</v>
      </c>
      <c r="FX32">
        <v>105</v>
      </c>
      <c r="FY32">
        <v>77</v>
      </c>
      <c r="GA32" t="s">
        <v>3</v>
      </c>
      <c r="GD32">
        <v>0</v>
      </c>
      <c r="GF32">
        <v>-2104602307</v>
      </c>
      <c r="GG32">
        <v>2</v>
      </c>
      <c r="GH32">
        <v>1</v>
      </c>
      <c r="GI32">
        <v>2</v>
      </c>
      <c r="GJ32">
        <v>0</v>
      </c>
      <c r="GK32">
        <f>ROUND(R32*(R12)/100,2)</f>
        <v>0</v>
      </c>
      <c r="GL32">
        <f t="shared" ref="GL32:GL42" si="54">ROUND(IF(AND(BH32=3,BI32=3,FS32&lt;&gt;0),P32,0),2)</f>
        <v>0</v>
      </c>
      <c r="GM32">
        <f t="shared" ref="GM32:GM42" si="55">ROUND(O32+X32+Y32+GK32,2)+GX32</f>
        <v>4034.08</v>
      </c>
      <c r="GN32">
        <f t="shared" ref="GN32:GN42" si="56">IF(OR(BI32=0,BI32=1),GM32-GX32,0)</f>
        <v>4034.08</v>
      </c>
      <c r="GO32">
        <f t="shared" ref="GO32:GO42" si="57">IF(BI32=2,GM32-GX32,0)</f>
        <v>0</v>
      </c>
      <c r="GP32">
        <f t="shared" ref="GP32:GP42" si="58">IF(BI32=4,GM32-GX32,0)</f>
        <v>0</v>
      </c>
      <c r="GR32">
        <v>0</v>
      </c>
      <c r="GS32">
        <v>3</v>
      </c>
      <c r="GT32">
        <v>0</v>
      </c>
      <c r="GU32" t="s">
        <v>3</v>
      </c>
      <c r="GV32">
        <f t="shared" ref="GV32:GV42" si="59">ROUND((GT32),6)</f>
        <v>0</v>
      </c>
      <c r="GW32">
        <v>1</v>
      </c>
      <c r="GX32">
        <f t="shared" ref="GX32:GX42" si="60">ROUND(HC32*I32,2)</f>
        <v>0</v>
      </c>
      <c r="HA32">
        <v>0</v>
      </c>
      <c r="HB32">
        <v>0</v>
      </c>
      <c r="HC32">
        <f t="shared" ref="HC32:HC42" si="61">GV32*GW32</f>
        <v>0</v>
      </c>
      <c r="HE32" t="s">
        <v>3</v>
      </c>
      <c r="HF32" t="s">
        <v>3</v>
      </c>
      <c r="HM32" t="s">
        <v>3</v>
      </c>
      <c r="HN32" t="s">
        <v>3</v>
      </c>
      <c r="HO32" t="s">
        <v>3</v>
      </c>
      <c r="HP32" t="s">
        <v>3</v>
      </c>
      <c r="HQ32" t="s">
        <v>3</v>
      </c>
      <c r="HS32">
        <v>0</v>
      </c>
      <c r="IK32">
        <v>0</v>
      </c>
    </row>
    <row r="33" spans="1:245" x14ac:dyDescent="0.2">
      <c r="A33">
        <v>17</v>
      </c>
      <c r="B33">
        <v>1</v>
      </c>
      <c r="C33">
        <f>ROW(SmtRes!A2)</f>
        <v>2</v>
      </c>
      <c r="D33">
        <f>ROW(EtalonRes!A2)</f>
        <v>2</v>
      </c>
      <c r="E33" t="s">
        <v>28</v>
      </c>
      <c r="F33" t="s">
        <v>29</v>
      </c>
      <c r="G33" t="s">
        <v>30</v>
      </c>
      <c r="H33" t="s">
        <v>22</v>
      </c>
      <c r="I33">
        <f>ROUND(4.536/100,9)</f>
        <v>4.5359999999999998E-2</v>
      </c>
      <c r="J33">
        <v>0</v>
      </c>
      <c r="K33">
        <f>ROUND(4.536/100,9)</f>
        <v>4.5359999999999998E-2</v>
      </c>
      <c r="O33">
        <f t="shared" si="28"/>
        <v>2156.1799999999998</v>
      </c>
      <c r="P33">
        <f t="shared" si="29"/>
        <v>0</v>
      </c>
      <c r="Q33">
        <f>(ROUND((ROUND((((ET33*1.05))*AV33*I33),2)*BB33),2)+ROUND((ROUND(((AE33-((EU33*1.05)))*AV33*I33),2)*BS33),2))</f>
        <v>0</v>
      </c>
      <c r="R33">
        <f t="shared" si="30"/>
        <v>0</v>
      </c>
      <c r="S33">
        <f t="shared" si="31"/>
        <v>2156.1799999999998</v>
      </c>
      <c r="T33">
        <f t="shared" si="32"/>
        <v>0</v>
      </c>
      <c r="U33">
        <f t="shared" si="33"/>
        <v>6.3624301977600002</v>
      </c>
      <c r="V33">
        <f t="shared" si="34"/>
        <v>0</v>
      </c>
      <c r="W33">
        <f t="shared" si="35"/>
        <v>0</v>
      </c>
      <c r="X33">
        <f t="shared" si="36"/>
        <v>1875.88</v>
      </c>
      <c r="Y33">
        <f t="shared" si="37"/>
        <v>884.03</v>
      </c>
      <c r="AA33">
        <v>57737055</v>
      </c>
      <c r="AB33">
        <f t="shared" si="38"/>
        <v>1103.6865</v>
      </c>
      <c r="AC33">
        <f t="shared" si="39"/>
        <v>0</v>
      </c>
      <c r="AD33">
        <f>ROUND(((((ET33*1.05))-((EU33*1.05)))+AE33),6)</f>
        <v>0</v>
      </c>
      <c r="AE33">
        <f t="shared" si="40"/>
        <v>0</v>
      </c>
      <c r="AF33">
        <f t="shared" si="40"/>
        <v>1103.6865</v>
      </c>
      <c r="AG33">
        <f t="shared" si="41"/>
        <v>0</v>
      </c>
      <c r="AH33">
        <f t="shared" si="42"/>
        <v>112.39200000000001</v>
      </c>
      <c r="AI33">
        <f t="shared" si="42"/>
        <v>0</v>
      </c>
      <c r="AJ33">
        <f t="shared" si="43"/>
        <v>0</v>
      </c>
      <c r="AK33">
        <v>1051.1300000000001</v>
      </c>
      <c r="AL33">
        <v>0</v>
      </c>
      <c r="AM33">
        <v>0</v>
      </c>
      <c r="AN33">
        <v>0</v>
      </c>
      <c r="AO33">
        <v>1051.1300000000001</v>
      </c>
      <c r="AP33">
        <v>0</v>
      </c>
      <c r="AQ33">
        <v>107.04</v>
      </c>
      <c r="AR33">
        <v>0</v>
      </c>
      <c r="AS33">
        <v>0</v>
      </c>
      <c r="AT33">
        <v>87</v>
      </c>
      <c r="AU33">
        <v>41</v>
      </c>
      <c r="AV33">
        <v>1.248</v>
      </c>
      <c r="AW33">
        <v>1</v>
      </c>
      <c r="AZ33">
        <v>1</v>
      </c>
      <c r="BA33">
        <v>34.51</v>
      </c>
      <c r="BB33">
        <v>1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31</v>
      </c>
      <c r="BM33">
        <v>16</v>
      </c>
      <c r="BN33">
        <v>0</v>
      </c>
      <c r="BO33" t="s">
        <v>29</v>
      </c>
      <c r="BP33">
        <v>1</v>
      </c>
      <c r="BQ33">
        <v>30</v>
      </c>
      <c r="BR33">
        <v>0</v>
      </c>
      <c r="BS33">
        <v>34.51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87</v>
      </c>
      <c r="CA33">
        <v>41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295</v>
      </c>
      <c r="CO33">
        <v>0</v>
      </c>
      <c r="CP33">
        <f t="shared" si="44"/>
        <v>2156.1799999999998</v>
      </c>
      <c r="CQ33">
        <f t="shared" si="45"/>
        <v>0</v>
      </c>
      <c r="CR33">
        <f>(ROUND((ROUND((((ET33*1.05))*AV33*1),2)*BB33),2)+ROUND((ROUND(((AE33-((EU33*1.05)))*AV33*1),2)*BS33),2))</f>
        <v>0</v>
      </c>
      <c r="CS33">
        <f t="shared" si="46"/>
        <v>0</v>
      </c>
      <c r="CT33">
        <f t="shared" si="47"/>
        <v>47534.07</v>
      </c>
      <c r="CU33">
        <f t="shared" si="48"/>
        <v>0</v>
      </c>
      <c r="CV33">
        <f t="shared" si="49"/>
        <v>140.26521600000001</v>
      </c>
      <c r="CW33">
        <f t="shared" si="50"/>
        <v>0</v>
      </c>
      <c r="CX33">
        <f t="shared" si="51"/>
        <v>0</v>
      </c>
      <c r="CY33">
        <f t="shared" si="52"/>
        <v>1875.8765999999998</v>
      </c>
      <c r="CZ33">
        <f t="shared" si="53"/>
        <v>884.03379999999993</v>
      </c>
      <c r="DB33">
        <v>2</v>
      </c>
      <c r="DC33" t="s">
        <v>3</v>
      </c>
      <c r="DD33" t="s">
        <v>3</v>
      </c>
      <c r="DE33" t="s">
        <v>24</v>
      </c>
      <c r="DF33" t="s">
        <v>24</v>
      </c>
      <c r="DG33" t="s">
        <v>24</v>
      </c>
      <c r="DH33" t="s">
        <v>3</v>
      </c>
      <c r="DI33" t="s">
        <v>24</v>
      </c>
      <c r="DJ33" t="s">
        <v>24</v>
      </c>
      <c r="DK33" t="s">
        <v>3</v>
      </c>
      <c r="DL33" t="s">
        <v>3</v>
      </c>
      <c r="DM33" t="s">
        <v>3</v>
      </c>
      <c r="DN33">
        <v>105</v>
      </c>
      <c r="DO33">
        <v>77</v>
      </c>
      <c r="DP33">
        <v>1.248</v>
      </c>
      <c r="DQ33">
        <v>1</v>
      </c>
      <c r="DU33">
        <v>1013</v>
      </c>
      <c r="DV33" t="s">
        <v>22</v>
      </c>
      <c r="DW33" t="s">
        <v>22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51696099</v>
      </c>
      <c r="EF33">
        <v>30</v>
      </c>
      <c r="EG33" t="s">
        <v>18</v>
      </c>
      <c r="EH33">
        <v>0</v>
      </c>
      <c r="EI33" t="s">
        <v>3</v>
      </c>
      <c r="EJ33">
        <v>1</v>
      </c>
      <c r="EK33">
        <v>16</v>
      </c>
      <c r="EL33" t="s">
        <v>25</v>
      </c>
      <c r="EM33" t="s">
        <v>26</v>
      </c>
      <c r="EO33" t="s">
        <v>27</v>
      </c>
      <c r="EQ33">
        <v>131072</v>
      </c>
      <c r="ER33">
        <v>1051.1300000000001</v>
      </c>
      <c r="ES33">
        <v>0</v>
      </c>
      <c r="ET33">
        <v>0</v>
      </c>
      <c r="EU33">
        <v>0</v>
      </c>
      <c r="EV33">
        <v>1051.1300000000001</v>
      </c>
      <c r="EW33">
        <v>107.04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105</v>
      </c>
      <c r="FY33">
        <v>77</v>
      </c>
      <c r="GA33" t="s">
        <v>3</v>
      </c>
      <c r="GD33">
        <v>0</v>
      </c>
      <c r="GF33">
        <v>1725378853</v>
      </c>
      <c r="GG33">
        <v>2</v>
      </c>
      <c r="GH33">
        <v>1</v>
      </c>
      <c r="GI33">
        <v>2</v>
      </c>
      <c r="GJ33">
        <v>0</v>
      </c>
      <c r="GK33">
        <f>ROUND(R33*(R12)/100,2)</f>
        <v>0</v>
      </c>
      <c r="GL33">
        <f t="shared" si="54"/>
        <v>0</v>
      </c>
      <c r="GM33">
        <f t="shared" si="55"/>
        <v>4916.09</v>
      </c>
      <c r="GN33">
        <f t="shared" si="56"/>
        <v>4916.09</v>
      </c>
      <c r="GO33">
        <f t="shared" si="57"/>
        <v>0</v>
      </c>
      <c r="GP33">
        <f t="shared" si="58"/>
        <v>0</v>
      </c>
      <c r="GR33">
        <v>0</v>
      </c>
      <c r="GS33">
        <v>3</v>
      </c>
      <c r="GT33">
        <v>0</v>
      </c>
      <c r="GU33" t="s">
        <v>3</v>
      </c>
      <c r="GV33">
        <f t="shared" si="59"/>
        <v>0</v>
      </c>
      <c r="GW33">
        <v>1</v>
      </c>
      <c r="GX33">
        <f t="shared" si="60"/>
        <v>0</v>
      </c>
      <c r="HA33">
        <v>0</v>
      </c>
      <c r="HB33">
        <v>0</v>
      </c>
      <c r="HC33">
        <f t="shared" si="61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45" x14ac:dyDescent="0.2">
      <c r="A34">
        <v>17</v>
      </c>
      <c r="B34">
        <v>1</v>
      </c>
      <c r="C34">
        <f>ROW(SmtRes!A15)</f>
        <v>15</v>
      </c>
      <c r="D34">
        <f>ROW(EtalonRes!A16)</f>
        <v>16</v>
      </c>
      <c r="E34" t="s">
        <v>32</v>
      </c>
      <c r="F34" t="s">
        <v>33</v>
      </c>
      <c r="G34" t="s">
        <v>34</v>
      </c>
      <c r="H34" t="s">
        <v>35</v>
      </c>
      <c r="I34">
        <f>ROUND(104.1+113.4-31.3,9)</f>
        <v>186.2</v>
      </c>
      <c r="J34">
        <v>0</v>
      </c>
      <c r="K34">
        <f>ROUND(104.1+113.4-31.3,9)</f>
        <v>186.2</v>
      </c>
      <c r="O34">
        <f t="shared" si="28"/>
        <v>3760936.4</v>
      </c>
      <c r="P34">
        <f t="shared" si="29"/>
        <v>26701.75</v>
      </c>
      <c r="Q34">
        <f>(ROUND((ROUND((((ET34*1.05))*AV34*I34),2)*BB34),2)+ROUND((ROUND(((AE34-((EU34*1.05)))*AV34*I34),2)*BS34),2))</f>
        <v>3529091.34</v>
      </c>
      <c r="R34">
        <f t="shared" si="30"/>
        <v>404776.42</v>
      </c>
      <c r="S34">
        <f t="shared" si="31"/>
        <v>205143.31</v>
      </c>
      <c r="T34">
        <f t="shared" si="32"/>
        <v>0</v>
      </c>
      <c r="U34">
        <f t="shared" si="33"/>
        <v>425.77385759999999</v>
      </c>
      <c r="V34">
        <f t="shared" si="34"/>
        <v>0</v>
      </c>
      <c r="W34">
        <f t="shared" si="35"/>
        <v>0</v>
      </c>
      <c r="X34">
        <f t="shared" si="36"/>
        <v>244120.54</v>
      </c>
      <c r="Y34">
        <f t="shared" si="37"/>
        <v>114880.25</v>
      </c>
      <c r="AA34">
        <v>57737055</v>
      </c>
      <c r="AB34">
        <f t="shared" si="38"/>
        <v>1917.2484999999999</v>
      </c>
      <c r="AC34">
        <f t="shared" si="39"/>
        <v>22.45</v>
      </c>
      <c r="AD34">
        <f>ROUND(((((ET34*1.05))-((EU34*1.05)))+AE34),6)</f>
        <v>1864.3064999999999</v>
      </c>
      <c r="AE34">
        <f t="shared" si="40"/>
        <v>60.164999999999999</v>
      </c>
      <c r="AF34">
        <f t="shared" si="40"/>
        <v>30.492000000000001</v>
      </c>
      <c r="AG34">
        <f t="shared" si="41"/>
        <v>0</v>
      </c>
      <c r="AH34">
        <f t="shared" si="42"/>
        <v>2.1840000000000002</v>
      </c>
      <c r="AI34">
        <f t="shared" si="42"/>
        <v>0</v>
      </c>
      <c r="AJ34">
        <f t="shared" si="43"/>
        <v>0</v>
      </c>
      <c r="AK34">
        <v>1827.02</v>
      </c>
      <c r="AL34">
        <v>22.45</v>
      </c>
      <c r="AM34">
        <v>1775.53</v>
      </c>
      <c r="AN34">
        <v>57.3</v>
      </c>
      <c r="AO34">
        <v>29.04</v>
      </c>
      <c r="AP34">
        <v>0</v>
      </c>
      <c r="AQ34">
        <v>2.08</v>
      </c>
      <c r="AR34">
        <v>0</v>
      </c>
      <c r="AS34">
        <v>0</v>
      </c>
      <c r="AT34">
        <v>119</v>
      </c>
      <c r="AU34">
        <v>56</v>
      </c>
      <c r="AV34">
        <v>1.0469999999999999</v>
      </c>
      <c r="AW34">
        <v>1.079</v>
      </c>
      <c r="AZ34">
        <v>1</v>
      </c>
      <c r="BA34">
        <v>34.51</v>
      </c>
      <c r="BB34">
        <v>9.7100000000000009</v>
      </c>
      <c r="BC34">
        <v>5.92</v>
      </c>
      <c r="BD34" t="s">
        <v>3</v>
      </c>
      <c r="BE34" t="s">
        <v>3</v>
      </c>
      <c r="BF34" t="s">
        <v>3</v>
      </c>
      <c r="BG34" t="s">
        <v>3</v>
      </c>
      <c r="BH34">
        <v>0</v>
      </c>
      <c r="BI34">
        <v>1</v>
      </c>
      <c r="BJ34" t="s">
        <v>36</v>
      </c>
      <c r="BM34">
        <v>1989</v>
      </c>
      <c r="BN34">
        <v>0</v>
      </c>
      <c r="BO34" t="s">
        <v>33</v>
      </c>
      <c r="BP34">
        <v>1</v>
      </c>
      <c r="BQ34">
        <v>30</v>
      </c>
      <c r="BR34">
        <v>0</v>
      </c>
      <c r="BS34">
        <v>34.51</v>
      </c>
      <c r="BT34">
        <v>1</v>
      </c>
      <c r="BU34">
        <v>1</v>
      </c>
      <c r="BV34">
        <v>1</v>
      </c>
      <c r="BW34">
        <v>1</v>
      </c>
      <c r="BX34">
        <v>1</v>
      </c>
      <c r="BY34" t="s">
        <v>3</v>
      </c>
      <c r="BZ34">
        <v>119</v>
      </c>
      <c r="CA34">
        <v>56</v>
      </c>
      <c r="CB34" t="s">
        <v>3</v>
      </c>
      <c r="CE34">
        <v>30</v>
      </c>
      <c r="CF34">
        <v>0</v>
      </c>
      <c r="CG34">
        <v>0</v>
      </c>
      <c r="CM34">
        <v>0</v>
      </c>
      <c r="CN34" t="s">
        <v>295</v>
      </c>
      <c r="CO34">
        <v>0</v>
      </c>
      <c r="CP34">
        <f t="shared" si="44"/>
        <v>3760936.4</v>
      </c>
      <c r="CQ34">
        <f t="shared" si="45"/>
        <v>143.38</v>
      </c>
      <c r="CR34">
        <f>(ROUND((ROUND((((ET34*1.05))*AV34*1),2)*BB34),2)+ROUND((ROUND(((AE34-((EU34*1.05)))*AV34*1),2)*BS34),2))</f>
        <v>18953.240000000002</v>
      </c>
      <c r="CS34">
        <f t="shared" si="46"/>
        <v>2173.7800000000002</v>
      </c>
      <c r="CT34">
        <f t="shared" si="47"/>
        <v>1101.9000000000001</v>
      </c>
      <c r="CU34">
        <f t="shared" si="48"/>
        <v>0</v>
      </c>
      <c r="CV34">
        <f t="shared" si="49"/>
        <v>2.286648</v>
      </c>
      <c r="CW34">
        <f t="shared" si="50"/>
        <v>0</v>
      </c>
      <c r="CX34">
        <f t="shared" si="51"/>
        <v>0</v>
      </c>
      <c r="CY34">
        <f t="shared" si="52"/>
        <v>244120.53889999999</v>
      </c>
      <c r="CZ34">
        <f t="shared" si="53"/>
        <v>114880.25360000001</v>
      </c>
      <c r="DB34">
        <v>3</v>
      </c>
      <c r="DC34" t="s">
        <v>3</v>
      </c>
      <c r="DD34" t="s">
        <v>3</v>
      </c>
      <c r="DE34" t="s">
        <v>24</v>
      </c>
      <c r="DF34" t="s">
        <v>24</v>
      </c>
      <c r="DG34" t="s">
        <v>24</v>
      </c>
      <c r="DH34" t="s">
        <v>3</v>
      </c>
      <c r="DI34" t="s">
        <v>24</v>
      </c>
      <c r="DJ34" t="s">
        <v>24</v>
      </c>
      <c r="DK34" t="s">
        <v>3</v>
      </c>
      <c r="DL34" t="s">
        <v>3</v>
      </c>
      <c r="DM34" t="s">
        <v>3</v>
      </c>
      <c r="DN34">
        <v>149</v>
      </c>
      <c r="DO34">
        <v>158</v>
      </c>
      <c r="DP34">
        <v>1.0469999999999999</v>
      </c>
      <c r="DQ34">
        <v>1.079</v>
      </c>
      <c r="DU34">
        <v>1013</v>
      </c>
      <c r="DV34" t="s">
        <v>35</v>
      </c>
      <c r="DW34" t="s">
        <v>35</v>
      </c>
      <c r="DX34">
        <v>1</v>
      </c>
      <c r="DZ34" t="s">
        <v>3</v>
      </c>
      <c r="EA34" t="s">
        <v>3</v>
      </c>
      <c r="EB34" t="s">
        <v>3</v>
      </c>
      <c r="EC34" t="s">
        <v>3</v>
      </c>
      <c r="EE34">
        <v>51698030</v>
      </c>
      <c r="EF34">
        <v>30</v>
      </c>
      <c r="EG34" t="s">
        <v>18</v>
      </c>
      <c r="EH34">
        <v>0</v>
      </c>
      <c r="EI34" t="s">
        <v>3</v>
      </c>
      <c r="EJ34">
        <v>1</v>
      </c>
      <c r="EK34">
        <v>1989</v>
      </c>
      <c r="EL34" t="s">
        <v>37</v>
      </c>
      <c r="EM34" t="s">
        <v>38</v>
      </c>
      <c r="EO34" t="s">
        <v>27</v>
      </c>
      <c r="EQ34">
        <v>131072</v>
      </c>
      <c r="ER34">
        <v>1827.02</v>
      </c>
      <c r="ES34">
        <v>22.45</v>
      </c>
      <c r="ET34">
        <v>1775.53</v>
      </c>
      <c r="EU34">
        <v>57.3</v>
      </c>
      <c r="EV34">
        <v>29.04</v>
      </c>
      <c r="EW34">
        <v>2.08</v>
      </c>
      <c r="EX34">
        <v>0</v>
      </c>
      <c r="EY34">
        <v>0</v>
      </c>
      <c r="FQ34">
        <v>0</v>
      </c>
      <c r="FR34">
        <v>0</v>
      </c>
      <c r="FS34">
        <v>0</v>
      </c>
      <c r="FX34">
        <v>149</v>
      </c>
      <c r="FY34">
        <v>158</v>
      </c>
      <c r="GA34" t="s">
        <v>3</v>
      </c>
      <c r="GD34">
        <v>0</v>
      </c>
      <c r="GF34">
        <v>925277583</v>
      </c>
      <c r="GG34">
        <v>2</v>
      </c>
      <c r="GH34">
        <v>1</v>
      </c>
      <c r="GI34">
        <v>2</v>
      </c>
      <c r="GJ34">
        <v>0</v>
      </c>
      <c r="GK34">
        <f>ROUND(R34*(R12)/100,2)</f>
        <v>647642.27</v>
      </c>
      <c r="GL34">
        <f t="shared" si="54"/>
        <v>0</v>
      </c>
      <c r="GM34">
        <f t="shared" si="55"/>
        <v>4767579.46</v>
      </c>
      <c r="GN34">
        <f t="shared" si="56"/>
        <v>4767579.46</v>
      </c>
      <c r="GO34">
        <f t="shared" si="57"/>
        <v>0</v>
      </c>
      <c r="GP34">
        <f t="shared" si="58"/>
        <v>0</v>
      </c>
      <c r="GR34">
        <v>0</v>
      </c>
      <c r="GS34">
        <v>3</v>
      </c>
      <c r="GT34">
        <v>0</v>
      </c>
      <c r="GU34" t="s">
        <v>3</v>
      </c>
      <c r="GV34">
        <f t="shared" si="59"/>
        <v>0</v>
      </c>
      <c r="GW34">
        <v>1</v>
      </c>
      <c r="GX34">
        <f t="shared" si="60"/>
        <v>0</v>
      </c>
      <c r="HA34">
        <v>0</v>
      </c>
      <c r="HB34">
        <v>0</v>
      </c>
      <c r="HC34">
        <f t="shared" si="61"/>
        <v>0</v>
      </c>
      <c r="HE34" t="s">
        <v>3</v>
      </c>
      <c r="HF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S34">
        <v>0</v>
      </c>
      <c r="IK34">
        <v>0</v>
      </c>
    </row>
    <row r="35" spans="1:245" x14ac:dyDescent="0.2">
      <c r="A35">
        <v>18</v>
      </c>
      <c r="B35">
        <v>1</v>
      </c>
      <c r="C35">
        <v>13</v>
      </c>
      <c r="E35" t="s">
        <v>39</v>
      </c>
      <c r="F35" t="s">
        <v>40</v>
      </c>
      <c r="G35" t="s">
        <v>41</v>
      </c>
      <c r="H35" t="s">
        <v>42</v>
      </c>
      <c r="I35">
        <f>I34*J35</f>
        <v>21748.16</v>
      </c>
      <c r="J35">
        <v>116.80000000000001</v>
      </c>
      <c r="K35">
        <v>116.8</v>
      </c>
      <c r="O35">
        <f t="shared" si="28"/>
        <v>1211821.3700000001</v>
      </c>
      <c r="P35">
        <f t="shared" si="29"/>
        <v>1211821.3700000001</v>
      </c>
      <c r="Q35">
        <f>(ROUND((ROUND(((ET35)*AV35*I35),2)*BB35),2)+ROUND((ROUND(((AE35-(EU35))*AV35*I35),2)*BS35),2))</f>
        <v>0</v>
      </c>
      <c r="R35">
        <f t="shared" si="30"/>
        <v>0</v>
      </c>
      <c r="S35">
        <f t="shared" si="31"/>
        <v>0</v>
      </c>
      <c r="T35">
        <f t="shared" si="32"/>
        <v>0</v>
      </c>
      <c r="U35">
        <f t="shared" si="33"/>
        <v>0</v>
      </c>
      <c r="V35">
        <f t="shared" si="34"/>
        <v>0</v>
      </c>
      <c r="W35">
        <f t="shared" si="35"/>
        <v>0</v>
      </c>
      <c r="X35">
        <f t="shared" si="36"/>
        <v>0</v>
      </c>
      <c r="Y35">
        <f t="shared" si="37"/>
        <v>0</v>
      </c>
      <c r="AA35">
        <v>57737055</v>
      </c>
      <c r="AB35">
        <f t="shared" si="38"/>
        <v>11.3</v>
      </c>
      <c r="AC35">
        <f t="shared" si="39"/>
        <v>11.3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41"/>
        <v>0</v>
      </c>
      <c r="AH35">
        <f>(EW35)</f>
        <v>0</v>
      </c>
      <c r="AI35">
        <f>(EX35)</f>
        <v>0</v>
      </c>
      <c r="AJ35">
        <f t="shared" si="43"/>
        <v>0</v>
      </c>
      <c r="AK35">
        <v>11.3</v>
      </c>
      <c r="AL35">
        <v>11.3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1.079</v>
      </c>
      <c r="AZ35">
        <v>1</v>
      </c>
      <c r="BA35">
        <v>1</v>
      </c>
      <c r="BB35">
        <v>1</v>
      </c>
      <c r="BC35">
        <v>4.57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1</v>
      </c>
      <c r="BJ35" t="s">
        <v>43</v>
      </c>
      <c r="BM35">
        <v>1989</v>
      </c>
      <c r="BN35">
        <v>0</v>
      </c>
      <c r="BO35" t="s">
        <v>40</v>
      </c>
      <c r="BP35">
        <v>1</v>
      </c>
      <c r="BQ35">
        <v>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0</v>
      </c>
      <c r="CA35">
        <v>0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44"/>
        <v>1211821.3700000001</v>
      </c>
      <c r="CQ35">
        <f t="shared" si="45"/>
        <v>55.71</v>
      </c>
      <c r="CR35">
        <f>(ROUND((ROUND(((ET35)*AV35*1),2)*BB35),2)+ROUND((ROUND(((AE35-(EU35))*AV35*1),2)*BS35),2))</f>
        <v>0</v>
      </c>
      <c r="CS35">
        <f t="shared" si="46"/>
        <v>0</v>
      </c>
      <c r="CT35">
        <f t="shared" si="47"/>
        <v>0</v>
      </c>
      <c r="CU35">
        <f t="shared" si="48"/>
        <v>0</v>
      </c>
      <c r="CV35">
        <f t="shared" si="49"/>
        <v>0</v>
      </c>
      <c r="CW35">
        <f t="shared" si="50"/>
        <v>0</v>
      </c>
      <c r="CX35">
        <f t="shared" si="51"/>
        <v>0</v>
      </c>
      <c r="CY35">
        <f t="shared" si="52"/>
        <v>0</v>
      </c>
      <c r="CZ35">
        <f t="shared" si="53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149</v>
      </c>
      <c r="DO35">
        <v>158</v>
      </c>
      <c r="DP35">
        <v>1.0469999999999999</v>
      </c>
      <c r="DQ35">
        <v>1.079</v>
      </c>
      <c r="DU35">
        <v>1009</v>
      </c>
      <c r="DV35" t="s">
        <v>42</v>
      </c>
      <c r="DW35" t="s">
        <v>42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51698030</v>
      </c>
      <c r="EF35">
        <v>30</v>
      </c>
      <c r="EG35" t="s">
        <v>18</v>
      </c>
      <c r="EH35">
        <v>0</v>
      </c>
      <c r="EI35" t="s">
        <v>3</v>
      </c>
      <c r="EJ35">
        <v>1</v>
      </c>
      <c r="EK35">
        <v>1989</v>
      </c>
      <c r="EL35" t="s">
        <v>37</v>
      </c>
      <c r="EM35" t="s">
        <v>38</v>
      </c>
      <c r="EO35" t="s">
        <v>3</v>
      </c>
      <c r="EQ35">
        <v>0</v>
      </c>
      <c r="ER35">
        <v>11.3</v>
      </c>
      <c r="ES35">
        <v>11.3</v>
      </c>
      <c r="ET35">
        <v>0</v>
      </c>
      <c r="EU35">
        <v>0</v>
      </c>
      <c r="EV35">
        <v>0</v>
      </c>
      <c r="EW35">
        <v>0</v>
      </c>
      <c r="EX35">
        <v>0</v>
      </c>
      <c r="FQ35">
        <v>0</v>
      </c>
      <c r="FR35">
        <v>0</v>
      </c>
      <c r="FS35">
        <v>0</v>
      </c>
      <c r="FX35">
        <v>149</v>
      </c>
      <c r="FY35">
        <v>158</v>
      </c>
      <c r="GA35" t="s">
        <v>3</v>
      </c>
      <c r="GD35">
        <v>0</v>
      </c>
      <c r="GF35">
        <v>-936542528</v>
      </c>
      <c r="GG35">
        <v>2</v>
      </c>
      <c r="GH35">
        <v>1</v>
      </c>
      <c r="GI35">
        <v>2</v>
      </c>
      <c r="GJ35">
        <v>0</v>
      </c>
      <c r="GK35">
        <f>ROUND(R35*(R12)/100,2)</f>
        <v>0</v>
      </c>
      <c r="GL35">
        <f t="shared" si="54"/>
        <v>0</v>
      </c>
      <c r="GM35">
        <f t="shared" si="55"/>
        <v>1211821.3700000001</v>
      </c>
      <c r="GN35">
        <f t="shared" si="56"/>
        <v>1211821.3700000001</v>
      </c>
      <c r="GO35">
        <f t="shared" si="57"/>
        <v>0</v>
      </c>
      <c r="GP35">
        <f t="shared" si="58"/>
        <v>0</v>
      </c>
      <c r="GR35">
        <v>0</v>
      </c>
      <c r="GS35">
        <v>3</v>
      </c>
      <c r="GT35">
        <v>0</v>
      </c>
      <c r="GU35" t="s">
        <v>3</v>
      </c>
      <c r="GV35">
        <f t="shared" si="59"/>
        <v>0</v>
      </c>
      <c r="GW35">
        <v>1</v>
      </c>
      <c r="GX35">
        <f t="shared" si="60"/>
        <v>0</v>
      </c>
      <c r="HA35">
        <v>0</v>
      </c>
      <c r="HB35">
        <v>0</v>
      </c>
      <c r="HC35">
        <f t="shared" si="61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45" x14ac:dyDescent="0.2">
      <c r="A36">
        <v>18</v>
      </c>
      <c r="B36">
        <v>1</v>
      </c>
      <c r="C36">
        <v>15</v>
      </c>
      <c r="E36" t="s">
        <v>44</v>
      </c>
      <c r="F36" t="s">
        <v>45</v>
      </c>
      <c r="G36" t="s">
        <v>296</v>
      </c>
      <c r="H36" t="s">
        <v>46</v>
      </c>
      <c r="I36">
        <f>I34*J36</f>
        <v>1103.7936</v>
      </c>
      <c r="J36">
        <v>5.9279999999999999</v>
      </c>
      <c r="K36">
        <v>5.9279999999999999</v>
      </c>
      <c r="O36">
        <f t="shared" si="28"/>
        <v>963201.05</v>
      </c>
      <c r="P36">
        <f t="shared" si="29"/>
        <v>963201.05</v>
      </c>
      <c r="Q36">
        <f>(ROUND((ROUND(((ET36)*AV36*I36),2)*BB36),2)+ROUND((ROUND(((AE36-(EU36))*AV36*I36),2)*BS36),2))</f>
        <v>0</v>
      </c>
      <c r="R36">
        <f t="shared" si="30"/>
        <v>0</v>
      </c>
      <c r="S36">
        <f t="shared" si="31"/>
        <v>0</v>
      </c>
      <c r="T36">
        <f t="shared" si="32"/>
        <v>0</v>
      </c>
      <c r="U36">
        <f t="shared" si="33"/>
        <v>0</v>
      </c>
      <c r="V36">
        <f t="shared" si="34"/>
        <v>0</v>
      </c>
      <c r="W36">
        <f t="shared" si="35"/>
        <v>0</v>
      </c>
      <c r="X36">
        <f t="shared" si="36"/>
        <v>0</v>
      </c>
      <c r="Y36">
        <f t="shared" si="37"/>
        <v>0</v>
      </c>
      <c r="AA36">
        <v>57737055</v>
      </c>
      <c r="AB36">
        <f t="shared" si="38"/>
        <v>95.37</v>
      </c>
      <c r="AC36">
        <f t="shared" si="39"/>
        <v>95.37</v>
      </c>
      <c r="AD36">
        <f>ROUND((((ET36)-(EU36))+AE36),6)</f>
        <v>0</v>
      </c>
      <c r="AE36">
        <f>ROUND((EU36),6)</f>
        <v>0</v>
      </c>
      <c r="AF36">
        <f>ROUND((EV36),6)</f>
        <v>0</v>
      </c>
      <c r="AG36">
        <f t="shared" si="41"/>
        <v>0</v>
      </c>
      <c r="AH36">
        <f>(EW36)</f>
        <v>0</v>
      </c>
      <c r="AI36">
        <f>(EX36)</f>
        <v>0</v>
      </c>
      <c r="AJ36">
        <f t="shared" si="43"/>
        <v>0</v>
      </c>
      <c r="AK36">
        <v>95.37</v>
      </c>
      <c r="AL36">
        <v>95.37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1.079</v>
      </c>
      <c r="AZ36">
        <v>1</v>
      </c>
      <c r="BA36">
        <v>1</v>
      </c>
      <c r="BB36">
        <v>1</v>
      </c>
      <c r="BC36">
        <v>8.48</v>
      </c>
      <c r="BD36" t="s">
        <v>3</v>
      </c>
      <c r="BE36" t="s">
        <v>3</v>
      </c>
      <c r="BF36" t="s">
        <v>3</v>
      </c>
      <c r="BG36" t="s">
        <v>3</v>
      </c>
      <c r="BH36">
        <v>3</v>
      </c>
      <c r="BI36">
        <v>1</v>
      </c>
      <c r="BJ36" t="s">
        <v>47</v>
      </c>
      <c r="BM36">
        <v>1989</v>
      </c>
      <c r="BN36">
        <v>0</v>
      </c>
      <c r="BO36" t="s">
        <v>45</v>
      </c>
      <c r="BP36">
        <v>1</v>
      </c>
      <c r="BQ36">
        <v>30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 t="s">
        <v>3</v>
      </c>
      <c r="BZ36">
        <v>0</v>
      </c>
      <c r="CA36">
        <v>0</v>
      </c>
      <c r="CB36" t="s">
        <v>3</v>
      </c>
      <c r="CE36">
        <v>30</v>
      </c>
      <c r="CF36">
        <v>0</v>
      </c>
      <c r="CG36">
        <v>0</v>
      </c>
      <c r="CM36">
        <v>0</v>
      </c>
      <c r="CN36" t="s">
        <v>3</v>
      </c>
      <c r="CO36">
        <v>0</v>
      </c>
      <c r="CP36">
        <f t="shared" si="44"/>
        <v>963201.05</v>
      </c>
      <c r="CQ36">
        <f t="shared" si="45"/>
        <v>872.59</v>
      </c>
      <c r="CR36">
        <f>(ROUND((ROUND(((ET36)*AV36*1),2)*BB36),2)+ROUND((ROUND(((AE36-(EU36))*AV36*1),2)*BS36),2))</f>
        <v>0</v>
      </c>
      <c r="CS36">
        <f t="shared" si="46"/>
        <v>0</v>
      </c>
      <c r="CT36">
        <f t="shared" si="47"/>
        <v>0</v>
      </c>
      <c r="CU36">
        <f t="shared" si="48"/>
        <v>0</v>
      </c>
      <c r="CV36">
        <f t="shared" si="49"/>
        <v>0</v>
      </c>
      <c r="CW36">
        <f t="shared" si="50"/>
        <v>0</v>
      </c>
      <c r="CX36">
        <f t="shared" si="51"/>
        <v>0</v>
      </c>
      <c r="CY36">
        <f t="shared" si="52"/>
        <v>0</v>
      </c>
      <c r="CZ36">
        <f t="shared" si="53"/>
        <v>0</v>
      </c>
      <c r="DC36" t="s">
        <v>3</v>
      </c>
      <c r="DD36" t="s">
        <v>3</v>
      </c>
      <c r="DE36" t="s">
        <v>3</v>
      </c>
      <c r="DF36" t="s">
        <v>3</v>
      </c>
      <c r="DG36" t="s">
        <v>3</v>
      </c>
      <c r="DH36" t="s">
        <v>3</v>
      </c>
      <c r="DI36" t="s">
        <v>3</v>
      </c>
      <c r="DJ36" t="s">
        <v>3</v>
      </c>
      <c r="DK36" t="s">
        <v>3</v>
      </c>
      <c r="DL36" t="s">
        <v>3</v>
      </c>
      <c r="DM36" t="s">
        <v>3</v>
      </c>
      <c r="DN36">
        <v>149</v>
      </c>
      <c r="DO36">
        <v>158</v>
      </c>
      <c r="DP36">
        <v>1.0469999999999999</v>
      </c>
      <c r="DQ36">
        <v>1.079</v>
      </c>
      <c r="DU36">
        <v>1013</v>
      </c>
      <c r="DV36" t="s">
        <v>46</v>
      </c>
      <c r="DW36" t="s">
        <v>46</v>
      </c>
      <c r="DX36">
        <v>1</v>
      </c>
      <c r="DZ36" t="s">
        <v>3</v>
      </c>
      <c r="EA36" t="s">
        <v>3</v>
      </c>
      <c r="EB36" t="s">
        <v>3</v>
      </c>
      <c r="EC36" t="s">
        <v>3</v>
      </c>
      <c r="EE36">
        <v>51698030</v>
      </c>
      <c r="EF36">
        <v>30</v>
      </c>
      <c r="EG36" t="s">
        <v>18</v>
      </c>
      <c r="EH36">
        <v>0</v>
      </c>
      <c r="EI36" t="s">
        <v>3</v>
      </c>
      <c r="EJ36">
        <v>1</v>
      </c>
      <c r="EK36">
        <v>1989</v>
      </c>
      <c r="EL36" t="s">
        <v>37</v>
      </c>
      <c r="EM36" t="s">
        <v>38</v>
      </c>
      <c r="EO36" t="s">
        <v>3</v>
      </c>
      <c r="EQ36">
        <v>0</v>
      </c>
      <c r="ER36">
        <v>95.37</v>
      </c>
      <c r="ES36">
        <v>95.37</v>
      </c>
      <c r="ET36">
        <v>0</v>
      </c>
      <c r="EU36">
        <v>0</v>
      </c>
      <c r="EV36">
        <v>0</v>
      </c>
      <c r="EW36">
        <v>0</v>
      </c>
      <c r="EX36">
        <v>0</v>
      </c>
      <c r="FQ36">
        <v>0</v>
      </c>
      <c r="FR36">
        <v>0</v>
      </c>
      <c r="FS36">
        <v>0</v>
      </c>
      <c r="FX36">
        <v>149</v>
      </c>
      <c r="FY36">
        <v>158</v>
      </c>
      <c r="GA36" t="s">
        <v>3</v>
      </c>
      <c r="GD36">
        <v>0</v>
      </c>
      <c r="GF36">
        <v>1548396739</v>
      </c>
      <c r="GG36">
        <v>2</v>
      </c>
      <c r="GH36">
        <v>1</v>
      </c>
      <c r="GI36">
        <v>2</v>
      </c>
      <c r="GJ36">
        <v>0</v>
      </c>
      <c r="GK36">
        <f>ROUND(R36*(R12)/100,2)</f>
        <v>0</v>
      </c>
      <c r="GL36">
        <f t="shared" si="54"/>
        <v>0</v>
      </c>
      <c r="GM36">
        <f t="shared" si="55"/>
        <v>963201.05</v>
      </c>
      <c r="GN36">
        <f t="shared" si="56"/>
        <v>963201.05</v>
      </c>
      <c r="GO36">
        <f t="shared" si="57"/>
        <v>0</v>
      </c>
      <c r="GP36">
        <f t="shared" si="58"/>
        <v>0</v>
      </c>
      <c r="GR36">
        <v>0</v>
      </c>
      <c r="GS36">
        <v>3</v>
      </c>
      <c r="GT36">
        <v>0</v>
      </c>
      <c r="GU36" t="s">
        <v>3</v>
      </c>
      <c r="GV36">
        <f t="shared" si="59"/>
        <v>0</v>
      </c>
      <c r="GW36">
        <v>1</v>
      </c>
      <c r="GX36">
        <f t="shared" si="60"/>
        <v>0</v>
      </c>
      <c r="HA36">
        <v>0</v>
      </c>
      <c r="HB36">
        <v>0</v>
      </c>
      <c r="HC36">
        <f t="shared" si="61"/>
        <v>0</v>
      </c>
      <c r="HE36" t="s">
        <v>3</v>
      </c>
      <c r="HF36" t="s">
        <v>3</v>
      </c>
      <c r="HM36" t="s">
        <v>3</v>
      </c>
      <c r="HN36" t="s">
        <v>3</v>
      </c>
      <c r="HO36" t="s">
        <v>3</v>
      </c>
      <c r="HP36" t="s">
        <v>3</v>
      </c>
      <c r="HQ36" t="s">
        <v>3</v>
      </c>
      <c r="HS36">
        <v>0</v>
      </c>
      <c r="IK36">
        <v>0</v>
      </c>
    </row>
    <row r="37" spans="1:245" x14ac:dyDescent="0.2">
      <c r="A37">
        <v>17</v>
      </c>
      <c r="B37">
        <v>1</v>
      </c>
      <c r="E37" t="s">
        <v>48</v>
      </c>
      <c r="F37" t="s">
        <v>49</v>
      </c>
      <c r="G37" t="s">
        <v>50</v>
      </c>
      <c r="H37" t="s">
        <v>51</v>
      </c>
      <c r="I37">
        <f>ROUND(I34*3+9,9)</f>
        <v>567.6</v>
      </c>
      <c r="J37">
        <v>0</v>
      </c>
      <c r="K37">
        <f>ROUND(I34*3+9,9)</f>
        <v>567.6</v>
      </c>
      <c r="O37">
        <f t="shared" si="28"/>
        <v>533271.81999999995</v>
      </c>
      <c r="P37">
        <f t="shared" si="29"/>
        <v>533271.81999999995</v>
      </c>
      <c r="Q37">
        <f t="shared" ref="Q37:Q42" si="62">(ROUND((ROUND((((ET37*1.05))*AV37*I37),2)*BB37),2)+ROUND((ROUND(((AE37-((EU37*1.05)))*AV37*I37),2)*BS37),2))</f>
        <v>0</v>
      </c>
      <c r="R37">
        <f t="shared" si="30"/>
        <v>0</v>
      </c>
      <c r="S37">
        <f t="shared" si="31"/>
        <v>0</v>
      </c>
      <c r="T37">
        <f t="shared" si="32"/>
        <v>0</v>
      </c>
      <c r="U37">
        <f t="shared" si="33"/>
        <v>0</v>
      </c>
      <c r="V37">
        <f t="shared" si="34"/>
        <v>0</v>
      </c>
      <c r="W37">
        <f t="shared" si="35"/>
        <v>0</v>
      </c>
      <c r="X37">
        <f t="shared" si="36"/>
        <v>0</v>
      </c>
      <c r="Y37">
        <f t="shared" si="37"/>
        <v>0</v>
      </c>
      <c r="AA37">
        <v>57737055</v>
      </c>
      <c r="AB37">
        <f t="shared" si="38"/>
        <v>96.46</v>
      </c>
      <c r="AC37">
        <f t="shared" si="39"/>
        <v>96.46</v>
      </c>
      <c r="AD37">
        <f t="shared" ref="AD37:AD42" si="63">ROUND(((((ET37*1.05))-((EU37*1.05)))+AE37),6)</f>
        <v>0</v>
      </c>
      <c r="AE37">
        <f t="shared" ref="AE37:AF42" si="64">ROUND(((EU37*1.05)),6)</f>
        <v>0</v>
      </c>
      <c r="AF37">
        <f t="shared" si="64"/>
        <v>0</v>
      </c>
      <c r="AG37">
        <f t="shared" si="41"/>
        <v>0</v>
      </c>
      <c r="AH37">
        <f t="shared" ref="AH37:AI42" si="65">((EW37*1.05))</f>
        <v>0</v>
      </c>
      <c r="AI37">
        <f t="shared" si="65"/>
        <v>0</v>
      </c>
      <c r="AJ37">
        <f t="shared" si="43"/>
        <v>0</v>
      </c>
      <c r="AK37">
        <v>96.46</v>
      </c>
      <c r="AL37">
        <v>96.46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Z37">
        <v>1</v>
      </c>
      <c r="BA37">
        <v>1</v>
      </c>
      <c r="BB37">
        <v>1</v>
      </c>
      <c r="BC37">
        <v>9.74</v>
      </c>
      <c r="BD37" t="s">
        <v>3</v>
      </c>
      <c r="BE37" t="s">
        <v>3</v>
      </c>
      <c r="BF37" t="s">
        <v>3</v>
      </c>
      <c r="BG37" t="s">
        <v>3</v>
      </c>
      <c r="BH37">
        <v>3</v>
      </c>
      <c r="BI37">
        <v>1</v>
      </c>
      <c r="BJ37" t="s">
        <v>3</v>
      </c>
      <c r="BM37">
        <v>400002</v>
      </c>
      <c r="BN37">
        <v>0</v>
      </c>
      <c r="BO37" t="s">
        <v>3</v>
      </c>
      <c r="BP37">
        <v>0</v>
      </c>
      <c r="BQ37">
        <v>202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0</v>
      </c>
      <c r="CA37">
        <v>0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295</v>
      </c>
      <c r="CO37">
        <v>0</v>
      </c>
      <c r="CP37">
        <f t="shared" si="44"/>
        <v>533271.81999999995</v>
      </c>
      <c r="CQ37">
        <f t="shared" si="45"/>
        <v>939.52</v>
      </c>
      <c r="CR37">
        <f t="shared" ref="CR37:CR42" si="66">(ROUND((ROUND((((ET37*1.05))*AV37*1),2)*BB37),2)+ROUND((ROUND(((AE37-((EU37*1.05)))*AV37*1),2)*BS37),2))</f>
        <v>0</v>
      </c>
      <c r="CS37">
        <f t="shared" si="46"/>
        <v>0</v>
      </c>
      <c r="CT37">
        <f t="shared" si="47"/>
        <v>0</v>
      </c>
      <c r="CU37">
        <f t="shared" si="48"/>
        <v>0</v>
      </c>
      <c r="CV37">
        <f t="shared" si="49"/>
        <v>0</v>
      </c>
      <c r="CW37">
        <f t="shared" si="50"/>
        <v>0</v>
      </c>
      <c r="CX37">
        <f t="shared" si="51"/>
        <v>0</v>
      </c>
      <c r="CY37">
        <f t="shared" si="52"/>
        <v>0</v>
      </c>
      <c r="CZ37">
        <f t="shared" si="53"/>
        <v>0</v>
      </c>
      <c r="DB37">
        <v>4</v>
      </c>
      <c r="DC37" t="s">
        <v>3</v>
      </c>
      <c r="DD37" t="s">
        <v>3</v>
      </c>
      <c r="DE37" t="s">
        <v>24</v>
      </c>
      <c r="DF37" t="s">
        <v>24</v>
      </c>
      <c r="DG37" t="s">
        <v>24</v>
      </c>
      <c r="DH37" t="s">
        <v>3</v>
      </c>
      <c r="DI37" t="s">
        <v>24</v>
      </c>
      <c r="DJ37" t="s">
        <v>24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1003</v>
      </c>
      <c r="DV37" t="s">
        <v>51</v>
      </c>
      <c r="DW37" t="s">
        <v>51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51698006</v>
      </c>
      <c r="EF37">
        <v>202</v>
      </c>
      <c r="EG37" t="s">
        <v>52</v>
      </c>
      <c r="EH37">
        <v>0</v>
      </c>
      <c r="EI37" t="s">
        <v>3</v>
      </c>
      <c r="EJ37">
        <v>1</v>
      </c>
      <c r="EK37">
        <v>400002</v>
      </c>
      <c r="EL37" t="s">
        <v>53</v>
      </c>
      <c r="EM37" t="s">
        <v>52</v>
      </c>
      <c r="EO37" t="s">
        <v>27</v>
      </c>
      <c r="EQ37">
        <v>131072</v>
      </c>
      <c r="ER37">
        <v>96.46</v>
      </c>
      <c r="ES37">
        <v>96.46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5</v>
      </c>
      <c r="FC37">
        <v>0</v>
      </c>
      <c r="FD37">
        <v>18</v>
      </c>
      <c r="FF37">
        <v>939.56</v>
      </c>
      <c r="FQ37">
        <v>0</v>
      </c>
      <c r="FR37">
        <v>0</v>
      </c>
      <c r="FS37">
        <v>0</v>
      </c>
      <c r="FX37">
        <v>0</v>
      </c>
      <c r="FY37">
        <v>0</v>
      </c>
      <c r="GA37" t="s">
        <v>54</v>
      </c>
      <c r="GD37">
        <v>0</v>
      </c>
      <c r="GF37">
        <v>-2093484384</v>
      </c>
      <c r="GG37">
        <v>2</v>
      </c>
      <c r="GH37">
        <v>3</v>
      </c>
      <c r="GI37">
        <v>3</v>
      </c>
      <c r="GJ37">
        <v>0</v>
      </c>
      <c r="GK37">
        <f>ROUND(R37*(R12)/100,2)</f>
        <v>0</v>
      </c>
      <c r="GL37">
        <f t="shared" si="54"/>
        <v>0</v>
      </c>
      <c r="GM37">
        <f t="shared" si="55"/>
        <v>533271.81999999995</v>
      </c>
      <c r="GN37">
        <f t="shared" si="56"/>
        <v>533271.81999999995</v>
      </c>
      <c r="GO37">
        <f t="shared" si="57"/>
        <v>0</v>
      </c>
      <c r="GP37">
        <f t="shared" si="58"/>
        <v>0</v>
      </c>
      <c r="GR37">
        <v>1</v>
      </c>
      <c r="GS37">
        <v>1</v>
      </c>
      <c r="GT37">
        <v>0</v>
      </c>
      <c r="GU37" t="s">
        <v>3</v>
      </c>
      <c r="GV37">
        <f t="shared" si="59"/>
        <v>0</v>
      </c>
      <c r="GW37">
        <v>1</v>
      </c>
      <c r="GX37">
        <f t="shared" si="60"/>
        <v>0</v>
      </c>
      <c r="HA37">
        <v>0</v>
      </c>
      <c r="HB37">
        <v>0</v>
      </c>
      <c r="HC37">
        <f t="shared" si="61"/>
        <v>0</v>
      </c>
      <c r="HE37" t="s">
        <v>55</v>
      </c>
      <c r="HF37" t="s">
        <v>55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45" x14ac:dyDescent="0.2">
      <c r="A38">
        <v>17</v>
      </c>
      <c r="B38">
        <v>1</v>
      </c>
      <c r="C38">
        <f>ROW(SmtRes!A18)</f>
        <v>18</v>
      </c>
      <c r="D38">
        <f>ROW(EtalonRes!A19)</f>
        <v>19</v>
      </c>
      <c r="E38" t="s">
        <v>56</v>
      </c>
      <c r="F38" t="s">
        <v>57</v>
      </c>
      <c r="G38" t="s">
        <v>58</v>
      </c>
      <c r="H38" t="s">
        <v>59</v>
      </c>
      <c r="I38">
        <f>ROUND(2*0+1,9)</f>
        <v>1</v>
      </c>
      <c r="J38">
        <v>0</v>
      </c>
      <c r="K38">
        <f>ROUND(2*0+1,9)</f>
        <v>1</v>
      </c>
      <c r="O38">
        <f t="shared" si="28"/>
        <v>12926.59</v>
      </c>
      <c r="P38">
        <f t="shared" si="29"/>
        <v>0</v>
      </c>
      <c r="Q38">
        <f t="shared" si="62"/>
        <v>12639.47</v>
      </c>
      <c r="R38">
        <f t="shared" si="30"/>
        <v>1206.47</v>
      </c>
      <c r="S38">
        <f t="shared" si="31"/>
        <v>287.12</v>
      </c>
      <c r="T38">
        <f t="shared" si="32"/>
        <v>0</v>
      </c>
      <c r="U38">
        <f t="shared" si="33"/>
        <v>0.65960999999999992</v>
      </c>
      <c r="V38">
        <f t="shared" si="34"/>
        <v>0</v>
      </c>
      <c r="W38">
        <f t="shared" si="35"/>
        <v>0</v>
      </c>
      <c r="X38">
        <f t="shared" si="36"/>
        <v>341.67</v>
      </c>
      <c r="Y38">
        <f t="shared" si="37"/>
        <v>160.79</v>
      </c>
      <c r="AA38">
        <v>57737055</v>
      </c>
      <c r="AB38">
        <f t="shared" si="38"/>
        <v>1270.7204999999999</v>
      </c>
      <c r="AC38">
        <f t="shared" si="39"/>
        <v>0</v>
      </c>
      <c r="AD38">
        <f t="shared" si="63"/>
        <v>1262.7719999999999</v>
      </c>
      <c r="AE38">
        <f t="shared" si="64"/>
        <v>33.39</v>
      </c>
      <c r="AF38">
        <f t="shared" si="64"/>
        <v>7.9485000000000001</v>
      </c>
      <c r="AG38">
        <f t="shared" si="41"/>
        <v>0</v>
      </c>
      <c r="AH38">
        <f t="shared" si="65"/>
        <v>0.63</v>
      </c>
      <c r="AI38">
        <f t="shared" si="65"/>
        <v>0</v>
      </c>
      <c r="AJ38">
        <f t="shared" si="43"/>
        <v>0</v>
      </c>
      <c r="AK38">
        <v>1210.21</v>
      </c>
      <c r="AL38">
        <v>0</v>
      </c>
      <c r="AM38">
        <v>1202.6400000000001</v>
      </c>
      <c r="AN38">
        <v>31.8</v>
      </c>
      <c r="AO38">
        <v>7.57</v>
      </c>
      <c r="AP38">
        <v>0</v>
      </c>
      <c r="AQ38">
        <v>0.6</v>
      </c>
      <c r="AR38">
        <v>0</v>
      </c>
      <c r="AS38">
        <v>0</v>
      </c>
      <c r="AT38">
        <v>119</v>
      </c>
      <c r="AU38">
        <v>56</v>
      </c>
      <c r="AV38">
        <v>1.0469999999999999</v>
      </c>
      <c r="AW38">
        <v>1.079</v>
      </c>
      <c r="AZ38">
        <v>1</v>
      </c>
      <c r="BA38">
        <v>34.51</v>
      </c>
      <c r="BB38">
        <v>9.56</v>
      </c>
      <c r="BC38">
        <v>1</v>
      </c>
      <c r="BD38" t="s">
        <v>3</v>
      </c>
      <c r="BE38" t="s">
        <v>3</v>
      </c>
      <c r="BF38" t="s">
        <v>3</v>
      </c>
      <c r="BG38" t="s">
        <v>3</v>
      </c>
      <c r="BH38">
        <v>0</v>
      </c>
      <c r="BI38">
        <v>1</v>
      </c>
      <c r="BJ38" t="s">
        <v>60</v>
      </c>
      <c r="BM38">
        <v>1987</v>
      </c>
      <c r="BN38">
        <v>0</v>
      </c>
      <c r="BO38" t="s">
        <v>57</v>
      </c>
      <c r="BP38">
        <v>1</v>
      </c>
      <c r="BQ38">
        <v>30</v>
      </c>
      <c r="BR38">
        <v>0</v>
      </c>
      <c r="BS38">
        <v>34.51</v>
      </c>
      <c r="BT38">
        <v>1</v>
      </c>
      <c r="BU38">
        <v>1</v>
      </c>
      <c r="BV38">
        <v>1</v>
      </c>
      <c r="BW38">
        <v>1</v>
      </c>
      <c r="BX38">
        <v>1</v>
      </c>
      <c r="BY38" t="s">
        <v>3</v>
      </c>
      <c r="BZ38">
        <v>119</v>
      </c>
      <c r="CA38">
        <v>56</v>
      </c>
      <c r="CB38" t="s">
        <v>3</v>
      </c>
      <c r="CE38">
        <v>30</v>
      </c>
      <c r="CF38">
        <v>0</v>
      </c>
      <c r="CG38">
        <v>0</v>
      </c>
      <c r="CM38">
        <v>0</v>
      </c>
      <c r="CN38" t="s">
        <v>295</v>
      </c>
      <c r="CO38">
        <v>0</v>
      </c>
      <c r="CP38">
        <f t="shared" si="44"/>
        <v>12926.59</v>
      </c>
      <c r="CQ38">
        <f t="shared" si="45"/>
        <v>0</v>
      </c>
      <c r="CR38">
        <f t="shared" si="66"/>
        <v>12639.47</v>
      </c>
      <c r="CS38">
        <f t="shared" si="46"/>
        <v>1206.47</v>
      </c>
      <c r="CT38">
        <f t="shared" si="47"/>
        <v>287.12</v>
      </c>
      <c r="CU38">
        <f t="shared" si="48"/>
        <v>0</v>
      </c>
      <c r="CV38">
        <f t="shared" si="49"/>
        <v>0.65960999999999992</v>
      </c>
      <c r="CW38">
        <f t="shared" si="50"/>
        <v>0</v>
      </c>
      <c r="CX38">
        <f t="shared" si="51"/>
        <v>0</v>
      </c>
      <c r="CY38">
        <f t="shared" si="52"/>
        <v>341.6728</v>
      </c>
      <c r="CZ38">
        <f t="shared" si="53"/>
        <v>160.78720000000001</v>
      </c>
      <c r="DB38">
        <v>5</v>
      </c>
      <c r="DC38" t="s">
        <v>3</v>
      </c>
      <c r="DD38" t="s">
        <v>3</v>
      </c>
      <c r="DE38" t="s">
        <v>24</v>
      </c>
      <c r="DF38" t="s">
        <v>24</v>
      </c>
      <c r="DG38" t="s">
        <v>24</v>
      </c>
      <c r="DH38" t="s">
        <v>3</v>
      </c>
      <c r="DI38" t="s">
        <v>24</v>
      </c>
      <c r="DJ38" t="s">
        <v>24</v>
      </c>
      <c r="DK38" t="s">
        <v>3</v>
      </c>
      <c r="DL38" t="s">
        <v>3</v>
      </c>
      <c r="DM38" t="s">
        <v>3</v>
      </c>
      <c r="DN38">
        <v>149</v>
      </c>
      <c r="DO38">
        <v>158</v>
      </c>
      <c r="DP38">
        <v>1.0469999999999999</v>
      </c>
      <c r="DQ38">
        <v>1.079</v>
      </c>
      <c r="DU38">
        <v>1013</v>
      </c>
      <c r="DV38" t="s">
        <v>59</v>
      </c>
      <c r="DW38" t="s">
        <v>59</v>
      </c>
      <c r="DX38">
        <v>1</v>
      </c>
      <c r="DZ38" t="s">
        <v>3</v>
      </c>
      <c r="EA38" t="s">
        <v>3</v>
      </c>
      <c r="EB38" t="s">
        <v>3</v>
      </c>
      <c r="EC38" t="s">
        <v>3</v>
      </c>
      <c r="EE38">
        <v>51698028</v>
      </c>
      <c r="EF38">
        <v>30</v>
      </c>
      <c r="EG38" t="s">
        <v>18</v>
      </c>
      <c r="EH38">
        <v>0</v>
      </c>
      <c r="EI38" t="s">
        <v>3</v>
      </c>
      <c r="EJ38">
        <v>1</v>
      </c>
      <c r="EK38">
        <v>1987</v>
      </c>
      <c r="EL38" t="s">
        <v>61</v>
      </c>
      <c r="EM38" t="s">
        <v>62</v>
      </c>
      <c r="EO38" t="s">
        <v>27</v>
      </c>
      <c r="EQ38">
        <v>131072</v>
      </c>
      <c r="ER38">
        <v>1210.21</v>
      </c>
      <c r="ES38">
        <v>0</v>
      </c>
      <c r="ET38">
        <v>1202.6400000000001</v>
      </c>
      <c r="EU38">
        <v>31.8</v>
      </c>
      <c r="EV38">
        <v>7.57</v>
      </c>
      <c r="EW38">
        <v>0.6</v>
      </c>
      <c r="EX38">
        <v>0</v>
      </c>
      <c r="EY38">
        <v>0</v>
      </c>
      <c r="FQ38">
        <v>0</v>
      </c>
      <c r="FR38">
        <v>0</v>
      </c>
      <c r="FS38">
        <v>0</v>
      </c>
      <c r="FX38">
        <v>149</v>
      </c>
      <c r="FY38">
        <v>158</v>
      </c>
      <c r="GA38" t="s">
        <v>3</v>
      </c>
      <c r="GD38">
        <v>0</v>
      </c>
      <c r="GF38">
        <v>1434979114</v>
      </c>
      <c r="GG38">
        <v>2</v>
      </c>
      <c r="GH38">
        <v>1</v>
      </c>
      <c r="GI38">
        <v>2</v>
      </c>
      <c r="GJ38">
        <v>0</v>
      </c>
      <c r="GK38">
        <f>ROUND(R38*(R12)/100,2)</f>
        <v>1930.35</v>
      </c>
      <c r="GL38">
        <f t="shared" si="54"/>
        <v>0</v>
      </c>
      <c r="GM38">
        <f t="shared" si="55"/>
        <v>15359.4</v>
      </c>
      <c r="GN38">
        <f t="shared" si="56"/>
        <v>15359.4</v>
      </c>
      <c r="GO38">
        <f t="shared" si="57"/>
        <v>0</v>
      </c>
      <c r="GP38">
        <f t="shared" si="58"/>
        <v>0</v>
      </c>
      <c r="GR38">
        <v>0</v>
      </c>
      <c r="GS38">
        <v>3</v>
      </c>
      <c r="GT38">
        <v>0</v>
      </c>
      <c r="GU38" t="s">
        <v>3</v>
      </c>
      <c r="GV38">
        <f t="shared" si="59"/>
        <v>0</v>
      </c>
      <c r="GW38">
        <v>1</v>
      </c>
      <c r="GX38">
        <f t="shared" si="60"/>
        <v>0</v>
      </c>
      <c r="HA38">
        <v>0</v>
      </c>
      <c r="HB38">
        <v>0</v>
      </c>
      <c r="HC38">
        <f t="shared" si="61"/>
        <v>0</v>
      </c>
      <c r="HE38" t="s">
        <v>3</v>
      </c>
      <c r="HF38" t="s">
        <v>3</v>
      </c>
      <c r="HM38" t="s">
        <v>3</v>
      </c>
      <c r="HN38" t="s">
        <v>3</v>
      </c>
      <c r="HO38" t="s">
        <v>3</v>
      </c>
      <c r="HP38" t="s">
        <v>3</v>
      </c>
      <c r="HQ38" t="s">
        <v>3</v>
      </c>
      <c r="HS38">
        <v>0</v>
      </c>
      <c r="IK38">
        <v>0</v>
      </c>
    </row>
    <row r="39" spans="1:245" x14ac:dyDescent="0.2">
      <c r="A39">
        <v>17</v>
      </c>
      <c r="B39">
        <v>1</v>
      </c>
      <c r="C39">
        <f>ROW(SmtRes!A20)</f>
        <v>20</v>
      </c>
      <c r="D39">
        <f>ROW(EtalonRes!A21)</f>
        <v>21</v>
      </c>
      <c r="E39" t="s">
        <v>63</v>
      </c>
      <c r="F39" t="s">
        <v>64</v>
      </c>
      <c r="G39" t="s">
        <v>65</v>
      </c>
      <c r="H39" t="s">
        <v>59</v>
      </c>
      <c r="I39">
        <v>2</v>
      </c>
      <c r="J39">
        <v>0</v>
      </c>
      <c r="K39">
        <v>2</v>
      </c>
      <c r="O39">
        <f t="shared" si="28"/>
        <v>10111.92</v>
      </c>
      <c r="P39">
        <f t="shared" si="29"/>
        <v>0</v>
      </c>
      <c r="Q39">
        <f t="shared" si="62"/>
        <v>9863.1</v>
      </c>
      <c r="R39">
        <f t="shared" si="30"/>
        <v>767.85</v>
      </c>
      <c r="S39">
        <f t="shared" si="31"/>
        <v>248.82</v>
      </c>
      <c r="T39">
        <f t="shared" si="32"/>
        <v>0</v>
      </c>
      <c r="U39">
        <f t="shared" si="33"/>
        <v>0.571662</v>
      </c>
      <c r="V39">
        <f t="shared" si="34"/>
        <v>0</v>
      </c>
      <c r="W39">
        <f t="shared" si="35"/>
        <v>0</v>
      </c>
      <c r="X39">
        <f t="shared" si="36"/>
        <v>296.10000000000002</v>
      </c>
      <c r="Y39">
        <f t="shared" si="37"/>
        <v>139.34</v>
      </c>
      <c r="AA39">
        <v>57737055</v>
      </c>
      <c r="AB39">
        <f t="shared" si="38"/>
        <v>506.66699999999997</v>
      </c>
      <c r="AC39">
        <f t="shared" si="39"/>
        <v>0</v>
      </c>
      <c r="AD39">
        <f t="shared" si="63"/>
        <v>503.22300000000001</v>
      </c>
      <c r="AE39">
        <f t="shared" si="64"/>
        <v>10.625999999999999</v>
      </c>
      <c r="AF39">
        <f t="shared" si="64"/>
        <v>3.444</v>
      </c>
      <c r="AG39">
        <f t="shared" si="41"/>
        <v>0</v>
      </c>
      <c r="AH39">
        <f t="shared" si="65"/>
        <v>0.27300000000000002</v>
      </c>
      <c r="AI39">
        <f t="shared" si="65"/>
        <v>0</v>
      </c>
      <c r="AJ39">
        <f t="shared" si="43"/>
        <v>0</v>
      </c>
      <c r="AK39">
        <v>482.54</v>
      </c>
      <c r="AL39">
        <v>0</v>
      </c>
      <c r="AM39">
        <v>479.26</v>
      </c>
      <c r="AN39">
        <v>10.119999999999999</v>
      </c>
      <c r="AO39">
        <v>3.28</v>
      </c>
      <c r="AP39">
        <v>0</v>
      </c>
      <c r="AQ39">
        <v>0.26</v>
      </c>
      <c r="AR39">
        <v>0</v>
      </c>
      <c r="AS39">
        <v>0</v>
      </c>
      <c r="AT39">
        <v>119</v>
      </c>
      <c r="AU39">
        <v>56</v>
      </c>
      <c r="AV39">
        <v>1.0469999999999999</v>
      </c>
      <c r="AW39">
        <v>1.079</v>
      </c>
      <c r="AZ39">
        <v>1</v>
      </c>
      <c r="BA39">
        <v>34.51</v>
      </c>
      <c r="BB39">
        <v>9.36</v>
      </c>
      <c r="BC39">
        <v>1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66</v>
      </c>
      <c r="BM39">
        <v>1987</v>
      </c>
      <c r="BN39">
        <v>0</v>
      </c>
      <c r="BO39" t="s">
        <v>64</v>
      </c>
      <c r="BP39">
        <v>1</v>
      </c>
      <c r="BQ39">
        <v>30</v>
      </c>
      <c r="BR39">
        <v>0</v>
      </c>
      <c r="BS39">
        <v>34.51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119</v>
      </c>
      <c r="CA39">
        <v>56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295</v>
      </c>
      <c r="CO39">
        <v>0</v>
      </c>
      <c r="CP39">
        <f t="shared" si="44"/>
        <v>10111.92</v>
      </c>
      <c r="CQ39">
        <f t="shared" si="45"/>
        <v>0</v>
      </c>
      <c r="CR39">
        <f t="shared" si="66"/>
        <v>4931.5</v>
      </c>
      <c r="CS39">
        <f t="shared" si="46"/>
        <v>384.1</v>
      </c>
      <c r="CT39">
        <f t="shared" si="47"/>
        <v>124.58</v>
      </c>
      <c r="CU39">
        <f t="shared" si="48"/>
        <v>0</v>
      </c>
      <c r="CV39">
        <f t="shared" si="49"/>
        <v>0.285831</v>
      </c>
      <c r="CW39">
        <f t="shared" si="50"/>
        <v>0</v>
      </c>
      <c r="CX39">
        <f t="shared" si="51"/>
        <v>0</v>
      </c>
      <c r="CY39">
        <f t="shared" si="52"/>
        <v>296.0958</v>
      </c>
      <c r="CZ39">
        <f t="shared" si="53"/>
        <v>139.33920000000001</v>
      </c>
      <c r="DB39">
        <v>6</v>
      </c>
      <c r="DC39" t="s">
        <v>3</v>
      </c>
      <c r="DD39" t="s">
        <v>3</v>
      </c>
      <c r="DE39" t="s">
        <v>24</v>
      </c>
      <c r="DF39" t="s">
        <v>24</v>
      </c>
      <c r="DG39" t="s">
        <v>24</v>
      </c>
      <c r="DH39" t="s">
        <v>3</v>
      </c>
      <c r="DI39" t="s">
        <v>24</v>
      </c>
      <c r="DJ39" t="s">
        <v>24</v>
      </c>
      <c r="DK39" t="s">
        <v>3</v>
      </c>
      <c r="DL39" t="s">
        <v>3</v>
      </c>
      <c r="DM39" t="s">
        <v>3</v>
      </c>
      <c r="DN39">
        <v>149</v>
      </c>
      <c r="DO39">
        <v>158</v>
      </c>
      <c r="DP39">
        <v>1.0469999999999999</v>
      </c>
      <c r="DQ39">
        <v>1.079</v>
      </c>
      <c r="DU39">
        <v>1013</v>
      </c>
      <c r="DV39" t="s">
        <v>59</v>
      </c>
      <c r="DW39" t="s">
        <v>59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51698028</v>
      </c>
      <c r="EF39">
        <v>30</v>
      </c>
      <c r="EG39" t="s">
        <v>18</v>
      </c>
      <c r="EH39">
        <v>0</v>
      </c>
      <c r="EI39" t="s">
        <v>3</v>
      </c>
      <c r="EJ39">
        <v>1</v>
      </c>
      <c r="EK39">
        <v>1987</v>
      </c>
      <c r="EL39" t="s">
        <v>61</v>
      </c>
      <c r="EM39" t="s">
        <v>62</v>
      </c>
      <c r="EO39" t="s">
        <v>27</v>
      </c>
      <c r="EQ39">
        <v>131072</v>
      </c>
      <c r="ER39">
        <v>482.54</v>
      </c>
      <c r="ES39">
        <v>0</v>
      </c>
      <c r="ET39">
        <v>479.26</v>
      </c>
      <c r="EU39">
        <v>10.119999999999999</v>
      </c>
      <c r="EV39">
        <v>3.28</v>
      </c>
      <c r="EW39">
        <v>0.26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149</v>
      </c>
      <c r="FY39">
        <v>158</v>
      </c>
      <c r="GA39" t="s">
        <v>3</v>
      </c>
      <c r="GD39">
        <v>0</v>
      </c>
      <c r="GF39">
        <v>2045322088</v>
      </c>
      <c r="GG39">
        <v>2</v>
      </c>
      <c r="GH39">
        <v>1</v>
      </c>
      <c r="GI39">
        <v>2</v>
      </c>
      <c r="GJ39">
        <v>0</v>
      </c>
      <c r="GK39">
        <f>ROUND(R39*(R12)/100,2)</f>
        <v>1228.56</v>
      </c>
      <c r="GL39">
        <f t="shared" si="54"/>
        <v>0</v>
      </c>
      <c r="GM39">
        <f t="shared" si="55"/>
        <v>11775.92</v>
      </c>
      <c r="GN39">
        <f t="shared" si="56"/>
        <v>11775.92</v>
      </c>
      <c r="GO39">
        <f t="shared" si="57"/>
        <v>0</v>
      </c>
      <c r="GP39">
        <f t="shared" si="58"/>
        <v>0</v>
      </c>
      <c r="GR39">
        <v>0</v>
      </c>
      <c r="GS39">
        <v>3</v>
      </c>
      <c r="GT39">
        <v>0</v>
      </c>
      <c r="GU39" t="s">
        <v>3</v>
      </c>
      <c r="GV39">
        <f t="shared" si="59"/>
        <v>0</v>
      </c>
      <c r="GW39">
        <v>1</v>
      </c>
      <c r="GX39">
        <f t="shared" si="60"/>
        <v>0</v>
      </c>
      <c r="HA39">
        <v>0</v>
      </c>
      <c r="HB39">
        <v>0</v>
      </c>
      <c r="HC39">
        <f t="shared" si="61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45" x14ac:dyDescent="0.2">
      <c r="A40">
        <v>17</v>
      </c>
      <c r="B40">
        <v>1</v>
      </c>
      <c r="C40">
        <f>ROW(SmtRes!A24)</f>
        <v>24</v>
      </c>
      <c r="D40">
        <f>ROW(EtalonRes!A25)</f>
        <v>25</v>
      </c>
      <c r="E40" t="s">
        <v>67</v>
      </c>
      <c r="F40" t="s">
        <v>68</v>
      </c>
      <c r="G40" t="s">
        <v>69</v>
      </c>
      <c r="H40" t="s">
        <v>70</v>
      </c>
      <c r="I40">
        <f>ROUND(55-6,9)</f>
        <v>49</v>
      </c>
      <c r="J40">
        <v>0</v>
      </c>
      <c r="K40">
        <f>ROUND(55-6,9)</f>
        <v>49</v>
      </c>
      <c r="O40">
        <f t="shared" si="28"/>
        <v>33894.76</v>
      </c>
      <c r="P40">
        <f t="shared" si="29"/>
        <v>4706.33</v>
      </c>
      <c r="Q40">
        <f t="shared" si="62"/>
        <v>1093.1500000000001</v>
      </c>
      <c r="R40">
        <f t="shared" si="30"/>
        <v>0</v>
      </c>
      <c r="S40">
        <f t="shared" si="31"/>
        <v>28095.279999999999</v>
      </c>
      <c r="T40">
        <f t="shared" si="32"/>
        <v>0</v>
      </c>
      <c r="U40">
        <f t="shared" si="33"/>
        <v>63.131722499999995</v>
      </c>
      <c r="V40">
        <f t="shared" si="34"/>
        <v>0</v>
      </c>
      <c r="W40">
        <f t="shared" si="35"/>
        <v>0</v>
      </c>
      <c r="X40">
        <f t="shared" si="36"/>
        <v>30623.86</v>
      </c>
      <c r="Y40">
        <f t="shared" si="37"/>
        <v>15171.45</v>
      </c>
      <c r="AA40">
        <v>57737055</v>
      </c>
      <c r="AB40">
        <f t="shared" si="38"/>
        <v>18.844000000000001</v>
      </c>
      <c r="AC40">
        <f t="shared" si="39"/>
        <v>0.91</v>
      </c>
      <c r="AD40">
        <f t="shared" si="63"/>
        <v>2.3624999999999998</v>
      </c>
      <c r="AE40">
        <f t="shared" si="64"/>
        <v>0</v>
      </c>
      <c r="AF40">
        <f t="shared" si="64"/>
        <v>15.5715</v>
      </c>
      <c r="AG40">
        <f t="shared" si="41"/>
        <v>0</v>
      </c>
      <c r="AH40">
        <f t="shared" si="65"/>
        <v>1.2075</v>
      </c>
      <c r="AI40">
        <f t="shared" si="65"/>
        <v>0</v>
      </c>
      <c r="AJ40">
        <f t="shared" si="43"/>
        <v>0</v>
      </c>
      <c r="AK40">
        <v>17.989999999999998</v>
      </c>
      <c r="AL40">
        <v>0.91</v>
      </c>
      <c r="AM40">
        <v>2.25</v>
      </c>
      <c r="AN40">
        <v>0</v>
      </c>
      <c r="AO40">
        <v>14.83</v>
      </c>
      <c r="AP40">
        <v>0</v>
      </c>
      <c r="AQ40">
        <v>1.1499999999999999</v>
      </c>
      <c r="AR40">
        <v>0</v>
      </c>
      <c r="AS40">
        <v>0</v>
      </c>
      <c r="AT40">
        <v>109</v>
      </c>
      <c r="AU40">
        <v>54</v>
      </c>
      <c r="AV40">
        <v>1.0669999999999999</v>
      </c>
      <c r="AW40">
        <v>1.0029999999999999</v>
      </c>
      <c r="AZ40">
        <v>1</v>
      </c>
      <c r="BA40">
        <v>34.51</v>
      </c>
      <c r="BB40">
        <v>8.85</v>
      </c>
      <c r="BC40">
        <v>105.24</v>
      </c>
      <c r="BD40" t="s">
        <v>3</v>
      </c>
      <c r="BE40" t="s">
        <v>3</v>
      </c>
      <c r="BF40" t="s">
        <v>3</v>
      </c>
      <c r="BG40" t="s">
        <v>3</v>
      </c>
      <c r="BH40">
        <v>0</v>
      </c>
      <c r="BI40">
        <v>1</v>
      </c>
      <c r="BJ40" t="s">
        <v>71</v>
      </c>
      <c r="BM40">
        <v>2167</v>
      </c>
      <c r="BN40">
        <v>0</v>
      </c>
      <c r="BO40" t="s">
        <v>68</v>
      </c>
      <c r="BP40">
        <v>1</v>
      </c>
      <c r="BQ40">
        <v>30</v>
      </c>
      <c r="BR40">
        <v>0</v>
      </c>
      <c r="BS40">
        <v>34.51</v>
      </c>
      <c r="BT40">
        <v>1</v>
      </c>
      <c r="BU40">
        <v>1</v>
      </c>
      <c r="BV40">
        <v>1</v>
      </c>
      <c r="BW40">
        <v>1</v>
      </c>
      <c r="BX40">
        <v>1</v>
      </c>
      <c r="BY40" t="s">
        <v>3</v>
      </c>
      <c r="BZ40">
        <v>109</v>
      </c>
      <c r="CA40">
        <v>54</v>
      </c>
      <c r="CB40" t="s">
        <v>3</v>
      </c>
      <c r="CE40">
        <v>30</v>
      </c>
      <c r="CF40">
        <v>0</v>
      </c>
      <c r="CG40">
        <v>0</v>
      </c>
      <c r="CM40">
        <v>0</v>
      </c>
      <c r="CN40" t="s">
        <v>295</v>
      </c>
      <c r="CO40">
        <v>0</v>
      </c>
      <c r="CP40">
        <f t="shared" si="44"/>
        <v>33894.759999999995</v>
      </c>
      <c r="CQ40">
        <f t="shared" si="45"/>
        <v>95.77</v>
      </c>
      <c r="CR40">
        <f t="shared" si="66"/>
        <v>22.3</v>
      </c>
      <c r="CS40">
        <f t="shared" si="46"/>
        <v>0</v>
      </c>
      <c r="CT40">
        <f t="shared" si="47"/>
        <v>573.21</v>
      </c>
      <c r="CU40">
        <f t="shared" si="48"/>
        <v>0</v>
      </c>
      <c r="CV40">
        <f t="shared" si="49"/>
        <v>1.2884024999999999</v>
      </c>
      <c r="CW40">
        <f t="shared" si="50"/>
        <v>0</v>
      </c>
      <c r="CX40">
        <f t="shared" si="51"/>
        <v>0</v>
      </c>
      <c r="CY40">
        <f t="shared" si="52"/>
        <v>30623.855200000002</v>
      </c>
      <c r="CZ40">
        <f t="shared" si="53"/>
        <v>15171.4512</v>
      </c>
      <c r="DB40">
        <v>7</v>
      </c>
      <c r="DC40" t="s">
        <v>3</v>
      </c>
      <c r="DD40" t="s">
        <v>3</v>
      </c>
      <c r="DE40" t="s">
        <v>24</v>
      </c>
      <c r="DF40" t="s">
        <v>24</v>
      </c>
      <c r="DG40" t="s">
        <v>24</v>
      </c>
      <c r="DH40" t="s">
        <v>3</v>
      </c>
      <c r="DI40" t="s">
        <v>24</v>
      </c>
      <c r="DJ40" t="s">
        <v>24</v>
      </c>
      <c r="DK40" t="s">
        <v>3</v>
      </c>
      <c r="DL40" t="s">
        <v>3</v>
      </c>
      <c r="DM40" t="s">
        <v>3</v>
      </c>
      <c r="DN40">
        <v>133</v>
      </c>
      <c r="DO40">
        <v>113</v>
      </c>
      <c r="DP40">
        <v>1.0669999999999999</v>
      </c>
      <c r="DQ40">
        <v>1.0029999999999999</v>
      </c>
      <c r="DU40">
        <v>1013</v>
      </c>
      <c r="DV40" t="s">
        <v>70</v>
      </c>
      <c r="DW40" t="s">
        <v>70</v>
      </c>
      <c r="DX40">
        <v>1</v>
      </c>
      <c r="DZ40" t="s">
        <v>3</v>
      </c>
      <c r="EA40" t="s">
        <v>3</v>
      </c>
      <c r="EB40" t="s">
        <v>3</v>
      </c>
      <c r="EC40" t="s">
        <v>3</v>
      </c>
      <c r="EE40">
        <v>51698212</v>
      </c>
      <c r="EF40">
        <v>30</v>
      </c>
      <c r="EG40" t="s">
        <v>18</v>
      </c>
      <c r="EH40">
        <v>0</v>
      </c>
      <c r="EI40" t="s">
        <v>3</v>
      </c>
      <c r="EJ40">
        <v>1</v>
      </c>
      <c r="EK40">
        <v>2167</v>
      </c>
      <c r="EL40" t="s">
        <v>72</v>
      </c>
      <c r="EM40" t="s">
        <v>73</v>
      </c>
      <c r="EO40" t="s">
        <v>27</v>
      </c>
      <c r="EQ40">
        <v>131072</v>
      </c>
      <c r="ER40">
        <v>17.989999999999998</v>
      </c>
      <c r="ES40">
        <v>0.91</v>
      </c>
      <c r="ET40">
        <v>2.25</v>
      </c>
      <c r="EU40">
        <v>0</v>
      </c>
      <c r="EV40">
        <v>14.83</v>
      </c>
      <c r="EW40">
        <v>1.1499999999999999</v>
      </c>
      <c r="EX40">
        <v>0</v>
      </c>
      <c r="EY40">
        <v>0</v>
      </c>
      <c r="FQ40">
        <v>0</v>
      </c>
      <c r="FR40">
        <v>0</v>
      </c>
      <c r="FS40">
        <v>0</v>
      </c>
      <c r="FX40">
        <v>133</v>
      </c>
      <c r="FY40">
        <v>113</v>
      </c>
      <c r="GA40" t="s">
        <v>3</v>
      </c>
      <c r="GD40">
        <v>0</v>
      </c>
      <c r="GF40">
        <v>-503870478</v>
      </c>
      <c r="GG40">
        <v>2</v>
      </c>
      <c r="GH40">
        <v>1</v>
      </c>
      <c r="GI40">
        <v>2</v>
      </c>
      <c r="GJ40">
        <v>0</v>
      </c>
      <c r="GK40">
        <f>ROUND(R40*(R12)/100,2)</f>
        <v>0</v>
      </c>
      <c r="GL40">
        <f t="shared" si="54"/>
        <v>0</v>
      </c>
      <c r="GM40">
        <f t="shared" si="55"/>
        <v>79690.070000000007</v>
      </c>
      <c r="GN40">
        <f t="shared" si="56"/>
        <v>79690.070000000007</v>
      </c>
      <c r="GO40">
        <f t="shared" si="57"/>
        <v>0</v>
      </c>
      <c r="GP40">
        <f t="shared" si="58"/>
        <v>0</v>
      </c>
      <c r="GR40">
        <v>0</v>
      </c>
      <c r="GS40">
        <v>3</v>
      </c>
      <c r="GT40">
        <v>0</v>
      </c>
      <c r="GU40" t="s">
        <v>3</v>
      </c>
      <c r="GV40">
        <f t="shared" si="59"/>
        <v>0</v>
      </c>
      <c r="GW40">
        <v>1</v>
      </c>
      <c r="GX40">
        <f t="shared" si="60"/>
        <v>0</v>
      </c>
      <c r="HA40">
        <v>0</v>
      </c>
      <c r="HB40">
        <v>0</v>
      </c>
      <c r="HC40">
        <f t="shared" si="61"/>
        <v>0</v>
      </c>
      <c r="HE40" t="s">
        <v>3</v>
      </c>
      <c r="HF40" t="s">
        <v>3</v>
      </c>
      <c r="HM40" t="s">
        <v>3</v>
      </c>
      <c r="HN40" t="s">
        <v>3</v>
      </c>
      <c r="HO40" t="s">
        <v>3</v>
      </c>
      <c r="HP40" t="s">
        <v>3</v>
      </c>
      <c r="HQ40" t="s">
        <v>3</v>
      </c>
      <c r="HS40">
        <v>0</v>
      </c>
      <c r="IK40">
        <v>0</v>
      </c>
    </row>
    <row r="41" spans="1:245" x14ac:dyDescent="0.2">
      <c r="A41">
        <v>17</v>
      </c>
      <c r="B41">
        <v>1</v>
      </c>
      <c r="C41">
        <f>ROW(SmtRes!A25)</f>
        <v>25</v>
      </c>
      <c r="D41">
        <f>ROW(EtalonRes!A26)</f>
        <v>26</v>
      </c>
      <c r="E41" t="s">
        <v>74</v>
      </c>
      <c r="F41" t="s">
        <v>75</v>
      </c>
      <c r="G41" t="s">
        <v>76</v>
      </c>
      <c r="H41" t="s">
        <v>77</v>
      </c>
      <c r="I41">
        <f>ROUND(4,9)</f>
        <v>4</v>
      </c>
      <c r="J41">
        <v>0</v>
      </c>
      <c r="K41">
        <f>ROUND(4,9)</f>
        <v>4</v>
      </c>
      <c r="O41">
        <f t="shared" si="28"/>
        <v>631.44000000000005</v>
      </c>
      <c r="P41">
        <f t="shared" si="29"/>
        <v>440.25</v>
      </c>
      <c r="Q41">
        <f t="shared" si="62"/>
        <v>0</v>
      </c>
      <c r="R41">
        <f t="shared" si="30"/>
        <v>0</v>
      </c>
      <c r="S41">
        <f t="shared" si="31"/>
        <v>191.19</v>
      </c>
      <c r="T41">
        <f t="shared" si="32"/>
        <v>0</v>
      </c>
      <c r="U41">
        <f t="shared" si="33"/>
        <v>0.43974000000000002</v>
      </c>
      <c r="V41">
        <f t="shared" si="34"/>
        <v>0</v>
      </c>
      <c r="W41">
        <f t="shared" si="35"/>
        <v>0</v>
      </c>
      <c r="X41">
        <f t="shared" si="36"/>
        <v>175.89</v>
      </c>
      <c r="Y41">
        <f t="shared" si="37"/>
        <v>82.21</v>
      </c>
      <c r="AA41">
        <v>57737055</v>
      </c>
      <c r="AB41">
        <f t="shared" si="38"/>
        <v>12.622999999999999</v>
      </c>
      <c r="AC41">
        <f t="shared" si="39"/>
        <v>11.3</v>
      </c>
      <c r="AD41">
        <f t="shared" si="63"/>
        <v>0</v>
      </c>
      <c r="AE41">
        <f t="shared" si="64"/>
        <v>0</v>
      </c>
      <c r="AF41">
        <f t="shared" si="64"/>
        <v>1.323</v>
      </c>
      <c r="AG41">
        <f t="shared" si="41"/>
        <v>0</v>
      </c>
      <c r="AH41">
        <f t="shared" si="65"/>
        <v>0.10500000000000001</v>
      </c>
      <c r="AI41">
        <f t="shared" si="65"/>
        <v>0</v>
      </c>
      <c r="AJ41">
        <f t="shared" si="43"/>
        <v>0</v>
      </c>
      <c r="AK41">
        <v>12.56</v>
      </c>
      <c r="AL41">
        <v>11.3</v>
      </c>
      <c r="AM41">
        <v>0</v>
      </c>
      <c r="AN41">
        <v>0</v>
      </c>
      <c r="AO41">
        <v>1.26</v>
      </c>
      <c r="AP41">
        <v>0</v>
      </c>
      <c r="AQ41">
        <v>0.1</v>
      </c>
      <c r="AR41">
        <v>0</v>
      </c>
      <c r="AS41">
        <v>0</v>
      </c>
      <c r="AT41">
        <v>92</v>
      </c>
      <c r="AU41">
        <v>43</v>
      </c>
      <c r="AV41">
        <v>1.0469999999999999</v>
      </c>
      <c r="AW41">
        <v>1</v>
      </c>
      <c r="AZ41">
        <v>1</v>
      </c>
      <c r="BA41">
        <v>34.51</v>
      </c>
      <c r="BB41">
        <v>1</v>
      </c>
      <c r="BC41">
        <v>9.74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78</v>
      </c>
      <c r="BM41">
        <v>338</v>
      </c>
      <c r="BN41">
        <v>0</v>
      </c>
      <c r="BO41" t="s">
        <v>75</v>
      </c>
      <c r="BP41">
        <v>1</v>
      </c>
      <c r="BQ41">
        <v>40</v>
      </c>
      <c r="BR41">
        <v>0</v>
      </c>
      <c r="BS41">
        <v>34.51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92</v>
      </c>
      <c r="CA41">
        <v>43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295</v>
      </c>
      <c r="CO41">
        <v>0</v>
      </c>
      <c r="CP41">
        <f t="shared" si="44"/>
        <v>631.44000000000005</v>
      </c>
      <c r="CQ41">
        <f t="shared" si="45"/>
        <v>110.06</v>
      </c>
      <c r="CR41">
        <f t="shared" si="66"/>
        <v>0</v>
      </c>
      <c r="CS41">
        <f t="shared" si="46"/>
        <v>0</v>
      </c>
      <c r="CT41">
        <f t="shared" si="47"/>
        <v>47.97</v>
      </c>
      <c r="CU41">
        <f t="shared" si="48"/>
        <v>0</v>
      </c>
      <c r="CV41">
        <f t="shared" si="49"/>
        <v>0.109935</v>
      </c>
      <c r="CW41">
        <f t="shared" si="50"/>
        <v>0</v>
      </c>
      <c r="CX41">
        <f t="shared" si="51"/>
        <v>0</v>
      </c>
      <c r="CY41">
        <f t="shared" si="52"/>
        <v>175.8948</v>
      </c>
      <c r="CZ41">
        <f t="shared" si="53"/>
        <v>82.211699999999993</v>
      </c>
      <c r="DB41">
        <v>8</v>
      </c>
      <c r="DC41" t="s">
        <v>3</v>
      </c>
      <c r="DD41" t="s">
        <v>3</v>
      </c>
      <c r="DE41" t="s">
        <v>24</v>
      </c>
      <c r="DF41" t="s">
        <v>24</v>
      </c>
      <c r="DG41" t="s">
        <v>24</v>
      </c>
      <c r="DH41" t="s">
        <v>3</v>
      </c>
      <c r="DI41" t="s">
        <v>24</v>
      </c>
      <c r="DJ41" t="s">
        <v>24</v>
      </c>
      <c r="DK41" t="s">
        <v>3</v>
      </c>
      <c r="DL41" t="s">
        <v>3</v>
      </c>
      <c r="DM41" t="s">
        <v>3</v>
      </c>
      <c r="DN41">
        <v>112</v>
      </c>
      <c r="DO41">
        <v>70</v>
      </c>
      <c r="DP41">
        <v>1.0469999999999999</v>
      </c>
      <c r="DQ41">
        <v>1</v>
      </c>
      <c r="DU41">
        <v>1013</v>
      </c>
      <c r="DV41" t="s">
        <v>77</v>
      </c>
      <c r="DW41" t="s">
        <v>77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51696377</v>
      </c>
      <c r="EF41">
        <v>40</v>
      </c>
      <c r="EG41" t="s">
        <v>79</v>
      </c>
      <c r="EH41">
        <v>0</v>
      </c>
      <c r="EI41" t="s">
        <v>3</v>
      </c>
      <c r="EJ41">
        <v>2</v>
      </c>
      <c r="EK41">
        <v>338</v>
      </c>
      <c r="EL41" t="s">
        <v>80</v>
      </c>
      <c r="EM41" t="s">
        <v>81</v>
      </c>
      <c r="EO41" t="s">
        <v>27</v>
      </c>
      <c r="EQ41">
        <v>131072</v>
      </c>
      <c r="ER41">
        <v>12.56</v>
      </c>
      <c r="ES41">
        <v>11.3</v>
      </c>
      <c r="ET41">
        <v>0</v>
      </c>
      <c r="EU41">
        <v>0</v>
      </c>
      <c r="EV41">
        <v>1.26</v>
      </c>
      <c r="EW41">
        <v>0.1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112</v>
      </c>
      <c r="FY41">
        <v>70</v>
      </c>
      <c r="GA41" t="s">
        <v>3</v>
      </c>
      <c r="GD41">
        <v>0</v>
      </c>
      <c r="GF41">
        <v>-253925426</v>
      </c>
      <c r="GG41">
        <v>2</v>
      </c>
      <c r="GH41">
        <v>1</v>
      </c>
      <c r="GI41">
        <v>2</v>
      </c>
      <c r="GJ41">
        <v>0</v>
      </c>
      <c r="GK41">
        <f>ROUND(R41*(R12)/100,2)</f>
        <v>0</v>
      </c>
      <c r="GL41">
        <f t="shared" si="54"/>
        <v>0</v>
      </c>
      <c r="GM41">
        <f t="shared" si="55"/>
        <v>889.54</v>
      </c>
      <c r="GN41">
        <f t="shared" si="56"/>
        <v>0</v>
      </c>
      <c r="GO41">
        <f t="shared" si="57"/>
        <v>889.54</v>
      </c>
      <c r="GP41">
        <f t="shared" si="58"/>
        <v>0</v>
      </c>
      <c r="GR41">
        <v>0</v>
      </c>
      <c r="GS41">
        <v>3</v>
      </c>
      <c r="GT41">
        <v>0</v>
      </c>
      <c r="GU41" t="s">
        <v>3</v>
      </c>
      <c r="GV41">
        <f t="shared" si="59"/>
        <v>0</v>
      </c>
      <c r="GW41">
        <v>1</v>
      </c>
      <c r="GX41">
        <f t="shared" si="60"/>
        <v>0</v>
      </c>
      <c r="HA41">
        <v>0</v>
      </c>
      <c r="HB41">
        <v>0</v>
      </c>
      <c r="HC41">
        <f t="shared" si="61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45" x14ac:dyDescent="0.2">
      <c r="A42">
        <v>17</v>
      </c>
      <c r="B42">
        <v>1</v>
      </c>
      <c r="E42" t="s">
        <v>82</v>
      </c>
      <c r="F42" t="s">
        <v>83</v>
      </c>
      <c r="G42" t="s">
        <v>84</v>
      </c>
      <c r="H42" t="s">
        <v>85</v>
      </c>
      <c r="I42">
        <f>ROUND(4,9)</f>
        <v>4</v>
      </c>
      <c r="J42">
        <v>0</v>
      </c>
      <c r="K42">
        <f>ROUND(4,9)</f>
        <v>4</v>
      </c>
      <c r="O42">
        <f t="shared" si="28"/>
        <v>217.31</v>
      </c>
      <c r="P42">
        <f t="shared" si="29"/>
        <v>217.31</v>
      </c>
      <c r="Q42">
        <f t="shared" si="62"/>
        <v>0</v>
      </c>
      <c r="R42">
        <f t="shared" si="30"/>
        <v>0</v>
      </c>
      <c r="S42">
        <f t="shared" si="31"/>
        <v>0</v>
      </c>
      <c r="T42">
        <f t="shared" si="32"/>
        <v>0</v>
      </c>
      <c r="U42">
        <f t="shared" si="33"/>
        <v>0</v>
      </c>
      <c r="V42">
        <f t="shared" si="34"/>
        <v>0</v>
      </c>
      <c r="W42">
        <f t="shared" si="35"/>
        <v>0</v>
      </c>
      <c r="X42">
        <f t="shared" si="36"/>
        <v>0</v>
      </c>
      <c r="Y42">
        <f t="shared" si="37"/>
        <v>0</v>
      </c>
      <c r="AA42">
        <v>57737055</v>
      </c>
      <c r="AB42">
        <f t="shared" si="38"/>
        <v>3.9</v>
      </c>
      <c r="AC42">
        <f t="shared" si="39"/>
        <v>3.9</v>
      </c>
      <c r="AD42">
        <f t="shared" si="63"/>
        <v>0</v>
      </c>
      <c r="AE42">
        <f t="shared" si="64"/>
        <v>0</v>
      </c>
      <c r="AF42">
        <f t="shared" si="64"/>
        <v>0</v>
      </c>
      <c r="AG42">
        <f t="shared" si="41"/>
        <v>0</v>
      </c>
      <c r="AH42">
        <f t="shared" si="65"/>
        <v>0</v>
      </c>
      <c r="AI42">
        <f t="shared" si="65"/>
        <v>0</v>
      </c>
      <c r="AJ42">
        <f t="shared" si="43"/>
        <v>0</v>
      </c>
      <c r="AK42">
        <v>3.9</v>
      </c>
      <c r="AL42">
        <v>3.9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Z42">
        <v>1</v>
      </c>
      <c r="BA42">
        <v>1</v>
      </c>
      <c r="BB42">
        <v>1</v>
      </c>
      <c r="BC42">
        <v>13.93</v>
      </c>
      <c r="BD42" t="s">
        <v>3</v>
      </c>
      <c r="BE42" t="s">
        <v>3</v>
      </c>
      <c r="BF42" t="s">
        <v>3</v>
      </c>
      <c r="BG42" t="s">
        <v>3</v>
      </c>
      <c r="BH42">
        <v>3</v>
      </c>
      <c r="BI42">
        <v>1</v>
      </c>
      <c r="BJ42" t="s">
        <v>86</v>
      </c>
      <c r="BM42">
        <v>1617</v>
      </c>
      <c r="BN42">
        <v>0</v>
      </c>
      <c r="BO42" t="s">
        <v>83</v>
      </c>
      <c r="BP42">
        <v>1</v>
      </c>
      <c r="BQ42">
        <v>200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 t="s">
        <v>3</v>
      </c>
      <c r="BZ42">
        <v>0</v>
      </c>
      <c r="CA42">
        <v>0</v>
      </c>
      <c r="CB42" t="s">
        <v>3</v>
      </c>
      <c r="CE42">
        <v>30</v>
      </c>
      <c r="CF42">
        <v>0</v>
      </c>
      <c r="CG42">
        <v>0</v>
      </c>
      <c r="CM42">
        <v>0</v>
      </c>
      <c r="CN42" t="s">
        <v>295</v>
      </c>
      <c r="CO42">
        <v>0</v>
      </c>
      <c r="CP42">
        <f t="shared" si="44"/>
        <v>217.31</v>
      </c>
      <c r="CQ42">
        <f t="shared" si="45"/>
        <v>54.33</v>
      </c>
      <c r="CR42">
        <f t="shared" si="66"/>
        <v>0</v>
      </c>
      <c r="CS42">
        <f t="shared" si="46"/>
        <v>0</v>
      </c>
      <c r="CT42">
        <f t="shared" si="47"/>
        <v>0</v>
      </c>
      <c r="CU42">
        <f t="shared" si="48"/>
        <v>0</v>
      </c>
      <c r="CV42">
        <f t="shared" si="49"/>
        <v>0</v>
      </c>
      <c r="CW42">
        <f t="shared" si="50"/>
        <v>0</v>
      </c>
      <c r="CX42">
        <f t="shared" si="51"/>
        <v>0</v>
      </c>
      <c r="CY42">
        <f t="shared" si="52"/>
        <v>0</v>
      </c>
      <c r="CZ42">
        <f t="shared" si="53"/>
        <v>0</v>
      </c>
      <c r="DB42">
        <v>9</v>
      </c>
      <c r="DC42" t="s">
        <v>3</v>
      </c>
      <c r="DD42" t="s">
        <v>3</v>
      </c>
      <c r="DE42" t="s">
        <v>24</v>
      </c>
      <c r="DF42" t="s">
        <v>24</v>
      </c>
      <c r="DG42" t="s">
        <v>24</v>
      </c>
      <c r="DH42" t="s">
        <v>3</v>
      </c>
      <c r="DI42" t="s">
        <v>24</v>
      </c>
      <c r="DJ42" t="s">
        <v>24</v>
      </c>
      <c r="DK42" t="s">
        <v>3</v>
      </c>
      <c r="DL42" t="s">
        <v>3</v>
      </c>
      <c r="DM42" t="s">
        <v>3</v>
      </c>
      <c r="DN42">
        <v>0</v>
      </c>
      <c r="DO42">
        <v>0</v>
      </c>
      <c r="DP42">
        <v>1</v>
      </c>
      <c r="DQ42">
        <v>1</v>
      </c>
      <c r="DU42">
        <v>1010</v>
      </c>
      <c r="DV42" t="s">
        <v>85</v>
      </c>
      <c r="DW42" t="s">
        <v>85</v>
      </c>
      <c r="DX42">
        <v>1</v>
      </c>
      <c r="DZ42" t="s">
        <v>3</v>
      </c>
      <c r="EA42" t="s">
        <v>3</v>
      </c>
      <c r="EB42" t="s">
        <v>3</v>
      </c>
      <c r="EC42" t="s">
        <v>3</v>
      </c>
      <c r="EE42">
        <v>51697656</v>
      </c>
      <c r="EF42">
        <v>200</v>
      </c>
      <c r="EG42" t="s">
        <v>87</v>
      </c>
      <c r="EH42">
        <v>0</v>
      </c>
      <c r="EI42" t="s">
        <v>3</v>
      </c>
      <c r="EJ42">
        <v>1</v>
      </c>
      <c r="EK42">
        <v>1617</v>
      </c>
      <c r="EL42" t="s">
        <v>88</v>
      </c>
      <c r="EM42" t="s">
        <v>89</v>
      </c>
      <c r="EO42" t="s">
        <v>27</v>
      </c>
      <c r="EQ42">
        <v>131072</v>
      </c>
      <c r="ER42">
        <v>3.9</v>
      </c>
      <c r="ES42">
        <v>3.9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FQ42">
        <v>0</v>
      </c>
      <c r="FR42">
        <v>0</v>
      </c>
      <c r="FS42">
        <v>0</v>
      </c>
      <c r="FX42">
        <v>0</v>
      </c>
      <c r="FY42">
        <v>0</v>
      </c>
      <c r="GA42" t="s">
        <v>3</v>
      </c>
      <c r="GD42">
        <v>0</v>
      </c>
      <c r="GF42">
        <v>1553567620</v>
      </c>
      <c r="GG42">
        <v>2</v>
      </c>
      <c r="GH42">
        <v>1</v>
      </c>
      <c r="GI42">
        <v>2</v>
      </c>
      <c r="GJ42">
        <v>0</v>
      </c>
      <c r="GK42">
        <f>ROUND(R42*(R12)/100,2)</f>
        <v>0</v>
      </c>
      <c r="GL42">
        <f t="shared" si="54"/>
        <v>0</v>
      </c>
      <c r="GM42">
        <f t="shared" si="55"/>
        <v>217.31</v>
      </c>
      <c r="GN42">
        <f t="shared" si="56"/>
        <v>217.31</v>
      </c>
      <c r="GO42">
        <f t="shared" si="57"/>
        <v>0</v>
      </c>
      <c r="GP42">
        <f t="shared" si="58"/>
        <v>0</v>
      </c>
      <c r="GR42">
        <v>0</v>
      </c>
      <c r="GS42">
        <v>3</v>
      </c>
      <c r="GT42">
        <v>0</v>
      </c>
      <c r="GU42" t="s">
        <v>3</v>
      </c>
      <c r="GV42">
        <f t="shared" si="59"/>
        <v>0</v>
      </c>
      <c r="GW42">
        <v>1</v>
      </c>
      <c r="GX42">
        <f t="shared" si="60"/>
        <v>0</v>
      </c>
      <c r="HA42">
        <v>0</v>
      </c>
      <c r="HB42">
        <v>0</v>
      </c>
      <c r="HC42">
        <f t="shared" si="61"/>
        <v>0</v>
      </c>
      <c r="HE42" t="s">
        <v>3</v>
      </c>
      <c r="HF42" t="s">
        <v>3</v>
      </c>
      <c r="HM42" t="s">
        <v>3</v>
      </c>
      <c r="HN42" t="s">
        <v>3</v>
      </c>
      <c r="HO42" t="s">
        <v>3</v>
      </c>
      <c r="HP42" t="s">
        <v>3</v>
      </c>
      <c r="HQ42" t="s">
        <v>3</v>
      </c>
      <c r="HS42">
        <v>0</v>
      </c>
      <c r="IK42">
        <v>0</v>
      </c>
    </row>
    <row r="44" spans="1:245" x14ac:dyDescent="0.2">
      <c r="A44" s="2">
        <v>51</v>
      </c>
      <c r="B44" s="2">
        <f>B28</f>
        <v>1</v>
      </c>
      <c r="C44" s="2">
        <f>A28</f>
        <v>5</v>
      </c>
      <c r="D44" s="2">
        <f>ROW(A28)</f>
        <v>28</v>
      </c>
      <c r="E44" s="2"/>
      <c r="F44" s="2" t="str">
        <f>IF(F28&lt;&gt;"",F28,"")</f>
        <v>Новый подраздел</v>
      </c>
      <c r="G44" s="2" t="str">
        <f>IF(G28&lt;&gt;"",G28,"")</f>
        <v>Строительные работы</v>
      </c>
      <c r="H44" s="2">
        <v>0</v>
      </c>
      <c r="I44" s="2"/>
      <c r="J44" s="2"/>
      <c r="K44" s="2"/>
      <c r="L44" s="2"/>
      <c r="M44" s="2"/>
      <c r="N44" s="2"/>
      <c r="O44" s="2">
        <f t="shared" ref="O44:T44" si="67">ROUND(AB44,2)</f>
        <v>6530938.1699999999</v>
      </c>
      <c r="P44" s="2">
        <f t="shared" si="67"/>
        <v>2740359.88</v>
      </c>
      <c r="Q44" s="2">
        <f t="shared" si="67"/>
        <v>3552687.06</v>
      </c>
      <c r="R44" s="2">
        <f t="shared" si="67"/>
        <v>406750.74</v>
      </c>
      <c r="S44" s="2">
        <f t="shared" si="67"/>
        <v>237891.23</v>
      </c>
      <c r="T44" s="2">
        <f t="shared" si="67"/>
        <v>0</v>
      </c>
      <c r="U44" s="2">
        <f>AH44</f>
        <v>501.77592950015998</v>
      </c>
      <c r="V44" s="2">
        <f>AI44</f>
        <v>0</v>
      </c>
      <c r="W44" s="2">
        <f>ROUND(AJ44,2)</f>
        <v>0</v>
      </c>
      <c r="X44" s="2">
        <f>ROUND(AK44,2)</f>
        <v>278973.26</v>
      </c>
      <c r="Y44" s="2">
        <f>ROUND(AL44,2)</f>
        <v>132043.5</v>
      </c>
      <c r="Z44" s="2"/>
      <c r="AA44" s="2"/>
      <c r="AB44" s="2">
        <f>ROUND(SUMIF(AA32:AA42,"=57737055",O32:O42),2)</f>
        <v>6530938.1699999999</v>
      </c>
      <c r="AC44" s="2">
        <f>ROUND(SUMIF(AA32:AA42,"=57737055",P32:P42),2)</f>
        <v>2740359.88</v>
      </c>
      <c r="AD44" s="2">
        <f>ROUND(SUMIF(AA32:AA42,"=57737055",Q32:Q42),2)</f>
        <v>3552687.06</v>
      </c>
      <c r="AE44" s="2">
        <f>ROUND(SUMIF(AA32:AA42,"=57737055",R32:R42),2)</f>
        <v>406750.74</v>
      </c>
      <c r="AF44" s="2">
        <f>ROUND(SUMIF(AA32:AA42,"=57737055",S32:S42),2)</f>
        <v>237891.23</v>
      </c>
      <c r="AG44" s="2">
        <f>ROUND(SUMIF(AA32:AA42,"=57737055",T32:T42),2)</f>
        <v>0</v>
      </c>
      <c r="AH44" s="2">
        <f>SUMIF(AA32:AA42,"=57737055",U32:U42)</f>
        <v>501.77592950015998</v>
      </c>
      <c r="AI44" s="2">
        <f>SUMIF(AA32:AA42,"=57737055",V32:V42)</f>
        <v>0</v>
      </c>
      <c r="AJ44" s="2">
        <f>ROUND(SUMIF(AA32:AA42,"=57737055",W32:W42),2)</f>
        <v>0</v>
      </c>
      <c r="AK44" s="2">
        <f>ROUND(SUMIF(AA32:AA42,"=57737055",X32:X42),2)</f>
        <v>278973.26</v>
      </c>
      <c r="AL44" s="2">
        <f>ROUND(SUMIF(AA32:AA42,"=57737055",Y32:Y42),2)</f>
        <v>132043.5</v>
      </c>
      <c r="AM44" s="2"/>
      <c r="AN44" s="2"/>
      <c r="AO44" s="2">
        <f t="shared" ref="AO44:BD44" si="68">ROUND(BX44,2)</f>
        <v>0</v>
      </c>
      <c r="AP44" s="2">
        <f t="shared" si="68"/>
        <v>0</v>
      </c>
      <c r="AQ44" s="2">
        <f t="shared" si="68"/>
        <v>0</v>
      </c>
      <c r="AR44" s="2">
        <f t="shared" si="68"/>
        <v>7592756.1100000003</v>
      </c>
      <c r="AS44" s="2">
        <f t="shared" si="68"/>
        <v>7591866.5700000003</v>
      </c>
      <c r="AT44" s="2">
        <f t="shared" si="68"/>
        <v>889.54</v>
      </c>
      <c r="AU44" s="2">
        <f t="shared" si="68"/>
        <v>0</v>
      </c>
      <c r="AV44" s="2">
        <f t="shared" si="68"/>
        <v>2740359.88</v>
      </c>
      <c r="AW44" s="2">
        <f t="shared" si="68"/>
        <v>2740359.88</v>
      </c>
      <c r="AX44" s="2">
        <f t="shared" si="68"/>
        <v>0</v>
      </c>
      <c r="AY44" s="2">
        <f t="shared" si="68"/>
        <v>2740359.88</v>
      </c>
      <c r="AZ44" s="2">
        <f t="shared" si="68"/>
        <v>0</v>
      </c>
      <c r="BA44" s="2">
        <f t="shared" si="68"/>
        <v>0</v>
      </c>
      <c r="BB44" s="2">
        <f t="shared" si="68"/>
        <v>0</v>
      </c>
      <c r="BC44" s="2">
        <f t="shared" si="68"/>
        <v>0</v>
      </c>
      <c r="BD44" s="2">
        <f t="shared" si="68"/>
        <v>0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>
        <f>ROUND(SUMIF(AA32:AA42,"=57737055",FQ32:FQ42),2)</f>
        <v>0</v>
      </c>
      <c r="BY44" s="2">
        <f>ROUND(SUMIF(AA32:AA42,"=57737055",FR32:FR42),2)</f>
        <v>0</v>
      </c>
      <c r="BZ44" s="2">
        <f>ROUND(SUMIF(AA32:AA42,"=57737055",GL32:GL42),2)</f>
        <v>0</v>
      </c>
      <c r="CA44" s="2">
        <f>ROUND(SUMIF(AA32:AA42,"=57737055",GM32:GM42),2)</f>
        <v>7592756.1100000003</v>
      </c>
      <c r="CB44" s="2">
        <f>ROUND(SUMIF(AA32:AA42,"=57737055",GN32:GN42),2)</f>
        <v>7591866.5700000003</v>
      </c>
      <c r="CC44" s="2">
        <f>ROUND(SUMIF(AA32:AA42,"=57737055",GO32:GO42),2)</f>
        <v>889.54</v>
      </c>
      <c r="CD44" s="2">
        <f>ROUND(SUMIF(AA32:AA42,"=57737055",GP32:GP42),2)</f>
        <v>0</v>
      </c>
      <c r="CE44" s="2">
        <f>AC44-BX44</f>
        <v>2740359.88</v>
      </c>
      <c r="CF44" s="2">
        <f>AC44-BY44</f>
        <v>2740359.88</v>
      </c>
      <c r="CG44" s="2">
        <f>BX44-BZ44</f>
        <v>0</v>
      </c>
      <c r="CH44" s="2">
        <f>AC44-BX44-BY44+BZ44</f>
        <v>2740359.88</v>
      </c>
      <c r="CI44" s="2">
        <f>BY44-BZ44</f>
        <v>0</v>
      </c>
      <c r="CJ44" s="2">
        <f>ROUND(SUMIF(AA32:AA42,"=57737055",GX32:GX42),2)</f>
        <v>0</v>
      </c>
      <c r="CK44" s="2">
        <f>ROUND(SUMIF(AA32:AA42,"=57737055",GY32:GY42),2)</f>
        <v>0</v>
      </c>
      <c r="CL44" s="2">
        <f>ROUND(SUMIF(AA32:AA42,"=57737055",GZ32:GZ42),2)</f>
        <v>0</v>
      </c>
      <c r="CM44" s="2">
        <f>ROUND(SUMIF(AA32:AA42,"=57737055",HD32:HD42),2)</f>
        <v>0</v>
      </c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>
        <v>0</v>
      </c>
    </row>
    <row r="46" spans="1:245" x14ac:dyDescent="0.2">
      <c r="A46" s="4">
        <v>50</v>
      </c>
      <c r="B46" s="4">
        <v>0</v>
      </c>
      <c r="C46" s="4">
        <v>0</v>
      </c>
      <c r="D46" s="4">
        <v>1</v>
      </c>
      <c r="E46" s="4">
        <v>201</v>
      </c>
      <c r="F46" s="4">
        <f>ROUND(Source!O44,O46)</f>
        <v>6530938.1699999999</v>
      </c>
      <c r="G46" s="4" t="s">
        <v>90</v>
      </c>
      <c r="H46" s="4" t="s">
        <v>91</v>
      </c>
      <c r="I46" s="4"/>
      <c r="J46" s="4"/>
      <c r="K46" s="4">
        <v>201</v>
      </c>
      <c r="L46" s="4">
        <v>1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>
        <v>6530938.1699999999</v>
      </c>
      <c r="X46" s="4">
        <v>1</v>
      </c>
      <c r="Y46" s="4">
        <v>6530938.1699999999</v>
      </c>
      <c r="Z46" s="4"/>
      <c r="AA46" s="4"/>
      <c r="AB46" s="4"/>
    </row>
    <row r="47" spans="1:245" x14ac:dyDescent="0.2">
      <c r="A47" s="4">
        <v>50</v>
      </c>
      <c r="B47" s="4">
        <v>0</v>
      </c>
      <c r="C47" s="4">
        <v>0</v>
      </c>
      <c r="D47" s="4">
        <v>1</v>
      </c>
      <c r="E47" s="4">
        <v>202</v>
      </c>
      <c r="F47" s="4">
        <f>ROUND(Source!P44,O47)</f>
        <v>2740359.88</v>
      </c>
      <c r="G47" s="4" t="s">
        <v>92</v>
      </c>
      <c r="H47" s="4" t="s">
        <v>93</v>
      </c>
      <c r="I47" s="4"/>
      <c r="J47" s="4"/>
      <c r="K47" s="4">
        <v>202</v>
      </c>
      <c r="L47" s="4">
        <v>2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>
        <v>2740359.88</v>
      </c>
      <c r="X47" s="4">
        <v>1</v>
      </c>
      <c r="Y47" s="4">
        <v>2740359.88</v>
      </c>
      <c r="Z47" s="4"/>
      <c r="AA47" s="4"/>
      <c r="AB47" s="4"/>
    </row>
    <row r="48" spans="1:245" x14ac:dyDescent="0.2">
      <c r="A48" s="4">
        <v>50</v>
      </c>
      <c r="B48" s="4">
        <v>0</v>
      </c>
      <c r="C48" s="4">
        <v>0</v>
      </c>
      <c r="D48" s="4">
        <v>1</v>
      </c>
      <c r="E48" s="4">
        <v>222</v>
      </c>
      <c r="F48" s="4">
        <f>ROUND(Source!AO44,O48)</f>
        <v>0</v>
      </c>
      <c r="G48" s="4" t="s">
        <v>94</v>
      </c>
      <c r="H48" s="4" t="s">
        <v>95</v>
      </c>
      <c r="I48" s="4"/>
      <c r="J48" s="4"/>
      <c r="K48" s="4">
        <v>222</v>
      </c>
      <c r="L48" s="4">
        <v>3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>
        <v>0</v>
      </c>
      <c r="X48" s="4">
        <v>1</v>
      </c>
      <c r="Y48" s="4">
        <v>0</v>
      </c>
      <c r="Z48" s="4"/>
      <c r="AA48" s="4"/>
      <c r="AB48" s="4"/>
    </row>
    <row r="49" spans="1:28" x14ac:dyDescent="0.2">
      <c r="A49" s="4">
        <v>50</v>
      </c>
      <c r="B49" s="4">
        <v>0</v>
      </c>
      <c r="C49" s="4">
        <v>0</v>
      </c>
      <c r="D49" s="4">
        <v>1</v>
      </c>
      <c r="E49" s="4">
        <v>225</v>
      </c>
      <c r="F49" s="4">
        <f>ROUND(Source!AV44,O49)</f>
        <v>2740359.88</v>
      </c>
      <c r="G49" s="4" t="s">
        <v>96</v>
      </c>
      <c r="H49" s="4" t="s">
        <v>97</v>
      </c>
      <c r="I49" s="4"/>
      <c r="J49" s="4"/>
      <c r="K49" s="4">
        <v>225</v>
      </c>
      <c r="L49" s="4">
        <v>4</v>
      </c>
      <c r="M49" s="4">
        <v>3</v>
      </c>
      <c r="N49" s="4" t="s">
        <v>3</v>
      </c>
      <c r="O49" s="4">
        <v>2</v>
      </c>
      <c r="P49" s="4"/>
      <c r="Q49" s="4"/>
      <c r="R49" s="4"/>
      <c r="S49" s="4"/>
      <c r="T49" s="4"/>
      <c r="U49" s="4"/>
      <c r="V49" s="4"/>
      <c r="W49" s="4">
        <v>2740359.88</v>
      </c>
      <c r="X49" s="4">
        <v>1</v>
      </c>
      <c r="Y49" s="4">
        <v>2740359.88</v>
      </c>
      <c r="Z49" s="4"/>
      <c r="AA49" s="4"/>
      <c r="AB49" s="4"/>
    </row>
    <row r="50" spans="1:28" x14ac:dyDescent="0.2">
      <c r="A50" s="4">
        <v>50</v>
      </c>
      <c r="B50" s="4">
        <v>0</v>
      </c>
      <c r="C50" s="4">
        <v>0</v>
      </c>
      <c r="D50" s="4">
        <v>1</v>
      </c>
      <c r="E50" s="4">
        <v>226</v>
      </c>
      <c r="F50" s="4">
        <f>ROUND(Source!AW44,O50)</f>
        <v>2740359.88</v>
      </c>
      <c r="G50" s="4" t="s">
        <v>98</v>
      </c>
      <c r="H50" s="4" t="s">
        <v>99</v>
      </c>
      <c r="I50" s="4"/>
      <c r="J50" s="4"/>
      <c r="K50" s="4">
        <v>226</v>
      </c>
      <c r="L50" s="4">
        <v>5</v>
      </c>
      <c r="M50" s="4">
        <v>3</v>
      </c>
      <c r="N50" s="4" t="s">
        <v>3</v>
      </c>
      <c r="O50" s="4">
        <v>2</v>
      </c>
      <c r="P50" s="4"/>
      <c r="Q50" s="4"/>
      <c r="R50" s="4"/>
      <c r="S50" s="4"/>
      <c r="T50" s="4"/>
      <c r="U50" s="4"/>
      <c r="V50" s="4"/>
      <c r="W50" s="4">
        <v>2740359.88</v>
      </c>
      <c r="X50" s="4">
        <v>1</v>
      </c>
      <c r="Y50" s="4">
        <v>2740359.88</v>
      </c>
      <c r="Z50" s="4"/>
      <c r="AA50" s="4"/>
      <c r="AB50" s="4"/>
    </row>
    <row r="51" spans="1:28" x14ac:dyDescent="0.2">
      <c r="A51" s="4">
        <v>50</v>
      </c>
      <c r="B51" s="4">
        <v>0</v>
      </c>
      <c r="C51" s="4">
        <v>0</v>
      </c>
      <c r="D51" s="4">
        <v>1</v>
      </c>
      <c r="E51" s="4">
        <v>227</v>
      </c>
      <c r="F51" s="4">
        <f>ROUND(Source!AX44,O51)</f>
        <v>0</v>
      </c>
      <c r="G51" s="4" t="s">
        <v>100</v>
      </c>
      <c r="H51" s="4" t="s">
        <v>101</v>
      </c>
      <c r="I51" s="4"/>
      <c r="J51" s="4"/>
      <c r="K51" s="4">
        <v>227</v>
      </c>
      <c r="L51" s="4">
        <v>6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>
        <v>0</v>
      </c>
      <c r="X51" s="4">
        <v>1</v>
      </c>
      <c r="Y51" s="4">
        <v>0</v>
      </c>
      <c r="Z51" s="4"/>
      <c r="AA51" s="4"/>
      <c r="AB51" s="4"/>
    </row>
    <row r="52" spans="1:28" x14ac:dyDescent="0.2">
      <c r="A52" s="4">
        <v>50</v>
      </c>
      <c r="B52" s="4">
        <v>0</v>
      </c>
      <c r="C52" s="4">
        <v>0</v>
      </c>
      <c r="D52" s="4">
        <v>1</v>
      </c>
      <c r="E52" s="4">
        <v>228</v>
      </c>
      <c r="F52" s="4">
        <f>ROUND(Source!AY44,O52)</f>
        <v>2740359.88</v>
      </c>
      <c r="G52" s="4" t="s">
        <v>102</v>
      </c>
      <c r="H52" s="4" t="s">
        <v>103</v>
      </c>
      <c r="I52" s="4"/>
      <c r="J52" s="4"/>
      <c r="K52" s="4">
        <v>228</v>
      </c>
      <c r="L52" s="4">
        <v>7</v>
      </c>
      <c r="M52" s="4">
        <v>3</v>
      </c>
      <c r="N52" s="4" t="s">
        <v>3</v>
      </c>
      <c r="O52" s="4">
        <v>2</v>
      </c>
      <c r="P52" s="4"/>
      <c r="Q52" s="4"/>
      <c r="R52" s="4"/>
      <c r="S52" s="4"/>
      <c r="T52" s="4"/>
      <c r="U52" s="4"/>
      <c r="V52" s="4"/>
      <c r="W52" s="4">
        <v>2740359.88</v>
      </c>
      <c r="X52" s="4">
        <v>1</v>
      </c>
      <c r="Y52" s="4">
        <v>2740359.88</v>
      </c>
      <c r="Z52" s="4"/>
      <c r="AA52" s="4"/>
      <c r="AB52" s="4"/>
    </row>
    <row r="53" spans="1:28" x14ac:dyDescent="0.2">
      <c r="A53" s="4">
        <v>50</v>
      </c>
      <c r="B53" s="4">
        <v>0</v>
      </c>
      <c r="C53" s="4">
        <v>0</v>
      </c>
      <c r="D53" s="4">
        <v>1</v>
      </c>
      <c r="E53" s="4">
        <v>216</v>
      </c>
      <c r="F53" s="4">
        <f>ROUND(Source!AP44,O53)</f>
        <v>0</v>
      </c>
      <c r="G53" s="4" t="s">
        <v>104</v>
      </c>
      <c r="H53" s="4" t="s">
        <v>105</v>
      </c>
      <c r="I53" s="4"/>
      <c r="J53" s="4"/>
      <c r="K53" s="4">
        <v>216</v>
      </c>
      <c r="L53" s="4">
        <v>8</v>
      </c>
      <c r="M53" s="4">
        <v>3</v>
      </c>
      <c r="N53" s="4" t="s">
        <v>3</v>
      </c>
      <c r="O53" s="4">
        <v>2</v>
      </c>
      <c r="P53" s="4"/>
      <c r="Q53" s="4"/>
      <c r="R53" s="4"/>
      <c r="S53" s="4"/>
      <c r="T53" s="4"/>
      <c r="U53" s="4"/>
      <c r="V53" s="4"/>
      <c r="W53" s="4">
        <v>0</v>
      </c>
      <c r="X53" s="4">
        <v>1</v>
      </c>
      <c r="Y53" s="4">
        <v>0</v>
      </c>
      <c r="Z53" s="4"/>
      <c r="AA53" s="4"/>
      <c r="AB53" s="4"/>
    </row>
    <row r="54" spans="1:28" x14ac:dyDescent="0.2">
      <c r="A54" s="4">
        <v>50</v>
      </c>
      <c r="B54" s="4">
        <v>0</v>
      </c>
      <c r="C54" s="4">
        <v>0</v>
      </c>
      <c r="D54" s="4">
        <v>1</v>
      </c>
      <c r="E54" s="4">
        <v>223</v>
      </c>
      <c r="F54" s="4">
        <f>ROUND(Source!AQ44,O54)</f>
        <v>0</v>
      </c>
      <c r="G54" s="4" t="s">
        <v>106</v>
      </c>
      <c r="H54" s="4" t="s">
        <v>107</v>
      </c>
      <c r="I54" s="4"/>
      <c r="J54" s="4"/>
      <c r="K54" s="4">
        <v>223</v>
      </c>
      <c r="L54" s="4">
        <v>9</v>
      </c>
      <c r="M54" s="4">
        <v>3</v>
      </c>
      <c r="N54" s="4" t="s">
        <v>3</v>
      </c>
      <c r="O54" s="4">
        <v>2</v>
      </c>
      <c r="P54" s="4"/>
      <c r="Q54" s="4"/>
      <c r="R54" s="4"/>
      <c r="S54" s="4"/>
      <c r="T54" s="4"/>
      <c r="U54" s="4"/>
      <c r="V54" s="4"/>
      <c r="W54" s="4">
        <v>0</v>
      </c>
      <c r="X54" s="4">
        <v>1</v>
      </c>
      <c r="Y54" s="4">
        <v>0</v>
      </c>
      <c r="Z54" s="4"/>
      <c r="AA54" s="4"/>
      <c r="AB54" s="4"/>
    </row>
    <row r="55" spans="1:28" x14ac:dyDescent="0.2">
      <c r="A55" s="4">
        <v>50</v>
      </c>
      <c r="B55" s="4">
        <v>0</v>
      </c>
      <c r="C55" s="4">
        <v>0</v>
      </c>
      <c r="D55" s="4">
        <v>1</v>
      </c>
      <c r="E55" s="4">
        <v>229</v>
      </c>
      <c r="F55" s="4">
        <f>ROUND(Source!AZ44,O55)</f>
        <v>0</v>
      </c>
      <c r="G55" s="4" t="s">
        <v>108</v>
      </c>
      <c r="H55" s="4" t="s">
        <v>109</v>
      </c>
      <c r="I55" s="4"/>
      <c r="J55" s="4"/>
      <c r="K55" s="4">
        <v>229</v>
      </c>
      <c r="L55" s="4">
        <v>10</v>
      </c>
      <c r="M55" s="4">
        <v>3</v>
      </c>
      <c r="N55" s="4" t="s">
        <v>3</v>
      </c>
      <c r="O55" s="4">
        <v>2</v>
      </c>
      <c r="P55" s="4"/>
      <c r="Q55" s="4"/>
      <c r="R55" s="4"/>
      <c r="S55" s="4"/>
      <c r="T55" s="4"/>
      <c r="U55" s="4"/>
      <c r="V55" s="4"/>
      <c r="W55" s="4">
        <v>0</v>
      </c>
      <c r="X55" s="4">
        <v>1</v>
      </c>
      <c r="Y55" s="4">
        <v>0</v>
      </c>
      <c r="Z55" s="4"/>
      <c r="AA55" s="4"/>
      <c r="AB55" s="4"/>
    </row>
    <row r="56" spans="1:28" x14ac:dyDescent="0.2">
      <c r="A56" s="4">
        <v>50</v>
      </c>
      <c r="B56" s="4">
        <v>0</v>
      </c>
      <c r="C56" s="4">
        <v>0</v>
      </c>
      <c r="D56" s="4">
        <v>1</v>
      </c>
      <c r="E56" s="4">
        <v>203</v>
      </c>
      <c r="F56" s="4">
        <f>ROUND(Source!Q44,O56)</f>
        <v>3552687.06</v>
      </c>
      <c r="G56" s="4" t="s">
        <v>110</v>
      </c>
      <c r="H56" s="4" t="s">
        <v>111</v>
      </c>
      <c r="I56" s="4"/>
      <c r="J56" s="4"/>
      <c r="K56" s="4">
        <v>203</v>
      </c>
      <c r="L56" s="4">
        <v>11</v>
      </c>
      <c r="M56" s="4">
        <v>3</v>
      </c>
      <c r="N56" s="4" t="s">
        <v>3</v>
      </c>
      <c r="O56" s="4">
        <v>2</v>
      </c>
      <c r="P56" s="4"/>
      <c r="Q56" s="4"/>
      <c r="R56" s="4"/>
      <c r="S56" s="4"/>
      <c r="T56" s="4"/>
      <c r="U56" s="4"/>
      <c r="V56" s="4"/>
      <c r="W56" s="4">
        <v>3552687.06</v>
      </c>
      <c r="X56" s="4">
        <v>1</v>
      </c>
      <c r="Y56" s="4">
        <v>3552687.06</v>
      </c>
      <c r="Z56" s="4"/>
      <c r="AA56" s="4"/>
      <c r="AB56" s="4"/>
    </row>
    <row r="57" spans="1:28" x14ac:dyDescent="0.2">
      <c r="A57" s="4">
        <v>50</v>
      </c>
      <c r="B57" s="4">
        <v>0</v>
      </c>
      <c r="C57" s="4">
        <v>0</v>
      </c>
      <c r="D57" s="4">
        <v>1</v>
      </c>
      <c r="E57" s="4">
        <v>231</v>
      </c>
      <c r="F57" s="4">
        <f>ROUND(Source!BB44,O57)</f>
        <v>0</v>
      </c>
      <c r="G57" s="4" t="s">
        <v>112</v>
      </c>
      <c r="H57" s="4" t="s">
        <v>113</v>
      </c>
      <c r="I57" s="4"/>
      <c r="J57" s="4"/>
      <c r="K57" s="4">
        <v>231</v>
      </c>
      <c r="L57" s="4">
        <v>12</v>
      </c>
      <c r="M57" s="4">
        <v>3</v>
      </c>
      <c r="N57" s="4" t="s">
        <v>3</v>
      </c>
      <c r="O57" s="4">
        <v>2</v>
      </c>
      <c r="P57" s="4"/>
      <c r="Q57" s="4"/>
      <c r="R57" s="4"/>
      <c r="S57" s="4"/>
      <c r="T57" s="4"/>
      <c r="U57" s="4"/>
      <c r="V57" s="4"/>
      <c r="W57" s="4">
        <v>0</v>
      </c>
      <c r="X57" s="4">
        <v>1</v>
      </c>
      <c r="Y57" s="4">
        <v>0</v>
      </c>
      <c r="Z57" s="4"/>
      <c r="AA57" s="4"/>
      <c r="AB57" s="4"/>
    </row>
    <row r="58" spans="1:28" x14ac:dyDescent="0.2">
      <c r="A58" s="4">
        <v>50</v>
      </c>
      <c r="B58" s="4">
        <v>0</v>
      </c>
      <c r="C58" s="4">
        <v>0</v>
      </c>
      <c r="D58" s="4">
        <v>1</v>
      </c>
      <c r="E58" s="4">
        <v>204</v>
      </c>
      <c r="F58" s="4">
        <f>ROUND(Source!R44,O58)</f>
        <v>406750.74</v>
      </c>
      <c r="G58" s="4" t="s">
        <v>114</v>
      </c>
      <c r="H58" s="4" t="s">
        <v>115</v>
      </c>
      <c r="I58" s="4"/>
      <c r="J58" s="4"/>
      <c r="K58" s="4">
        <v>204</v>
      </c>
      <c r="L58" s="4">
        <v>13</v>
      </c>
      <c r="M58" s="4">
        <v>3</v>
      </c>
      <c r="N58" s="4" t="s">
        <v>3</v>
      </c>
      <c r="O58" s="4">
        <v>2</v>
      </c>
      <c r="P58" s="4"/>
      <c r="Q58" s="4"/>
      <c r="R58" s="4"/>
      <c r="S58" s="4"/>
      <c r="T58" s="4"/>
      <c r="U58" s="4"/>
      <c r="V58" s="4"/>
      <c r="W58" s="4">
        <v>406750.74</v>
      </c>
      <c r="X58" s="4">
        <v>1</v>
      </c>
      <c r="Y58" s="4">
        <v>406750.74</v>
      </c>
      <c r="Z58" s="4"/>
      <c r="AA58" s="4"/>
      <c r="AB58" s="4"/>
    </row>
    <row r="59" spans="1:28" x14ac:dyDescent="0.2">
      <c r="A59" s="4">
        <v>50</v>
      </c>
      <c r="B59" s="4">
        <v>0</v>
      </c>
      <c r="C59" s="4">
        <v>0</v>
      </c>
      <c r="D59" s="4">
        <v>1</v>
      </c>
      <c r="E59" s="4">
        <v>205</v>
      </c>
      <c r="F59" s="4">
        <f>ROUND(Source!S44,O59)</f>
        <v>237891.23</v>
      </c>
      <c r="G59" s="4" t="s">
        <v>116</v>
      </c>
      <c r="H59" s="4" t="s">
        <v>117</v>
      </c>
      <c r="I59" s="4"/>
      <c r="J59" s="4"/>
      <c r="K59" s="4">
        <v>205</v>
      </c>
      <c r="L59" s="4">
        <v>14</v>
      </c>
      <c r="M59" s="4">
        <v>3</v>
      </c>
      <c r="N59" s="4" t="s">
        <v>3</v>
      </c>
      <c r="O59" s="4">
        <v>2</v>
      </c>
      <c r="P59" s="4"/>
      <c r="Q59" s="4"/>
      <c r="R59" s="4"/>
      <c r="S59" s="4"/>
      <c r="T59" s="4"/>
      <c r="U59" s="4"/>
      <c r="V59" s="4"/>
      <c r="W59" s="4">
        <v>237891.23</v>
      </c>
      <c r="X59" s="4">
        <v>1</v>
      </c>
      <c r="Y59" s="4">
        <v>237891.23</v>
      </c>
      <c r="Z59" s="4"/>
      <c r="AA59" s="4"/>
      <c r="AB59" s="4"/>
    </row>
    <row r="60" spans="1:28" x14ac:dyDescent="0.2">
      <c r="A60" s="4">
        <v>50</v>
      </c>
      <c r="B60" s="4">
        <v>0</v>
      </c>
      <c r="C60" s="4">
        <v>0</v>
      </c>
      <c r="D60" s="4">
        <v>1</v>
      </c>
      <c r="E60" s="4">
        <v>232</v>
      </c>
      <c r="F60" s="4">
        <f>ROUND(Source!BC44,O60)</f>
        <v>0</v>
      </c>
      <c r="G60" s="4" t="s">
        <v>118</v>
      </c>
      <c r="H60" s="4" t="s">
        <v>119</v>
      </c>
      <c r="I60" s="4"/>
      <c r="J60" s="4"/>
      <c r="K60" s="4">
        <v>232</v>
      </c>
      <c r="L60" s="4">
        <v>15</v>
      </c>
      <c r="M60" s="4">
        <v>3</v>
      </c>
      <c r="N60" s="4" t="s">
        <v>3</v>
      </c>
      <c r="O60" s="4">
        <v>2</v>
      </c>
      <c r="P60" s="4"/>
      <c r="Q60" s="4"/>
      <c r="R60" s="4"/>
      <c r="S60" s="4"/>
      <c r="T60" s="4"/>
      <c r="U60" s="4"/>
      <c r="V60" s="4"/>
      <c r="W60" s="4">
        <v>0</v>
      </c>
      <c r="X60" s="4">
        <v>1</v>
      </c>
      <c r="Y60" s="4">
        <v>0</v>
      </c>
      <c r="Z60" s="4"/>
      <c r="AA60" s="4"/>
      <c r="AB60" s="4"/>
    </row>
    <row r="61" spans="1:28" x14ac:dyDescent="0.2">
      <c r="A61" s="4">
        <v>50</v>
      </c>
      <c r="B61" s="4">
        <v>0</v>
      </c>
      <c r="C61" s="4">
        <v>0</v>
      </c>
      <c r="D61" s="4">
        <v>1</v>
      </c>
      <c r="E61" s="4">
        <v>214</v>
      </c>
      <c r="F61" s="4">
        <f>ROUND(Source!AS44,O61)</f>
        <v>7591866.5700000003</v>
      </c>
      <c r="G61" s="4" t="s">
        <v>120</v>
      </c>
      <c r="H61" s="4" t="s">
        <v>121</v>
      </c>
      <c r="I61" s="4"/>
      <c r="J61" s="4"/>
      <c r="K61" s="4">
        <v>214</v>
      </c>
      <c r="L61" s="4">
        <v>16</v>
      </c>
      <c r="M61" s="4">
        <v>3</v>
      </c>
      <c r="N61" s="4" t="s">
        <v>3</v>
      </c>
      <c r="O61" s="4">
        <v>2</v>
      </c>
      <c r="P61" s="4"/>
      <c r="Q61" s="4"/>
      <c r="R61" s="4"/>
      <c r="S61" s="4"/>
      <c r="T61" s="4"/>
      <c r="U61" s="4"/>
      <c r="V61" s="4"/>
      <c r="W61" s="4">
        <v>7591866.5700000003</v>
      </c>
      <c r="X61" s="4">
        <v>1</v>
      </c>
      <c r="Y61" s="4">
        <v>7591866.5700000003</v>
      </c>
      <c r="Z61" s="4"/>
      <c r="AA61" s="4"/>
      <c r="AB61" s="4"/>
    </row>
    <row r="62" spans="1:28" x14ac:dyDescent="0.2">
      <c r="A62" s="4">
        <v>50</v>
      </c>
      <c r="B62" s="4">
        <v>0</v>
      </c>
      <c r="C62" s="4">
        <v>0</v>
      </c>
      <c r="D62" s="4">
        <v>1</v>
      </c>
      <c r="E62" s="4">
        <v>215</v>
      </c>
      <c r="F62" s="4">
        <f>ROUND(Source!AT44,O62)</f>
        <v>889.54</v>
      </c>
      <c r="G62" s="4" t="s">
        <v>122</v>
      </c>
      <c r="H62" s="4" t="s">
        <v>123</v>
      </c>
      <c r="I62" s="4"/>
      <c r="J62" s="4"/>
      <c r="K62" s="4">
        <v>215</v>
      </c>
      <c r="L62" s="4">
        <v>17</v>
      </c>
      <c r="M62" s="4">
        <v>3</v>
      </c>
      <c r="N62" s="4" t="s">
        <v>3</v>
      </c>
      <c r="O62" s="4">
        <v>2</v>
      </c>
      <c r="P62" s="4"/>
      <c r="Q62" s="4"/>
      <c r="R62" s="4"/>
      <c r="S62" s="4"/>
      <c r="T62" s="4"/>
      <c r="U62" s="4"/>
      <c r="V62" s="4"/>
      <c r="W62" s="4">
        <v>889.54</v>
      </c>
      <c r="X62" s="4">
        <v>1</v>
      </c>
      <c r="Y62" s="4">
        <v>889.54</v>
      </c>
      <c r="Z62" s="4"/>
      <c r="AA62" s="4"/>
      <c r="AB62" s="4"/>
    </row>
    <row r="63" spans="1:28" x14ac:dyDescent="0.2">
      <c r="A63" s="4">
        <v>50</v>
      </c>
      <c r="B63" s="4">
        <v>0</v>
      </c>
      <c r="C63" s="4">
        <v>0</v>
      </c>
      <c r="D63" s="4">
        <v>1</v>
      </c>
      <c r="E63" s="4">
        <v>217</v>
      </c>
      <c r="F63" s="4">
        <f>ROUND(Source!AU44,O63)</f>
        <v>0</v>
      </c>
      <c r="G63" s="4" t="s">
        <v>124</v>
      </c>
      <c r="H63" s="4" t="s">
        <v>125</v>
      </c>
      <c r="I63" s="4"/>
      <c r="J63" s="4"/>
      <c r="K63" s="4">
        <v>217</v>
      </c>
      <c r="L63" s="4">
        <v>18</v>
      </c>
      <c r="M63" s="4">
        <v>3</v>
      </c>
      <c r="N63" s="4" t="s">
        <v>3</v>
      </c>
      <c r="O63" s="4">
        <v>2</v>
      </c>
      <c r="P63" s="4"/>
      <c r="Q63" s="4"/>
      <c r="R63" s="4"/>
      <c r="S63" s="4"/>
      <c r="T63" s="4"/>
      <c r="U63" s="4"/>
      <c r="V63" s="4"/>
      <c r="W63" s="4">
        <v>0</v>
      </c>
      <c r="X63" s="4">
        <v>1</v>
      </c>
      <c r="Y63" s="4">
        <v>0</v>
      </c>
      <c r="Z63" s="4"/>
      <c r="AA63" s="4"/>
      <c r="AB63" s="4"/>
    </row>
    <row r="64" spans="1:28" x14ac:dyDescent="0.2">
      <c r="A64" s="4">
        <v>50</v>
      </c>
      <c r="B64" s="4">
        <v>0</v>
      </c>
      <c r="C64" s="4">
        <v>0</v>
      </c>
      <c r="D64" s="4">
        <v>1</v>
      </c>
      <c r="E64" s="4">
        <v>230</v>
      </c>
      <c r="F64" s="4">
        <f>ROUND(Source!BA44,O64)</f>
        <v>0</v>
      </c>
      <c r="G64" s="4" t="s">
        <v>126</v>
      </c>
      <c r="H64" s="4" t="s">
        <v>127</v>
      </c>
      <c r="I64" s="4"/>
      <c r="J64" s="4"/>
      <c r="K64" s="4">
        <v>230</v>
      </c>
      <c r="L64" s="4">
        <v>19</v>
      </c>
      <c r="M64" s="4">
        <v>3</v>
      </c>
      <c r="N64" s="4" t="s">
        <v>3</v>
      </c>
      <c r="O64" s="4">
        <v>2</v>
      </c>
      <c r="P64" s="4"/>
      <c r="Q64" s="4"/>
      <c r="R64" s="4"/>
      <c r="S64" s="4"/>
      <c r="T64" s="4"/>
      <c r="U64" s="4"/>
      <c r="V64" s="4"/>
      <c r="W64" s="4">
        <v>0</v>
      </c>
      <c r="X64" s="4">
        <v>1</v>
      </c>
      <c r="Y64" s="4">
        <v>0</v>
      </c>
      <c r="Z64" s="4"/>
      <c r="AA64" s="4"/>
      <c r="AB64" s="4"/>
    </row>
    <row r="65" spans="1:245" x14ac:dyDescent="0.2">
      <c r="A65" s="4">
        <v>50</v>
      </c>
      <c r="B65" s="4">
        <v>0</v>
      </c>
      <c r="C65" s="4">
        <v>0</v>
      </c>
      <c r="D65" s="4">
        <v>1</v>
      </c>
      <c r="E65" s="4">
        <v>206</v>
      </c>
      <c r="F65" s="4">
        <f>ROUND(Source!T44,O65)</f>
        <v>0</v>
      </c>
      <c r="G65" s="4" t="s">
        <v>128</v>
      </c>
      <c r="H65" s="4" t="s">
        <v>129</v>
      </c>
      <c r="I65" s="4"/>
      <c r="J65" s="4"/>
      <c r="K65" s="4">
        <v>206</v>
      </c>
      <c r="L65" s="4">
        <v>20</v>
      </c>
      <c r="M65" s="4">
        <v>3</v>
      </c>
      <c r="N65" s="4" t="s">
        <v>3</v>
      </c>
      <c r="O65" s="4">
        <v>2</v>
      </c>
      <c r="P65" s="4"/>
      <c r="Q65" s="4"/>
      <c r="R65" s="4"/>
      <c r="S65" s="4"/>
      <c r="T65" s="4"/>
      <c r="U65" s="4"/>
      <c r="V65" s="4"/>
      <c r="W65" s="4">
        <v>0</v>
      </c>
      <c r="X65" s="4">
        <v>1</v>
      </c>
      <c r="Y65" s="4">
        <v>0</v>
      </c>
      <c r="Z65" s="4"/>
      <c r="AA65" s="4"/>
      <c r="AB65" s="4"/>
    </row>
    <row r="66" spans="1:245" x14ac:dyDescent="0.2">
      <c r="A66" s="4">
        <v>50</v>
      </c>
      <c r="B66" s="4">
        <v>0</v>
      </c>
      <c r="C66" s="4">
        <v>0</v>
      </c>
      <c r="D66" s="4">
        <v>1</v>
      </c>
      <c r="E66" s="4">
        <v>207</v>
      </c>
      <c r="F66" s="4">
        <f>Source!U44</f>
        <v>501.77592950015998</v>
      </c>
      <c r="G66" s="4" t="s">
        <v>130</v>
      </c>
      <c r="H66" s="4" t="s">
        <v>131</v>
      </c>
      <c r="I66" s="4"/>
      <c r="J66" s="4"/>
      <c r="K66" s="4">
        <v>207</v>
      </c>
      <c r="L66" s="4">
        <v>21</v>
      </c>
      <c r="M66" s="4">
        <v>3</v>
      </c>
      <c r="N66" s="4" t="s">
        <v>3</v>
      </c>
      <c r="O66" s="4">
        <v>-1</v>
      </c>
      <c r="P66" s="4"/>
      <c r="Q66" s="4"/>
      <c r="R66" s="4"/>
      <c r="S66" s="4"/>
      <c r="T66" s="4"/>
      <c r="U66" s="4"/>
      <c r="V66" s="4"/>
      <c r="W66" s="4">
        <v>501.77592950015998</v>
      </c>
      <c r="X66" s="4">
        <v>1</v>
      </c>
      <c r="Y66" s="4">
        <v>501.77592950015998</v>
      </c>
      <c r="Z66" s="4"/>
      <c r="AA66" s="4"/>
      <c r="AB66" s="4"/>
    </row>
    <row r="67" spans="1:245" x14ac:dyDescent="0.2">
      <c r="A67" s="4">
        <v>50</v>
      </c>
      <c r="B67" s="4">
        <v>0</v>
      </c>
      <c r="C67" s="4">
        <v>0</v>
      </c>
      <c r="D67" s="4">
        <v>1</v>
      </c>
      <c r="E67" s="4">
        <v>208</v>
      </c>
      <c r="F67" s="4">
        <f>Source!V44</f>
        <v>0</v>
      </c>
      <c r="G67" s="4" t="s">
        <v>132</v>
      </c>
      <c r="H67" s="4" t="s">
        <v>133</v>
      </c>
      <c r="I67" s="4"/>
      <c r="J67" s="4"/>
      <c r="K67" s="4">
        <v>208</v>
      </c>
      <c r="L67" s="4">
        <v>22</v>
      </c>
      <c r="M67" s="4">
        <v>3</v>
      </c>
      <c r="N67" s="4" t="s">
        <v>3</v>
      </c>
      <c r="O67" s="4">
        <v>-1</v>
      </c>
      <c r="P67" s="4"/>
      <c r="Q67" s="4"/>
      <c r="R67" s="4"/>
      <c r="S67" s="4"/>
      <c r="T67" s="4"/>
      <c r="U67" s="4"/>
      <c r="V67" s="4"/>
      <c r="W67" s="4">
        <v>0</v>
      </c>
      <c r="X67" s="4">
        <v>1</v>
      </c>
      <c r="Y67" s="4">
        <v>0</v>
      </c>
      <c r="Z67" s="4"/>
      <c r="AA67" s="4"/>
      <c r="AB67" s="4"/>
    </row>
    <row r="68" spans="1:245" x14ac:dyDescent="0.2">
      <c r="A68" s="4">
        <v>50</v>
      </c>
      <c r="B68" s="4">
        <v>0</v>
      </c>
      <c r="C68" s="4">
        <v>0</v>
      </c>
      <c r="D68" s="4">
        <v>1</v>
      </c>
      <c r="E68" s="4">
        <v>209</v>
      </c>
      <c r="F68" s="4">
        <f>ROUND(Source!W44,O68)</f>
        <v>0</v>
      </c>
      <c r="G68" s="4" t="s">
        <v>134</v>
      </c>
      <c r="H68" s="4" t="s">
        <v>135</v>
      </c>
      <c r="I68" s="4"/>
      <c r="J68" s="4"/>
      <c r="K68" s="4">
        <v>209</v>
      </c>
      <c r="L68" s="4">
        <v>23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>
        <v>0</v>
      </c>
      <c r="X68" s="4">
        <v>1</v>
      </c>
      <c r="Y68" s="4">
        <v>0</v>
      </c>
      <c r="Z68" s="4"/>
      <c r="AA68" s="4"/>
      <c r="AB68" s="4"/>
    </row>
    <row r="69" spans="1:245" x14ac:dyDescent="0.2">
      <c r="A69" s="4">
        <v>50</v>
      </c>
      <c r="B69" s="4">
        <v>0</v>
      </c>
      <c r="C69" s="4">
        <v>0</v>
      </c>
      <c r="D69" s="4">
        <v>1</v>
      </c>
      <c r="E69" s="4">
        <v>233</v>
      </c>
      <c r="F69" s="4">
        <f>ROUND(Source!BD44,O69)</f>
        <v>0</v>
      </c>
      <c r="G69" s="4" t="s">
        <v>136</v>
      </c>
      <c r="H69" s="4" t="s">
        <v>137</v>
      </c>
      <c r="I69" s="4"/>
      <c r="J69" s="4"/>
      <c r="K69" s="4">
        <v>233</v>
      </c>
      <c r="L69" s="4">
        <v>24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>
        <v>0</v>
      </c>
      <c r="X69" s="4">
        <v>1</v>
      </c>
      <c r="Y69" s="4">
        <v>0</v>
      </c>
      <c r="Z69" s="4"/>
      <c r="AA69" s="4"/>
      <c r="AB69" s="4"/>
    </row>
    <row r="70" spans="1:245" x14ac:dyDescent="0.2">
      <c r="A70" s="4">
        <v>50</v>
      </c>
      <c r="B70" s="4">
        <v>0</v>
      </c>
      <c r="C70" s="4">
        <v>0</v>
      </c>
      <c r="D70" s="4">
        <v>1</v>
      </c>
      <c r="E70" s="4">
        <v>210</v>
      </c>
      <c r="F70" s="4">
        <f>ROUND(Source!X44,O70)</f>
        <v>278973.26</v>
      </c>
      <c r="G70" s="4" t="s">
        <v>138</v>
      </c>
      <c r="H70" s="4" t="s">
        <v>139</v>
      </c>
      <c r="I70" s="4"/>
      <c r="J70" s="4"/>
      <c r="K70" s="4">
        <v>210</v>
      </c>
      <c r="L70" s="4">
        <v>25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>
        <v>278973.26</v>
      </c>
      <c r="X70" s="4">
        <v>1</v>
      </c>
      <c r="Y70" s="4">
        <v>278973.26</v>
      </c>
      <c r="Z70" s="4"/>
      <c r="AA70" s="4"/>
      <c r="AB70" s="4"/>
    </row>
    <row r="71" spans="1:245" x14ac:dyDescent="0.2">
      <c r="A71" s="4">
        <v>50</v>
      </c>
      <c r="B71" s="4">
        <v>0</v>
      </c>
      <c r="C71" s="4">
        <v>0</v>
      </c>
      <c r="D71" s="4">
        <v>1</v>
      </c>
      <c r="E71" s="4">
        <v>211</v>
      </c>
      <c r="F71" s="4">
        <f>ROUND(Source!Y44,O71)</f>
        <v>132043.5</v>
      </c>
      <c r="G71" s="4" t="s">
        <v>140</v>
      </c>
      <c r="H71" s="4" t="s">
        <v>141</v>
      </c>
      <c r="I71" s="4"/>
      <c r="J71" s="4"/>
      <c r="K71" s="4">
        <v>211</v>
      </c>
      <c r="L71" s="4">
        <v>26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>
        <v>132043.5</v>
      </c>
      <c r="X71" s="4">
        <v>1</v>
      </c>
      <c r="Y71" s="4">
        <v>132043.5</v>
      </c>
      <c r="Z71" s="4"/>
      <c r="AA71" s="4"/>
      <c r="AB71" s="4"/>
    </row>
    <row r="72" spans="1:245" x14ac:dyDescent="0.2">
      <c r="A72" s="4">
        <v>50</v>
      </c>
      <c r="B72" s="4">
        <v>0</v>
      </c>
      <c r="C72" s="4">
        <v>0</v>
      </c>
      <c r="D72" s="4">
        <v>1</v>
      </c>
      <c r="E72" s="4">
        <v>224</v>
      </c>
      <c r="F72" s="4">
        <f>ROUND(Source!AR44,O72)</f>
        <v>7592756.1100000003</v>
      </c>
      <c r="G72" s="4" t="s">
        <v>142</v>
      </c>
      <c r="H72" s="4" t="s">
        <v>143</v>
      </c>
      <c r="I72" s="4"/>
      <c r="J72" s="4"/>
      <c r="K72" s="4">
        <v>224</v>
      </c>
      <c r="L72" s="4">
        <v>27</v>
      </c>
      <c r="M72" s="4">
        <v>3</v>
      </c>
      <c r="N72" s="4" t="s">
        <v>3</v>
      </c>
      <c r="O72" s="4">
        <v>2</v>
      </c>
      <c r="P72" s="4"/>
      <c r="Q72" s="4"/>
      <c r="R72" s="4"/>
      <c r="S72" s="4"/>
      <c r="T72" s="4"/>
      <c r="U72" s="4"/>
      <c r="V72" s="4"/>
      <c r="W72" s="4">
        <v>7592756.1100000003</v>
      </c>
      <c r="X72" s="4">
        <v>1</v>
      </c>
      <c r="Y72" s="4">
        <v>7592756.1100000003</v>
      </c>
      <c r="Z72" s="4"/>
      <c r="AA72" s="4"/>
      <c r="AB72" s="4"/>
    </row>
    <row r="74" spans="1:245" x14ac:dyDescent="0.2">
      <c r="A74" s="1">
        <v>5</v>
      </c>
      <c r="B74" s="1">
        <v>1</v>
      </c>
      <c r="C74" s="1"/>
      <c r="D74" s="1">
        <f>ROW(A84)</f>
        <v>84</v>
      </c>
      <c r="E74" s="1"/>
      <c r="F74" s="1" t="s">
        <v>17</v>
      </c>
      <c r="G74" s="1" t="s">
        <v>144</v>
      </c>
      <c r="H74" s="1" t="s">
        <v>3</v>
      </c>
      <c r="I74" s="1">
        <v>0</v>
      </c>
      <c r="J74" s="1"/>
      <c r="K74" s="1">
        <v>0</v>
      </c>
      <c r="L74" s="1"/>
      <c r="M74" s="1" t="s">
        <v>3</v>
      </c>
      <c r="N74" s="1"/>
      <c r="O74" s="1"/>
      <c r="P74" s="1"/>
      <c r="Q74" s="1"/>
      <c r="R74" s="1"/>
      <c r="S74" s="1">
        <v>0</v>
      </c>
      <c r="T74" s="1"/>
      <c r="U74" s="1" t="s">
        <v>3</v>
      </c>
      <c r="V74" s="1">
        <v>0</v>
      </c>
      <c r="W74" s="1"/>
      <c r="X74" s="1"/>
      <c r="Y74" s="1"/>
      <c r="Z74" s="1"/>
      <c r="AA74" s="1"/>
      <c r="AB74" s="1" t="s">
        <v>3</v>
      </c>
      <c r="AC74" s="1" t="s">
        <v>3</v>
      </c>
      <c r="AD74" s="1" t="s">
        <v>3</v>
      </c>
      <c r="AE74" s="1" t="s">
        <v>3</v>
      </c>
      <c r="AF74" s="1" t="s">
        <v>3</v>
      </c>
      <c r="AG74" s="1" t="s">
        <v>3</v>
      </c>
      <c r="AH74" s="1"/>
      <c r="AI74" s="1"/>
      <c r="AJ74" s="1"/>
      <c r="AK74" s="1"/>
      <c r="AL74" s="1"/>
      <c r="AM74" s="1"/>
      <c r="AN74" s="1"/>
      <c r="AO74" s="1"/>
      <c r="AP74" s="1" t="s">
        <v>3</v>
      </c>
      <c r="AQ74" s="1" t="s">
        <v>3</v>
      </c>
      <c r="AR74" s="1" t="s">
        <v>3</v>
      </c>
      <c r="AS74" s="1"/>
      <c r="AT74" s="1"/>
      <c r="AU74" s="1"/>
      <c r="AV74" s="1"/>
      <c r="AW74" s="1"/>
      <c r="AX74" s="1"/>
      <c r="AY74" s="1"/>
      <c r="AZ74" s="1" t="s">
        <v>3</v>
      </c>
      <c r="BA74" s="1"/>
      <c r="BB74" s="1" t="s">
        <v>3</v>
      </c>
      <c r="BC74" s="1" t="s">
        <v>3</v>
      </c>
      <c r="BD74" s="1" t="s">
        <v>3</v>
      </c>
      <c r="BE74" s="1" t="s">
        <v>3</v>
      </c>
      <c r="BF74" s="1" t="s">
        <v>3</v>
      </c>
      <c r="BG74" s="1" t="s">
        <v>3</v>
      </c>
      <c r="BH74" s="1" t="s">
        <v>3</v>
      </c>
      <c r="BI74" s="1" t="s">
        <v>3</v>
      </c>
      <c r="BJ74" s="1" t="s">
        <v>3</v>
      </c>
      <c r="BK74" s="1" t="s">
        <v>3</v>
      </c>
      <c r="BL74" s="1" t="s">
        <v>3</v>
      </c>
      <c r="BM74" s="1" t="s">
        <v>3</v>
      </c>
      <c r="BN74" s="1" t="s">
        <v>3</v>
      </c>
      <c r="BO74" s="1" t="s">
        <v>3</v>
      </c>
      <c r="BP74" s="1" t="s">
        <v>3</v>
      </c>
      <c r="BQ74" s="1"/>
      <c r="BR74" s="1"/>
      <c r="BS74" s="1"/>
      <c r="BT74" s="1"/>
      <c r="BU74" s="1"/>
      <c r="BV74" s="1"/>
      <c r="BW74" s="1"/>
      <c r="BX74" s="1">
        <v>0</v>
      </c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>
        <v>0</v>
      </c>
    </row>
    <row r="76" spans="1:245" x14ac:dyDescent="0.2">
      <c r="A76" s="2">
        <v>52</v>
      </c>
      <c r="B76" s="2">
        <f t="shared" ref="B76:G76" si="69">B84</f>
        <v>1</v>
      </c>
      <c r="C76" s="2">
        <f t="shared" si="69"/>
        <v>5</v>
      </c>
      <c r="D76" s="2">
        <f t="shared" si="69"/>
        <v>74</v>
      </c>
      <c r="E76" s="2">
        <f t="shared" si="69"/>
        <v>0</v>
      </c>
      <c r="F76" s="2" t="str">
        <f t="shared" si="69"/>
        <v>Новый подраздел</v>
      </c>
      <c r="G76" s="2" t="str">
        <f t="shared" si="69"/>
        <v>Монтажные работы</v>
      </c>
      <c r="H76" s="2"/>
      <c r="I76" s="2"/>
      <c r="J76" s="2"/>
      <c r="K76" s="2"/>
      <c r="L76" s="2"/>
      <c r="M76" s="2"/>
      <c r="N76" s="2"/>
      <c r="O76" s="2">
        <f t="shared" ref="O76:AT76" si="70">O84</f>
        <v>1001912.15</v>
      </c>
      <c r="P76" s="2">
        <f t="shared" si="70"/>
        <v>886369.1</v>
      </c>
      <c r="Q76" s="2">
        <f t="shared" si="70"/>
        <v>9829.94</v>
      </c>
      <c r="R76" s="2">
        <f t="shared" si="70"/>
        <v>3469.29</v>
      </c>
      <c r="S76" s="2">
        <f t="shared" si="70"/>
        <v>105713.11</v>
      </c>
      <c r="T76" s="2">
        <f t="shared" si="70"/>
        <v>0</v>
      </c>
      <c r="U76" s="2">
        <f t="shared" si="70"/>
        <v>247.02435040499998</v>
      </c>
      <c r="V76" s="2">
        <f t="shared" si="70"/>
        <v>0</v>
      </c>
      <c r="W76" s="2">
        <f t="shared" si="70"/>
        <v>0</v>
      </c>
      <c r="X76" s="2">
        <f t="shared" si="70"/>
        <v>97256.06</v>
      </c>
      <c r="Y76" s="2">
        <f t="shared" si="70"/>
        <v>45456.639999999999</v>
      </c>
      <c r="Z76" s="2">
        <f t="shared" si="70"/>
        <v>0</v>
      </c>
      <c r="AA76" s="2">
        <f t="shared" si="70"/>
        <v>0</v>
      </c>
      <c r="AB76" s="2">
        <f t="shared" si="70"/>
        <v>1001912.15</v>
      </c>
      <c r="AC76" s="2">
        <f t="shared" si="70"/>
        <v>886369.1</v>
      </c>
      <c r="AD76" s="2">
        <f t="shared" si="70"/>
        <v>9829.94</v>
      </c>
      <c r="AE76" s="2">
        <f t="shared" si="70"/>
        <v>3469.29</v>
      </c>
      <c r="AF76" s="2">
        <f t="shared" si="70"/>
        <v>105713.11</v>
      </c>
      <c r="AG76" s="2">
        <f t="shared" si="70"/>
        <v>0</v>
      </c>
      <c r="AH76" s="2">
        <f t="shared" si="70"/>
        <v>247.02435040499998</v>
      </c>
      <c r="AI76" s="2">
        <f t="shared" si="70"/>
        <v>0</v>
      </c>
      <c r="AJ76" s="2">
        <f t="shared" si="70"/>
        <v>0</v>
      </c>
      <c r="AK76" s="2">
        <f t="shared" si="70"/>
        <v>97256.06</v>
      </c>
      <c r="AL76" s="2">
        <f t="shared" si="70"/>
        <v>45456.639999999999</v>
      </c>
      <c r="AM76" s="2">
        <f t="shared" si="70"/>
        <v>0</v>
      </c>
      <c r="AN76" s="2">
        <f t="shared" si="70"/>
        <v>0</v>
      </c>
      <c r="AO76" s="2">
        <f t="shared" si="70"/>
        <v>0</v>
      </c>
      <c r="AP76" s="2">
        <f t="shared" si="70"/>
        <v>0</v>
      </c>
      <c r="AQ76" s="2">
        <f t="shared" si="70"/>
        <v>0</v>
      </c>
      <c r="AR76" s="2">
        <f t="shared" si="70"/>
        <v>1150175.71</v>
      </c>
      <c r="AS76" s="2">
        <f t="shared" si="70"/>
        <v>0</v>
      </c>
      <c r="AT76" s="2">
        <f t="shared" si="70"/>
        <v>1150175.71</v>
      </c>
      <c r="AU76" s="2">
        <f t="shared" ref="AU76:BZ76" si="71">AU84</f>
        <v>0</v>
      </c>
      <c r="AV76" s="2">
        <f t="shared" si="71"/>
        <v>886369.1</v>
      </c>
      <c r="AW76" s="2">
        <f t="shared" si="71"/>
        <v>886369.1</v>
      </c>
      <c r="AX76" s="2">
        <f t="shared" si="71"/>
        <v>0</v>
      </c>
      <c r="AY76" s="2">
        <f t="shared" si="71"/>
        <v>886369.1</v>
      </c>
      <c r="AZ76" s="2">
        <f t="shared" si="71"/>
        <v>0</v>
      </c>
      <c r="BA76" s="2">
        <f t="shared" si="71"/>
        <v>0</v>
      </c>
      <c r="BB76" s="2">
        <f t="shared" si="71"/>
        <v>0</v>
      </c>
      <c r="BC76" s="2">
        <f t="shared" si="71"/>
        <v>0</v>
      </c>
      <c r="BD76" s="2">
        <f t="shared" si="71"/>
        <v>0</v>
      </c>
      <c r="BE76" s="2">
        <f t="shared" si="71"/>
        <v>0</v>
      </c>
      <c r="BF76" s="2">
        <f t="shared" si="71"/>
        <v>0</v>
      </c>
      <c r="BG76" s="2">
        <f t="shared" si="71"/>
        <v>0</v>
      </c>
      <c r="BH76" s="2">
        <f t="shared" si="71"/>
        <v>0</v>
      </c>
      <c r="BI76" s="2">
        <f t="shared" si="71"/>
        <v>0</v>
      </c>
      <c r="BJ76" s="2">
        <f t="shared" si="71"/>
        <v>0</v>
      </c>
      <c r="BK76" s="2">
        <f t="shared" si="71"/>
        <v>0</v>
      </c>
      <c r="BL76" s="2">
        <f t="shared" si="71"/>
        <v>0</v>
      </c>
      <c r="BM76" s="2">
        <f t="shared" si="71"/>
        <v>0</v>
      </c>
      <c r="BN76" s="2">
        <f t="shared" si="71"/>
        <v>0</v>
      </c>
      <c r="BO76" s="2">
        <f t="shared" si="71"/>
        <v>0</v>
      </c>
      <c r="BP76" s="2">
        <f t="shared" si="71"/>
        <v>0</v>
      </c>
      <c r="BQ76" s="2">
        <f t="shared" si="71"/>
        <v>0</v>
      </c>
      <c r="BR76" s="2">
        <f t="shared" si="71"/>
        <v>0</v>
      </c>
      <c r="BS76" s="2">
        <f t="shared" si="71"/>
        <v>0</v>
      </c>
      <c r="BT76" s="2">
        <f t="shared" si="71"/>
        <v>0</v>
      </c>
      <c r="BU76" s="2">
        <f t="shared" si="71"/>
        <v>0</v>
      </c>
      <c r="BV76" s="2">
        <f t="shared" si="71"/>
        <v>0</v>
      </c>
      <c r="BW76" s="2">
        <f t="shared" si="71"/>
        <v>0</v>
      </c>
      <c r="BX76" s="2">
        <f t="shared" si="71"/>
        <v>0</v>
      </c>
      <c r="BY76" s="2">
        <f t="shared" si="71"/>
        <v>0</v>
      </c>
      <c r="BZ76" s="2">
        <f t="shared" si="71"/>
        <v>0</v>
      </c>
      <c r="CA76" s="2">
        <f t="shared" ref="CA76:DF76" si="72">CA84</f>
        <v>1150175.71</v>
      </c>
      <c r="CB76" s="2">
        <f t="shared" si="72"/>
        <v>0</v>
      </c>
      <c r="CC76" s="2">
        <f t="shared" si="72"/>
        <v>1150175.71</v>
      </c>
      <c r="CD76" s="2">
        <f t="shared" si="72"/>
        <v>0</v>
      </c>
      <c r="CE76" s="2">
        <f t="shared" si="72"/>
        <v>886369.1</v>
      </c>
      <c r="CF76" s="2">
        <f t="shared" si="72"/>
        <v>886369.1</v>
      </c>
      <c r="CG76" s="2">
        <f t="shared" si="72"/>
        <v>0</v>
      </c>
      <c r="CH76" s="2">
        <f t="shared" si="72"/>
        <v>886369.1</v>
      </c>
      <c r="CI76" s="2">
        <f t="shared" si="72"/>
        <v>0</v>
      </c>
      <c r="CJ76" s="2">
        <f t="shared" si="72"/>
        <v>0</v>
      </c>
      <c r="CK76" s="2">
        <f t="shared" si="72"/>
        <v>0</v>
      </c>
      <c r="CL76" s="2">
        <f t="shared" si="72"/>
        <v>0</v>
      </c>
      <c r="CM76" s="2">
        <f t="shared" si="72"/>
        <v>0</v>
      </c>
      <c r="CN76" s="2">
        <f t="shared" si="72"/>
        <v>0</v>
      </c>
      <c r="CO76" s="2">
        <f t="shared" si="72"/>
        <v>0</v>
      </c>
      <c r="CP76" s="2">
        <f t="shared" si="72"/>
        <v>0</v>
      </c>
      <c r="CQ76" s="2">
        <f t="shared" si="72"/>
        <v>0</v>
      </c>
      <c r="CR76" s="2">
        <f t="shared" si="72"/>
        <v>0</v>
      </c>
      <c r="CS76" s="2">
        <f t="shared" si="72"/>
        <v>0</v>
      </c>
      <c r="CT76" s="2">
        <f t="shared" si="72"/>
        <v>0</v>
      </c>
      <c r="CU76" s="2">
        <f t="shared" si="72"/>
        <v>0</v>
      </c>
      <c r="CV76" s="2">
        <f t="shared" si="72"/>
        <v>0</v>
      </c>
      <c r="CW76" s="2">
        <f t="shared" si="72"/>
        <v>0</v>
      </c>
      <c r="CX76" s="2">
        <f t="shared" si="72"/>
        <v>0</v>
      </c>
      <c r="CY76" s="2">
        <f t="shared" si="72"/>
        <v>0</v>
      </c>
      <c r="CZ76" s="2">
        <f t="shared" si="72"/>
        <v>0</v>
      </c>
      <c r="DA76" s="2">
        <f t="shared" si="72"/>
        <v>0</v>
      </c>
      <c r="DB76" s="2">
        <f t="shared" si="72"/>
        <v>0</v>
      </c>
      <c r="DC76" s="2">
        <f t="shared" si="72"/>
        <v>0</v>
      </c>
      <c r="DD76" s="2">
        <f t="shared" si="72"/>
        <v>0</v>
      </c>
      <c r="DE76" s="2">
        <f t="shared" si="72"/>
        <v>0</v>
      </c>
      <c r="DF76" s="2">
        <f t="shared" si="72"/>
        <v>0</v>
      </c>
      <c r="DG76" s="3">
        <f t="shared" ref="DG76:EL76" si="73">DG84</f>
        <v>0</v>
      </c>
      <c r="DH76" s="3">
        <f t="shared" si="73"/>
        <v>0</v>
      </c>
      <c r="DI76" s="3">
        <f t="shared" si="73"/>
        <v>0</v>
      </c>
      <c r="DJ76" s="3">
        <f t="shared" si="73"/>
        <v>0</v>
      </c>
      <c r="DK76" s="3">
        <f t="shared" si="73"/>
        <v>0</v>
      </c>
      <c r="DL76" s="3">
        <f t="shared" si="73"/>
        <v>0</v>
      </c>
      <c r="DM76" s="3">
        <f t="shared" si="73"/>
        <v>0</v>
      </c>
      <c r="DN76" s="3">
        <f t="shared" si="73"/>
        <v>0</v>
      </c>
      <c r="DO76" s="3">
        <f t="shared" si="73"/>
        <v>0</v>
      </c>
      <c r="DP76" s="3">
        <f t="shared" si="73"/>
        <v>0</v>
      </c>
      <c r="DQ76" s="3">
        <f t="shared" si="73"/>
        <v>0</v>
      </c>
      <c r="DR76" s="3">
        <f t="shared" si="73"/>
        <v>0</v>
      </c>
      <c r="DS76" s="3">
        <f t="shared" si="73"/>
        <v>0</v>
      </c>
      <c r="DT76" s="3">
        <f t="shared" si="73"/>
        <v>0</v>
      </c>
      <c r="DU76" s="3">
        <f t="shared" si="73"/>
        <v>0</v>
      </c>
      <c r="DV76" s="3">
        <f t="shared" si="73"/>
        <v>0</v>
      </c>
      <c r="DW76" s="3">
        <f t="shared" si="73"/>
        <v>0</v>
      </c>
      <c r="DX76" s="3">
        <f t="shared" si="73"/>
        <v>0</v>
      </c>
      <c r="DY76" s="3">
        <f t="shared" si="73"/>
        <v>0</v>
      </c>
      <c r="DZ76" s="3">
        <f t="shared" si="73"/>
        <v>0</v>
      </c>
      <c r="EA76" s="3">
        <f t="shared" si="73"/>
        <v>0</v>
      </c>
      <c r="EB76" s="3">
        <f t="shared" si="73"/>
        <v>0</v>
      </c>
      <c r="EC76" s="3">
        <f t="shared" si="73"/>
        <v>0</v>
      </c>
      <c r="ED76" s="3">
        <f t="shared" si="73"/>
        <v>0</v>
      </c>
      <c r="EE76" s="3">
        <f t="shared" si="73"/>
        <v>0</v>
      </c>
      <c r="EF76" s="3">
        <f t="shared" si="73"/>
        <v>0</v>
      </c>
      <c r="EG76" s="3">
        <f t="shared" si="73"/>
        <v>0</v>
      </c>
      <c r="EH76" s="3">
        <f t="shared" si="73"/>
        <v>0</v>
      </c>
      <c r="EI76" s="3">
        <f t="shared" si="73"/>
        <v>0</v>
      </c>
      <c r="EJ76" s="3">
        <f t="shared" si="73"/>
        <v>0</v>
      </c>
      <c r="EK76" s="3">
        <f t="shared" si="73"/>
        <v>0</v>
      </c>
      <c r="EL76" s="3">
        <f t="shared" si="73"/>
        <v>0</v>
      </c>
      <c r="EM76" s="3">
        <f t="shared" ref="EM76:FR76" si="74">EM84</f>
        <v>0</v>
      </c>
      <c r="EN76" s="3">
        <f t="shared" si="74"/>
        <v>0</v>
      </c>
      <c r="EO76" s="3">
        <f t="shared" si="74"/>
        <v>0</v>
      </c>
      <c r="EP76" s="3">
        <f t="shared" si="74"/>
        <v>0</v>
      </c>
      <c r="EQ76" s="3">
        <f t="shared" si="74"/>
        <v>0</v>
      </c>
      <c r="ER76" s="3">
        <f t="shared" si="74"/>
        <v>0</v>
      </c>
      <c r="ES76" s="3">
        <f t="shared" si="74"/>
        <v>0</v>
      </c>
      <c r="ET76" s="3">
        <f t="shared" si="74"/>
        <v>0</v>
      </c>
      <c r="EU76" s="3">
        <f t="shared" si="74"/>
        <v>0</v>
      </c>
      <c r="EV76" s="3">
        <f t="shared" si="74"/>
        <v>0</v>
      </c>
      <c r="EW76" s="3">
        <f t="shared" si="74"/>
        <v>0</v>
      </c>
      <c r="EX76" s="3">
        <f t="shared" si="74"/>
        <v>0</v>
      </c>
      <c r="EY76" s="3">
        <f t="shared" si="74"/>
        <v>0</v>
      </c>
      <c r="EZ76" s="3">
        <f t="shared" si="74"/>
        <v>0</v>
      </c>
      <c r="FA76" s="3">
        <f t="shared" si="74"/>
        <v>0</v>
      </c>
      <c r="FB76" s="3">
        <f t="shared" si="74"/>
        <v>0</v>
      </c>
      <c r="FC76" s="3">
        <f t="shared" si="74"/>
        <v>0</v>
      </c>
      <c r="FD76" s="3">
        <f t="shared" si="74"/>
        <v>0</v>
      </c>
      <c r="FE76" s="3">
        <f t="shared" si="74"/>
        <v>0</v>
      </c>
      <c r="FF76" s="3">
        <f t="shared" si="74"/>
        <v>0</v>
      </c>
      <c r="FG76" s="3">
        <f t="shared" si="74"/>
        <v>0</v>
      </c>
      <c r="FH76" s="3">
        <f t="shared" si="74"/>
        <v>0</v>
      </c>
      <c r="FI76" s="3">
        <f t="shared" si="74"/>
        <v>0</v>
      </c>
      <c r="FJ76" s="3">
        <f t="shared" si="74"/>
        <v>0</v>
      </c>
      <c r="FK76" s="3">
        <f t="shared" si="74"/>
        <v>0</v>
      </c>
      <c r="FL76" s="3">
        <f t="shared" si="74"/>
        <v>0</v>
      </c>
      <c r="FM76" s="3">
        <f t="shared" si="74"/>
        <v>0</v>
      </c>
      <c r="FN76" s="3">
        <f t="shared" si="74"/>
        <v>0</v>
      </c>
      <c r="FO76" s="3">
        <f t="shared" si="74"/>
        <v>0</v>
      </c>
      <c r="FP76" s="3">
        <f t="shared" si="74"/>
        <v>0</v>
      </c>
      <c r="FQ76" s="3">
        <f t="shared" si="74"/>
        <v>0</v>
      </c>
      <c r="FR76" s="3">
        <f t="shared" si="74"/>
        <v>0</v>
      </c>
      <c r="FS76" s="3">
        <f t="shared" ref="FS76:GX76" si="75">FS84</f>
        <v>0</v>
      </c>
      <c r="FT76" s="3">
        <f t="shared" si="75"/>
        <v>0</v>
      </c>
      <c r="FU76" s="3">
        <f t="shared" si="75"/>
        <v>0</v>
      </c>
      <c r="FV76" s="3">
        <f t="shared" si="75"/>
        <v>0</v>
      </c>
      <c r="FW76" s="3">
        <f t="shared" si="75"/>
        <v>0</v>
      </c>
      <c r="FX76" s="3">
        <f t="shared" si="75"/>
        <v>0</v>
      </c>
      <c r="FY76" s="3">
        <f t="shared" si="75"/>
        <v>0</v>
      </c>
      <c r="FZ76" s="3">
        <f t="shared" si="75"/>
        <v>0</v>
      </c>
      <c r="GA76" s="3">
        <f t="shared" si="75"/>
        <v>0</v>
      </c>
      <c r="GB76" s="3">
        <f t="shared" si="75"/>
        <v>0</v>
      </c>
      <c r="GC76" s="3">
        <f t="shared" si="75"/>
        <v>0</v>
      </c>
      <c r="GD76" s="3">
        <f t="shared" si="75"/>
        <v>0</v>
      </c>
      <c r="GE76" s="3">
        <f t="shared" si="75"/>
        <v>0</v>
      </c>
      <c r="GF76" s="3">
        <f t="shared" si="75"/>
        <v>0</v>
      </c>
      <c r="GG76" s="3">
        <f t="shared" si="75"/>
        <v>0</v>
      </c>
      <c r="GH76" s="3">
        <f t="shared" si="75"/>
        <v>0</v>
      </c>
      <c r="GI76" s="3">
        <f t="shared" si="75"/>
        <v>0</v>
      </c>
      <c r="GJ76" s="3">
        <f t="shared" si="75"/>
        <v>0</v>
      </c>
      <c r="GK76" s="3">
        <f t="shared" si="75"/>
        <v>0</v>
      </c>
      <c r="GL76" s="3">
        <f t="shared" si="75"/>
        <v>0</v>
      </c>
      <c r="GM76" s="3">
        <f t="shared" si="75"/>
        <v>0</v>
      </c>
      <c r="GN76" s="3">
        <f t="shared" si="75"/>
        <v>0</v>
      </c>
      <c r="GO76" s="3">
        <f t="shared" si="75"/>
        <v>0</v>
      </c>
      <c r="GP76" s="3">
        <f t="shared" si="75"/>
        <v>0</v>
      </c>
      <c r="GQ76" s="3">
        <f t="shared" si="75"/>
        <v>0</v>
      </c>
      <c r="GR76" s="3">
        <f t="shared" si="75"/>
        <v>0</v>
      </c>
      <c r="GS76" s="3">
        <f t="shared" si="75"/>
        <v>0</v>
      </c>
      <c r="GT76" s="3">
        <f t="shared" si="75"/>
        <v>0</v>
      </c>
      <c r="GU76" s="3">
        <f t="shared" si="75"/>
        <v>0</v>
      </c>
      <c r="GV76" s="3">
        <f t="shared" si="75"/>
        <v>0</v>
      </c>
      <c r="GW76" s="3">
        <f t="shared" si="75"/>
        <v>0</v>
      </c>
      <c r="GX76" s="3">
        <f t="shared" si="75"/>
        <v>0</v>
      </c>
    </row>
    <row r="78" spans="1:245" x14ac:dyDescent="0.2">
      <c r="A78">
        <v>17</v>
      </c>
      <c r="B78">
        <v>1</v>
      </c>
      <c r="C78">
        <f>ROW(SmtRes!A37)</f>
        <v>37</v>
      </c>
      <c r="D78">
        <f>ROW(EtalonRes!A39)</f>
        <v>39</v>
      </c>
      <c r="E78" t="s">
        <v>145</v>
      </c>
      <c r="F78" t="s">
        <v>146</v>
      </c>
      <c r="G78" t="s">
        <v>147</v>
      </c>
      <c r="H78" t="s">
        <v>148</v>
      </c>
      <c r="I78">
        <f>ROUND(1318.05/100,9)</f>
        <v>13.1805</v>
      </c>
      <c r="J78">
        <v>0</v>
      </c>
      <c r="K78">
        <f>ROUND(1318.05/100,9)</f>
        <v>13.1805</v>
      </c>
      <c r="O78">
        <f>ROUND(CP78,2)</f>
        <v>121696.2</v>
      </c>
      <c r="P78">
        <f>ROUND((ROUND((AC78*AW78*I78),2)*BC78),2)</f>
        <v>13109.73</v>
      </c>
      <c r="Q78">
        <f>(ROUND((ROUND((((ET78*1.05))*AV78*I78),2)*BB78),2)+ROUND((ROUND(((AE78-((EU78*1.05)))*AV78*I78),2)*BS78),2))</f>
        <v>9387.4699999999993</v>
      </c>
      <c r="R78">
        <f>ROUND((ROUND((AE78*AV78*I78),2)*BS78),2)</f>
        <v>3281.9</v>
      </c>
      <c r="S78">
        <f>ROUND((ROUND((AF78*AV78*I78),2)*BA78),2)</f>
        <v>99199</v>
      </c>
      <c r="T78">
        <f>ROUND(CU78*I78,2)</f>
        <v>0</v>
      </c>
      <c r="U78">
        <f>CV78*I78</f>
        <v>233.31501616499997</v>
      </c>
      <c r="V78">
        <f>CW78*I78</f>
        <v>0</v>
      </c>
      <c r="W78">
        <f>ROUND(CX78*I78,2)</f>
        <v>0</v>
      </c>
      <c r="X78">
        <f t="shared" ref="X78:Y82" si="76">ROUND(CY78,2)</f>
        <v>91263.08</v>
      </c>
      <c r="Y78">
        <f t="shared" si="76"/>
        <v>42655.57</v>
      </c>
      <c r="AA78">
        <v>57737055</v>
      </c>
      <c r="AB78">
        <f>ROUND((AC78+AD78+AF78),6)</f>
        <v>312.77300000000002</v>
      </c>
      <c r="AC78">
        <f>ROUND((ES78),6)</f>
        <v>52.94</v>
      </c>
      <c r="AD78">
        <f>ROUND(((((ET78*1.05))-((EU78*1.05)))+AE78),6)</f>
        <v>55.44</v>
      </c>
      <c r="AE78">
        <f>ROUND(((EU78*1.05)),6)</f>
        <v>6.7619999999999996</v>
      </c>
      <c r="AF78">
        <f>ROUND(((EV78*1.05)),6)</f>
        <v>204.393</v>
      </c>
      <c r="AG78">
        <f>ROUND((AP78),6)</f>
        <v>0</v>
      </c>
      <c r="AH78">
        <f>((EW78*1.05))</f>
        <v>16.59</v>
      </c>
      <c r="AI78">
        <f>((EX78*1.05))</f>
        <v>0</v>
      </c>
      <c r="AJ78">
        <f>(AS78)</f>
        <v>0</v>
      </c>
      <c r="AK78">
        <v>300.39999999999998</v>
      </c>
      <c r="AL78">
        <v>52.94</v>
      </c>
      <c r="AM78">
        <v>52.8</v>
      </c>
      <c r="AN78">
        <v>6.44</v>
      </c>
      <c r="AO78">
        <v>194.66</v>
      </c>
      <c r="AP78">
        <v>0</v>
      </c>
      <c r="AQ78">
        <v>15.8</v>
      </c>
      <c r="AR78">
        <v>0</v>
      </c>
      <c r="AS78">
        <v>0</v>
      </c>
      <c r="AT78">
        <v>92</v>
      </c>
      <c r="AU78">
        <v>43</v>
      </c>
      <c r="AV78">
        <v>1.0669999999999999</v>
      </c>
      <c r="AW78">
        <v>1.081</v>
      </c>
      <c r="AZ78">
        <v>1</v>
      </c>
      <c r="BA78">
        <v>34.51</v>
      </c>
      <c r="BB78">
        <v>12.04</v>
      </c>
      <c r="BC78">
        <v>17.38</v>
      </c>
      <c r="BD78" t="s">
        <v>3</v>
      </c>
      <c r="BE78" t="s">
        <v>3</v>
      </c>
      <c r="BF78" t="s">
        <v>3</v>
      </c>
      <c r="BG78" t="s">
        <v>3</v>
      </c>
      <c r="BH78">
        <v>0</v>
      </c>
      <c r="BI78">
        <v>2</v>
      </c>
      <c r="BJ78" t="s">
        <v>149</v>
      </c>
      <c r="BM78">
        <v>318</v>
      </c>
      <c r="BN78">
        <v>0</v>
      </c>
      <c r="BO78" t="s">
        <v>146</v>
      </c>
      <c r="BP78">
        <v>1</v>
      </c>
      <c r="BQ78">
        <v>40</v>
      </c>
      <c r="BR78">
        <v>0</v>
      </c>
      <c r="BS78">
        <v>34.51</v>
      </c>
      <c r="BT78">
        <v>1</v>
      </c>
      <c r="BU78">
        <v>1</v>
      </c>
      <c r="BV78">
        <v>1</v>
      </c>
      <c r="BW78">
        <v>1</v>
      </c>
      <c r="BX78">
        <v>1</v>
      </c>
      <c r="BY78" t="s">
        <v>3</v>
      </c>
      <c r="BZ78">
        <v>92</v>
      </c>
      <c r="CA78">
        <v>43</v>
      </c>
      <c r="CB78" t="s">
        <v>3</v>
      </c>
      <c r="CE78">
        <v>30</v>
      </c>
      <c r="CF78">
        <v>0</v>
      </c>
      <c r="CG78">
        <v>0</v>
      </c>
      <c r="CM78">
        <v>0</v>
      </c>
      <c r="CN78" t="s">
        <v>295</v>
      </c>
      <c r="CO78">
        <v>0</v>
      </c>
      <c r="CP78">
        <f>(P78+Q78+S78)</f>
        <v>121696.2</v>
      </c>
      <c r="CQ78">
        <f>ROUND((ROUND((AC78*AW78*1),2)*BC78),2)</f>
        <v>994.66</v>
      </c>
      <c r="CR78">
        <f>(ROUND((ROUND((((ET78*1.05))*AV78*1),2)*BB78),2)+ROUND((ROUND(((AE78-((EU78*1.05)))*AV78*1),2)*BS78),2))</f>
        <v>712.17</v>
      </c>
      <c r="CS78">
        <f>ROUND((ROUND((AE78*AV78*1),2)*BS78),2)</f>
        <v>249.16</v>
      </c>
      <c r="CT78">
        <f>ROUND((ROUND((AF78*AV78*1),2)*BA78),2)</f>
        <v>7526.29</v>
      </c>
      <c r="CU78">
        <f>AG78</f>
        <v>0</v>
      </c>
      <c r="CV78">
        <f>(AH78*AV78)</f>
        <v>17.701529999999998</v>
      </c>
      <c r="CW78">
        <f t="shared" ref="CW78:CX82" si="77">AI78</f>
        <v>0</v>
      </c>
      <c r="CX78">
        <f t="shared" si="77"/>
        <v>0</v>
      </c>
      <c r="CY78">
        <f>S78*(BZ78/100)</f>
        <v>91263.08</v>
      </c>
      <c r="CZ78">
        <f>S78*(CA78/100)</f>
        <v>42655.57</v>
      </c>
      <c r="DB78">
        <v>10</v>
      </c>
      <c r="DC78" t="s">
        <v>3</v>
      </c>
      <c r="DD78" t="s">
        <v>3</v>
      </c>
      <c r="DE78" t="s">
        <v>24</v>
      </c>
      <c r="DF78" t="s">
        <v>24</v>
      </c>
      <c r="DG78" t="s">
        <v>24</v>
      </c>
      <c r="DH78" t="s">
        <v>3</v>
      </c>
      <c r="DI78" t="s">
        <v>24</v>
      </c>
      <c r="DJ78" t="s">
        <v>24</v>
      </c>
      <c r="DK78" t="s">
        <v>3</v>
      </c>
      <c r="DL78" t="s">
        <v>3</v>
      </c>
      <c r="DM78" t="s">
        <v>3</v>
      </c>
      <c r="DN78">
        <v>112</v>
      </c>
      <c r="DO78">
        <v>70</v>
      </c>
      <c r="DP78">
        <v>1.0669999999999999</v>
      </c>
      <c r="DQ78">
        <v>1.081</v>
      </c>
      <c r="DU78">
        <v>1013</v>
      </c>
      <c r="DV78" t="s">
        <v>148</v>
      </c>
      <c r="DW78" t="s">
        <v>148</v>
      </c>
      <c r="DX78">
        <v>1</v>
      </c>
      <c r="DZ78" t="s">
        <v>3</v>
      </c>
      <c r="EA78" t="s">
        <v>3</v>
      </c>
      <c r="EB78" t="s">
        <v>3</v>
      </c>
      <c r="EC78" t="s">
        <v>3</v>
      </c>
      <c r="EE78">
        <v>51696357</v>
      </c>
      <c r="EF78">
        <v>40</v>
      </c>
      <c r="EG78" t="s">
        <v>79</v>
      </c>
      <c r="EH78">
        <v>0</v>
      </c>
      <c r="EI78" t="s">
        <v>3</v>
      </c>
      <c r="EJ78">
        <v>2</v>
      </c>
      <c r="EK78">
        <v>318</v>
      </c>
      <c r="EL78" t="s">
        <v>150</v>
      </c>
      <c r="EM78" t="s">
        <v>151</v>
      </c>
      <c r="EO78" t="s">
        <v>27</v>
      </c>
      <c r="EQ78">
        <v>131072</v>
      </c>
      <c r="ER78">
        <v>300.39999999999998</v>
      </c>
      <c r="ES78">
        <v>52.94</v>
      </c>
      <c r="ET78">
        <v>52.8</v>
      </c>
      <c r="EU78">
        <v>6.44</v>
      </c>
      <c r="EV78">
        <v>194.66</v>
      </c>
      <c r="EW78">
        <v>15.8</v>
      </c>
      <c r="EX78">
        <v>0</v>
      </c>
      <c r="EY78">
        <v>0</v>
      </c>
      <c r="FQ78">
        <v>0</v>
      </c>
      <c r="FR78">
        <v>0</v>
      </c>
      <c r="FS78">
        <v>2</v>
      </c>
      <c r="FX78">
        <v>112</v>
      </c>
      <c r="FY78">
        <v>70</v>
      </c>
      <c r="GA78" t="s">
        <v>3</v>
      </c>
      <c r="GD78">
        <v>0</v>
      </c>
      <c r="GF78">
        <v>2013852604</v>
      </c>
      <c r="GG78">
        <v>2</v>
      </c>
      <c r="GH78">
        <v>1</v>
      </c>
      <c r="GI78">
        <v>2</v>
      </c>
      <c r="GJ78">
        <v>0</v>
      </c>
      <c r="GK78">
        <f>ROUND(R78*(R12)/100,2)</f>
        <v>5251.04</v>
      </c>
      <c r="GL78">
        <f>ROUND(IF(AND(BH78=3,BI78=3,FS78&lt;&gt;0),P78,0),2)</f>
        <v>0</v>
      </c>
      <c r="GM78">
        <f>ROUND(O78+X78+Y78+GK78,2)+GX78</f>
        <v>260865.89</v>
      </c>
      <c r="GN78">
        <f>IF(OR(BI78=0,BI78=1),GM78-GX78,0)</f>
        <v>0</v>
      </c>
      <c r="GO78">
        <f>IF(BI78=2,GM78-GX78,0)</f>
        <v>260865.89</v>
      </c>
      <c r="GP78">
        <f>IF(BI78=4,GM78-GX78,0)</f>
        <v>0</v>
      </c>
      <c r="GR78">
        <v>0</v>
      </c>
      <c r="GS78">
        <v>3</v>
      </c>
      <c r="GT78">
        <v>0</v>
      </c>
      <c r="GU78" t="s">
        <v>3</v>
      </c>
      <c r="GV78">
        <f>ROUND((GT78),6)</f>
        <v>0</v>
      </c>
      <c r="GW78">
        <v>1</v>
      </c>
      <c r="GX78">
        <f>ROUND(HC78*I78,2)</f>
        <v>0</v>
      </c>
      <c r="HA78">
        <v>0</v>
      </c>
      <c r="HB78">
        <v>0</v>
      </c>
      <c r="HC78">
        <f>GV78*GW78</f>
        <v>0</v>
      </c>
      <c r="HE78" t="s">
        <v>3</v>
      </c>
      <c r="HF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HS78">
        <v>0</v>
      </c>
      <c r="IK78">
        <v>0</v>
      </c>
    </row>
    <row r="79" spans="1:245" x14ac:dyDescent="0.2">
      <c r="A79">
        <v>18</v>
      </c>
      <c r="B79">
        <v>1</v>
      </c>
      <c r="C79">
        <v>37</v>
      </c>
      <c r="E79" t="s">
        <v>152</v>
      </c>
      <c r="F79" t="s">
        <v>153</v>
      </c>
      <c r="G79" t="s">
        <v>154</v>
      </c>
      <c r="H79" t="s">
        <v>155</v>
      </c>
      <c r="I79">
        <f>I78*J79</f>
        <v>1.344411</v>
      </c>
      <c r="J79">
        <v>0.10199999999999999</v>
      </c>
      <c r="K79">
        <v>0.10199999999999999</v>
      </c>
      <c r="O79">
        <f>ROUND(CP79,2)</f>
        <v>870348.66</v>
      </c>
      <c r="P79">
        <f>ROUND((ROUND((AC79*AW79*I79),2)*BC79),2)</f>
        <v>870348.66</v>
      </c>
      <c r="Q79">
        <f>(ROUND((ROUND(((ET79)*AV79*I79),2)*BB79),2)+ROUND((ROUND(((AE79-(EU79))*AV79*I79),2)*BS79),2))</f>
        <v>0</v>
      </c>
      <c r="R79">
        <f>ROUND((ROUND((AE79*AV79*I79),2)*BS79),2)</f>
        <v>0</v>
      </c>
      <c r="S79">
        <f>ROUND((ROUND((AF79*AV79*I79),2)*BA79),2)</f>
        <v>0</v>
      </c>
      <c r="T79">
        <f>ROUND(CU79*I79,2)</f>
        <v>0</v>
      </c>
      <c r="U79">
        <f>CV79*I79</f>
        <v>0</v>
      </c>
      <c r="V79">
        <f>CW79*I79</f>
        <v>0</v>
      </c>
      <c r="W79">
        <f>ROUND(CX79*I79,2)</f>
        <v>0</v>
      </c>
      <c r="X79">
        <f t="shared" si="76"/>
        <v>0</v>
      </c>
      <c r="Y79">
        <f t="shared" si="76"/>
        <v>0</v>
      </c>
      <c r="AA79">
        <v>57737055</v>
      </c>
      <c r="AB79">
        <f>ROUND((AC79+AD79+AF79),6)</f>
        <v>81534.37</v>
      </c>
      <c r="AC79">
        <f>ROUND((ES79),6)</f>
        <v>81534.37</v>
      </c>
      <c r="AD79">
        <f>ROUND((((ET79)-(EU79))+AE79),6)</f>
        <v>0</v>
      </c>
      <c r="AE79">
        <f>ROUND((EU79),6)</f>
        <v>0</v>
      </c>
      <c r="AF79">
        <f>ROUND((EV79),6)</f>
        <v>0</v>
      </c>
      <c r="AG79">
        <f>ROUND((AP79),6)</f>
        <v>0</v>
      </c>
      <c r="AH79">
        <f>(EW79)</f>
        <v>0</v>
      </c>
      <c r="AI79">
        <f>(EX79)</f>
        <v>0</v>
      </c>
      <c r="AJ79">
        <f>(AS79)</f>
        <v>0</v>
      </c>
      <c r="AK79">
        <v>81534.37</v>
      </c>
      <c r="AL79">
        <v>81534.37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Z79">
        <v>1</v>
      </c>
      <c r="BA79">
        <v>1</v>
      </c>
      <c r="BB79">
        <v>1</v>
      </c>
      <c r="BC79">
        <v>7.94</v>
      </c>
      <c r="BD79" t="s">
        <v>3</v>
      </c>
      <c r="BE79" t="s">
        <v>3</v>
      </c>
      <c r="BF79" t="s">
        <v>3</v>
      </c>
      <c r="BG79" t="s">
        <v>3</v>
      </c>
      <c r="BH79">
        <v>3</v>
      </c>
      <c r="BI79">
        <v>2</v>
      </c>
      <c r="BJ79" t="s">
        <v>156</v>
      </c>
      <c r="BM79">
        <v>318</v>
      </c>
      <c r="BN79">
        <v>0</v>
      </c>
      <c r="BO79" t="s">
        <v>153</v>
      </c>
      <c r="BP79">
        <v>1</v>
      </c>
      <c r="BQ79">
        <v>40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 t="s">
        <v>3</v>
      </c>
      <c r="BZ79">
        <v>0</v>
      </c>
      <c r="CA79">
        <v>0</v>
      </c>
      <c r="CB79" t="s">
        <v>3</v>
      </c>
      <c r="CE79">
        <v>30</v>
      </c>
      <c r="CF79">
        <v>0</v>
      </c>
      <c r="CG79">
        <v>0</v>
      </c>
      <c r="CM79">
        <v>0</v>
      </c>
      <c r="CN79" t="s">
        <v>3</v>
      </c>
      <c r="CO79">
        <v>0</v>
      </c>
      <c r="CP79">
        <f>(P79+Q79+S79)</f>
        <v>870348.66</v>
      </c>
      <c r="CQ79">
        <f>ROUND((ROUND((AC79*AW79*1),2)*BC79),2)</f>
        <v>647382.9</v>
      </c>
      <c r="CR79">
        <f>(ROUND((ROUND(((ET79)*AV79*1),2)*BB79),2)+ROUND((ROUND(((AE79-(EU79))*AV79*1),2)*BS79),2))</f>
        <v>0</v>
      </c>
      <c r="CS79">
        <f>ROUND((ROUND((AE79*AV79*1),2)*BS79),2)</f>
        <v>0</v>
      </c>
      <c r="CT79">
        <f>ROUND((ROUND((AF79*AV79*1),2)*BA79),2)</f>
        <v>0</v>
      </c>
      <c r="CU79">
        <f>AG79</f>
        <v>0</v>
      </c>
      <c r="CV79">
        <f>(AH79*AV79)</f>
        <v>0</v>
      </c>
      <c r="CW79">
        <f t="shared" si="77"/>
        <v>0</v>
      </c>
      <c r="CX79">
        <f t="shared" si="77"/>
        <v>0</v>
      </c>
      <c r="CY79">
        <f>S79*(BZ79/100)</f>
        <v>0</v>
      </c>
      <c r="CZ79">
        <f>S79*(CA79/100)</f>
        <v>0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>
        <v>112</v>
      </c>
      <c r="DO79">
        <v>70</v>
      </c>
      <c r="DP79">
        <v>1.0669999999999999</v>
      </c>
      <c r="DQ79">
        <v>1</v>
      </c>
      <c r="DU79">
        <v>1003</v>
      </c>
      <c r="DV79" t="s">
        <v>155</v>
      </c>
      <c r="DW79" t="s">
        <v>155</v>
      </c>
      <c r="DX79">
        <v>1000</v>
      </c>
      <c r="DZ79" t="s">
        <v>3</v>
      </c>
      <c r="EA79" t="s">
        <v>3</v>
      </c>
      <c r="EB79" t="s">
        <v>3</v>
      </c>
      <c r="EC79" t="s">
        <v>3</v>
      </c>
      <c r="EE79">
        <v>51696357</v>
      </c>
      <c r="EF79">
        <v>40</v>
      </c>
      <c r="EG79" t="s">
        <v>79</v>
      </c>
      <c r="EH79">
        <v>0</v>
      </c>
      <c r="EI79" t="s">
        <v>3</v>
      </c>
      <c r="EJ79">
        <v>2</v>
      </c>
      <c r="EK79">
        <v>318</v>
      </c>
      <c r="EL79" t="s">
        <v>150</v>
      </c>
      <c r="EM79" t="s">
        <v>151</v>
      </c>
      <c r="EO79" t="s">
        <v>3</v>
      </c>
      <c r="EQ79">
        <v>0</v>
      </c>
      <c r="ER79">
        <v>81534.37</v>
      </c>
      <c r="ES79">
        <v>81534.37</v>
      </c>
      <c r="ET79">
        <v>0</v>
      </c>
      <c r="EU79">
        <v>0</v>
      </c>
      <c r="EV79">
        <v>0</v>
      </c>
      <c r="EW79">
        <v>0</v>
      </c>
      <c r="EX79">
        <v>0</v>
      </c>
      <c r="FQ79">
        <v>0</v>
      </c>
      <c r="FR79">
        <v>0</v>
      </c>
      <c r="FS79">
        <v>0</v>
      </c>
      <c r="FX79">
        <v>112</v>
      </c>
      <c r="FY79">
        <v>70</v>
      </c>
      <c r="GA79" t="s">
        <v>3</v>
      </c>
      <c r="GD79">
        <v>0</v>
      </c>
      <c r="GF79">
        <v>61579043</v>
      </c>
      <c r="GG79">
        <v>2</v>
      </c>
      <c r="GH79">
        <v>1</v>
      </c>
      <c r="GI79">
        <v>2</v>
      </c>
      <c r="GJ79">
        <v>0</v>
      </c>
      <c r="GK79">
        <f>ROUND(R79*(R12)/100,2)</f>
        <v>0</v>
      </c>
      <c r="GL79">
        <f>ROUND(IF(AND(BH79=3,BI79=3,FS79&lt;&gt;0),P79,0),2)</f>
        <v>0</v>
      </c>
      <c r="GM79">
        <f>ROUND(O79+X79+Y79+GK79,2)+GX79</f>
        <v>870348.66</v>
      </c>
      <c r="GN79">
        <f>IF(OR(BI79=0,BI79=1),GM79-GX79,0)</f>
        <v>0</v>
      </c>
      <c r="GO79">
        <f>IF(BI79=2,GM79-GX79,0)</f>
        <v>870348.66</v>
      </c>
      <c r="GP79">
        <f>IF(BI79=4,GM79-GX79,0)</f>
        <v>0</v>
      </c>
      <c r="GR79">
        <v>0</v>
      </c>
      <c r="GS79">
        <v>3</v>
      </c>
      <c r="GT79">
        <v>0</v>
      </c>
      <c r="GU79" t="s">
        <v>3</v>
      </c>
      <c r="GV79">
        <f>ROUND((GT79),6)</f>
        <v>0</v>
      </c>
      <c r="GW79">
        <v>1</v>
      </c>
      <c r="GX79">
        <f>ROUND(HC79*I79,2)</f>
        <v>0</v>
      </c>
      <c r="HA79">
        <v>0</v>
      </c>
      <c r="HB79">
        <v>0</v>
      </c>
      <c r="HC79">
        <f>GV79*GW79</f>
        <v>0</v>
      </c>
      <c r="HE79" t="s">
        <v>3</v>
      </c>
      <c r="HF79" t="s">
        <v>3</v>
      </c>
      <c r="HM79" t="s">
        <v>3</v>
      </c>
      <c r="HN79" t="s">
        <v>3</v>
      </c>
      <c r="HO79" t="s">
        <v>3</v>
      </c>
      <c r="HP79" t="s">
        <v>3</v>
      </c>
      <c r="HQ79" t="s">
        <v>3</v>
      </c>
      <c r="HS79">
        <v>0</v>
      </c>
      <c r="IK79">
        <v>0</v>
      </c>
    </row>
    <row r="80" spans="1:245" x14ac:dyDescent="0.2">
      <c r="A80">
        <v>17</v>
      </c>
      <c r="B80">
        <v>1</v>
      </c>
      <c r="E80" t="s">
        <v>157</v>
      </c>
      <c r="F80" t="s">
        <v>153</v>
      </c>
      <c r="G80" t="s">
        <v>154</v>
      </c>
      <c r="H80" t="s">
        <v>155</v>
      </c>
      <c r="I80">
        <v>0</v>
      </c>
      <c r="J80">
        <v>0</v>
      </c>
      <c r="K80">
        <v>0</v>
      </c>
      <c r="O80">
        <f>ROUND(CP80,2)</f>
        <v>0</v>
      </c>
      <c r="P80">
        <f>ROUND((ROUND((AC80*AW80*I80),2)*BC80),2)</f>
        <v>0</v>
      </c>
      <c r="Q80">
        <f>(ROUND((ROUND((((ET80*1.05))*AV80*I80),2)*BB80),2)+ROUND((ROUND(((AE80-((EU80*1.05)))*AV80*I80),2)*BS80),2))</f>
        <v>0</v>
      </c>
      <c r="R80">
        <f>ROUND((ROUND((AE80*AV80*I80),2)*BS80),2)</f>
        <v>0</v>
      </c>
      <c r="S80">
        <f>ROUND((ROUND((AF80*AV80*I80),2)*BA80),2)</f>
        <v>0</v>
      </c>
      <c r="T80">
        <f>ROUND(CU80*I80,2)</f>
        <v>0</v>
      </c>
      <c r="U80">
        <f>CV80*I80</f>
        <v>0</v>
      </c>
      <c r="V80">
        <f>CW80*I80</f>
        <v>0</v>
      </c>
      <c r="W80">
        <f>ROUND(CX80*I80,2)</f>
        <v>0</v>
      </c>
      <c r="X80">
        <f t="shared" si="76"/>
        <v>0</v>
      </c>
      <c r="Y80">
        <f t="shared" si="76"/>
        <v>0</v>
      </c>
      <c r="AA80">
        <v>57737055</v>
      </c>
      <c r="AB80">
        <f>ROUND((AC80+AD80+AF80),6)</f>
        <v>81534.37</v>
      </c>
      <c r="AC80">
        <f>ROUND((ES80),6)</f>
        <v>81534.37</v>
      </c>
      <c r="AD80">
        <f>ROUND(((((ET80*1.05))-((EU80*1.05)))+AE80),6)</f>
        <v>0</v>
      </c>
      <c r="AE80">
        <f t="shared" ref="AE80:AF82" si="78">ROUND(((EU80*1.05)),6)</f>
        <v>0</v>
      </c>
      <c r="AF80">
        <f t="shared" si="78"/>
        <v>0</v>
      </c>
      <c r="AG80">
        <f>ROUND((AP80),6)</f>
        <v>0</v>
      </c>
      <c r="AH80">
        <f t="shared" ref="AH80:AI82" si="79">((EW80*1.05))</f>
        <v>0</v>
      </c>
      <c r="AI80">
        <f t="shared" si="79"/>
        <v>0</v>
      </c>
      <c r="AJ80">
        <f>(AS80)</f>
        <v>0</v>
      </c>
      <c r="AK80">
        <v>81534.37</v>
      </c>
      <c r="AL80">
        <v>81534.37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Z80">
        <v>1</v>
      </c>
      <c r="BA80">
        <v>1</v>
      </c>
      <c r="BB80">
        <v>1</v>
      </c>
      <c r="BC80">
        <v>7.94</v>
      </c>
      <c r="BD80" t="s">
        <v>3</v>
      </c>
      <c r="BE80" t="s">
        <v>3</v>
      </c>
      <c r="BF80" t="s">
        <v>3</v>
      </c>
      <c r="BG80" t="s">
        <v>3</v>
      </c>
      <c r="BH80">
        <v>3</v>
      </c>
      <c r="BI80">
        <v>2</v>
      </c>
      <c r="BJ80" t="s">
        <v>156</v>
      </c>
      <c r="BM80">
        <v>1618</v>
      </c>
      <c r="BN80">
        <v>0</v>
      </c>
      <c r="BO80" t="s">
        <v>153</v>
      </c>
      <c r="BP80">
        <v>1</v>
      </c>
      <c r="BQ80">
        <v>201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 t="s">
        <v>3</v>
      </c>
      <c r="BZ80">
        <v>0</v>
      </c>
      <c r="CA80">
        <v>0</v>
      </c>
      <c r="CB80" t="s">
        <v>3</v>
      </c>
      <c r="CE80">
        <v>30</v>
      </c>
      <c r="CF80">
        <v>0</v>
      </c>
      <c r="CG80">
        <v>0</v>
      </c>
      <c r="CM80">
        <v>0</v>
      </c>
      <c r="CN80" t="s">
        <v>295</v>
      </c>
      <c r="CO80">
        <v>0</v>
      </c>
      <c r="CP80">
        <f>(P80+Q80+S80)</f>
        <v>0</v>
      </c>
      <c r="CQ80">
        <f>ROUND((ROUND((AC80*AW80*1),2)*BC80),2)</f>
        <v>647382.9</v>
      </c>
      <c r="CR80">
        <f>(ROUND((ROUND((((ET80*1.05))*AV80*1),2)*BB80),2)+ROUND((ROUND(((AE80-((EU80*1.05)))*AV80*1),2)*BS80),2))</f>
        <v>0</v>
      </c>
      <c r="CS80">
        <f>ROUND((ROUND((AE80*AV80*1),2)*BS80),2)</f>
        <v>0</v>
      </c>
      <c r="CT80">
        <f>ROUND((ROUND((AF80*AV80*1),2)*BA80),2)</f>
        <v>0</v>
      </c>
      <c r="CU80">
        <f>AG80</f>
        <v>0</v>
      </c>
      <c r="CV80">
        <f>(AH80*AV80)</f>
        <v>0</v>
      </c>
      <c r="CW80">
        <f t="shared" si="77"/>
        <v>0</v>
      </c>
      <c r="CX80">
        <f t="shared" si="77"/>
        <v>0</v>
      </c>
      <c r="CY80">
        <f>S80*(BZ80/100)</f>
        <v>0</v>
      </c>
      <c r="CZ80">
        <f>S80*(CA80/100)</f>
        <v>0</v>
      </c>
      <c r="DB80">
        <v>11</v>
      </c>
      <c r="DC80" t="s">
        <v>3</v>
      </c>
      <c r="DD80" t="s">
        <v>3</v>
      </c>
      <c r="DE80" t="s">
        <v>24</v>
      </c>
      <c r="DF80" t="s">
        <v>24</v>
      </c>
      <c r="DG80" t="s">
        <v>24</v>
      </c>
      <c r="DH80" t="s">
        <v>3</v>
      </c>
      <c r="DI80" t="s">
        <v>24</v>
      </c>
      <c r="DJ80" t="s">
        <v>24</v>
      </c>
      <c r="DK80" t="s">
        <v>3</v>
      </c>
      <c r="DL80" t="s">
        <v>3</v>
      </c>
      <c r="DM80" t="s">
        <v>3</v>
      </c>
      <c r="DN80">
        <v>0</v>
      </c>
      <c r="DO80">
        <v>0</v>
      </c>
      <c r="DP80">
        <v>1</v>
      </c>
      <c r="DQ80">
        <v>1</v>
      </c>
      <c r="DU80">
        <v>1003</v>
      </c>
      <c r="DV80" t="s">
        <v>155</v>
      </c>
      <c r="DW80" t="s">
        <v>155</v>
      </c>
      <c r="DX80">
        <v>1000</v>
      </c>
      <c r="DZ80" t="s">
        <v>3</v>
      </c>
      <c r="EA80" t="s">
        <v>3</v>
      </c>
      <c r="EB80" t="s">
        <v>3</v>
      </c>
      <c r="EC80" t="s">
        <v>3</v>
      </c>
      <c r="EE80">
        <v>51697657</v>
      </c>
      <c r="EF80">
        <v>201</v>
      </c>
      <c r="EG80" t="s">
        <v>158</v>
      </c>
      <c r="EH80">
        <v>0</v>
      </c>
      <c r="EI80" t="s">
        <v>3</v>
      </c>
      <c r="EJ80">
        <v>2</v>
      </c>
      <c r="EK80">
        <v>1618</v>
      </c>
      <c r="EL80" t="s">
        <v>159</v>
      </c>
      <c r="EM80" t="s">
        <v>160</v>
      </c>
      <c r="EO80" t="s">
        <v>27</v>
      </c>
      <c r="EQ80">
        <v>131072</v>
      </c>
      <c r="ER80">
        <v>81534.37</v>
      </c>
      <c r="ES80">
        <v>81534.37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FQ80">
        <v>0</v>
      </c>
      <c r="FR80">
        <v>0</v>
      </c>
      <c r="FS80">
        <v>0</v>
      </c>
      <c r="FX80">
        <v>0</v>
      </c>
      <c r="FY80">
        <v>0</v>
      </c>
      <c r="GA80" t="s">
        <v>3</v>
      </c>
      <c r="GD80">
        <v>0</v>
      </c>
      <c r="GF80">
        <v>61579043</v>
      </c>
      <c r="GG80">
        <v>2</v>
      </c>
      <c r="GH80">
        <v>1</v>
      </c>
      <c r="GI80">
        <v>2</v>
      </c>
      <c r="GJ80">
        <v>0</v>
      </c>
      <c r="GK80">
        <f>ROUND(R80*(R12)/100,2)</f>
        <v>0</v>
      </c>
      <c r="GL80">
        <f>ROUND(IF(AND(BH80=3,BI80=3,FS80&lt;&gt;0),P80,0),2)</f>
        <v>0</v>
      </c>
      <c r="GM80">
        <f>ROUND(O80+X80+Y80+GK80,2)+GX80</f>
        <v>0</v>
      </c>
      <c r="GN80">
        <f>IF(OR(BI80=0,BI80=1),GM80-GX80,0)</f>
        <v>0</v>
      </c>
      <c r="GO80">
        <f>IF(BI80=2,GM80-GX80,0)</f>
        <v>0</v>
      </c>
      <c r="GP80">
        <f>IF(BI80=4,GM80-GX80,0)</f>
        <v>0</v>
      </c>
      <c r="GR80">
        <v>0</v>
      </c>
      <c r="GS80">
        <v>3</v>
      </c>
      <c r="GT80">
        <v>0</v>
      </c>
      <c r="GU80" t="s">
        <v>3</v>
      </c>
      <c r="GV80">
        <f>ROUND((GT80),6)</f>
        <v>0</v>
      </c>
      <c r="GW80">
        <v>1</v>
      </c>
      <c r="GX80">
        <f>ROUND(HC80*I80,2)</f>
        <v>0</v>
      </c>
      <c r="HA80">
        <v>0</v>
      </c>
      <c r="HB80">
        <v>0</v>
      </c>
      <c r="HC80">
        <f>GV80*GW80</f>
        <v>0</v>
      </c>
      <c r="HE80" t="s">
        <v>3</v>
      </c>
      <c r="HF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HS80">
        <v>0</v>
      </c>
      <c r="IK80">
        <v>0</v>
      </c>
    </row>
    <row r="81" spans="1:245" x14ac:dyDescent="0.2">
      <c r="A81">
        <v>17</v>
      </c>
      <c r="B81">
        <v>1</v>
      </c>
      <c r="D81">
        <f>ROW(EtalonRes!A48)</f>
        <v>48</v>
      </c>
      <c r="E81" t="s">
        <v>161</v>
      </c>
      <c r="F81" t="s">
        <v>162</v>
      </c>
      <c r="G81" t="s">
        <v>163</v>
      </c>
      <c r="H81" t="s">
        <v>164</v>
      </c>
      <c r="I81">
        <f>ROUND(8/100,9)</f>
        <v>0.08</v>
      </c>
      <c r="J81">
        <v>0</v>
      </c>
      <c r="K81">
        <f>ROUND(8/100,9)</f>
        <v>0.08</v>
      </c>
      <c r="O81">
        <f>ROUND(CP81,2)</f>
        <v>7274.02</v>
      </c>
      <c r="P81">
        <f>ROUND((ROUND((AC81*AW81*I81),2)*BC81),2)</f>
        <v>317.44</v>
      </c>
      <c r="Q81">
        <f>(ROUND((ROUND((((ET81*1.05))*AV81*I81),2)*BB81),2)+ROUND((ROUND(((AE81-((EU81*1.05)))*AV81*I81),2)*BS81),2))</f>
        <v>442.47</v>
      </c>
      <c r="R81">
        <f>ROUND((ROUND((AE81*AV81*I81),2)*BS81),2)</f>
        <v>187.39</v>
      </c>
      <c r="S81">
        <f>ROUND((ROUND((AF81*AV81*I81),2)*BA81),2)</f>
        <v>6514.11</v>
      </c>
      <c r="T81">
        <f>ROUND(CU81*I81,2)</f>
        <v>0</v>
      </c>
      <c r="U81">
        <f>CV81*I81</f>
        <v>13.70933424</v>
      </c>
      <c r="V81">
        <f>CW81*I81</f>
        <v>0</v>
      </c>
      <c r="W81">
        <f>ROUND(CX81*I81,2)</f>
        <v>0</v>
      </c>
      <c r="X81">
        <f t="shared" si="76"/>
        <v>5992.98</v>
      </c>
      <c r="Y81">
        <f t="shared" si="76"/>
        <v>2801.07</v>
      </c>
      <c r="AA81">
        <v>57737055</v>
      </c>
      <c r="AB81">
        <f>ROUND((AC81+AD81+AF81),6)</f>
        <v>3540.5250000000001</v>
      </c>
      <c r="AC81">
        <f>ROUND((ES81),6)</f>
        <v>535.53</v>
      </c>
      <c r="AD81">
        <f>ROUND(((((ET81*1.05))-((EU81*1.05)))+AE81),6)</f>
        <v>751.45349999999996</v>
      </c>
      <c r="AE81">
        <f t="shared" si="78"/>
        <v>64.847999999999999</v>
      </c>
      <c r="AF81">
        <f t="shared" si="78"/>
        <v>2253.5414999999998</v>
      </c>
      <c r="AG81">
        <f>ROUND((AP81),6)</f>
        <v>0</v>
      </c>
      <c r="AH81">
        <f t="shared" si="79"/>
        <v>163.67400000000001</v>
      </c>
      <c r="AI81">
        <f t="shared" si="79"/>
        <v>0</v>
      </c>
      <c r="AJ81">
        <f>(AS81)</f>
        <v>0</v>
      </c>
      <c r="AK81">
        <v>3397.43</v>
      </c>
      <c r="AL81">
        <v>535.53</v>
      </c>
      <c r="AM81">
        <v>715.67</v>
      </c>
      <c r="AN81">
        <v>61.76</v>
      </c>
      <c r="AO81">
        <v>2146.23</v>
      </c>
      <c r="AP81">
        <v>0</v>
      </c>
      <c r="AQ81">
        <v>155.88</v>
      </c>
      <c r="AR81">
        <v>0</v>
      </c>
      <c r="AS81">
        <v>0</v>
      </c>
      <c r="AT81">
        <v>92</v>
      </c>
      <c r="AU81">
        <v>43</v>
      </c>
      <c r="AV81">
        <v>1.0469999999999999</v>
      </c>
      <c r="AW81">
        <v>1</v>
      </c>
      <c r="AZ81">
        <v>1</v>
      </c>
      <c r="BA81">
        <v>34.51</v>
      </c>
      <c r="BB81">
        <v>7.03</v>
      </c>
      <c r="BC81">
        <v>7.41</v>
      </c>
      <c r="BD81" t="s">
        <v>3</v>
      </c>
      <c r="BE81" t="s">
        <v>3</v>
      </c>
      <c r="BF81" t="s">
        <v>3</v>
      </c>
      <c r="BG81" t="s">
        <v>3</v>
      </c>
      <c r="BH81">
        <v>0</v>
      </c>
      <c r="BI81">
        <v>2</v>
      </c>
      <c r="BJ81" t="s">
        <v>165</v>
      </c>
      <c r="BM81">
        <v>1726</v>
      </c>
      <c r="BN81">
        <v>0</v>
      </c>
      <c r="BO81" t="s">
        <v>162</v>
      </c>
      <c r="BP81">
        <v>1</v>
      </c>
      <c r="BQ81">
        <v>40</v>
      </c>
      <c r="BR81">
        <v>0</v>
      </c>
      <c r="BS81">
        <v>34.51</v>
      </c>
      <c r="BT81">
        <v>1</v>
      </c>
      <c r="BU81">
        <v>1</v>
      </c>
      <c r="BV81">
        <v>1</v>
      </c>
      <c r="BW81">
        <v>1</v>
      </c>
      <c r="BX81">
        <v>1</v>
      </c>
      <c r="BY81" t="s">
        <v>3</v>
      </c>
      <c r="BZ81">
        <v>92</v>
      </c>
      <c r="CA81">
        <v>43</v>
      </c>
      <c r="CB81" t="s">
        <v>3</v>
      </c>
      <c r="CE81">
        <v>30</v>
      </c>
      <c r="CF81">
        <v>0</v>
      </c>
      <c r="CG81">
        <v>0</v>
      </c>
      <c r="CM81">
        <v>0</v>
      </c>
      <c r="CN81" t="s">
        <v>295</v>
      </c>
      <c r="CO81">
        <v>0</v>
      </c>
      <c r="CP81">
        <f>(P81+Q81+S81)</f>
        <v>7274.0199999999995</v>
      </c>
      <c r="CQ81">
        <f>ROUND((ROUND((AC81*AW81*1),2)*BC81),2)</f>
        <v>3968.28</v>
      </c>
      <c r="CR81">
        <f>(ROUND((ROUND((((ET81*1.05))*AV81*1),2)*BB81),2)+ROUND((ROUND(((AE81-((EU81*1.05)))*AV81*1),2)*BS81),2))</f>
        <v>5530.99</v>
      </c>
      <c r="CS81">
        <f>ROUND((ROUND((AE81*AV81*1),2)*BS81),2)</f>
        <v>2343.23</v>
      </c>
      <c r="CT81">
        <f>ROUND((ROUND((AF81*AV81*1),2)*BA81),2)</f>
        <v>81424.960000000006</v>
      </c>
      <c r="CU81">
        <f>AG81</f>
        <v>0</v>
      </c>
      <c r="CV81">
        <f>(AH81*AV81)</f>
        <v>171.36667800000001</v>
      </c>
      <c r="CW81">
        <f t="shared" si="77"/>
        <v>0</v>
      </c>
      <c r="CX81">
        <f t="shared" si="77"/>
        <v>0</v>
      </c>
      <c r="CY81">
        <f>S81*(BZ81/100)</f>
        <v>5992.9812000000002</v>
      </c>
      <c r="CZ81">
        <f>S81*(CA81/100)</f>
        <v>2801.0672999999997</v>
      </c>
      <c r="DB81">
        <v>12</v>
      </c>
      <c r="DC81" t="s">
        <v>3</v>
      </c>
      <c r="DD81" t="s">
        <v>3</v>
      </c>
      <c r="DE81" t="s">
        <v>24</v>
      </c>
      <c r="DF81" t="s">
        <v>24</v>
      </c>
      <c r="DG81" t="s">
        <v>24</v>
      </c>
      <c r="DH81" t="s">
        <v>3</v>
      </c>
      <c r="DI81" t="s">
        <v>24</v>
      </c>
      <c r="DJ81" t="s">
        <v>24</v>
      </c>
      <c r="DK81" t="s">
        <v>3</v>
      </c>
      <c r="DL81" t="s">
        <v>3</v>
      </c>
      <c r="DM81" t="s">
        <v>3</v>
      </c>
      <c r="DN81">
        <v>112</v>
      </c>
      <c r="DO81">
        <v>70</v>
      </c>
      <c r="DP81">
        <v>1.0469999999999999</v>
      </c>
      <c r="DQ81">
        <v>1</v>
      </c>
      <c r="DU81">
        <v>1013</v>
      </c>
      <c r="DV81" t="s">
        <v>164</v>
      </c>
      <c r="DW81" t="s">
        <v>164</v>
      </c>
      <c r="DX81">
        <v>1</v>
      </c>
      <c r="DZ81" t="s">
        <v>3</v>
      </c>
      <c r="EA81" t="s">
        <v>3</v>
      </c>
      <c r="EB81" t="s">
        <v>3</v>
      </c>
      <c r="EC81" t="s">
        <v>3</v>
      </c>
      <c r="EE81">
        <v>51697765</v>
      </c>
      <c r="EF81">
        <v>40</v>
      </c>
      <c r="EG81" t="s">
        <v>79</v>
      </c>
      <c r="EH81">
        <v>0</v>
      </c>
      <c r="EI81" t="s">
        <v>3</v>
      </c>
      <c r="EJ81">
        <v>2</v>
      </c>
      <c r="EK81">
        <v>1726</v>
      </c>
      <c r="EL81" t="s">
        <v>166</v>
      </c>
      <c r="EM81" t="s">
        <v>167</v>
      </c>
      <c r="EO81" t="s">
        <v>27</v>
      </c>
      <c r="EQ81">
        <v>131072</v>
      </c>
      <c r="ER81">
        <v>3397.43</v>
      </c>
      <c r="ES81">
        <v>535.53</v>
      </c>
      <c r="ET81">
        <v>715.67</v>
      </c>
      <c r="EU81">
        <v>61.76</v>
      </c>
      <c r="EV81">
        <v>2146.23</v>
      </c>
      <c r="EW81">
        <v>155.88</v>
      </c>
      <c r="EX81">
        <v>0</v>
      </c>
      <c r="EY81">
        <v>0</v>
      </c>
      <c r="FQ81">
        <v>0</v>
      </c>
      <c r="FR81">
        <v>0</v>
      </c>
      <c r="FS81">
        <v>0</v>
      </c>
      <c r="FX81">
        <v>112</v>
      </c>
      <c r="FY81">
        <v>70</v>
      </c>
      <c r="GA81" t="s">
        <v>3</v>
      </c>
      <c r="GD81">
        <v>0</v>
      </c>
      <c r="GF81">
        <v>957162054</v>
      </c>
      <c r="GG81">
        <v>2</v>
      </c>
      <c r="GH81">
        <v>1</v>
      </c>
      <c r="GI81">
        <v>2</v>
      </c>
      <c r="GJ81">
        <v>0</v>
      </c>
      <c r="GK81">
        <f>ROUND(R81*(R12)/100,2)</f>
        <v>299.82</v>
      </c>
      <c r="GL81">
        <f>ROUND(IF(AND(BH81=3,BI81=3,FS81&lt;&gt;0),P81,0),2)</f>
        <v>0</v>
      </c>
      <c r="GM81">
        <f>ROUND(O81+X81+Y81+GK81,2)+GX81</f>
        <v>16367.89</v>
      </c>
      <c r="GN81">
        <f>IF(OR(BI81=0,BI81=1),GM81-GX81,0)</f>
        <v>0</v>
      </c>
      <c r="GO81">
        <f>IF(BI81=2,GM81-GX81,0)</f>
        <v>16367.89</v>
      </c>
      <c r="GP81">
        <f>IF(BI81=4,GM81-GX81,0)</f>
        <v>0</v>
      </c>
      <c r="GR81">
        <v>0</v>
      </c>
      <c r="GS81">
        <v>3</v>
      </c>
      <c r="GT81">
        <v>0</v>
      </c>
      <c r="GU81" t="s">
        <v>3</v>
      </c>
      <c r="GV81">
        <f>ROUND((GT81),6)</f>
        <v>0</v>
      </c>
      <c r="GW81">
        <v>1</v>
      </c>
      <c r="GX81">
        <f>ROUND(HC81*I81,2)</f>
        <v>0</v>
      </c>
      <c r="HA81">
        <v>0</v>
      </c>
      <c r="HB81">
        <v>0</v>
      </c>
      <c r="HC81">
        <f>GV81*GW81</f>
        <v>0</v>
      </c>
      <c r="HE81" t="s">
        <v>3</v>
      </c>
      <c r="HF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3</v>
      </c>
      <c r="HS81">
        <v>0</v>
      </c>
      <c r="IK81">
        <v>0</v>
      </c>
    </row>
    <row r="82" spans="1:245" x14ac:dyDescent="0.2">
      <c r="A82">
        <v>17</v>
      </c>
      <c r="B82">
        <v>1</v>
      </c>
      <c r="E82" t="s">
        <v>168</v>
      </c>
      <c r="F82" t="s">
        <v>169</v>
      </c>
      <c r="G82" t="s">
        <v>170</v>
      </c>
      <c r="H82" t="s">
        <v>171</v>
      </c>
      <c r="I82">
        <v>8</v>
      </c>
      <c r="J82">
        <v>0</v>
      </c>
      <c r="K82">
        <v>8</v>
      </c>
      <c r="O82">
        <f>ROUND(CP82,2)</f>
        <v>2593.27</v>
      </c>
      <c r="P82">
        <f>ROUND((ROUND((AC82*AW82*I82),2)*BC82),2)</f>
        <v>2593.27</v>
      </c>
      <c r="Q82">
        <f>(ROUND((ROUND((((ET82*1.05))*AV82*I82),2)*BB82),2)+ROUND((ROUND(((AE82-((EU82*1.05)))*AV82*I82),2)*BS82),2))</f>
        <v>0</v>
      </c>
      <c r="R82">
        <f>ROUND((ROUND((AE82*AV82*I82),2)*BS82),2)</f>
        <v>0</v>
      </c>
      <c r="S82">
        <f>ROUND((ROUND((AF82*AV82*I82),2)*BA82),2)</f>
        <v>0</v>
      </c>
      <c r="T82">
        <f>ROUND(CU82*I82,2)</f>
        <v>0</v>
      </c>
      <c r="U82">
        <f>CV82*I82</f>
        <v>0</v>
      </c>
      <c r="V82">
        <f>CW82*I82</f>
        <v>0</v>
      </c>
      <c r="W82">
        <f>ROUND(CX82*I82,2)</f>
        <v>0</v>
      </c>
      <c r="X82">
        <f t="shared" si="76"/>
        <v>0</v>
      </c>
      <c r="Y82">
        <f t="shared" si="76"/>
        <v>0</v>
      </c>
      <c r="AA82">
        <v>57737055</v>
      </c>
      <c r="AB82">
        <f>ROUND((AC82+AD82+AF82),6)</f>
        <v>153.63</v>
      </c>
      <c r="AC82">
        <f>ROUND((ES82),6)</f>
        <v>153.63</v>
      </c>
      <c r="AD82">
        <f>ROUND(((((ET82*1.05))-((EU82*1.05)))+AE82),6)</f>
        <v>0</v>
      </c>
      <c r="AE82">
        <f t="shared" si="78"/>
        <v>0</v>
      </c>
      <c r="AF82">
        <f t="shared" si="78"/>
        <v>0</v>
      </c>
      <c r="AG82">
        <f>ROUND((AP82),6)</f>
        <v>0</v>
      </c>
      <c r="AH82">
        <f t="shared" si="79"/>
        <v>0</v>
      </c>
      <c r="AI82">
        <f t="shared" si="79"/>
        <v>0</v>
      </c>
      <c r="AJ82">
        <f>(AS82)</f>
        <v>0</v>
      </c>
      <c r="AK82">
        <v>153.63</v>
      </c>
      <c r="AL82">
        <v>153.63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Z82">
        <v>1</v>
      </c>
      <c r="BA82">
        <v>1</v>
      </c>
      <c r="BB82">
        <v>1</v>
      </c>
      <c r="BC82">
        <v>2.11</v>
      </c>
      <c r="BD82" t="s">
        <v>3</v>
      </c>
      <c r="BE82" t="s">
        <v>3</v>
      </c>
      <c r="BF82" t="s">
        <v>3</v>
      </c>
      <c r="BG82" t="s">
        <v>3</v>
      </c>
      <c r="BH82">
        <v>3</v>
      </c>
      <c r="BI82">
        <v>2</v>
      </c>
      <c r="BJ82" t="s">
        <v>172</v>
      </c>
      <c r="BM82">
        <v>1618</v>
      </c>
      <c r="BN82">
        <v>0</v>
      </c>
      <c r="BO82" t="s">
        <v>169</v>
      </c>
      <c r="BP82">
        <v>1</v>
      </c>
      <c r="BQ82">
        <v>201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 t="s">
        <v>3</v>
      </c>
      <c r="BZ82">
        <v>0</v>
      </c>
      <c r="CA82">
        <v>0</v>
      </c>
      <c r="CB82" t="s">
        <v>3</v>
      </c>
      <c r="CE82">
        <v>30</v>
      </c>
      <c r="CF82">
        <v>0</v>
      </c>
      <c r="CG82">
        <v>0</v>
      </c>
      <c r="CM82">
        <v>0</v>
      </c>
      <c r="CN82" t="s">
        <v>295</v>
      </c>
      <c r="CO82">
        <v>0</v>
      </c>
      <c r="CP82">
        <f>(P82+Q82+S82)</f>
        <v>2593.27</v>
      </c>
      <c r="CQ82">
        <f>ROUND((ROUND((AC82*AW82*1),2)*BC82),2)</f>
        <v>324.16000000000003</v>
      </c>
      <c r="CR82">
        <f>(ROUND((ROUND((((ET82*1.05))*AV82*1),2)*BB82),2)+ROUND((ROUND(((AE82-((EU82*1.05)))*AV82*1),2)*BS82),2))</f>
        <v>0</v>
      </c>
      <c r="CS82">
        <f>ROUND((ROUND((AE82*AV82*1),2)*BS82),2)</f>
        <v>0</v>
      </c>
      <c r="CT82">
        <f>ROUND((ROUND((AF82*AV82*1),2)*BA82),2)</f>
        <v>0</v>
      </c>
      <c r="CU82">
        <f>AG82</f>
        <v>0</v>
      </c>
      <c r="CV82">
        <f>(AH82*AV82)</f>
        <v>0</v>
      </c>
      <c r="CW82">
        <f t="shared" si="77"/>
        <v>0</v>
      </c>
      <c r="CX82">
        <f t="shared" si="77"/>
        <v>0</v>
      </c>
      <c r="CY82">
        <f>S82*(BZ82/100)</f>
        <v>0</v>
      </c>
      <c r="CZ82">
        <f>S82*(CA82/100)</f>
        <v>0</v>
      </c>
      <c r="DB82">
        <v>13</v>
      </c>
      <c r="DC82" t="s">
        <v>3</v>
      </c>
      <c r="DD82" t="s">
        <v>3</v>
      </c>
      <c r="DE82" t="s">
        <v>24</v>
      </c>
      <c r="DF82" t="s">
        <v>24</v>
      </c>
      <c r="DG82" t="s">
        <v>24</v>
      </c>
      <c r="DH82" t="s">
        <v>3</v>
      </c>
      <c r="DI82" t="s">
        <v>24</v>
      </c>
      <c r="DJ82" t="s">
        <v>24</v>
      </c>
      <c r="DK82" t="s">
        <v>3</v>
      </c>
      <c r="DL82" t="s">
        <v>3</v>
      </c>
      <c r="DM82" t="s">
        <v>3</v>
      </c>
      <c r="DN82">
        <v>0</v>
      </c>
      <c r="DO82">
        <v>0</v>
      </c>
      <c r="DP82">
        <v>1</v>
      </c>
      <c r="DQ82">
        <v>1</v>
      </c>
      <c r="DU82">
        <v>1013</v>
      </c>
      <c r="DV82" t="s">
        <v>171</v>
      </c>
      <c r="DW82" t="s">
        <v>171</v>
      </c>
      <c r="DX82">
        <v>1</v>
      </c>
      <c r="DZ82" t="s">
        <v>3</v>
      </c>
      <c r="EA82" t="s">
        <v>3</v>
      </c>
      <c r="EB82" t="s">
        <v>3</v>
      </c>
      <c r="EC82" t="s">
        <v>3</v>
      </c>
      <c r="EE82">
        <v>51697657</v>
      </c>
      <c r="EF82">
        <v>201</v>
      </c>
      <c r="EG82" t="s">
        <v>158</v>
      </c>
      <c r="EH82">
        <v>0</v>
      </c>
      <c r="EI82" t="s">
        <v>3</v>
      </c>
      <c r="EJ82">
        <v>2</v>
      </c>
      <c r="EK82">
        <v>1618</v>
      </c>
      <c r="EL82" t="s">
        <v>159</v>
      </c>
      <c r="EM82" t="s">
        <v>160</v>
      </c>
      <c r="EO82" t="s">
        <v>27</v>
      </c>
      <c r="EQ82">
        <v>131072</v>
      </c>
      <c r="ER82">
        <v>153.63</v>
      </c>
      <c r="ES82">
        <v>153.63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FQ82">
        <v>0</v>
      </c>
      <c r="FR82">
        <v>0</v>
      </c>
      <c r="FS82">
        <v>0</v>
      </c>
      <c r="FX82">
        <v>0</v>
      </c>
      <c r="FY82">
        <v>0</v>
      </c>
      <c r="GA82" t="s">
        <v>3</v>
      </c>
      <c r="GD82">
        <v>0</v>
      </c>
      <c r="GF82">
        <v>1544174678</v>
      </c>
      <c r="GG82">
        <v>2</v>
      </c>
      <c r="GH82">
        <v>1</v>
      </c>
      <c r="GI82">
        <v>2</v>
      </c>
      <c r="GJ82">
        <v>0</v>
      </c>
      <c r="GK82">
        <f>ROUND(R82*(R12)/100,2)</f>
        <v>0</v>
      </c>
      <c r="GL82">
        <f>ROUND(IF(AND(BH82=3,BI82=3,FS82&lt;&gt;0),P82,0),2)</f>
        <v>0</v>
      </c>
      <c r="GM82">
        <f>ROUND(O82+X82+Y82+GK82,2)+GX82</f>
        <v>2593.27</v>
      </c>
      <c r="GN82">
        <f>IF(OR(BI82=0,BI82=1),GM82-GX82,0)</f>
        <v>0</v>
      </c>
      <c r="GO82">
        <f>IF(BI82=2,GM82-GX82,0)</f>
        <v>2593.27</v>
      </c>
      <c r="GP82">
        <f>IF(BI82=4,GM82-GX82,0)</f>
        <v>0</v>
      </c>
      <c r="GR82">
        <v>0</v>
      </c>
      <c r="GS82">
        <v>3</v>
      </c>
      <c r="GT82">
        <v>0</v>
      </c>
      <c r="GU82" t="s">
        <v>3</v>
      </c>
      <c r="GV82">
        <f>ROUND((GT82),6)</f>
        <v>0</v>
      </c>
      <c r="GW82">
        <v>1</v>
      </c>
      <c r="GX82">
        <f>ROUND(HC82*I82,2)</f>
        <v>0</v>
      </c>
      <c r="HA82">
        <v>0</v>
      </c>
      <c r="HB82">
        <v>0</v>
      </c>
      <c r="HC82">
        <f>GV82*GW82</f>
        <v>0</v>
      </c>
      <c r="HE82" t="s">
        <v>3</v>
      </c>
      <c r="HF82" t="s">
        <v>3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HS82">
        <v>0</v>
      </c>
      <c r="IK82">
        <v>0</v>
      </c>
    </row>
    <row r="84" spans="1:245" x14ac:dyDescent="0.2">
      <c r="A84" s="2">
        <v>51</v>
      </c>
      <c r="B84" s="2">
        <f>B74</f>
        <v>1</v>
      </c>
      <c r="C84" s="2">
        <f>A74</f>
        <v>5</v>
      </c>
      <c r="D84" s="2">
        <f>ROW(A74)</f>
        <v>74</v>
      </c>
      <c r="E84" s="2"/>
      <c r="F84" s="2" t="str">
        <f>IF(F74&lt;&gt;"",F74,"")</f>
        <v>Новый подраздел</v>
      </c>
      <c r="G84" s="2" t="str">
        <f>IF(G74&lt;&gt;"",G74,"")</f>
        <v>Монтажные работы</v>
      </c>
      <c r="H84" s="2">
        <v>0</v>
      </c>
      <c r="I84" s="2"/>
      <c r="J84" s="2"/>
      <c r="K84" s="2"/>
      <c r="L84" s="2"/>
      <c r="M84" s="2"/>
      <c r="N84" s="2"/>
      <c r="O84" s="2">
        <f t="shared" ref="O84:T84" si="80">ROUND(AB84,2)</f>
        <v>1001912.15</v>
      </c>
      <c r="P84" s="2">
        <f t="shared" si="80"/>
        <v>886369.1</v>
      </c>
      <c r="Q84" s="2">
        <f t="shared" si="80"/>
        <v>9829.94</v>
      </c>
      <c r="R84" s="2">
        <f t="shared" si="80"/>
        <v>3469.29</v>
      </c>
      <c r="S84" s="2">
        <f t="shared" si="80"/>
        <v>105713.11</v>
      </c>
      <c r="T84" s="2">
        <f t="shared" si="80"/>
        <v>0</v>
      </c>
      <c r="U84" s="2">
        <f>AH84</f>
        <v>247.02435040499998</v>
      </c>
      <c r="V84" s="2">
        <f>AI84</f>
        <v>0</v>
      </c>
      <c r="W84" s="2">
        <f>ROUND(AJ84,2)</f>
        <v>0</v>
      </c>
      <c r="X84" s="2">
        <f>ROUND(AK84,2)</f>
        <v>97256.06</v>
      </c>
      <c r="Y84" s="2">
        <f>ROUND(AL84,2)</f>
        <v>45456.639999999999</v>
      </c>
      <c r="Z84" s="2"/>
      <c r="AA84" s="2"/>
      <c r="AB84" s="2">
        <f>ROUND(SUMIF(AA78:AA82,"=57737055",O78:O82),2)</f>
        <v>1001912.15</v>
      </c>
      <c r="AC84" s="2">
        <f>ROUND(SUMIF(AA78:AA82,"=57737055",P78:P82),2)</f>
        <v>886369.1</v>
      </c>
      <c r="AD84" s="2">
        <f>ROUND(SUMIF(AA78:AA82,"=57737055",Q78:Q82),2)</f>
        <v>9829.94</v>
      </c>
      <c r="AE84" s="2">
        <f>ROUND(SUMIF(AA78:AA82,"=57737055",R78:R82),2)</f>
        <v>3469.29</v>
      </c>
      <c r="AF84" s="2">
        <f>ROUND(SUMIF(AA78:AA82,"=57737055",S78:S82),2)</f>
        <v>105713.11</v>
      </c>
      <c r="AG84" s="2">
        <f>ROUND(SUMIF(AA78:AA82,"=57737055",T78:T82),2)</f>
        <v>0</v>
      </c>
      <c r="AH84" s="2">
        <f>SUMIF(AA78:AA82,"=57737055",U78:U82)</f>
        <v>247.02435040499998</v>
      </c>
      <c r="AI84" s="2">
        <f>SUMIF(AA78:AA82,"=57737055",V78:V82)</f>
        <v>0</v>
      </c>
      <c r="AJ84" s="2">
        <f>ROUND(SUMIF(AA78:AA82,"=57737055",W78:W82),2)</f>
        <v>0</v>
      </c>
      <c r="AK84" s="2">
        <f>ROUND(SUMIF(AA78:AA82,"=57737055",X78:X82),2)</f>
        <v>97256.06</v>
      </c>
      <c r="AL84" s="2">
        <f>ROUND(SUMIF(AA78:AA82,"=57737055",Y78:Y82),2)</f>
        <v>45456.639999999999</v>
      </c>
      <c r="AM84" s="2"/>
      <c r="AN84" s="2"/>
      <c r="AO84" s="2">
        <f t="shared" ref="AO84:BD84" si="81">ROUND(BX84,2)</f>
        <v>0</v>
      </c>
      <c r="AP84" s="2">
        <f t="shared" si="81"/>
        <v>0</v>
      </c>
      <c r="AQ84" s="2">
        <f t="shared" si="81"/>
        <v>0</v>
      </c>
      <c r="AR84" s="2">
        <f t="shared" si="81"/>
        <v>1150175.71</v>
      </c>
      <c r="AS84" s="2">
        <f t="shared" si="81"/>
        <v>0</v>
      </c>
      <c r="AT84" s="2">
        <f t="shared" si="81"/>
        <v>1150175.71</v>
      </c>
      <c r="AU84" s="2">
        <f t="shared" si="81"/>
        <v>0</v>
      </c>
      <c r="AV84" s="2">
        <f t="shared" si="81"/>
        <v>886369.1</v>
      </c>
      <c r="AW84" s="2">
        <f t="shared" si="81"/>
        <v>886369.1</v>
      </c>
      <c r="AX84" s="2">
        <f t="shared" si="81"/>
        <v>0</v>
      </c>
      <c r="AY84" s="2">
        <f t="shared" si="81"/>
        <v>886369.1</v>
      </c>
      <c r="AZ84" s="2">
        <f t="shared" si="81"/>
        <v>0</v>
      </c>
      <c r="BA84" s="2">
        <f t="shared" si="81"/>
        <v>0</v>
      </c>
      <c r="BB84" s="2">
        <f t="shared" si="81"/>
        <v>0</v>
      </c>
      <c r="BC84" s="2">
        <f t="shared" si="81"/>
        <v>0</v>
      </c>
      <c r="BD84" s="2">
        <f t="shared" si="81"/>
        <v>0</v>
      </c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>
        <f>ROUND(SUMIF(AA78:AA82,"=57737055",FQ78:FQ82),2)</f>
        <v>0</v>
      </c>
      <c r="BY84" s="2">
        <f>ROUND(SUMIF(AA78:AA82,"=57737055",FR78:FR82),2)</f>
        <v>0</v>
      </c>
      <c r="BZ84" s="2">
        <f>ROUND(SUMIF(AA78:AA82,"=57737055",GL78:GL82),2)</f>
        <v>0</v>
      </c>
      <c r="CA84" s="2">
        <f>ROUND(SUMIF(AA78:AA82,"=57737055",GM78:GM82),2)</f>
        <v>1150175.71</v>
      </c>
      <c r="CB84" s="2">
        <f>ROUND(SUMIF(AA78:AA82,"=57737055",GN78:GN82),2)</f>
        <v>0</v>
      </c>
      <c r="CC84" s="2">
        <f>ROUND(SUMIF(AA78:AA82,"=57737055",GO78:GO82),2)</f>
        <v>1150175.71</v>
      </c>
      <c r="CD84" s="2">
        <f>ROUND(SUMIF(AA78:AA82,"=57737055",GP78:GP82),2)</f>
        <v>0</v>
      </c>
      <c r="CE84" s="2">
        <f>AC84-BX84</f>
        <v>886369.1</v>
      </c>
      <c r="CF84" s="2">
        <f>AC84-BY84</f>
        <v>886369.1</v>
      </c>
      <c r="CG84" s="2">
        <f>BX84-BZ84</f>
        <v>0</v>
      </c>
      <c r="CH84" s="2">
        <f>AC84-BX84-BY84+BZ84</f>
        <v>886369.1</v>
      </c>
      <c r="CI84" s="2">
        <f>BY84-BZ84</f>
        <v>0</v>
      </c>
      <c r="CJ84" s="2">
        <f>ROUND(SUMIF(AA78:AA82,"=57737055",GX78:GX82),2)</f>
        <v>0</v>
      </c>
      <c r="CK84" s="2">
        <f>ROUND(SUMIF(AA78:AA82,"=57737055",GY78:GY82),2)</f>
        <v>0</v>
      </c>
      <c r="CL84" s="2">
        <f>ROUND(SUMIF(AA78:AA82,"=57737055",GZ78:GZ82),2)</f>
        <v>0</v>
      </c>
      <c r="CM84" s="2">
        <f>ROUND(SUMIF(AA78:AA82,"=57737055",HD78:HD82),2)</f>
        <v>0</v>
      </c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>
        <v>0</v>
      </c>
    </row>
    <row r="86" spans="1:245" x14ac:dyDescent="0.2">
      <c r="A86" s="4">
        <v>50</v>
      </c>
      <c r="B86" s="4">
        <v>0</v>
      </c>
      <c r="C86" s="4">
        <v>0</v>
      </c>
      <c r="D86" s="4">
        <v>1</v>
      </c>
      <c r="E86" s="4">
        <v>201</v>
      </c>
      <c r="F86" s="4">
        <f>ROUND(Source!O84,O86)</f>
        <v>1001912.15</v>
      </c>
      <c r="G86" s="4" t="s">
        <v>90</v>
      </c>
      <c r="H86" s="4" t="s">
        <v>91</v>
      </c>
      <c r="I86" s="4"/>
      <c r="J86" s="4"/>
      <c r="K86" s="4">
        <v>201</v>
      </c>
      <c r="L86" s="4">
        <v>1</v>
      </c>
      <c r="M86" s="4">
        <v>3</v>
      </c>
      <c r="N86" s="4" t="s">
        <v>3</v>
      </c>
      <c r="O86" s="4">
        <v>2</v>
      </c>
      <c r="P86" s="4"/>
      <c r="Q86" s="4"/>
      <c r="R86" s="4"/>
      <c r="S86" s="4"/>
      <c r="T86" s="4"/>
      <c r="U86" s="4"/>
      <c r="V86" s="4"/>
      <c r="W86" s="4">
        <v>1001912.15</v>
      </c>
      <c r="X86" s="4">
        <v>1</v>
      </c>
      <c r="Y86" s="4">
        <v>1001912.15</v>
      </c>
      <c r="Z86" s="4"/>
      <c r="AA86" s="4"/>
      <c r="AB86" s="4"/>
    </row>
    <row r="87" spans="1:245" x14ac:dyDescent="0.2">
      <c r="A87" s="4">
        <v>50</v>
      </c>
      <c r="B87" s="4">
        <v>0</v>
      </c>
      <c r="C87" s="4">
        <v>0</v>
      </c>
      <c r="D87" s="4">
        <v>1</v>
      </c>
      <c r="E87" s="4">
        <v>202</v>
      </c>
      <c r="F87" s="4">
        <f>ROUND(Source!P84,O87)</f>
        <v>886369.1</v>
      </c>
      <c r="G87" s="4" t="s">
        <v>92</v>
      </c>
      <c r="H87" s="4" t="s">
        <v>93</v>
      </c>
      <c r="I87" s="4"/>
      <c r="J87" s="4"/>
      <c r="K87" s="4">
        <v>202</v>
      </c>
      <c r="L87" s="4">
        <v>2</v>
      </c>
      <c r="M87" s="4">
        <v>3</v>
      </c>
      <c r="N87" s="4" t="s">
        <v>3</v>
      </c>
      <c r="O87" s="4">
        <v>2</v>
      </c>
      <c r="P87" s="4"/>
      <c r="Q87" s="4"/>
      <c r="R87" s="4"/>
      <c r="S87" s="4"/>
      <c r="T87" s="4"/>
      <c r="U87" s="4"/>
      <c r="V87" s="4"/>
      <c r="W87" s="4">
        <v>886369.1</v>
      </c>
      <c r="X87" s="4">
        <v>1</v>
      </c>
      <c r="Y87" s="4">
        <v>886369.1</v>
      </c>
      <c r="Z87" s="4"/>
      <c r="AA87" s="4"/>
      <c r="AB87" s="4"/>
    </row>
    <row r="88" spans="1:245" x14ac:dyDescent="0.2">
      <c r="A88" s="4">
        <v>50</v>
      </c>
      <c r="B88" s="4">
        <v>0</v>
      </c>
      <c r="C88" s="4">
        <v>0</v>
      </c>
      <c r="D88" s="4">
        <v>1</v>
      </c>
      <c r="E88" s="4">
        <v>222</v>
      </c>
      <c r="F88" s="4">
        <f>ROUND(Source!AO84,O88)</f>
        <v>0</v>
      </c>
      <c r="G88" s="4" t="s">
        <v>94</v>
      </c>
      <c r="H88" s="4" t="s">
        <v>95</v>
      </c>
      <c r="I88" s="4"/>
      <c r="J88" s="4"/>
      <c r="K88" s="4">
        <v>222</v>
      </c>
      <c r="L88" s="4">
        <v>3</v>
      </c>
      <c r="M88" s="4">
        <v>3</v>
      </c>
      <c r="N88" s="4" t="s">
        <v>3</v>
      </c>
      <c r="O88" s="4">
        <v>2</v>
      </c>
      <c r="P88" s="4"/>
      <c r="Q88" s="4"/>
      <c r="R88" s="4"/>
      <c r="S88" s="4"/>
      <c r="T88" s="4"/>
      <c r="U88" s="4"/>
      <c r="V88" s="4"/>
      <c r="W88" s="4">
        <v>0</v>
      </c>
      <c r="X88" s="4">
        <v>1</v>
      </c>
      <c r="Y88" s="4">
        <v>0</v>
      </c>
      <c r="Z88" s="4"/>
      <c r="AA88" s="4"/>
      <c r="AB88" s="4"/>
    </row>
    <row r="89" spans="1:245" x14ac:dyDescent="0.2">
      <c r="A89" s="4">
        <v>50</v>
      </c>
      <c r="B89" s="4">
        <v>0</v>
      </c>
      <c r="C89" s="4">
        <v>0</v>
      </c>
      <c r="D89" s="4">
        <v>1</v>
      </c>
      <c r="E89" s="4">
        <v>225</v>
      </c>
      <c r="F89" s="4">
        <f>ROUND(Source!AV84,O89)</f>
        <v>886369.1</v>
      </c>
      <c r="G89" s="4" t="s">
        <v>96</v>
      </c>
      <c r="H89" s="4" t="s">
        <v>97</v>
      </c>
      <c r="I89" s="4"/>
      <c r="J89" s="4"/>
      <c r="K89" s="4">
        <v>225</v>
      </c>
      <c r="L89" s="4">
        <v>4</v>
      </c>
      <c r="M89" s="4">
        <v>3</v>
      </c>
      <c r="N89" s="4" t="s">
        <v>3</v>
      </c>
      <c r="O89" s="4">
        <v>2</v>
      </c>
      <c r="P89" s="4"/>
      <c r="Q89" s="4"/>
      <c r="R89" s="4"/>
      <c r="S89" s="4"/>
      <c r="T89" s="4"/>
      <c r="U89" s="4"/>
      <c r="V89" s="4"/>
      <c r="W89" s="4">
        <v>886369.1</v>
      </c>
      <c r="X89" s="4">
        <v>1</v>
      </c>
      <c r="Y89" s="4">
        <v>886369.1</v>
      </c>
      <c r="Z89" s="4"/>
      <c r="AA89" s="4"/>
      <c r="AB89" s="4"/>
    </row>
    <row r="90" spans="1:245" x14ac:dyDescent="0.2">
      <c r="A90" s="4">
        <v>50</v>
      </c>
      <c r="B90" s="4">
        <v>0</v>
      </c>
      <c r="C90" s="4">
        <v>0</v>
      </c>
      <c r="D90" s="4">
        <v>1</v>
      </c>
      <c r="E90" s="4">
        <v>226</v>
      </c>
      <c r="F90" s="4">
        <f>ROUND(Source!AW84,O90)</f>
        <v>886369.1</v>
      </c>
      <c r="G90" s="4" t="s">
        <v>98</v>
      </c>
      <c r="H90" s="4" t="s">
        <v>99</v>
      </c>
      <c r="I90" s="4"/>
      <c r="J90" s="4"/>
      <c r="K90" s="4">
        <v>226</v>
      </c>
      <c r="L90" s="4">
        <v>5</v>
      </c>
      <c r="M90" s="4">
        <v>3</v>
      </c>
      <c r="N90" s="4" t="s">
        <v>3</v>
      </c>
      <c r="O90" s="4">
        <v>2</v>
      </c>
      <c r="P90" s="4"/>
      <c r="Q90" s="4"/>
      <c r="R90" s="4"/>
      <c r="S90" s="4"/>
      <c r="T90" s="4"/>
      <c r="U90" s="4"/>
      <c r="V90" s="4"/>
      <c r="W90" s="4">
        <v>886369.1</v>
      </c>
      <c r="X90" s="4">
        <v>1</v>
      </c>
      <c r="Y90" s="4">
        <v>886369.1</v>
      </c>
      <c r="Z90" s="4"/>
      <c r="AA90" s="4"/>
      <c r="AB90" s="4"/>
    </row>
    <row r="91" spans="1:245" x14ac:dyDescent="0.2">
      <c r="A91" s="4">
        <v>50</v>
      </c>
      <c r="B91" s="4">
        <v>0</v>
      </c>
      <c r="C91" s="4">
        <v>0</v>
      </c>
      <c r="D91" s="4">
        <v>1</v>
      </c>
      <c r="E91" s="4">
        <v>227</v>
      </c>
      <c r="F91" s="4">
        <f>ROUND(Source!AX84,O91)</f>
        <v>0</v>
      </c>
      <c r="G91" s="4" t="s">
        <v>100</v>
      </c>
      <c r="H91" s="4" t="s">
        <v>101</v>
      </c>
      <c r="I91" s="4"/>
      <c r="J91" s="4"/>
      <c r="K91" s="4">
        <v>227</v>
      </c>
      <c r="L91" s="4">
        <v>6</v>
      </c>
      <c r="M91" s="4">
        <v>3</v>
      </c>
      <c r="N91" s="4" t="s">
        <v>3</v>
      </c>
      <c r="O91" s="4">
        <v>2</v>
      </c>
      <c r="P91" s="4"/>
      <c r="Q91" s="4"/>
      <c r="R91" s="4"/>
      <c r="S91" s="4"/>
      <c r="T91" s="4"/>
      <c r="U91" s="4"/>
      <c r="V91" s="4"/>
      <c r="W91" s="4">
        <v>0</v>
      </c>
      <c r="X91" s="4">
        <v>1</v>
      </c>
      <c r="Y91" s="4">
        <v>0</v>
      </c>
      <c r="Z91" s="4"/>
      <c r="AA91" s="4"/>
      <c r="AB91" s="4"/>
    </row>
    <row r="92" spans="1:245" x14ac:dyDescent="0.2">
      <c r="A92" s="4">
        <v>50</v>
      </c>
      <c r="B92" s="4">
        <v>0</v>
      </c>
      <c r="C92" s="4">
        <v>0</v>
      </c>
      <c r="D92" s="4">
        <v>1</v>
      </c>
      <c r="E92" s="4">
        <v>228</v>
      </c>
      <c r="F92" s="4">
        <f>ROUND(Source!AY84,O92)</f>
        <v>886369.1</v>
      </c>
      <c r="G92" s="4" t="s">
        <v>102</v>
      </c>
      <c r="H92" s="4" t="s">
        <v>103</v>
      </c>
      <c r="I92" s="4"/>
      <c r="J92" s="4"/>
      <c r="K92" s="4">
        <v>228</v>
      </c>
      <c r="L92" s="4">
        <v>7</v>
      </c>
      <c r="M92" s="4">
        <v>3</v>
      </c>
      <c r="N92" s="4" t="s">
        <v>3</v>
      </c>
      <c r="O92" s="4">
        <v>2</v>
      </c>
      <c r="P92" s="4"/>
      <c r="Q92" s="4"/>
      <c r="R92" s="4"/>
      <c r="S92" s="4"/>
      <c r="T92" s="4"/>
      <c r="U92" s="4"/>
      <c r="V92" s="4"/>
      <c r="W92" s="4">
        <v>886369.1</v>
      </c>
      <c r="X92" s="4">
        <v>1</v>
      </c>
      <c r="Y92" s="4">
        <v>886369.1</v>
      </c>
      <c r="Z92" s="4"/>
      <c r="AA92" s="4"/>
      <c r="AB92" s="4"/>
    </row>
    <row r="93" spans="1:245" x14ac:dyDescent="0.2">
      <c r="A93" s="4">
        <v>50</v>
      </c>
      <c r="B93" s="4">
        <v>0</v>
      </c>
      <c r="C93" s="4">
        <v>0</v>
      </c>
      <c r="D93" s="4">
        <v>1</v>
      </c>
      <c r="E93" s="4">
        <v>216</v>
      </c>
      <c r="F93" s="4">
        <f>ROUND(Source!AP84,O93)</f>
        <v>0</v>
      </c>
      <c r="G93" s="4" t="s">
        <v>104</v>
      </c>
      <c r="H93" s="4" t="s">
        <v>105</v>
      </c>
      <c r="I93" s="4"/>
      <c r="J93" s="4"/>
      <c r="K93" s="4">
        <v>216</v>
      </c>
      <c r="L93" s="4">
        <v>8</v>
      </c>
      <c r="M93" s="4">
        <v>3</v>
      </c>
      <c r="N93" s="4" t="s">
        <v>3</v>
      </c>
      <c r="O93" s="4">
        <v>2</v>
      </c>
      <c r="P93" s="4"/>
      <c r="Q93" s="4"/>
      <c r="R93" s="4"/>
      <c r="S93" s="4"/>
      <c r="T93" s="4"/>
      <c r="U93" s="4"/>
      <c r="V93" s="4"/>
      <c r="W93" s="4">
        <v>0</v>
      </c>
      <c r="X93" s="4">
        <v>1</v>
      </c>
      <c r="Y93" s="4">
        <v>0</v>
      </c>
      <c r="Z93" s="4"/>
      <c r="AA93" s="4"/>
      <c r="AB93" s="4"/>
    </row>
    <row r="94" spans="1:245" x14ac:dyDescent="0.2">
      <c r="A94" s="4">
        <v>50</v>
      </c>
      <c r="B94" s="4">
        <v>0</v>
      </c>
      <c r="C94" s="4">
        <v>0</v>
      </c>
      <c r="D94" s="4">
        <v>1</v>
      </c>
      <c r="E94" s="4">
        <v>223</v>
      </c>
      <c r="F94" s="4">
        <f>ROUND(Source!AQ84,O94)</f>
        <v>0</v>
      </c>
      <c r="G94" s="4" t="s">
        <v>106</v>
      </c>
      <c r="H94" s="4" t="s">
        <v>107</v>
      </c>
      <c r="I94" s="4"/>
      <c r="J94" s="4"/>
      <c r="K94" s="4">
        <v>223</v>
      </c>
      <c r="L94" s="4">
        <v>9</v>
      </c>
      <c r="M94" s="4">
        <v>3</v>
      </c>
      <c r="N94" s="4" t="s">
        <v>3</v>
      </c>
      <c r="O94" s="4">
        <v>2</v>
      </c>
      <c r="P94" s="4"/>
      <c r="Q94" s="4"/>
      <c r="R94" s="4"/>
      <c r="S94" s="4"/>
      <c r="T94" s="4"/>
      <c r="U94" s="4"/>
      <c r="V94" s="4"/>
      <c r="W94" s="4">
        <v>0</v>
      </c>
      <c r="X94" s="4">
        <v>1</v>
      </c>
      <c r="Y94" s="4">
        <v>0</v>
      </c>
      <c r="Z94" s="4"/>
      <c r="AA94" s="4"/>
      <c r="AB94" s="4"/>
    </row>
    <row r="95" spans="1:245" x14ac:dyDescent="0.2">
      <c r="A95" s="4">
        <v>50</v>
      </c>
      <c r="B95" s="4">
        <v>0</v>
      </c>
      <c r="C95" s="4">
        <v>0</v>
      </c>
      <c r="D95" s="4">
        <v>1</v>
      </c>
      <c r="E95" s="4">
        <v>229</v>
      </c>
      <c r="F95" s="4">
        <f>ROUND(Source!AZ84,O95)</f>
        <v>0</v>
      </c>
      <c r="G95" s="4" t="s">
        <v>108</v>
      </c>
      <c r="H95" s="4" t="s">
        <v>109</v>
      </c>
      <c r="I95" s="4"/>
      <c r="J95" s="4"/>
      <c r="K95" s="4">
        <v>229</v>
      </c>
      <c r="L95" s="4">
        <v>10</v>
      </c>
      <c r="M95" s="4">
        <v>3</v>
      </c>
      <c r="N95" s="4" t="s">
        <v>3</v>
      </c>
      <c r="O95" s="4">
        <v>2</v>
      </c>
      <c r="P95" s="4"/>
      <c r="Q95" s="4"/>
      <c r="R95" s="4"/>
      <c r="S95" s="4"/>
      <c r="T95" s="4"/>
      <c r="U95" s="4"/>
      <c r="V95" s="4"/>
      <c r="W95" s="4">
        <v>0</v>
      </c>
      <c r="X95" s="4">
        <v>1</v>
      </c>
      <c r="Y95" s="4">
        <v>0</v>
      </c>
      <c r="Z95" s="4"/>
      <c r="AA95" s="4"/>
      <c r="AB95" s="4"/>
    </row>
    <row r="96" spans="1:245" x14ac:dyDescent="0.2">
      <c r="A96" s="4">
        <v>50</v>
      </c>
      <c r="B96" s="4">
        <v>0</v>
      </c>
      <c r="C96" s="4">
        <v>0</v>
      </c>
      <c r="D96" s="4">
        <v>1</v>
      </c>
      <c r="E96" s="4">
        <v>203</v>
      </c>
      <c r="F96" s="4">
        <f>ROUND(Source!Q84,O96)</f>
        <v>9829.94</v>
      </c>
      <c r="G96" s="4" t="s">
        <v>110</v>
      </c>
      <c r="H96" s="4" t="s">
        <v>111</v>
      </c>
      <c r="I96" s="4"/>
      <c r="J96" s="4"/>
      <c r="K96" s="4">
        <v>203</v>
      </c>
      <c r="L96" s="4">
        <v>11</v>
      </c>
      <c r="M96" s="4">
        <v>3</v>
      </c>
      <c r="N96" s="4" t="s">
        <v>3</v>
      </c>
      <c r="O96" s="4">
        <v>2</v>
      </c>
      <c r="P96" s="4"/>
      <c r="Q96" s="4"/>
      <c r="R96" s="4"/>
      <c r="S96" s="4"/>
      <c r="T96" s="4"/>
      <c r="U96" s="4"/>
      <c r="V96" s="4"/>
      <c r="W96" s="4">
        <v>9829.94</v>
      </c>
      <c r="X96" s="4">
        <v>1</v>
      </c>
      <c r="Y96" s="4">
        <v>9829.94</v>
      </c>
      <c r="Z96" s="4"/>
      <c r="AA96" s="4"/>
      <c r="AB96" s="4"/>
    </row>
    <row r="97" spans="1:28" x14ac:dyDescent="0.2">
      <c r="A97" s="4">
        <v>50</v>
      </c>
      <c r="B97" s="4">
        <v>0</v>
      </c>
      <c r="C97" s="4">
        <v>0</v>
      </c>
      <c r="D97" s="4">
        <v>1</v>
      </c>
      <c r="E97" s="4">
        <v>231</v>
      </c>
      <c r="F97" s="4">
        <f>ROUND(Source!BB84,O97)</f>
        <v>0</v>
      </c>
      <c r="G97" s="4" t="s">
        <v>112</v>
      </c>
      <c r="H97" s="4" t="s">
        <v>113</v>
      </c>
      <c r="I97" s="4"/>
      <c r="J97" s="4"/>
      <c r="K97" s="4">
        <v>231</v>
      </c>
      <c r="L97" s="4">
        <v>12</v>
      </c>
      <c r="M97" s="4">
        <v>3</v>
      </c>
      <c r="N97" s="4" t="s">
        <v>3</v>
      </c>
      <c r="O97" s="4">
        <v>2</v>
      </c>
      <c r="P97" s="4"/>
      <c r="Q97" s="4"/>
      <c r="R97" s="4"/>
      <c r="S97" s="4"/>
      <c r="T97" s="4"/>
      <c r="U97" s="4"/>
      <c r="V97" s="4"/>
      <c r="W97" s="4">
        <v>0</v>
      </c>
      <c r="X97" s="4">
        <v>1</v>
      </c>
      <c r="Y97" s="4">
        <v>0</v>
      </c>
      <c r="Z97" s="4"/>
      <c r="AA97" s="4"/>
      <c r="AB97" s="4"/>
    </row>
    <row r="98" spans="1:28" x14ac:dyDescent="0.2">
      <c r="A98" s="4">
        <v>50</v>
      </c>
      <c r="B98" s="4">
        <v>0</v>
      </c>
      <c r="C98" s="4">
        <v>0</v>
      </c>
      <c r="D98" s="4">
        <v>1</v>
      </c>
      <c r="E98" s="4">
        <v>204</v>
      </c>
      <c r="F98" s="4">
        <f>ROUND(Source!R84,O98)</f>
        <v>3469.29</v>
      </c>
      <c r="G98" s="4" t="s">
        <v>114</v>
      </c>
      <c r="H98" s="4" t="s">
        <v>115</v>
      </c>
      <c r="I98" s="4"/>
      <c r="J98" s="4"/>
      <c r="K98" s="4">
        <v>204</v>
      </c>
      <c r="L98" s="4">
        <v>13</v>
      </c>
      <c r="M98" s="4">
        <v>3</v>
      </c>
      <c r="N98" s="4" t="s">
        <v>3</v>
      </c>
      <c r="O98" s="4">
        <v>2</v>
      </c>
      <c r="P98" s="4"/>
      <c r="Q98" s="4"/>
      <c r="R98" s="4"/>
      <c r="S98" s="4"/>
      <c r="T98" s="4"/>
      <c r="U98" s="4"/>
      <c r="V98" s="4"/>
      <c r="W98" s="4">
        <v>3469.29</v>
      </c>
      <c r="X98" s="4">
        <v>1</v>
      </c>
      <c r="Y98" s="4">
        <v>3469.29</v>
      </c>
      <c r="Z98" s="4"/>
      <c r="AA98" s="4"/>
      <c r="AB98" s="4"/>
    </row>
    <row r="99" spans="1:28" x14ac:dyDescent="0.2">
      <c r="A99" s="4">
        <v>50</v>
      </c>
      <c r="B99" s="4">
        <v>0</v>
      </c>
      <c r="C99" s="4">
        <v>0</v>
      </c>
      <c r="D99" s="4">
        <v>1</v>
      </c>
      <c r="E99" s="4">
        <v>205</v>
      </c>
      <c r="F99" s="4">
        <f>ROUND(Source!S84,O99)</f>
        <v>105713.11</v>
      </c>
      <c r="G99" s="4" t="s">
        <v>116</v>
      </c>
      <c r="H99" s="4" t="s">
        <v>117</v>
      </c>
      <c r="I99" s="4"/>
      <c r="J99" s="4"/>
      <c r="K99" s="4">
        <v>205</v>
      </c>
      <c r="L99" s="4">
        <v>14</v>
      </c>
      <c r="M99" s="4">
        <v>3</v>
      </c>
      <c r="N99" s="4" t="s">
        <v>3</v>
      </c>
      <c r="O99" s="4">
        <v>2</v>
      </c>
      <c r="P99" s="4"/>
      <c r="Q99" s="4"/>
      <c r="R99" s="4"/>
      <c r="S99" s="4"/>
      <c r="T99" s="4"/>
      <c r="U99" s="4"/>
      <c r="V99" s="4"/>
      <c r="W99" s="4">
        <v>105713.11</v>
      </c>
      <c r="X99" s="4">
        <v>1</v>
      </c>
      <c r="Y99" s="4">
        <v>105713.11</v>
      </c>
      <c r="Z99" s="4"/>
      <c r="AA99" s="4"/>
      <c r="AB99" s="4"/>
    </row>
    <row r="100" spans="1:28" x14ac:dyDescent="0.2">
      <c r="A100" s="4">
        <v>50</v>
      </c>
      <c r="B100" s="4">
        <v>0</v>
      </c>
      <c r="C100" s="4">
        <v>0</v>
      </c>
      <c r="D100" s="4">
        <v>1</v>
      </c>
      <c r="E100" s="4">
        <v>232</v>
      </c>
      <c r="F100" s="4">
        <f>ROUND(Source!BC84,O100)</f>
        <v>0</v>
      </c>
      <c r="G100" s="4" t="s">
        <v>118</v>
      </c>
      <c r="H100" s="4" t="s">
        <v>119</v>
      </c>
      <c r="I100" s="4"/>
      <c r="J100" s="4"/>
      <c r="K100" s="4">
        <v>232</v>
      </c>
      <c r="L100" s="4">
        <v>15</v>
      </c>
      <c r="M100" s="4">
        <v>3</v>
      </c>
      <c r="N100" s="4" t="s">
        <v>3</v>
      </c>
      <c r="O100" s="4">
        <v>2</v>
      </c>
      <c r="P100" s="4"/>
      <c r="Q100" s="4"/>
      <c r="R100" s="4"/>
      <c r="S100" s="4"/>
      <c r="T100" s="4"/>
      <c r="U100" s="4"/>
      <c r="V100" s="4"/>
      <c r="W100" s="4">
        <v>0</v>
      </c>
      <c r="X100" s="4">
        <v>1</v>
      </c>
      <c r="Y100" s="4">
        <v>0</v>
      </c>
      <c r="Z100" s="4"/>
      <c r="AA100" s="4"/>
      <c r="AB100" s="4"/>
    </row>
    <row r="101" spans="1:28" x14ac:dyDescent="0.2">
      <c r="A101" s="4">
        <v>50</v>
      </c>
      <c r="B101" s="4">
        <v>0</v>
      </c>
      <c r="C101" s="4">
        <v>0</v>
      </c>
      <c r="D101" s="4">
        <v>1</v>
      </c>
      <c r="E101" s="4">
        <v>214</v>
      </c>
      <c r="F101" s="4">
        <f>ROUND(Source!AS84,O101)</f>
        <v>0</v>
      </c>
      <c r="G101" s="4" t="s">
        <v>120</v>
      </c>
      <c r="H101" s="4" t="s">
        <v>121</v>
      </c>
      <c r="I101" s="4"/>
      <c r="J101" s="4"/>
      <c r="K101" s="4">
        <v>214</v>
      </c>
      <c r="L101" s="4">
        <v>16</v>
      </c>
      <c r="M101" s="4">
        <v>3</v>
      </c>
      <c r="N101" s="4" t="s">
        <v>3</v>
      </c>
      <c r="O101" s="4">
        <v>2</v>
      </c>
      <c r="P101" s="4"/>
      <c r="Q101" s="4"/>
      <c r="R101" s="4"/>
      <c r="S101" s="4"/>
      <c r="T101" s="4"/>
      <c r="U101" s="4"/>
      <c r="V101" s="4"/>
      <c r="W101" s="4">
        <v>0</v>
      </c>
      <c r="X101" s="4">
        <v>1</v>
      </c>
      <c r="Y101" s="4">
        <v>0</v>
      </c>
      <c r="Z101" s="4"/>
      <c r="AA101" s="4"/>
      <c r="AB101" s="4"/>
    </row>
    <row r="102" spans="1:28" x14ac:dyDescent="0.2">
      <c r="A102" s="4">
        <v>50</v>
      </c>
      <c r="B102" s="4">
        <v>0</v>
      </c>
      <c r="C102" s="4">
        <v>0</v>
      </c>
      <c r="D102" s="4">
        <v>1</v>
      </c>
      <c r="E102" s="4">
        <v>215</v>
      </c>
      <c r="F102" s="4">
        <f>ROUND(Source!AT84,O102)</f>
        <v>1150175.71</v>
      </c>
      <c r="G102" s="4" t="s">
        <v>122</v>
      </c>
      <c r="H102" s="4" t="s">
        <v>123</v>
      </c>
      <c r="I102" s="4"/>
      <c r="J102" s="4"/>
      <c r="K102" s="4">
        <v>215</v>
      </c>
      <c r="L102" s="4">
        <v>17</v>
      </c>
      <c r="M102" s="4">
        <v>3</v>
      </c>
      <c r="N102" s="4" t="s">
        <v>3</v>
      </c>
      <c r="O102" s="4">
        <v>2</v>
      </c>
      <c r="P102" s="4"/>
      <c r="Q102" s="4"/>
      <c r="R102" s="4"/>
      <c r="S102" s="4"/>
      <c r="T102" s="4"/>
      <c r="U102" s="4"/>
      <c r="V102" s="4"/>
      <c r="W102" s="4">
        <v>1150175.71</v>
      </c>
      <c r="X102" s="4">
        <v>1</v>
      </c>
      <c r="Y102" s="4">
        <v>1150175.71</v>
      </c>
      <c r="Z102" s="4"/>
      <c r="AA102" s="4"/>
      <c r="AB102" s="4"/>
    </row>
    <row r="103" spans="1:28" x14ac:dyDescent="0.2">
      <c r="A103" s="4">
        <v>50</v>
      </c>
      <c r="B103" s="4">
        <v>0</v>
      </c>
      <c r="C103" s="4">
        <v>0</v>
      </c>
      <c r="D103" s="4">
        <v>1</v>
      </c>
      <c r="E103" s="4">
        <v>217</v>
      </c>
      <c r="F103" s="4">
        <f>ROUND(Source!AU84,O103)</f>
        <v>0</v>
      </c>
      <c r="G103" s="4" t="s">
        <v>124</v>
      </c>
      <c r="H103" s="4" t="s">
        <v>125</v>
      </c>
      <c r="I103" s="4"/>
      <c r="J103" s="4"/>
      <c r="K103" s="4">
        <v>217</v>
      </c>
      <c r="L103" s="4">
        <v>18</v>
      </c>
      <c r="M103" s="4">
        <v>3</v>
      </c>
      <c r="N103" s="4" t="s">
        <v>3</v>
      </c>
      <c r="O103" s="4">
        <v>2</v>
      </c>
      <c r="P103" s="4"/>
      <c r="Q103" s="4"/>
      <c r="R103" s="4"/>
      <c r="S103" s="4"/>
      <c r="T103" s="4"/>
      <c r="U103" s="4"/>
      <c r="V103" s="4"/>
      <c r="W103" s="4">
        <v>0</v>
      </c>
      <c r="X103" s="4">
        <v>1</v>
      </c>
      <c r="Y103" s="4">
        <v>0</v>
      </c>
      <c r="Z103" s="4"/>
      <c r="AA103" s="4"/>
      <c r="AB103" s="4"/>
    </row>
    <row r="104" spans="1:28" x14ac:dyDescent="0.2">
      <c r="A104" s="4">
        <v>50</v>
      </c>
      <c r="B104" s="4">
        <v>0</v>
      </c>
      <c r="C104" s="4">
        <v>0</v>
      </c>
      <c r="D104" s="4">
        <v>1</v>
      </c>
      <c r="E104" s="4">
        <v>230</v>
      </c>
      <c r="F104" s="4">
        <f>ROUND(Source!BA84,O104)</f>
        <v>0</v>
      </c>
      <c r="G104" s="4" t="s">
        <v>126</v>
      </c>
      <c r="H104" s="4" t="s">
        <v>127</v>
      </c>
      <c r="I104" s="4"/>
      <c r="J104" s="4"/>
      <c r="K104" s="4">
        <v>230</v>
      </c>
      <c r="L104" s="4">
        <v>19</v>
      </c>
      <c r="M104" s="4">
        <v>3</v>
      </c>
      <c r="N104" s="4" t="s">
        <v>3</v>
      </c>
      <c r="O104" s="4">
        <v>2</v>
      </c>
      <c r="P104" s="4"/>
      <c r="Q104" s="4"/>
      <c r="R104" s="4"/>
      <c r="S104" s="4"/>
      <c r="T104" s="4"/>
      <c r="U104" s="4"/>
      <c r="V104" s="4"/>
      <c r="W104" s="4">
        <v>0</v>
      </c>
      <c r="X104" s="4">
        <v>1</v>
      </c>
      <c r="Y104" s="4">
        <v>0</v>
      </c>
      <c r="Z104" s="4"/>
      <c r="AA104" s="4"/>
      <c r="AB104" s="4"/>
    </row>
    <row r="105" spans="1:28" x14ac:dyDescent="0.2">
      <c r="A105" s="4">
        <v>50</v>
      </c>
      <c r="B105" s="4">
        <v>0</v>
      </c>
      <c r="C105" s="4">
        <v>0</v>
      </c>
      <c r="D105" s="4">
        <v>1</v>
      </c>
      <c r="E105" s="4">
        <v>206</v>
      </c>
      <c r="F105" s="4">
        <f>ROUND(Source!T84,O105)</f>
        <v>0</v>
      </c>
      <c r="G105" s="4" t="s">
        <v>128</v>
      </c>
      <c r="H105" s="4" t="s">
        <v>129</v>
      </c>
      <c r="I105" s="4"/>
      <c r="J105" s="4"/>
      <c r="K105" s="4">
        <v>206</v>
      </c>
      <c r="L105" s="4">
        <v>20</v>
      </c>
      <c r="M105" s="4">
        <v>3</v>
      </c>
      <c r="N105" s="4" t="s">
        <v>3</v>
      </c>
      <c r="O105" s="4">
        <v>2</v>
      </c>
      <c r="P105" s="4"/>
      <c r="Q105" s="4"/>
      <c r="R105" s="4"/>
      <c r="S105" s="4"/>
      <c r="T105" s="4"/>
      <c r="U105" s="4"/>
      <c r="V105" s="4"/>
      <c r="W105" s="4">
        <v>0</v>
      </c>
      <c r="X105" s="4">
        <v>1</v>
      </c>
      <c r="Y105" s="4">
        <v>0</v>
      </c>
      <c r="Z105" s="4"/>
      <c r="AA105" s="4"/>
      <c r="AB105" s="4"/>
    </row>
    <row r="106" spans="1:28" x14ac:dyDescent="0.2">
      <c r="A106" s="4">
        <v>50</v>
      </c>
      <c r="B106" s="4">
        <v>0</v>
      </c>
      <c r="C106" s="4">
        <v>0</v>
      </c>
      <c r="D106" s="4">
        <v>1</v>
      </c>
      <c r="E106" s="4">
        <v>207</v>
      </c>
      <c r="F106" s="4">
        <f>Source!U84</f>
        <v>247.02435040499998</v>
      </c>
      <c r="G106" s="4" t="s">
        <v>130</v>
      </c>
      <c r="H106" s="4" t="s">
        <v>131</v>
      </c>
      <c r="I106" s="4"/>
      <c r="J106" s="4"/>
      <c r="K106" s="4">
        <v>207</v>
      </c>
      <c r="L106" s="4">
        <v>21</v>
      </c>
      <c r="M106" s="4">
        <v>3</v>
      </c>
      <c r="N106" s="4" t="s">
        <v>3</v>
      </c>
      <c r="O106" s="4">
        <v>-1</v>
      </c>
      <c r="P106" s="4"/>
      <c r="Q106" s="4"/>
      <c r="R106" s="4"/>
      <c r="S106" s="4"/>
      <c r="T106" s="4"/>
      <c r="U106" s="4"/>
      <c r="V106" s="4"/>
      <c r="W106" s="4">
        <v>247.02435040500001</v>
      </c>
      <c r="X106" s="4">
        <v>1</v>
      </c>
      <c r="Y106" s="4">
        <v>247.02435040500001</v>
      </c>
      <c r="Z106" s="4"/>
      <c r="AA106" s="4"/>
      <c r="AB106" s="4"/>
    </row>
    <row r="107" spans="1:28" x14ac:dyDescent="0.2">
      <c r="A107" s="4">
        <v>50</v>
      </c>
      <c r="B107" s="4">
        <v>0</v>
      </c>
      <c r="C107" s="4">
        <v>0</v>
      </c>
      <c r="D107" s="4">
        <v>1</v>
      </c>
      <c r="E107" s="4">
        <v>208</v>
      </c>
      <c r="F107" s="4">
        <f>Source!V84</f>
        <v>0</v>
      </c>
      <c r="G107" s="4" t="s">
        <v>132</v>
      </c>
      <c r="H107" s="4" t="s">
        <v>133</v>
      </c>
      <c r="I107" s="4"/>
      <c r="J107" s="4"/>
      <c r="K107" s="4">
        <v>208</v>
      </c>
      <c r="L107" s="4">
        <v>22</v>
      </c>
      <c r="M107" s="4">
        <v>3</v>
      </c>
      <c r="N107" s="4" t="s">
        <v>3</v>
      </c>
      <c r="O107" s="4">
        <v>-1</v>
      </c>
      <c r="P107" s="4"/>
      <c r="Q107" s="4"/>
      <c r="R107" s="4"/>
      <c r="S107" s="4"/>
      <c r="T107" s="4"/>
      <c r="U107" s="4"/>
      <c r="V107" s="4"/>
      <c r="W107" s="4">
        <v>0</v>
      </c>
      <c r="X107" s="4">
        <v>1</v>
      </c>
      <c r="Y107" s="4">
        <v>0</v>
      </c>
      <c r="Z107" s="4"/>
      <c r="AA107" s="4"/>
      <c r="AB107" s="4"/>
    </row>
    <row r="108" spans="1:28" x14ac:dyDescent="0.2">
      <c r="A108" s="4">
        <v>50</v>
      </c>
      <c r="B108" s="4">
        <v>0</v>
      </c>
      <c r="C108" s="4">
        <v>0</v>
      </c>
      <c r="D108" s="4">
        <v>1</v>
      </c>
      <c r="E108" s="4">
        <v>209</v>
      </c>
      <c r="F108" s="4">
        <f>ROUND(Source!W84,O108)</f>
        <v>0</v>
      </c>
      <c r="G108" s="4" t="s">
        <v>134</v>
      </c>
      <c r="H108" s="4" t="s">
        <v>135</v>
      </c>
      <c r="I108" s="4"/>
      <c r="J108" s="4"/>
      <c r="K108" s="4">
        <v>209</v>
      </c>
      <c r="L108" s="4">
        <v>23</v>
      </c>
      <c r="M108" s="4">
        <v>3</v>
      </c>
      <c r="N108" s="4" t="s">
        <v>3</v>
      </c>
      <c r="O108" s="4">
        <v>2</v>
      </c>
      <c r="P108" s="4"/>
      <c r="Q108" s="4"/>
      <c r="R108" s="4"/>
      <c r="S108" s="4"/>
      <c r="T108" s="4"/>
      <c r="U108" s="4"/>
      <c r="V108" s="4"/>
      <c r="W108" s="4">
        <v>0</v>
      </c>
      <c r="X108" s="4">
        <v>1</v>
      </c>
      <c r="Y108" s="4">
        <v>0</v>
      </c>
      <c r="Z108" s="4"/>
      <c r="AA108" s="4"/>
      <c r="AB108" s="4"/>
    </row>
    <row r="109" spans="1:28" x14ac:dyDescent="0.2">
      <c r="A109" s="4">
        <v>50</v>
      </c>
      <c r="B109" s="4">
        <v>0</v>
      </c>
      <c r="C109" s="4">
        <v>0</v>
      </c>
      <c r="D109" s="4">
        <v>1</v>
      </c>
      <c r="E109" s="4">
        <v>233</v>
      </c>
      <c r="F109" s="4">
        <f>ROUND(Source!BD84,O109)</f>
        <v>0</v>
      </c>
      <c r="G109" s="4" t="s">
        <v>136</v>
      </c>
      <c r="H109" s="4" t="s">
        <v>137</v>
      </c>
      <c r="I109" s="4"/>
      <c r="J109" s="4"/>
      <c r="K109" s="4">
        <v>233</v>
      </c>
      <c r="L109" s="4">
        <v>24</v>
      </c>
      <c r="M109" s="4">
        <v>3</v>
      </c>
      <c r="N109" s="4" t="s">
        <v>3</v>
      </c>
      <c r="O109" s="4">
        <v>2</v>
      </c>
      <c r="P109" s="4"/>
      <c r="Q109" s="4"/>
      <c r="R109" s="4"/>
      <c r="S109" s="4"/>
      <c r="T109" s="4"/>
      <c r="U109" s="4"/>
      <c r="V109" s="4"/>
      <c r="W109" s="4">
        <v>0</v>
      </c>
      <c r="X109" s="4">
        <v>1</v>
      </c>
      <c r="Y109" s="4">
        <v>0</v>
      </c>
      <c r="Z109" s="4"/>
      <c r="AA109" s="4"/>
      <c r="AB109" s="4"/>
    </row>
    <row r="110" spans="1:28" x14ac:dyDescent="0.2">
      <c r="A110" s="4">
        <v>50</v>
      </c>
      <c r="B110" s="4">
        <v>0</v>
      </c>
      <c r="C110" s="4">
        <v>0</v>
      </c>
      <c r="D110" s="4">
        <v>1</v>
      </c>
      <c r="E110" s="4">
        <v>210</v>
      </c>
      <c r="F110" s="4">
        <f>ROUND(Source!X84,O110)</f>
        <v>97256.06</v>
      </c>
      <c r="G110" s="4" t="s">
        <v>138</v>
      </c>
      <c r="H110" s="4" t="s">
        <v>139</v>
      </c>
      <c r="I110" s="4"/>
      <c r="J110" s="4"/>
      <c r="K110" s="4">
        <v>210</v>
      </c>
      <c r="L110" s="4">
        <v>25</v>
      </c>
      <c r="M110" s="4">
        <v>3</v>
      </c>
      <c r="N110" s="4" t="s">
        <v>3</v>
      </c>
      <c r="O110" s="4">
        <v>2</v>
      </c>
      <c r="P110" s="4"/>
      <c r="Q110" s="4"/>
      <c r="R110" s="4"/>
      <c r="S110" s="4"/>
      <c r="T110" s="4"/>
      <c r="U110" s="4"/>
      <c r="V110" s="4"/>
      <c r="W110" s="4">
        <v>97256.06</v>
      </c>
      <c r="X110" s="4">
        <v>1</v>
      </c>
      <c r="Y110" s="4">
        <v>97256.06</v>
      </c>
      <c r="Z110" s="4"/>
      <c r="AA110" s="4"/>
      <c r="AB110" s="4"/>
    </row>
    <row r="111" spans="1:28" x14ac:dyDescent="0.2">
      <c r="A111" s="4">
        <v>50</v>
      </c>
      <c r="B111" s="4">
        <v>0</v>
      </c>
      <c r="C111" s="4">
        <v>0</v>
      </c>
      <c r="D111" s="4">
        <v>1</v>
      </c>
      <c r="E111" s="4">
        <v>211</v>
      </c>
      <c r="F111" s="4">
        <f>ROUND(Source!Y84,O111)</f>
        <v>45456.639999999999</v>
      </c>
      <c r="G111" s="4" t="s">
        <v>140</v>
      </c>
      <c r="H111" s="4" t="s">
        <v>141</v>
      </c>
      <c r="I111" s="4"/>
      <c r="J111" s="4"/>
      <c r="K111" s="4">
        <v>211</v>
      </c>
      <c r="L111" s="4">
        <v>26</v>
      </c>
      <c r="M111" s="4">
        <v>3</v>
      </c>
      <c r="N111" s="4" t="s">
        <v>3</v>
      </c>
      <c r="O111" s="4">
        <v>2</v>
      </c>
      <c r="P111" s="4"/>
      <c r="Q111" s="4"/>
      <c r="R111" s="4"/>
      <c r="S111" s="4"/>
      <c r="T111" s="4"/>
      <c r="U111" s="4"/>
      <c r="V111" s="4"/>
      <c r="W111" s="4">
        <v>45456.639999999999</v>
      </c>
      <c r="X111" s="4">
        <v>1</v>
      </c>
      <c r="Y111" s="4">
        <v>45456.639999999999</v>
      </c>
      <c r="Z111" s="4"/>
      <c r="AA111" s="4"/>
      <c r="AB111" s="4"/>
    </row>
    <row r="112" spans="1:28" x14ac:dyDescent="0.2">
      <c r="A112" s="4">
        <v>50</v>
      </c>
      <c r="B112" s="4">
        <v>0</v>
      </c>
      <c r="C112" s="4">
        <v>0</v>
      </c>
      <c r="D112" s="4">
        <v>1</v>
      </c>
      <c r="E112" s="4">
        <v>224</v>
      </c>
      <c r="F112" s="4">
        <f>ROUND(Source!AR84,O112)</f>
        <v>1150175.71</v>
      </c>
      <c r="G112" s="4" t="s">
        <v>142</v>
      </c>
      <c r="H112" s="4" t="s">
        <v>143</v>
      </c>
      <c r="I112" s="4"/>
      <c r="J112" s="4"/>
      <c r="K112" s="4">
        <v>224</v>
      </c>
      <c r="L112" s="4">
        <v>27</v>
      </c>
      <c r="M112" s="4">
        <v>3</v>
      </c>
      <c r="N112" s="4" t="s">
        <v>3</v>
      </c>
      <c r="O112" s="4">
        <v>2</v>
      </c>
      <c r="P112" s="4"/>
      <c r="Q112" s="4"/>
      <c r="R112" s="4"/>
      <c r="S112" s="4"/>
      <c r="T112" s="4"/>
      <c r="U112" s="4"/>
      <c r="V112" s="4"/>
      <c r="W112" s="4">
        <v>1150175.71</v>
      </c>
      <c r="X112" s="4">
        <v>1</v>
      </c>
      <c r="Y112" s="4">
        <v>1150175.71</v>
      </c>
      <c r="Z112" s="4"/>
      <c r="AA112" s="4"/>
      <c r="AB112" s="4"/>
    </row>
    <row r="114" spans="1:206" x14ac:dyDescent="0.2">
      <c r="A114" s="2">
        <v>51</v>
      </c>
      <c r="B114" s="2">
        <f>B24</f>
        <v>1</v>
      </c>
      <c r="C114" s="2">
        <f>A24</f>
        <v>4</v>
      </c>
      <c r="D114" s="2">
        <f>ROW(A24)</f>
        <v>24</v>
      </c>
      <c r="E114" s="2"/>
      <c r="F114" s="2" t="str">
        <f>IF(F24&lt;&gt;"",F24,"")</f>
        <v>Новый раздел</v>
      </c>
      <c r="G114" s="2" t="str">
        <f>IF(G24&lt;&gt;"",G24,"")</f>
        <v>Закрытый переход 2 сквх3тр (104,1м; 113,4м)</v>
      </c>
      <c r="H114" s="2">
        <v>0</v>
      </c>
      <c r="I114" s="2"/>
      <c r="J114" s="2"/>
      <c r="K114" s="2"/>
      <c r="L114" s="2"/>
      <c r="M114" s="2"/>
      <c r="N114" s="2"/>
      <c r="O114" s="2">
        <f t="shared" ref="O114:T114" si="82">ROUND(O44+O84+AB114,2)</f>
        <v>7532850.3200000003</v>
      </c>
      <c r="P114" s="2">
        <f t="shared" si="82"/>
        <v>3626728.98</v>
      </c>
      <c r="Q114" s="2">
        <f t="shared" si="82"/>
        <v>3562517</v>
      </c>
      <c r="R114" s="2">
        <f t="shared" si="82"/>
        <v>410220.03</v>
      </c>
      <c r="S114" s="2">
        <f t="shared" si="82"/>
        <v>343604.34</v>
      </c>
      <c r="T114" s="2">
        <f t="shared" si="82"/>
        <v>0</v>
      </c>
      <c r="U114" s="2">
        <f>U44+U84+AH114</f>
        <v>748.80027990515998</v>
      </c>
      <c r="V114" s="2">
        <f>V44+V84+AI114</f>
        <v>0</v>
      </c>
      <c r="W114" s="2">
        <f>ROUND(W44+W84+AJ114,2)</f>
        <v>0</v>
      </c>
      <c r="X114" s="2">
        <f>ROUND(X44+X84+AK114,2)</f>
        <v>376229.32</v>
      </c>
      <c r="Y114" s="2">
        <f>ROUND(Y44+Y84+AL114,2)</f>
        <v>177500.14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>
        <f t="shared" ref="AO114:BD114" si="83">ROUND(AO44+AO84+BX114,2)</f>
        <v>0</v>
      </c>
      <c r="AP114" s="2">
        <f t="shared" si="83"/>
        <v>0</v>
      </c>
      <c r="AQ114" s="2">
        <f t="shared" si="83"/>
        <v>0</v>
      </c>
      <c r="AR114" s="2">
        <f t="shared" si="83"/>
        <v>8742931.8200000003</v>
      </c>
      <c r="AS114" s="2">
        <f t="shared" si="83"/>
        <v>7591866.5700000003</v>
      </c>
      <c r="AT114" s="2">
        <f t="shared" si="83"/>
        <v>1151065.25</v>
      </c>
      <c r="AU114" s="2">
        <f t="shared" si="83"/>
        <v>0</v>
      </c>
      <c r="AV114" s="2">
        <f t="shared" si="83"/>
        <v>3626728.98</v>
      </c>
      <c r="AW114" s="2">
        <f t="shared" si="83"/>
        <v>3626728.98</v>
      </c>
      <c r="AX114" s="2">
        <f t="shared" si="83"/>
        <v>0</v>
      </c>
      <c r="AY114" s="2">
        <f t="shared" si="83"/>
        <v>3626728.98</v>
      </c>
      <c r="AZ114" s="2">
        <f t="shared" si="83"/>
        <v>0</v>
      </c>
      <c r="BA114" s="2">
        <f t="shared" si="83"/>
        <v>0</v>
      </c>
      <c r="BB114" s="2">
        <f t="shared" si="83"/>
        <v>0</v>
      </c>
      <c r="BC114" s="2">
        <f t="shared" si="83"/>
        <v>0</v>
      </c>
      <c r="BD114" s="2">
        <f t="shared" si="83"/>
        <v>0</v>
      </c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>
        <v>0</v>
      </c>
    </row>
    <row r="116" spans="1:206" x14ac:dyDescent="0.2">
      <c r="A116" s="4">
        <v>50</v>
      </c>
      <c r="B116" s="4">
        <v>0</v>
      </c>
      <c r="C116" s="4">
        <v>0</v>
      </c>
      <c r="D116" s="4">
        <v>1</v>
      </c>
      <c r="E116" s="4">
        <v>201</v>
      </c>
      <c r="F116" s="4">
        <f>ROUND(Source!O114,O116)</f>
        <v>7532850.3200000003</v>
      </c>
      <c r="G116" s="4" t="s">
        <v>90</v>
      </c>
      <c r="H116" s="4" t="s">
        <v>91</v>
      </c>
      <c r="I116" s="4"/>
      <c r="J116" s="4"/>
      <c r="K116" s="4">
        <v>201</v>
      </c>
      <c r="L116" s="4">
        <v>1</v>
      </c>
      <c r="M116" s="4">
        <v>3</v>
      </c>
      <c r="N116" s="4" t="s">
        <v>3</v>
      </c>
      <c r="O116" s="4">
        <v>2</v>
      </c>
      <c r="P116" s="4"/>
      <c r="Q116" s="4"/>
      <c r="R116" s="4"/>
      <c r="S116" s="4"/>
      <c r="T116" s="4"/>
      <c r="U116" s="4"/>
      <c r="V116" s="4"/>
      <c r="W116" s="4">
        <v>7532850.3200000003</v>
      </c>
      <c r="X116" s="4">
        <v>1</v>
      </c>
      <c r="Y116" s="4">
        <v>7532850.3200000003</v>
      </c>
      <c r="Z116" s="4"/>
      <c r="AA116" s="4"/>
      <c r="AB116" s="4"/>
    </row>
    <row r="117" spans="1:206" x14ac:dyDescent="0.2">
      <c r="A117" s="4">
        <v>50</v>
      </c>
      <c r="B117" s="4">
        <v>0</v>
      </c>
      <c r="C117" s="4">
        <v>0</v>
      </c>
      <c r="D117" s="4">
        <v>1</v>
      </c>
      <c r="E117" s="4">
        <v>202</v>
      </c>
      <c r="F117" s="4">
        <f>ROUND(Source!P114,O117)</f>
        <v>3626728.98</v>
      </c>
      <c r="G117" s="4" t="s">
        <v>92</v>
      </c>
      <c r="H117" s="4" t="s">
        <v>93</v>
      </c>
      <c r="I117" s="4"/>
      <c r="J117" s="4"/>
      <c r="K117" s="4">
        <v>202</v>
      </c>
      <c r="L117" s="4">
        <v>2</v>
      </c>
      <c r="M117" s="4">
        <v>3</v>
      </c>
      <c r="N117" s="4" t="s">
        <v>3</v>
      </c>
      <c r="O117" s="4">
        <v>2</v>
      </c>
      <c r="P117" s="4"/>
      <c r="Q117" s="4"/>
      <c r="R117" s="4"/>
      <c r="S117" s="4"/>
      <c r="T117" s="4"/>
      <c r="U117" s="4"/>
      <c r="V117" s="4"/>
      <c r="W117" s="4">
        <v>3626728.98</v>
      </c>
      <c r="X117" s="4">
        <v>1</v>
      </c>
      <c r="Y117" s="4">
        <v>3626728.98</v>
      </c>
      <c r="Z117" s="4"/>
      <c r="AA117" s="4"/>
      <c r="AB117" s="4"/>
    </row>
    <row r="118" spans="1:206" x14ac:dyDescent="0.2">
      <c r="A118" s="4">
        <v>50</v>
      </c>
      <c r="B118" s="4">
        <v>0</v>
      </c>
      <c r="C118" s="4">
        <v>0</v>
      </c>
      <c r="D118" s="4">
        <v>1</v>
      </c>
      <c r="E118" s="4">
        <v>222</v>
      </c>
      <c r="F118" s="4">
        <f>ROUND(Source!AO114,O118)</f>
        <v>0</v>
      </c>
      <c r="G118" s="4" t="s">
        <v>94</v>
      </c>
      <c r="H118" s="4" t="s">
        <v>95</v>
      </c>
      <c r="I118" s="4"/>
      <c r="J118" s="4"/>
      <c r="K118" s="4">
        <v>222</v>
      </c>
      <c r="L118" s="4">
        <v>3</v>
      </c>
      <c r="M118" s="4">
        <v>3</v>
      </c>
      <c r="N118" s="4" t="s">
        <v>3</v>
      </c>
      <c r="O118" s="4">
        <v>2</v>
      </c>
      <c r="P118" s="4"/>
      <c r="Q118" s="4"/>
      <c r="R118" s="4"/>
      <c r="S118" s="4"/>
      <c r="T118" s="4"/>
      <c r="U118" s="4"/>
      <c r="V118" s="4"/>
      <c r="W118" s="4">
        <v>0</v>
      </c>
      <c r="X118" s="4">
        <v>1</v>
      </c>
      <c r="Y118" s="4">
        <v>0</v>
      </c>
      <c r="Z118" s="4"/>
      <c r="AA118" s="4"/>
      <c r="AB118" s="4"/>
    </row>
    <row r="119" spans="1:206" x14ac:dyDescent="0.2">
      <c r="A119" s="4">
        <v>50</v>
      </c>
      <c r="B119" s="4">
        <v>0</v>
      </c>
      <c r="C119" s="4">
        <v>0</v>
      </c>
      <c r="D119" s="4">
        <v>1</v>
      </c>
      <c r="E119" s="4">
        <v>225</v>
      </c>
      <c r="F119" s="4">
        <f>ROUND(Source!AV114,O119)</f>
        <v>3626728.98</v>
      </c>
      <c r="G119" s="4" t="s">
        <v>96</v>
      </c>
      <c r="H119" s="4" t="s">
        <v>97</v>
      </c>
      <c r="I119" s="4"/>
      <c r="J119" s="4"/>
      <c r="K119" s="4">
        <v>225</v>
      </c>
      <c r="L119" s="4">
        <v>4</v>
      </c>
      <c r="M119" s="4">
        <v>3</v>
      </c>
      <c r="N119" s="4" t="s">
        <v>3</v>
      </c>
      <c r="O119" s="4">
        <v>2</v>
      </c>
      <c r="P119" s="4"/>
      <c r="Q119" s="4"/>
      <c r="R119" s="4"/>
      <c r="S119" s="4"/>
      <c r="T119" s="4"/>
      <c r="U119" s="4"/>
      <c r="V119" s="4"/>
      <c r="W119" s="4">
        <v>3626728.98</v>
      </c>
      <c r="X119" s="4">
        <v>1</v>
      </c>
      <c r="Y119" s="4">
        <v>3626728.98</v>
      </c>
      <c r="Z119" s="4"/>
      <c r="AA119" s="4"/>
      <c r="AB119" s="4"/>
    </row>
    <row r="120" spans="1:206" x14ac:dyDescent="0.2">
      <c r="A120" s="4">
        <v>50</v>
      </c>
      <c r="B120" s="4">
        <v>0</v>
      </c>
      <c r="C120" s="4">
        <v>0</v>
      </c>
      <c r="D120" s="4">
        <v>1</v>
      </c>
      <c r="E120" s="4">
        <v>226</v>
      </c>
      <c r="F120" s="4">
        <f>ROUND(Source!AW114,O120)</f>
        <v>3626728.98</v>
      </c>
      <c r="G120" s="4" t="s">
        <v>98</v>
      </c>
      <c r="H120" s="4" t="s">
        <v>99</v>
      </c>
      <c r="I120" s="4"/>
      <c r="J120" s="4"/>
      <c r="K120" s="4">
        <v>226</v>
      </c>
      <c r="L120" s="4">
        <v>5</v>
      </c>
      <c r="M120" s="4">
        <v>3</v>
      </c>
      <c r="N120" s="4" t="s">
        <v>3</v>
      </c>
      <c r="O120" s="4">
        <v>2</v>
      </c>
      <c r="P120" s="4"/>
      <c r="Q120" s="4"/>
      <c r="R120" s="4"/>
      <c r="S120" s="4"/>
      <c r="T120" s="4"/>
      <c r="U120" s="4"/>
      <c r="V120" s="4"/>
      <c r="W120" s="4">
        <v>3626728.98</v>
      </c>
      <c r="X120" s="4">
        <v>1</v>
      </c>
      <c r="Y120" s="4">
        <v>3626728.98</v>
      </c>
      <c r="Z120" s="4"/>
      <c r="AA120" s="4"/>
      <c r="AB120" s="4"/>
    </row>
    <row r="121" spans="1:206" x14ac:dyDescent="0.2">
      <c r="A121" s="4">
        <v>50</v>
      </c>
      <c r="B121" s="4">
        <v>0</v>
      </c>
      <c r="C121" s="4">
        <v>0</v>
      </c>
      <c r="D121" s="4">
        <v>1</v>
      </c>
      <c r="E121" s="4">
        <v>227</v>
      </c>
      <c r="F121" s="4">
        <f>ROUND(Source!AX114,O121)</f>
        <v>0</v>
      </c>
      <c r="G121" s="4" t="s">
        <v>100</v>
      </c>
      <c r="H121" s="4" t="s">
        <v>101</v>
      </c>
      <c r="I121" s="4"/>
      <c r="J121" s="4"/>
      <c r="K121" s="4">
        <v>227</v>
      </c>
      <c r="L121" s="4">
        <v>6</v>
      </c>
      <c r="M121" s="4">
        <v>3</v>
      </c>
      <c r="N121" s="4" t="s">
        <v>3</v>
      </c>
      <c r="O121" s="4">
        <v>2</v>
      </c>
      <c r="P121" s="4"/>
      <c r="Q121" s="4"/>
      <c r="R121" s="4"/>
      <c r="S121" s="4"/>
      <c r="T121" s="4"/>
      <c r="U121" s="4"/>
      <c r="V121" s="4"/>
      <c r="W121" s="4">
        <v>0</v>
      </c>
      <c r="X121" s="4">
        <v>1</v>
      </c>
      <c r="Y121" s="4">
        <v>0</v>
      </c>
      <c r="Z121" s="4"/>
      <c r="AA121" s="4"/>
      <c r="AB121" s="4"/>
    </row>
    <row r="122" spans="1:206" x14ac:dyDescent="0.2">
      <c r="A122" s="4">
        <v>50</v>
      </c>
      <c r="B122" s="4">
        <v>0</v>
      </c>
      <c r="C122" s="4">
        <v>0</v>
      </c>
      <c r="D122" s="4">
        <v>1</v>
      </c>
      <c r="E122" s="4">
        <v>228</v>
      </c>
      <c r="F122" s="4">
        <f>ROUND(Source!AY114,O122)</f>
        <v>3626728.98</v>
      </c>
      <c r="G122" s="4" t="s">
        <v>102</v>
      </c>
      <c r="H122" s="4" t="s">
        <v>103</v>
      </c>
      <c r="I122" s="4"/>
      <c r="J122" s="4"/>
      <c r="K122" s="4">
        <v>228</v>
      </c>
      <c r="L122" s="4">
        <v>7</v>
      </c>
      <c r="M122" s="4">
        <v>3</v>
      </c>
      <c r="N122" s="4" t="s">
        <v>3</v>
      </c>
      <c r="O122" s="4">
        <v>2</v>
      </c>
      <c r="P122" s="4"/>
      <c r="Q122" s="4"/>
      <c r="R122" s="4"/>
      <c r="S122" s="4"/>
      <c r="T122" s="4"/>
      <c r="U122" s="4"/>
      <c r="V122" s="4"/>
      <c r="W122" s="4">
        <v>3626728.98</v>
      </c>
      <c r="X122" s="4">
        <v>1</v>
      </c>
      <c r="Y122" s="4">
        <v>3626728.98</v>
      </c>
      <c r="Z122" s="4"/>
      <c r="AA122" s="4"/>
      <c r="AB122" s="4"/>
    </row>
    <row r="123" spans="1:206" x14ac:dyDescent="0.2">
      <c r="A123" s="4">
        <v>50</v>
      </c>
      <c r="B123" s="4">
        <v>0</v>
      </c>
      <c r="C123" s="4">
        <v>0</v>
      </c>
      <c r="D123" s="4">
        <v>1</v>
      </c>
      <c r="E123" s="4">
        <v>216</v>
      </c>
      <c r="F123" s="4">
        <f>ROUND(Source!AP114,O123)</f>
        <v>0</v>
      </c>
      <c r="G123" s="4" t="s">
        <v>104</v>
      </c>
      <c r="H123" s="4" t="s">
        <v>105</v>
      </c>
      <c r="I123" s="4"/>
      <c r="J123" s="4"/>
      <c r="K123" s="4">
        <v>216</v>
      </c>
      <c r="L123" s="4">
        <v>8</v>
      </c>
      <c r="M123" s="4">
        <v>3</v>
      </c>
      <c r="N123" s="4" t="s">
        <v>3</v>
      </c>
      <c r="O123" s="4">
        <v>2</v>
      </c>
      <c r="P123" s="4"/>
      <c r="Q123" s="4"/>
      <c r="R123" s="4"/>
      <c r="S123" s="4"/>
      <c r="T123" s="4"/>
      <c r="U123" s="4"/>
      <c r="V123" s="4"/>
      <c r="W123" s="4">
        <v>0</v>
      </c>
      <c r="X123" s="4">
        <v>1</v>
      </c>
      <c r="Y123" s="4">
        <v>0</v>
      </c>
      <c r="Z123" s="4"/>
      <c r="AA123" s="4"/>
      <c r="AB123" s="4"/>
    </row>
    <row r="124" spans="1:206" x14ac:dyDescent="0.2">
      <c r="A124" s="4">
        <v>50</v>
      </c>
      <c r="B124" s="4">
        <v>0</v>
      </c>
      <c r="C124" s="4">
        <v>0</v>
      </c>
      <c r="D124" s="4">
        <v>1</v>
      </c>
      <c r="E124" s="4">
        <v>223</v>
      </c>
      <c r="F124" s="4">
        <f>ROUND(Source!AQ114,O124)</f>
        <v>0</v>
      </c>
      <c r="G124" s="4" t="s">
        <v>106</v>
      </c>
      <c r="H124" s="4" t="s">
        <v>107</v>
      </c>
      <c r="I124" s="4"/>
      <c r="J124" s="4"/>
      <c r="K124" s="4">
        <v>223</v>
      </c>
      <c r="L124" s="4">
        <v>9</v>
      </c>
      <c r="M124" s="4">
        <v>3</v>
      </c>
      <c r="N124" s="4" t="s">
        <v>3</v>
      </c>
      <c r="O124" s="4">
        <v>2</v>
      </c>
      <c r="P124" s="4"/>
      <c r="Q124" s="4"/>
      <c r="R124" s="4"/>
      <c r="S124" s="4"/>
      <c r="T124" s="4"/>
      <c r="U124" s="4"/>
      <c r="V124" s="4"/>
      <c r="W124" s="4">
        <v>0</v>
      </c>
      <c r="X124" s="4">
        <v>1</v>
      </c>
      <c r="Y124" s="4">
        <v>0</v>
      </c>
      <c r="Z124" s="4"/>
      <c r="AA124" s="4"/>
      <c r="AB124" s="4"/>
    </row>
    <row r="125" spans="1:206" x14ac:dyDescent="0.2">
      <c r="A125" s="4">
        <v>50</v>
      </c>
      <c r="B125" s="4">
        <v>0</v>
      </c>
      <c r="C125" s="4">
        <v>0</v>
      </c>
      <c r="D125" s="4">
        <v>1</v>
      </c>
      <c r="E125" s="4">
        <v>229</v>
      </c>
      <c r="F125" s="4">
        <f>ROUND(Source!AZ114,O125)</f>
        <v>0</v>
      </c>
      <c r="G125" s="4" t="s">
        <v>108</v>
      </c>
      <c r="H125" s="4" t="s">
        <v>109</v>
      </c>
      <c r="I125" s="4"/>
      <c r="J125" s="4"/>
      <c r="K125" s="4">
        <v>229</v>
      </c>
      <c r="L125" s="4">
        <v>10</v>
      </c>
      <c r="M125" s="4">
        <v>3</v>
      </c>
      <c r="N125" s="4" t="s">
        <v>3</v>
      </c>
      <c r="O125" s="4">
        <v>2</v>
      </c>
      <c r="P125" s="4"/>
      <c r="Q125" s="4"/>
      <c r="R125" s="4"/>
      <c r="S125" s="4"/>
      <c r="T125" s="4"/>
      <c r="U125" s="4"/>
      <c r="V125" s="4"/>
      <c r="W125" s="4">
        <v>0</v>
      </c>
      <c r="X125" s="4">
        <v>1</v>
      </c>
      <c r="Y125" s="4">
        <v>0</v>
      </c>
      <c r="Z125" s="4"/>
      <c r="AA125" s="4"/>
      <c r="AB125" s="4"/>
    </row>
    <row r="126" spans="1:206" x14ac:dyDescent="0.2">
      <c r="A126" s="4">
        <v>50</v>
      </c>
      <c r="B126" s="4">
        <v>0</v>
      </c>
      <c r="C126" s="4">
        <v>0</v>
      </c>
      <c r="D126" s="4">
        <v>1</v>
      </c>
      <c r="E126" s="4">
        <v>203</v>
      </c>
      <c r="F126" s="4">
        <f>ROUND(Source!Q114,O126)</f>
        <v>3562517</v>
      </c>
      <c r="G126" s="4" t="s">
        <v>110</v>
      </c>
      <c r="H126" s="4" t="s">
        <v>111</v>
      </c>
      <c r="I126" s="4"/>
      <c r="J126" s="4"/>
      <c r="K126" s="4">
        <v>203</v>
      </c>
      <c r="L126" s="4">
        <v>11</v>
      </c>
      <c r="M126" s="4">
        <v>3</v>
      </c>
      <c r="N126" s="4" t="s">
        <v>3</v>
      </c>
      <c r="O126" s="4">
        <v>2</v>
      </c>
      <c r="P126" s="4"/>
      <c r="Q126" s="4"/>
      <c r="R126" s="4"/>
      <c r="S126" s="4"/>
      <c r="T126" s="4"/>
      <c r="U126" s="4"/>
      <c r="V126" s="4"/>
      <c r="W126" s="4">
        <v>3562517</v>
      </c>
      <c r="X126" s="4">
        <v>1</v>
      </c>
      <c r="Y126" s="4">
        <v>3562517</v>
      </c>
      <c r="Z126" s="4"/>
      <c r="AA126" s="4"/>
      <c r="AB126" s="4"/>
    </row>
    <row r="127" spans="1:206" x14ac:dyDescent="0.2">
      <c r="A127" s="4">
        <v>50</v>
      </c>
      <c r="B127" s="4">
        <v>0</v>
      </c>
      <c r="C127" s="4">
        <v>0</v>
      </c>
      <c r="D127" s="4">
        <v>1</v>
      </c>
      <c r="E127" s="4">
        <v>231</v>
      </c>
      <c r="F127" s="4">
        <f>ROUND(Source!BB114,O127)</f>
        <v>0</v>
      </c>
      <c r="G127" s="4" t="s">
        <v>112</v>
      </c>
      <c r="H127" s="4" t="s">
        <v>113</v>
      </c>
      <c r="I127" s="4"/>
      <c r="J127" s="4"/>
      <c r="K127" s="4">
        <v>231</v>
      </c>
      <c r="L127" s="4">
        <v>12</v>
      </c>
      <c r="M127" s="4">
        <v>3</v>
      </c>
      <c r="N127" s="4" t="s">
        <v>3</v>
      </c>
      <c r="O127" s="4">
        <v>2</v>
      </c>
      <c r="P127" s="4"/>
      <c r="Q127" s="4"/>
      <c r="R127" s="4"/>
      <c r="S127" s="4"/>
      <c r="T127" s="4"/>
      <c r="U127" s="4"/>
      <c r="V127" s="4"/>
      <c r="W127" s="4">
        <v>0</v>
      </c>
      <c r="X127" s="4">
        <v>1</v>
      </c>
      <c r="Y127" s="4">
        <v>0</v>
      </c>
      <c r="Z127" s="4"/>
      <c r="AA127" s="4"/>
      <c r="AB127" s="4"/>
    </row>
    <row r="128" spans="1:206" x14ac:dyDescent="0.2">
      <c r="A128" s="4">
        <v>50</v>
      </c>
      <c r="B128" s="4">
        <v>0</v>
      </c>
      <c r="C128" s="4">
        <v>0</v>
      </c>
      <c r="D128" s="4">
        <v>1</v>
      </c>
      <c r="E128" s="4">
        <v>204</v>
      </c>
      <c r="F128" s="4">
        <f>ROUND(Source!R114,O128)</f>
        <v>410220.03</v>
      </c>
      <c r="G128" s="4" t="s">
        <v>114</v>
      </c>
      <c r="H128" s="4" t="s">
        <v>115</v>
      </c>
      <c r="I128" s="4"/>
      <c r="J128" s="4"/>
      <c r="K128" s="4">
        <v>204</v>
      </c>
      <c r="L128" s="4">
        <v>13</v>
      </c>
      <c r="M128" s="4">
        <v>3</v>
      </c>
      <c r="N128" s="4" t="s">
        <v>3</v>
      </c>
      <c r="O128" s="4">
        <v>2</v>
      </c>
      <c r="P128" s="4"/>
      <c r="Q128" s="4"/>
      <c r="R128" s="4"/>
      <c r="S128" s="4"/>
      <c r="T128" s="4"/>
      <c r="U128" s="4"/>
      <c r="V128" s="4"/>
      <c r="W128" s="4">
        <v>410220.03</v>
      </c>
      <c r="X128" s="4">
        <v>1</v>
      </c>
      <c r="Y128" s="4">
        <v>410220.03</v>
      </c>
      <c r="Z128" s="4"/>
      <c r="AA128" s="4"/>
      <c r="AB128" s="4"/>
    </row>
    <row r="129" spans="1:206" x14ac:dyDescent="0.2">
      <c r="A129" s="4">
        <v>50</v>
      </c>
      <c r="B129" s="4">
        <v>0</v>
      </c>
      <c r="C129" s="4">
        <v>0</v>
      </c>
      <c r="D129" s="4">
        <v>1</v>
      </c>
      <c r="E129" s="4">
        <v>205</v>
      </c>
      <c r="F129" s="4">
        <f>ROUND(Source!S114,O129)</f>
        <v>343604.34</v>
      </c>
      <c r="G129" s="4" t="s">
        <v>116</v>
      </c>
      <c r="H129" s="4" t="s">
        <v>117</v>
      </c>
      <c r="I129" s="4"/>
      <c r="J129" s="4"/>
      <c r="K129" s="4">
        <v>205</v>
      </c>
      <c r="L129" s="4">
        <v>14</v>
      </c>
      <c r="M129" s="4">
        <v>3</v>
      </c>
      <c r="N129" s="4" t="s">
        <v>3</v>
      </c>
      <c r="O129" s="4">
        <v>2</v>
      </c>
      <c r="P129" s="4"/>
      <c r="Q129" s="4"/>
      <c r="R129" s="4"/>
      <c r="S129" s="4"/>
      <c r="T129" s="4"/>
      <c r="U129" s="4"/>
      <c r="V129" s="4"/>
      <c r="W129" s="4">
        <v>343604.34</v>
      </c>
      <c r="X129" s="4">
        <v>1</v>
      </c>
      <c r="Y129" s="4">
        <v>343604.34</v>
      </c>
      <c r="Z129" s="4"/>
      <c r="AA129" s="4"/>
      <c r="AB129" s="4"/>
    </row>
    <row r="130" spans="1:206" x14ac:dyDescent="0.2">
      <c r="A130" s="4">
        <v>50</v>
      </c>
      <c r="B130" s="4">
        <v>0</v>
      </c>
      <c r="C130" s="4">
        <v>0</v>
      </c>
      <c r="D130" s="4">
        <v>1</v>
      </c>
      <c r="E130" s="4">
        <v>232</v>
      </c>
      <c r="F130" s="4">
        <f>ROUND(Source!BC114,O130)</f>
        <v>0</v>
      </c>
      <c r="G130" s="4" t="s">
        <v>118</v>
      </c>
      <c r="H130" s="4" t="s">
        <v>119</v>
      </c>
      <c r="I130" s="4"/>
      <c r="J130" s="4"/>
      <c r="K130" s="4">
        <v>232</v>
      </c>
      <c r="L130" s="4">
        <v>15</v>
      </c>
      <c r="M130" s="4">
        <v>3</v>
      </c>
      <c r="N130" s="4" t="s">
        <v>3</v>
      </c>
      <c r="O130" s="4">
        <v>2</v>
      </c>
      <c r="P130" s="4"/>
      <c r="Q130" s="4"/>
      <c r="R130" s="4"/>
      <c r="S130" s="4"/>
      <c r="T130" s="4"/>
      <c r="U130" s="4"/>
      <c r="V130" s="4"/>
      <c r="W130" s="4">
        <v>0</v>
      </c>
      <c r="X130" s="4">
        <v>1</v>
      </c>
      <c r="Y130" s="4">
        <v>0</v>
      </c>
      <c r="Z130" s="4"/>
      <c r="AA130" s="4"/>
      <c r="AB130" s="4"/>
    </row>
    <row r="131" spans="1:206" x14ac:dyDescent="0.2">
      <c r="A131" s="4">
        <v>50</v>
      </c>
      <c r="B131" s="4">
        <v>0</v>
      </c>
      <c r="C131" s="4">
        <v>0</v>
      </c>
      <c r="D131" s="4">
        <v>1</v>
      </c>
      <c r="E131" s="4">
        <v>214</v>
      </c>
      <c r="F131" s="4">
        <f>ROUND(Source!AS114,O131)</f>
        <v>7591866.5700000003</v>
      </c>
      <c r="G131" s="4" t="s">
        <v>120</v>
      </c>
      <c r="H131" s="4" t="s">
        <v>121</v>
      </c>
      <c r="I131" s="4"/>
      <c r="J131" s="4"/>
      <c r="K131" s="4">
        <v>214</v>
      </c>
      <c r="L131" s="4">
        <v>16</v>
      </c>
      <c r="M131" s="4">
        <v>3</v>
      </c>
      <c r="N131" s="4" t="s">
        <v>3</v>
      </c>
      <c r="O131" s="4">
        <v>2</v>
      </c>
      <c r="P131" s="4"/>
      <c r="Q131" s="4"/>
      <c r="R131" s="4"/>
      <c r="S131" s="4"/>
      <c r="T131" s="4"/>
      <c r="U131" s="4"/>
      <c r="V131" s="4"/>
      <c r="W131" s="4">
        <v>7591866.5700000003</v>
      </c>
      <c r="X131" s="4">
        <v>1</v>
      </c>
      <c r="Y131" s="4">
        <v>7591866.5700000003</v>
      </c>
      <c r="Z131" s="4"/>
      <c r="AA131" s="4"/>
      <c r="AB131" s="4"/>
    </row>
    <row r="132" spans="1:206" x14ac:dyDescent="0.2">
      <c r="A132" s="4">
        <v>50</v>
      </c>
      <c r="B132" s="4">
        <v>0</v>
      </c>
      <c r="C132" s="4">
        <v>0</v>
      </c>
      <c r="D132" s="4">
        <v>1</v>
      </c>
      <c r="E132" s="4">
        <v>215</v>
      </c>
      <c r="F132" s="4">
        <f>ROUND(Source!AT114,O132)</f>
        <v>1151065.25</v>
      </c>
      <c r="G132" s="4" t="s">
        <v>122</v>
      </c>
      <c r="H132" s="4" t="s">
        <v>123</v>
      </c>
      <c r="I132" s="4"/>
      <c r="J132" s="4"/>
      <c r="K132" s="4">
        <v>215</v>
      </c>
      <c r="L132" s="4">
        <v>17</v>
      </c>
      <c r="M132" s="4">
        <v>3</v>
      </c>
      <c r="N132" s="4" t="s">
        <v>3</v>
      </c>
      <c r="O132" s="4">
        <v>2</v>
      </c>
      <c r="P132" s="4"/>
      <c r="Q132" s="4"/>
      <c r="R132" s="4"/>
      <c r="S132" s="4"/>
      <c r="T132" s="4"/>
      <c r="U132" s="4"/>
      <c r="V132" s="4"/>
      <c r="W132" s="4">
        <v>1151065.25</v>
      </c>
      <c r="X132" s="4">
        <v>1</v>
      </c>
      <c r="Y132" s="4">
        <v>1151065.25</v>
      </c>
      <c r="Z132" s="4"/>
      <c r="AA132" s="4"/>
      <c r="AB132" s="4"/>
    </row>
    <row r="133" spans="1:206" x14ac:dyDescent="0.2">
      <c r="A133" s="4">
        <v>50</v>
      </c>
      <c r="B133" s="4">
        <v>0</v>
      </c>
      <c r="C133" s="4">
        <v>0</v>
      </c>
      <c r="D133" s="4">
        <v>1</v>
      </c>
      <c r="E133" s="4">
        <v>217</v>
      </c>
      <c r="F133" s="4">
        <f>ROUND(Source!AU114,O133)</f>
        <v>0</v>
      </c>
      <c r="G133" s="4" t="s">
        <v>124</v>
      </c>
      <c r="H133" s="4" t="s">
        <v>125</v>
      </c>
      <c r="I133" s="4"/>
      <c r="J133" s="4"/>
      <c r="K133" s="4">
        <v>217</v>
      </c>
      <c r="L133" s="4">
        <v>18</v>
      </c>
      <c r="M133" s="4">
        <v>3</v>
      </c>
      <c r="N133" s="4" t="s">
        <v>3</v>
      </c>
      <c r="O133" s="4">
        <v>2</v>
      </c>
      <c r="P133" s="4"/>
      <c r="Q133" s="4"/>
      <c r="R133" s="4"/>
      <c r="S133" s="4"/>
      <c r="T133" s="4"/>
      <c r="U133" s="4"/>
      <c r="V133" s="4"/>
      <c r="W133" s="4">
        <v>0</v>
      </c>
      <c r="X133" s="4">
        <v>1</v>
      </c>
      <c r="Y133" s="4">
        <v>0</v>
      </c>
      <c r="Z133" s="4"/>
      <c r="AA133" s="4"/>
      <c r="AB133" s="4"/>
    </row>
    <row r="134" spans="1:206" x14ac:dyDescent="0.2">
      <c r="A134" s="4">
        <v>50</v>
      </c>
      <c r="B134" s="4">
        <v>0</v>
      </c>
      <c r="C134" s="4">
        <v>0</v>
      </c>
      <c r="D134" s="4">
        <v>1</v>
      </c>
      <c r="E134" s="4">
        <v>230</v>
      </c>
      <c r="F134" s="4">
        <f>ROUND(Source!BA114,O134)</f>
        <v>0</v>
      </c>
      <c r="G134" s="4" t="s">
        <v>126</v>
      </c>
      <c r="H134" s="4" t="s">
        <v>127</v>
      </c>
      <c r="I134" s="4"/>
      <c r="J134" s="4"/>
      <c r="K134" s="4">
        <v>230</v>
      </c>
      <c r="L134" s="4">
        <v>19</v>
      </c>
      <c r="M134" s="4">
        <v>3</v>
      </c>
      <c r="N134" s="4" t="s">
        <v>3</v>
      </c>
      <c r="O134" s="4">
        <v>2</v>
      </c>
      <c r="P134" s="4"/>
      <c r="Q134" s="4"/>
      <c r="R134" s="4"/>
      <c r="S134" s="4"/>
      <c r="T134" s="4"/>
      <c r="U134" s="4"/>
      <c r="V134" s="4"/>
      <c r="W134" s="4">
        <v>0</v>
      </c>
      <c r="X134" s="4">
        <v>1</v>
      </c>
      <c r="Y134" s="4">
        <v>0</v>
      </c>
      <c r="Z134" s="4"/>
      <c r="AA134" s="4"/>
      <c r="AB134" s="4"/>
    </row>
    <row r="135" spans="1:206" x14ac:dyDescent="0.2">
      <c r="A135" s="4">
        <v>50</v>
      </c>
      <c r="B135" s="4">
        <v>0</v>
      </c>
      <c r="C135" s="4">
        <v>0</v>
      </c>
      <c r="D135" s="4">
        <v>1</v>
      </c>
      <c r="E135" s="4">
        <v>206</v>
      </c>
      <c r="F135" s="4">
        <f>ROUND(Source!T114,O135)</f>
        <v>0</v>
      </c>
      <c r="G135" s="4" t="s">
        <v>128</v>
      </c>
      <c r="H135" s="4" t="s">
        <v>129</v>
      </c>
      <c r="I135" s="4"/>
      <c r="J135" s="4"/>
      <c r="K135" s="4">
        <v>206</v>
      </c>
      <c r="L135" s="4">
        <v>20</v>
      </c>
      <c r="M135" s="4">
        <v>3</v>
      </c>
      <c r="N135" s="4" t="s">
        <v>3</v>
      </c>
      <c r="O135" s="4">
        <v>2</v>
      </c>
      <c r="P135" s="4"/>
      <c r="Q135" s="4"/>
      <c r="R135" s="4"/>
      <c r="S135" s="4"/>
      <c r="T135" s="4"/>
      <c r="U135" s="4"/>
      <c r="V135" s="4"/>
      <c r="W135" s="4">
        <v>0</v>
      </c>
      <c r="X135" s="4">
        <v>1</v>
      </c>
      <c r="Y135" s="4">
        <v>0</v>
      </c>
      <c r="Z135" s="4"/>
      <c r="AA135" s="4"/>
      <c r="AB135" s="4"/>
    </row>
    <row r="136" spans="1:206" x14ac:dyDescent="0.2">
      <c r="A136" s="4">
        <v>50</v>
      </c>
      <c r="B136" s="4">
        <v>0</v>
      </c>
      <c r="C136" s="4">
        <v>0</v>
      </c>
      <c r="D136" s="4">
        <v>1</v>
      </c>
      <c r="E136" s="4">
        <v>207</v>
      </c>
      <c r="F136" s="4">
        <f>Source!U114</f>
        <v>748.80027990515998</v>
      </c>
      <c r="G136" s="4" t="s">
        <v>130</v>
      </c>
      <c r="H136" s="4" t="s">
        <v>131</v>
      </c>
      <c r="I136" s="4"/>
      <c r="J136" s="4"/>
      <c r="K136" s="4">
        <v>207</v>
      </c>
      <c r="L136" s="4">
        <v>21</v>
      </c>
      <c r="M136" s="4">
        <v>3</v>
      </c>
      <c r="N136" s="4" t="s">
        <v>3</v>
      </c>
      <c r="O136" s="4">
        <v>-1</v>
      </c>
      <c r="P136" s="4"/>
      <c r="Q136" s="4"/>
      <c r="R136" s="4"/>
      <c r="S136" s="4"/>
      <c r="T136" s="4"/>
      <c r="U136" s="4"/>
      <c r="V136" s="4"/>
      <c r="W136" s="4">
        <v>748.80027990515998</v>
      </c>
      <c r="X136" s="4">
        <v>1</v>
      </c>
      <c r="Y136" s="4">
        <v>748.80027990515998</v>
      </c>
      <c r="Z136" s="4"/>
      <c r="AA136" s="4"/>
      <c r="AB136" s="4"/>
    </row>
    <row r="137" spans="1:206" x14ac:dyDescent="0.2">
      <c r="A137" s="4">
        <v>50</v>
      </c>
      <c r="B137" s="4">
        <v>0</v>
      </c>
      <c r="C137" s="4">
        <v>0</v>
      </c>
      <c r="D137" s="4">
        <v>1</v>
      </c>
      <c r="E137" s="4">
        <v>208</v>
      </c>
      <c r="F137" s="4">
        <f>Source!V114</f>
        <v>0</v>
      </c>
      <c r="G137" s="4" t="s">
        <v>132</v>
      </c>
      <c r="H137" s="4" t="s">
        <v>133</v>
      </c>
      <c r="I137" s="4"/>
      <c r="J137" s="4"/>
      <c r="K137" s="4">
        <v>208</v>
      </c>
      <c r="L137" s="4">
        <v>22</v>
      </c>
      <c r="M137" s="4">
        <v>3</v>
      </c>
      <c r="N137" s="4" t="s">
        <v>3</v>
      </c>
      <c r="O137" s="4">
        <v>-1</v>
      </c>
      <c r="P137" s="4"/>
      <c r="Q137" s="4"/>
      <c r="R137" s="4"/>
      <c r="S137" s="4"/>
      <c r="T137" s="4"/>
      <c r="U137" s="4"/>
      <c r="V137" s="4"/>
      <c r="W137" s="4">
        <v>0</v>
      </c>
      <c r="X137" s="4">
        <v>1</v>
      </c>
      <c r="Y137" s="4">
        <v>0</v>
      </c>
      <c r="Z137" s="4"/>
      <c r="AA137" s="4"/>
      <c r="AB137" s="4"/>
    </row>
    <row r="138" spans="1:206" x14ac:dyDescent="0.2">
      <c r="A138" s="4">
        <v>50</v>
      </c>
      <c r="B138" s="4">
        <v>0</v>
      </c>
      <c r="C138" s="4">
        <v>0</v>
      </c>
      <c r="D138" s="4">
        <v>1</v>
      </c>
      <c r="E138" s="4">
        <v>209</v>
      </c>
      <c r="F138" s="4">
        <f>ROUND(Source!W114,O138)</f>
        <v>0</v>
      </c>
      <c r="G138" s="4" t="s">
        <v>134</v>
      </c>
      <c r="H138" s="4" t="s">
        <v>135</v>
      </c>
      <c r="I138" s="4"/>
      <c r="J138" s="4"/>
      <c r="K138" s="4">
        <v>209</v>
      </c>
      <c r="L138" s="4">
        <v>23</v>
      </c>
      <c r="M138" s="4">
        <v>3</v>
      </c>
      <c r="N138" s="4" t="s">
        <v>3</v>
      </c>
      <c r="O138" s="4">
        <v>2</v>
      </c>
      <c r="P138" s="4"/>
      <c r="Q138" s="4"/>
      <c r="R138" s="4"/>
      <c r="S138" s="4"/>
      <c r="T138" s="4"/>
      <c r="U138" s="4"/>
      <c r="V138" s="4"/>
      <c r="W138" s="4">
        <v>0</v>
      </c>
      <c r="X138" s="4">
        <v>1</v>
      </c>
      <c r="Y138" s="4">
        <v>0</v>
      </c>
      <c r="Z138" s="4"/>
      <c r="AA138" s="4"/>
      <c r="AB138" s="4"/>
    </row>
    <row r="139" spans="1:206" x14ac:dyDescent="0.2">
      <c r="A139" s="4">
        <v>50</v>
      </c>
      <c r="B139" s="4">
        <v>0</v>
      </c>
      <c r="C139" s="4">
        <v>0</v>
      </c>
      <c r="D139" s="4">
        <v>1</v>
      </c>
      <c r="E139" s="4">
        <v>233</v>
      </c>
      <c r="F139" s="4">
        <f>ROUND(Source!BD114,O139)</f>
        <v>0</v>
      </c>
      <c r="G139" s="4" t="s">
        <v>136</v>
      </c>
      <c r="H139" s="4" t="s">
        <v>137</v>
      </c>
      <c r="I139" s="4"/>
      <c r="J139" s="4"/>
      <c r="K139" s="4">
        <v>233</v>
      </c>
      <c r="L139" s="4">
        <v>24</v>
      </c>
      <c r="M139" s="4">
        <v>3</v>
      </c>
      <c r="N139" s="4" t="s">
        <v>3</v>
      </c>
      <c r="O139" s="4">
        <v>2</v>
      </c>
      <c r="P139" s="4"/>
      <c r="Q139" s="4"/>
      <c r="R139" s="4"/>
      <c r="S139" s="4"/>
      <c r="T139" s="4"/>
      <c r="U139" s="4"/>
      <c r="V139" s="4"/>
      <c r="W139" s="4">
        <v>0</v>
      </c>
      <c r="X139" s="4">
        <v>1</v>
      </c>
      <c r="Y139" s="4">
        <v>0</v>
      </c>
      <c r="Z139" s="4"/>
      <c r="AA139" s="4"/>
      <c r="AB139" s="4"/>
    </row>
    <row r="140" spans="1:206" x14ac:dyDescent="0.2">
      <c r="A140" s="4">
        <v>50</v>
      </c>
      <c r="B140" s="4">
        <v>0</v>
      </c>
      <c r="C140" s="4">
        <v>0</v>
      </c>
      <c r="D140" s="4">
        <v>1</v>
      </c>
      <c r="E140" s="4">
        <v>210</v>
      </c>
      <c r="F140" s="4">
        <f>ROUND(Source!X114,O140)</f>
        <v>376229.32</v>
      </c>
      <c r="G140" s="4" t="s">
        <v>138</v>
      </c>
      <c r="H140" s="4" t="s">
        <v>139</v>
      </c>
      <c r="I140" s="4"/>
      <c r="J140" s="4"/>
      <c r="K140" s="4">
        <v>210</v>
      </c>
      <c r="L140" s="4">
        <v>25</v>
      </c>
      <c r="M140" s="4">
        <v>3</v>
      </c>
      <c r="N140" s="4" t="s">
        <v>3</v>
      </c>
      <c r="O140" s="4">
        <v>2</v>
      </c>
      <c r="P140" s="4"/>
      <c r="Q140" s="4"/>
      <c r="R140" s="4"/>
      <c r="S140" s="4"/>
      <c r="T140" s="4"/>
      <c r="U140" s="4"/>
      <c r="V140" s="4"/>
      <c r="W140" s="4">
        <v>376229.32</v>
      </c>
      <c r="X140" s="4">
        <v>1</v>
      </c>
      <c r="Y140" s="4">
        <v>376229.32</v>
      </c>
      <c r="Z140" s="4"/>
      <c r="AA140" s="4"/>
      <c r="AB140" s="4"/>
    </row>
    <row r="141" spans="1:206" x14ac:dyDescent="0.2">
      <c r="A141" s="4">
        <v>50</v>
      </c>
      <c r="B141" s="4">
        <v>0</v>
      </c>
      <c r="C141" s="4">
        <v>0</v>
      </c>
      <c r="D141" s="4">
        <v>1</v>
      </c>
      <c r="E141" s="4">
        <v>211</v>
      </c>
      <c r="F141" s="4">
        <f>ROUND(Source!Y114,O141)</f>
        <v>177500.14</v>
      </c>
      <c r="G141" s="4" t="s">
        <v>140</v>
      </c>
      <c r="H141" s="4" t="s">
        <v>141</v>
      </c>
      <c r="I141" s="4"/>
      <c r="J141" s="4"/>
      <c r="K141" s="4">
        <v>211</v>
      </c>
      <c r="L141" s="4">
        <v>26</v>
      </c>
      <c r="M141" s="4">
        <v>3</v>
      </c>
      <c r="N141" s="4" t="s">
        <v>3</v>
      </c>
      <c r="O141" s="4">
        <v>2</v>
      </c>
      <c r="P141" s="4"/>
      <c r="Q141" s="4"/>
      <c r="R141" s="4"/>
      <c r="S141" s="4"/>
      <c r="T141" s="4"/>
      <c r="U141" s="4"/>
      <c r="V141" s="4"/>
      <c r="W141" s="4">
        <v>177500.14</v>
      </c>
      <c r="X141" s="4">
        <v>1</v>
      </c>
      <c r="Y141" s="4">
        <v>177500.14</v>
      </c>
      <c r="Z141" s="4"/>
      <c r="AA141" s="4"/>
      <c r="AB141" s="4"/>
    </row>
    <row r="142" spans="1:206" x14ac:dyDescent="0.2">
      <c r="A142" s="4">
        <v>50</v>
      </c>
      <c r="B142" s="4">
        <v>0</v>
      </c>
      <c r="C142" s="4">
        <v>0</v>
      </c>
      <c r="D142" s="4">
        <v>1</v>
      </c>
      <c r="E142" s="4">
        <v>224</v>
      </c>
      <c r="F142" s="4">
        <f>ROUND(Source!AR114,O142)</f>
        <v>8742931.8200000003</v>
      </c>
      <c r="G142" s="4" t="s">
        <v>142</v>
      </c>
      <c r="H142" s="4" t="s">
        <v>143</v>
      </c>
      <c r="I142" s="4"/>
      <c r="J142" s="4"/>
      <c r="K142" s="4">
        <v>224</v>
      </c>
      <c r="L142" s="4">
        <v>27</v>
      </c>
      <c r="M142" s="4">
        <v>3</v>
      </c>
      <c r="N142" s="4" t="s">
        <v>3</v>
      </c>
      <c r="O142" s="4">
        <v>2</v>
      </c>
      <c r="P142" s="4"/>
      <c r="Q142" s="4"/>
      <c r="R142" s="4"/>
      <c r="S142" s="4"/>
      <c r="T142" s="4"/>
      <c r="U142" s="4"/>
      <c r="V142" s="4"/>
      <c r="W142" s="4">
        <v>8742931.8200000003</v>
      </c>
      <c r="X142" s="4">
        <v>1</v>
      </c>
      <c r="Y142" s="4">
        <v>8742931.8200000003</v>
      </c>
      <c r="Z142" s="4"/>
      <c r="AA142" s="4"/>
      <c r="AB142" s="4"/>
    </row>
    <row r="144" spans="1:206" x14ac:dyDescent="0.2">
      <c r="A144" s="2">
        <v>51</v>
      </c>
      <c r="B144" s="2">
        <f>B20</f>
        <v>1</v>
      </c>
      <c r="C144" s="2">
        <f>A20</f>
        <v>3</v>
      </c>
      <c r="D144" s="2">
        <f>ROW(A20)</f>
        <v>20</v>
      </c>
      <c r="E144" s="2"/>
      <c r="F144" s="2" t="str">
        <f>IF(F20&lt;&gt;"",F20,"")</f>
        <v>Новая локальная смета</v>
      </c>
      <c r="G144" s="2" t="str">
        <f>IF(G20&lt;&gt;"",G20,"")</f>
        <v>Закрытые переходы</v>
      </c>
      <c r="H144" s="2">
        <v>0</v>
      </c>
      <c r="I144" s="2"/>
      <c r="J144" s="2"/>
      <c r="K144" s="2"/>
      <c r="L144" s="2"/>
      <c r="M144" s="2"/>
      <c r="N144" s="2"/>
      <c r="O144" s="2">
        <f t="shared" ref="O144:T144" si="84">ROUND(O114+AB144,2)</f>
        <v>7532850.3200000003</v>
      </c>
      <c r="P144" s="2">
        <f t="shared" si="84"/>
        <v>3626728.98</v>
      </c>
      <c r="Q144" s="2">
        <f t="shared" si="84"/>
        <v>3562517</v>
      </c>
      <c r="R144" s="2">
        <f t="shared" si="84"/>
        <v>410220.03</v>
      </c>
      <c r="S144" s="2">
        <f t="shared" si="84"/>
        <v>343604.34</v>
      </c>
      <c r="T144" s="2">
        <f t="shared" si="84"/>
        <v>0</v>
      </c>
      <c r="U144" s="2">
        <f>U114+AH144</f>
        <v>748.80027990515998</v>
      </c>
      <c r="V144" s="2">
        <f>V114+AI144</f>
        <v>0</v>
      </c>
      <c r="W144" s="2">
        <f>ROUND(W114+AJ144,2)</f>
        <v>0</v>
      </c>
      <c r="X144" s="2">
        <f>ROUND(X114+AK144,2)</f>
        <v>376229.32</v>
      </c>
      <c r="Y144" s="2">
        <f>ROUND(Y114+AL144,2)</f>
        <v>177500.14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>
        <f t="shared" ref="AO144:BD144" si="85">ROUND(AO114+BX144,2)</f>
        <v>0</v>
      </c>
      <c r="AP144" s="2">
        <f t="shared" si="85"/>
        <v>0</v>
      </c>
      <c r="AQ144" s="2">
        <f t="shared" si="85"/>
        <v>0</v>
      </c>
      <c r="AR144" s="2">
        <f t="shared" si="85"/>
        <v>8742931.8200000003</v>
      </c>
      <c r="AS144" s="2">
        <f t="shared" si="85"/>
        <v>7591866.5700000003</v>
      </c>
      <c r="AT144" s="2">
        <f t="shared" si="85"/>
        <v>1151065.25</v>
      </c>
      <c r="AU144" s="2">
        <f t="shared" si="85"/>
        <v>0</v>
      </c>
      <c r="AV144" s="2">
        <f t="shared" si="85"/>
        <v>3626728.98</v>
      </c>
      <c r="AW144" s="2">
        <f t="shared" si="85"/>
        <v>3626728.98</v>
      </c>
      <c r="AX144" s="2">
        <f t="shared" si="85"/>
        <v>0</v>
      </c>
      <c r="AY144" s="2">
        <f t="shared" si="85"/>
        <v>3626728.98</v>
      </c>
      <c r="AZ144" s="2">
        <f t="shared" si="85"/>
        <v>0</v>
      </c>
      <c r="BA144" s="2">
        <f t="shared" si="85"/>
        <v>0</v>
      </c>
      <c r="BB144" s="2">
        <f t="shared" si="85"/>
        <v>0</v>
      </c>
      <c r="BC144" s="2">
        <f t="shared" si="85"/>
        <v>0</v>
      </c>
      <c r="BD144" s="2">
        <f t="shared" si="85"/>
        <v>0</v>
      </c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>
        <v>0</v>
      </c>
    </row>
    <row r="146" spans="1:28" x14ac:dyDescent="0.2">
      <c r="A146" s="4">
        <v>50</v>
      </c>
      <c r="B146" s="4">
        <v>0</v>
      </c>
      <c r="C146" s="4">
        <v>0</v>
      </c>
      <c r="D146" s="4">
        <v>1</v>
      </c>
      <c r="E146" s="4">
        <v>201</v>
      </c>
      <c r="F146" s="4">
        <f>ROUND(Source!O144,O146)</f>
        <v>7532850.3200000003</v>
      </c>
      <c r="G146" s="4" t="s">
        <v>90</v>
      </c>
      <c r="H146" s="4" t="s">
        <v>91</v>
      </c>
      <c r="I146" s="4"/>
      <c r="J146" s="4"/>
      <c r="K146" s="4">
        <v>201</v>
      </c>
      <c r="L146" s="4">
        <v>1</v>
      </c>
      <c r="M146" s="4">
        <v>3</v>
      </c>
      <c r="N146" s="4" t="s">
        <v>3</v>
      </c>
      <c r="O146" s="4">
        <v>2</v>
      </c>
      <c r="P146" s="4"/>
      <c r="Q146" s="4"/>
      <c r="R146" s="4"/>
      <c r="S146" s="4"/>
      <c r="T146" s="4"/>
      <c r="U146" s="4"/>
      <c r="V146" s="4"/>
      <c r="W146" s="4">
        <v>7532850.3200000003</v>
      </c>
      <c r="X146" s="4">
        <v>1</v>
      </c>
      <c r="Y146" s="4">
        <v>7532850.3200000003</v>
      </c>
      <c r="Z146" s="4"/>
      <c r="AA146" s="4"/>
      <c r="AB146" s="4"/>
    </row>
    <row r="147" spans="1:28" x14ac:dyDescent="0.2">
      <c r="A147" s="4">
        <v>50</v>
      </c>
      <c r="B147" s="4">
        <v>0</v>
      </c>
      <c r="C147" s="4">
        <v>0</v>
      </c>
      <c r="D147" s="4">
        <v>1</v>
      </c>
      <c r="E147" s="4">
        <v>202</v>
      </c>
      <c r="F147" s="4">
        <f>ROUND(Source!P144,O147)</f>
        <v>3626728.98</v>
      </c>
      <c r="G147" s="4" t="s">
        <v>92</v>
      </c>
      <c r="H147" s="4" t="s">
        <v>93</v>
      </c>
      <c r="I147" s="4"/>
      <c r="J147" s="4"/>
      <c r="K147" s="4">
        <v>202</v>
      </c>
      <c r="L147" s="4">
        <v>2</v>
      </c>
      <c r="M147" s="4">
        <v>3</v>
      </c>
      <c r="N147" s="4" t="s">
        <v>3</v>
      </c>
      <c r="O147" s="4">
        <v>2</v>
      </c>
      <c r="P147" s="4"/>
      <c r="Q147" s="4"/>
      <c r="R147" s="4"/>
      <c r="S147" s="4"/>
      <c r="T147" s="4"/>
      <c r="U147" s="4"/>
      <c r="V147" s="4"/>
      <c r="W147" s="4">
        <v>3626728.98</v>
      </c>
      <c r="X147" s="4">
        <v>1</v>
      </c>
      <c r="Y147" s="4">
        <v>3626728.98</v>
      </c>
      <c r="Z147" s="4"/>
      <c r="AA147" s="4"/>
      <c r="AB147" s="4"/>
    </row>
    <row r="148" spans="1:28" x14ac:dyDescent="0.2">
      <c r="A148" s="4">
        <v>50</v>
      </c>
      <c r="B148" s="4">
        <v>0</v>
      </c>
      <c r="C148" s="4">
        <v>0</v>
      </c>
      <c r="D148" s="4">
        <v>1</v>
      </c>
      <c r="E148" s="4">
        <v>222</v>
      </c>
      <c r="F148" s="4">
        <f>ROUND(Source!AO144,O148)</f>
        <v>0</v>
      </c>
      <c r="G148" s="4" t="s">
        <v>94</v>
      </c>
      <c r="H148" s="4" t="s">
        <v>95</v>
      </c>
      <c r="I148" s="4"/>
      <c r="J148" s="4"/>
      <c r="K148" s="4">
        <v>222</v>
      </c>
      <c r="L148" s="4">
        <v>3</v>
      </c>
      <c r="M148" s="4">
        <v>3</v>
      </c>
      <c r="N148" s="4" t="s">
        <v>3</v>
      </c>
      <c r="O148" s="4">
        <v>2</v>
      </c>
      <c r="P148" s="4"/>
      <c r="Q148" s="4"/>
      <c r="R148" s="4"/>
      <c r="S148" s="4"/>
      <c r="T148" s="4"/>
      <c r="U148" s="4"/>
      <c r="V148" s="4"/>
      <c r="W148" s="4">
        <v>0</v>
      </c>
      <c r="X148" s="4">
        <v>1</v>
      </c>
      <c r="Y148" s="4">
        <v>0</v>
      </c>
      <c r="Z148" s="4"/>
      <c r="AA148" s="4"/>
      <c r="AB148" s="4"/>
    </row>
    <row r="149" spans="1:28" x14ac:dyDescent="0.2">
      <c r="A149" s="4">
        <v>50</v>
      </c>
      <c r="B149" s="4">
        <v>0</v>
      </c>
      <c r="C149" s="4">
        <v>0</v>
      </c>
      <c r="D149" s="4">
        <v>1</v>
      </c>
      <c r="E149" s="4">
        <v>225</v>
      </c>
      <c r="F149" s="4">
        <f>ROUND(Source!AV144,O149)</f>
        <v>3626728.98</v>
      </c>
      <c r="G149" s="4" t="s">
        <v>96</v>
      </c>
      <c r="H149" s="4" t="s">
        <v>97</v>
      </c>
      <c r="I149" s="4"/>
      <c r="J149" s="4"/>
      <c r="K149" s="4">
        <v>225</v>
      </c>
      <c r="L149" s="4">
        <v>4</v>
      </c>
      <c r="M149" s="4">
        <v>3</v>
      </c>
      <c r="N149" s="4" t="s">
        <v>3</v>
      </c>
      <c r="O149" s="4">
        <v>2</v>
      </c>
      <c r="P149" s="4"/>
      <c r="Q149" s="4"/>
      <c r="R149" s="4"/>
      <c r="S149" s="4"/>
      <c r="T149" s="4"/>
      <c r="U149" s="4"/>
      <c r="V149" s="4"/>
      <c r="W149" s="4">
        <v>3626728.98</v>
      </c>
      <c r="X149" s="4">
        <v>1</v>
      </c>
      <c r="Y149" s="4">
        <v>3626728.98</v>
      </c>
      <c r="Z149" s="4"/>
      <c r="AA149" s="4"/>
      <c r="AB149" s="4"/>
    </row>
    <row r="150" spans="1:28" x14ac:dyDescent="0.2">
      <c r="A150" s="4">
        <v>50</v>
      </c>
      <c r="B150" s="4">
        <v>0</v>
      </c>
      <c r="C150" s="4">
        <v>0</v>
      </c>
      <c r="D150" s="4">
        <v>1</v>
      </c>
      <c r="E150" s="4">
        <v>226</v>
      </c>
      <c r="F150" s="4">
        <f>ROUND(Source!AW144,O150)</f>
        <v>3626728.98</v>
      </c>
      <c r="G150" s="4" t="s">
        <v>98</v>
      </c>
      <c r="H150" s="4" t="s">
        <v>99</v>
      </c>
      <c r="I150" s="4"/>
      <c r="J150" s="4"/>
      <c r="K150" s="4">
        <v>226</v>
      </c>
      <c r="L150" s="4">
        <v>5</v>
      </c>
      <c r="M150" s="4">
        <v>3</v>
      </c>
      <c r="N150" s="4" t="s">
        <v>3</v>
      </c>
      <c r="O150" s="4">
        <v>2</v>
      </c>
      <c r="P150" s="4"/>
      <c r="Q150" s="4"/>
      <c r="R150" s="4"/>
      <c r="S150" s="4"/>
      <c r="T150" s="4"/>
      <c r="U150" s="4"/>
      <c r="V150" s="4"/>
      <c r="W150" s="4">
        <v>3626728.98</v>
      </c>
      <c r="X150" s="4">
        <v>1</v>
      </c>
      <c r="Y150" s="4">
        <v>3626728.98</v>
      </c>
      <c r="Z150" s="4"/>
      <c r="AA150" s="4"/>
      <c r="AB150" s="4"/>
    </row>
    <row r="151" spans="1:28" x14ac:dyDescent="0.2">
      <c r="A151" s="4">
        <v>50</v>
      </c>
      <c r="B151" s="4">
        <v>0</v>
      </c>
      <c r="C151" s="4">
        <v>0</v>
      </c>
      <c r="D151" s="4">
        <v>1</v>
      </c>
      <c r="E151" s="4">
        <v>227</v>
      </c>
      <c r="F151" s="4">
        <f>ROUND(Source!AX144,O151)</f>
        <v>0</v>
      </c>
      <c r="G151" s="4" t="s">
        <v>100</v>
      </c>
      <c r="H151" s="4" t="s">
        <v>101</v>
      </c>
      <c r="I151" s="4"/>
      <c r="J151" s="4"/>
      <c r="K151" s="4">
        <v>227</v>
      </c>
      <c r="L151" s="4">
        <v>6</v>
      </c>
      <c r="M151" s="4">
        <v>3</v>
      </c>
      <c r="N151" s="4" t="s">
        <v>3</v>
      </c>
      <c r="O151" s="4">
        <v>2</v>
      </c>
      <c r="P151" s="4"/>
      <c r="Q151" s="4"/>
      <c r="R151" s="4"/>
      <c r="S151" s="4"/>
      <c r="T151" s="4"/>
      <c r="U151" s="4"/>
      <c r="V151" s="4"/>
      <c r="W151" s="4">
        <v>0</v>
      </c>
      <c r="X151" s="4">
        <v>1</v>
      </c>
      <c r="Y151" s="4">
        <v>0</v>
      </c>
      <c r="Z151" s="4"/>
      <c r="AA151" s="4"/>
      <c r="AB151" s="4"/>
    </row>
    <row r="152" spans="1:28" x14ac:dyDescent="0.2">
      <c r="A152" s="4">
        <v>50</v>
      </c>
      <c r="B152" s="4">
        <v>0</v>
      </c>
      <c r="C152" s="4">
        <v>0</v>
      </c>
      <c r="D152" s="4">
        <v>1</v>
      </c>
      <c r="E152" s="4">
        <v>228</v>
      </c>
      <c r="F152" s="4">
        <f>ROUND(Source!AY144,O152)</f>
        <v>3626728.98</v>
      </c>
      <c r="G152" s="4" t="s">
        <v>102</v>
      </c>
      <c r="H152" s="4" t="s">
        <v>103</v>
      </c>
      <c r="I152" s="4"/>
      <c r="J152" s="4"/>
      <c r="K152" s="4">
        <v>228</v>
      </c>
      <c r="L152" s="4">
        <v>7</v>
      </c>
      <c r="M152" s="4">
        <v>3</v>
      </c>
      <c r="N152" s="4" t="s">
        <v>3</v>
      </c>
      <c r="O152" s="4">
        <v>2</v>
      </c>
      <c r="P152" s="4"/>
      <c r="Q152" s="4"/>
      <c r="R152" s="4"/>
      <c r="S152" s="4"/>
      <c r="T152" s="4"/>
      <c r="U152" s="4"/>
      <c r="V152" s="4"/>
      <c r="W152" s="4">
        <v>3626728.98</v>
      </c>
      <c r="X152" s="4">
        <v>1</v>
      </c>
      <c r="Y152" s="4">
        <v>3626728.98</v>
      </c>
      <c r="Z152" s="4"/>
      <c r="AA152" s="4"/>
      <c r="AB152" s="4"/>
    </row>
    <row r="153" spans="1:28" x14ac:dyDescent="0.2">
      <c r="A153" s="4">
        <v>50</v>
      </c>
      <c r="B153" s="4">
        <v>0</v>
      </c>
      <c r="C153" s="4">
        <v>0</v>
      </c>
      <c r="D153" s="4">
        <v>1</v>
      </c>
      <c r="E153" s="4">
        <v>216</v>
      </c>
      <c r="F153" s="4">
        <f>ROUND(Source!AP144,O153)</f>
        <v>0</v>
      </c>
      <c r="G153" s="4" t="s">
        <v>104</v>
      </c>
      <c r="H153" s="4" t="s">
        <v>105</v>
      </c>
      <c r="I153" s="4"/>
      <c r="J153" s="4"/>
      <c r="K153" s="4">
        <v>216</v>
      </c>
      <c r="L153" s="4">
        <v>8</v>
      </c>
      <c r="M153" s="4">
        <v>3</v>
      </c>
      <c r="N153" s="4" t="s">
        <v>3</v>
      </c>
      <c r="O153" s="4">
        <v>2</v>
      </c>
      <c r="P153" s="4"/>
      <c r="Q153" s="4"/>
      <c r="R153" s="4"/>
      <c r="S153" s="4"/>
      <c r="T153" s="4"/>
      <c r="U153" s="4"/>
      <c r="V153" s="4"/>
      <c r="W153" s="4">
        <v>0</v>
      </c>
      <c r="X153" s="4">
        <v>1</v>
      </c>
      <c r="Y153" s="4">
        <v>0</v>
      </c>
      <c r="Z153" s="4"/>
      <c r="AA153" s="4"/>
      <c r="AB153" s="4"/>
    </row>
    <row r="154" spans="1:28" x14ac:dyDescent="0.2">
      <c r="A154" s="4">
        <v>50</v>
      </c>
      <c r="B154" s="4">
        <v>0</v>
      </c>
      <c r="C154" s="4">
        <v>0</v>
      </c>
      <c r="D154" s="4">
        <v>1</v>
      </c>
      <c r="E154" s="4">
        <v>223</v>
      </c>
      <c r="F154" s="4">
        <f>ROUND(Source!AQ144,O154)</f>
        <v>0</v>
      </c>
      <c r="G154" s="4" t="s">
        <v>106</v>
      </c>
      <c r="H154" s="4" t="s">
        <v>107</v>
      </c>
      <c r="I154" s="4"/>
      <c r="J154" s="4"/>
      <c r="K154" s="4">
        <v>223</v>
      </c>
      <c r="L154" s="4">
        <v>9</v>
      </c>
      <c r="M154" s="4">
        <v>3</v>
      </c>
      <c r="N154" s="4" t="s">
        <v>3</v>
      </c>
      <c r="O154" s="4">
        <v>2</v>
      </c>
      <c r="P154" s="4"/>
      <c r="Q154" s="4"/>
      <c r="R154" s="4"/>
      <c r="S154" s="4"/>
      <c r="T154" s="4"/>
      <c r="U154" s="4"/>
      <c r="V154" s="4"/>
      <c r="W154" s="4">
        <v>0</v>
      </c>
      <c r="X154" s="4">
        <v>1</v>
      </c>
      <c r="Y154" s="4">
        <v>0</v>
      </c>
      <c r="Z154" s="4"/>
      <c r="AA154" s="4"/>
      <c r="AB154" s="4"/>
    </row>
    <row r="155" spans="1:28" x14ac:dyDescent="0.2">
      <c r="A155" s="4">
        <v>50</v>
      </c>
      <c r="B155" s="4">
        <v>0</v>
      </c>
      <c r="C155" s="4">
        <v>0</v>
      </c>
      <c r="D155" s="4">
        <v>1</v>
      </c>
      <c r="E155" s="4">
        <v>229</v>
      </c>
      <c r="F155" s="4">
        <f>ROUND(Source!AZ144,O155)</f>
        <v>0</v>
      </c>
      <c r="G155" s="4" t="s">
        <v>108</v>
      </c>
      <c r="H155" s="4" t="s">
        <v>109</v>
      </c>
      <c r="I155" s="4"/>
      <c r="J155" s="4"/>
      <c r="K155" s="4">
        <v>229</v>
      </c>
      <c r="L155" s="4">
        <v>10</v>
      </c>
      <c r="M155" s="4">
        <v>3</v>
      </c>
      <c r="N155" s="4" t="s">
        <v>3</v>
      </c>
      <c r="O155" s="4">
        <v>2</v>
      </c>
      <c r="P155" s="4"/>
      <c r="Q155" s="4"/>
      <c r="R155" s="4"/>
      <c r="S155" s="4"/>
      <c r="T155" s="4"/>
      <c r="U155" s="4"/>
      <c r="V155" s="4"/>
      <c r="W155" s="4">
        <v>0</v>
      </c>
      <c r="X155" s="4">
        <v>1</v>
      </c>
      <c r="Y155" s="4">
        <v>0</v>
      </c>
      <c r="Z155" s="4"/>
      <c r="AA155" s="4"/>
      <c r="AB155" s="4"/>
    </row>
    <row r="156" spans="1:28" x14ac:dyDescent="0.2">
      <c r="A156" s="4">
        <v>50</v>
      </c>
      <c r="B156" s="4">
        <v>0</v>
      </c>
      <c r="C156" s="4">
        <v>0</v>
      </c>
      <c r="D156" s="4">
        <v>1</v>
      </c>
      <c r="E156" s="4">
        <v>203</v>
      </c>
      <c r="F156" s="4">
        <f>ROUND(Source!Q144,O156)</f>
        <v>3562517</v>
      </c>
      <c r="G156" s="4" t="s">
        <v>110</v>
      </c>
      <c r="H156" s="4" t="s">
        <v>111</v>
      </c>
      <c r="I156" s="4"/>
      <c r="J156" s="4"/>
      <c r="K156" s="4">
        <v>203</v>
      </c>
      <c r="L156" s="4">
        <v>11</v>
      </c>
      <c r="M156" s="4">
        <v>3</v>
      </c>
      <c r="N156" s="4" t="s">
        <v>3</v>
      </c>
      <c r="O156" s="4">
        <v>2</v>
      </c>
      <c r="P156" s="4"/>
      <c r="Q156" s="4"/>
      <c r="R156" s="4"/>
      <c r="S156" s="4"/>
      <c r="T156" s="4"/>
      <c r="U156" s="4"/>
      <c r="V156" s="4"/>
      <c r="W156" s="4">
        <v>3562517</v>
      </c>
      <c r="X156" s="4">
        <v>1</v>
      </c>
      <c r="Y156" s="4">
        <v>3562517</v>
      </c>
      <c r="Z156" s="4"/>
      <c r="AA156" s="4"/>
      <c r="AB156" s="4"/>
    </row>
    <row r="157" spans="1:28" x14ac:dyDescent="0.2">
      <c r="A157" s="4">
        <v>50</v>
      </c>
      <c r="B157" s="4">
        <v>0</v>
      </c>
      <c r="C157" s="4">
        <v>0</v>
      </c>
      <c r="D157" s="4">
        <v>1</v>
      </c>
      <c r="E157" s="4">
        <v>231</v>
      </c>
      <c r="F157" s="4">
        <f>ROUND(Source!BB144,O157)</f>
        <v>0</v>
      </c>
      <c r="G157" s="4" t="s">
        <v>112</v>
      </c>
      <c r="H157" s="4" t="s">
        <v>113</v>
      </c>
      <c r="I157" s="4"/>
      <c r="J157" s="4"/>
      <c r="K157" s="4">
        <v>231</v>
      </c>
      <c r="L157" s="4">
        <v>12</v>
      </c>
      <c r="M157" s="4">
        <v>3</v>
      </c>
      <c r="N157" s="4" t="s">
        <v>3</v>
      </c>
      <c r="O157" s="4">
        <v>2</v>
      </c>
      <c r="P157" s="4"/>
      <c r="Q157" s="4"/>
      <c r="R157" s="4"/>
      <c r="S157" s="4"/>
      <c r="T157" s="4"/>
      <c r="U157" s="4"/>
      <c r="V157" s="4"/>
      <c r="W157" s="4">
        <v>0</v>
      </c>
      <c r="X157" s="4">
        <v>1</v>
      </c>
      <c r="Y157" s="4">
        <v>0</v>
      </c>
      <c r="Z157" s="4"/>
      <c r="AA157" s="4"/>
      <c r="AB157" s="4"/>
    </row>
    <row r="158" spans="1:28" x14ac:dyDescent="0.2">
      <c r="A158" s="4">
        <v>50</v>
      </c>
      <c r="B158" s="4">
        <v>0</v>
      </c>
      <c r="C158" s="4">
        <v>0</v>
      </c>
      <c r="D158" s="4">
        <v>1</v>
      </c>
      <c r="E158" s="4">
        <v>204</v>
      </c>
      <c r="F158" s="4">
        <f>ROUND(Source!R144,O158)</f>
        <v>410220.03</v>
      </c>
      <c r="G158" s="4" t="s">
        <v>114</v>
      </c>
      <c r="H158" s="4" t="s">
        <v>115</v>
      </c>
      <c r="I158" s="4"/>
      <c r="J158" s="4"/>
      <c r="K158" s="4">
        <v>204</v>
      </c>
      <c r="L158" s="4">
        <v>13</v>
      </c>
      <c r="M158" s="4">
        <v>3</v>
      </c>
      <c r="N158" s="4" t="s">
        <v>3</v>
      </c>
      <c r="O158" s="4">
        <v>2</v>
      </c>
      <c r="P158" s="4"/>
      <c r="Q158" s="4"/>
      <c r="R158" s="4"/>
      <c r="S158" s="4"/>
      <c r="T158" s="4"/>
      <c r="U158" s="4"/>
      <c r="V158" s="4"/>
      <c r="W158" s="4">
        <v>410220.03</v>
      </c>
      <c r="X158" s="4">
        <v>1</v>
      </c>
      <c r="Y158" s="4">
        <v>410220.03</v>
      </c>
      <c r="Z158" s="4"/>
      <c r="AA158" s="4"/>
      <c r="AB158" s="4"/>
    </row>
    <row r="159" spans="1:28" x14ac:dyDescent="0.2">
      <c r="A159" s="4">
        <v>50</v>
      </c>
      <c r="B159" s="4">
        <v>0</v>
      </c>
      <c r="C159" s="4">
        <v>0</v>
      </c>
      <c r="D159" s="4">
        <v>1</v>
      </c>
      <c r="E159" s="4">
        <v>205</v>
      </c>
      <c r="F159" s="4">
        <f>ROUND(Source!S144,O159)</f>
        <v>343604.34</v>
      </c>
      <c r="G159" s="4" t="s">
        <v>116</v>
      </c>
      <c r="H159" s="4" t="s">
        <v>117</v>
      </c>
      <c r="I159" s="4"/>
      <c r="J159" s="4"/>
      <c r="K159" s="4">
        <v>205</v>
      </c>
      <c r="L159" s="4">
        <v>14</v>
      </c>
      <c r="M159" s="4">
        <v>3</v>
      </c>
      <c r="N159" s="4" t="s">
        <v>3</v>
      </c>
      <c r="O159" s="4">
        <v>2</v>
      </c>
      <c r="P159" s="4"/>
      <c r="Q159" s="4"/>
      <c r="R159" s="4"/>
      <c r="S159" s="4"/>
      <c r="T159" s="4"/>
      <c r="U159" s="4"/>
      <c r="V159" s="4"/>
      <c r="W159" s="4">
        <v>343604.34</v>
      </c>
      <c r="X159" s="4">
        <v>1</v>
      </c>
      <c r="Y159" s="4">
        <v>343604.34</v>
      </c>
      <c r="Z159" s="4"/>
      <c r="AA159" s="4"/>
      <c r="AB159" s="4"/>
    </row>
    <row r="160" spans="1:28" x14ac:dyDescent="0.2">
      <c r="A160" s="4">
        <v>50</v>
      </c>
      <c r="B160" s="4">
        <v>0</v>
      </c>
      <c r="C160" s="4">
        <v>0</v>
      </c>
      <c r="D160" s="4">
        <v>1</v>
      </c>
      <c r="E160" s="4">
        <v>232</v>
      </c>
      <c r="F160" s="4">
        <f>ROUND(Source!BC144,O160)</f>
        <v>0</v>
      </c>
      <c r="G160" s="4" t="s">
        <v>118</v>
      </c>
      <c r="H160" s="4" t="s">
        <v>119</v>
      </c>
      <c r="I160" s="4"/>
      <c r="J160" s="4"/>
      <c r="K160" s="4">
        <v>232</v>
      </c>
      <c r="L160" s="4">
        <v>15</v>
      </c>
      <c r="M160" s="4">
        <v>3</v>
      </c>
      <c r="N160" s="4" t="s">
        <v>3</v>
      </c>
      <c r="O160" s="4">
        <v>2</v>
      </c>
      <c r="P160" s="4"/>
      <c r="Q160" s="4"/>
      <c r="R160" s="4"/>
      <c r="S160" s="4"/>
      <c r="T160" s="4"/>
      <c r="U160" s="4"/>
      <c r="V160" s="4"/>
      <c r="W160" s="4">
        <v>0</v>
      </c>
      <c r="X160" s="4">
        <v>1</v>
      </c>
      <c r="Y160" s="4">
        <v>0</v>
      </c>
      <c r="Z160" s="4"/>
      <c r="AA160" s="4"/>
      <c r="AB160" s="4"/>
    </row>
    <row r="161" spans="1:206" x14ac:dyDescent="0.2">
      <c r="A161" s="4">
        <v>50</v>
      </c>
      <c r="B161" s="4">
        <v>0</v>
      </c>
      <c r="C161" s="4">
        <v>0</v>
      </c>
      <c r="D161" s="4">
        <v>1</v>
      </c>
      <c r="E161" s="4">
        <v>214</v>
      </c>
      <c r="F161" s="4">
        <f>ROUND(Source!AS144,O161)</f>
        <v>7591866.5700000003</v>
      </c>
      <c r="G161" s="4" t="s">
        <v>120</v>
      </c>
      <c r="H161" s="4" t="s">
        <v>121</v>
      </c>
      <c r="I161" s="4"/>
      <c r="J161" s="4"/>
      <c r="K161" s="4">
        <v>214</v>
      </c>
      <c r="L161" s="4">
        <v>16</v>
      </c>
      <c r="M161" s="4">
        <v>3</v>
      </c>
      <c r="N161" s="4" t="s">
        <v>3</v>
      </c>
      <c r="O161" s="4">
        <v>2</v>
      </c>
      <c r="P161" s="4"/>
      <c r="Q161" s="4"/>
      <c r="R161" s="4"/>
      <c r="S161" s="4"/>
      <c r="T161" s="4"/>
      <c r="U161" s="4"/>
      <c r="V161" s="4"/>
      <c r="W161" s="4">
        <v>7591866.5700000003</v>
      </c>
      <c r="X161" s="4">
        <v>1</v>
      </c>
      <c r="Y161" s="4">
        <v>7591866.5700000003</v>
      </c>
      <c r="Z161" s="4"/>
      <c r="AA161" s="4"/>
      <c r="AB161" s="4"/>
    </row>
    <row r="162" spans="1:206" x14ac:dyDescent="0.2">
      <c r="A162" s="4">
        <v>50</v>
      </c>
      <c r="B162" s="4">
        <v>0</v>
      </c>
      <c r="C162" s="4">
        <v>0</v>
      </c>
      <c r="D162" s="4">
        <v>1</v>
      </c>
      <c r="E162" s="4">
        <v>215</v>
      </c>
      <c r="F162" s="4">
        <f>ROUND(Source!AT144,O162)</f>
        <v>1151065.25</v>
      </c>
      <c r="G162" s="4" t="s">
        <v>122</v>
      </c>
      <c r="H162" s="4" t="s">
        <v>123</v>
      </c>
      <c r="I162" s="4"/>
      <c r="J162" s="4"/>
      <c r="K162" s="4">
        <v>215</v>
      </c>
      <c r="L162" s="4">
        <v>17</v>
      </c>
      <c r="M162" s="4">
        <v>3</v>
      </c>
      <c r="N162" s="4" t="s">
        <v>3</v>
      </c>
      <c r="O162" s="4">
        <v>2</v>
      </c>
      <c r="P162" s="4"/>
      <c r="Q162" s="4"/>
      <c r="R162" s="4"/>
      <c r="S162" s="4"/>
      <c r="T162" s="4"/>
      <c r="U162" s="4"/>
      <c r="V162" s="4"/>
      <c r="W162" s="4">
        <v>1151065.25</v>
      </c>
      <c r="X162" s="4">
        <v>1</v>
      </c>
      <c r="Y162" s="4">
        <v>1151065.25</v>
      </c>
      <c r="Z162" s="4"/>
      <c r="AA162" s="4"/>
      <c r="AB162" s="4"/>
    </row>
    <row r="163" spans="1:206" x14ac:dyDescent="0.2">
      <c r="A163" s="4">
        <v>50</v>
      </c>
      <c r="B163" s="4">
        <v>0</v>
      </c>
      <c r="C163" s="4">
        <v>0</v>
      </c>
      <c r="D163" s="4">
        <v>1</v>
      </c>
      <c r="E163" s="4">
        <v>217</v>
      </c>
      <c r="F163" s="4">
        <f>ROUND(Source!AU144,O163)</f>
        <v>0</v>
      </c>
      <c r="G163" s="4" t="s">
        <v>124</v>
      </c>
      <c r="H163" s="4" t="s">
        <v>125</v>
      </c>
      <c r="I163" s="4"/>
      <c r="J163" s="4"/>
      <c r="K163" s="4">
        <v>217</v>
      </c>
      <c r="L163" s="4">
        <v>18</v>
      </c>
      <c r="M163" s="4">
        <v>3</v>
      </c>
      <c r="N163" s="4" t="s">
        <v>3</v>
      </c>
      <c r="O163" s="4">
        <v>2</v>
      </c>
      <c r="P163" s="4"/>
      <c r="Q163" s="4"/>
      <c r="R163" s="4"/>
      <c r="S163" s="4"/>
      <c r="T163" s="4"/>
      <c r="U163" s="4"/>
      <c r="V163" s="4"/>
      <c r="W163" s="4">
        <v>0</v>
      </c>
      <c r="X163" s="4">
        <v>1</v>
      </c>
      <c r="Y163" s="4">
        <v>0</v>
      </c>
      <c r="Z163" s="4"/>
      <c r="AA163" s="4"/>
      <c r="AB163" s="4"/>
    </row>
    <row r="164" spans="1:206" x14ac:dyDescent="0.2">
      <c r="A164" s="4">
        <v>50</v>
      </c>
      <c r="B164" s="4">
        <v>0</v>
      </c>
      <c r="C164" s="4">
        <v>0</v>
      </c>
      <c r="D164" s="4">
        <v>1</v>
      </c>
      <c r="E164" s="4">
        <v>230</v>
      </c>
      <c r="F164" s="4">
        <f>ROUND(Source!BA144,O164)</f>
        <v>0</v>
      </c>
      <c r="G164" s="4" t="s">
        <v>126</v>
      </c>
      <c r="H164" s="4" t="s">
        <v>127</v>
      </c>
      <c r="I164" s="4"/>
      <c r="J164" s="4"/>
      <c r="K164" s="4">
        <v>230</v>
      </c>
      <c r="L164" s="4">
        <v>19</v>
      </c>
      <c r="M164" s="4">
        <v>3</v>
      </c>
      <c r="N164" s="4" t="s">
        <v>3</v>
      </c>
      <c r="O164" s="4">
        <v>2</v>
      </c>
      <c r="P164" s="4"/>
      <c r="Q164" s="4"/>
      <c r="R164" s="4"/>
      <c r="S164" s="4"/>
      <c r="T164" s="4"/>
      <c r="U164" s="4"/>
      <c r="V164" s="4"/>
      <c r="W164" s="4">
        <v>0</v>
      </c>
      <c r="X164" s="4">
        <v>1</v>
      </c>
      <c r="Y164" s="4">
        <v>0</v>
      </c>
      <c r="Z164" s="4"/>
      <c r="AA164" s="4"/>
      <c r="AB164" s="4"/>
    </row>
    <row r="165" spans="1:206" x14ac:dyDescent="0.2">
      <c r="A165" s="4">
        <v>50</v>
      </c>
      <c r="B165" s="4">
        <v>0</v>
      </c>
      <c r="C165" s="4">
        <v>0</v>
      </c>
      <c r="D165" s="4">
        <v>1</v>
      </c>
      <c r="E165" s="4">
        <v>206</v>
      </c>
      <c r="F165" s="4">
        <f>ROUND(Source!T144,O165)</f>
        <v>0</v>
      </c>
      <c r="G165" s="4" t="s">
        <v>128</v>
      </c>
      <c r="H165" s="4" t="s">
        <v>129</v>
      </c>
      <c r="I165" s="4"/>
      <c r="J165" s="4"/>
      <c r="K165" s="4">
        <v>206</v>
      </c>
      <c r="L165" s="4">
        <v>20</v>
      </c>
      <c r="M165" s="4">
        <v>3</v>
      </c>
      <c r="N165" s="4" t="s">
        <v>3</v>
      </c>
      <c r="O165" s="4">
        <v>2</v>
      </c>
      <c r="P165" s="4"/>
      <c r="Q165" s="4"/>
      <c r="R165" s="4"/>
      <c r="S165" s="4"/>
      <c r="T165" s="4"/>
      <c r="U165" s="4"/>
      <c r="V165" s="4"/>
      <c r="W165" s="4">
        <v>0</v>
      </c>
      <c r="X165" s="4">
        <v>1</v>
      </c>
      <c r="Y165" s="4">
        <v>0</v>
      </c>
      <c r="Z165" s="4"/>
      <c r="AA165" s="4"/>
      <c r="AB165" s="4"/>
    </row>
    <row r="166" spans="1:206" x14ac:dyDescent="0.2">
      <c r="A166" s="4">
        <v>50</v>
      </c>
      <c r="B166" s="4">
        <v>0</v>
      </c>
      <c r="C166" s="4">
        <v>0</v>
      </c>
      <c r="D166" s="4">
        <v>1</v>
      </c>
      <c r="E166" s="4">
        <v>207</v>
      </c>
      <c r="F166" s="4">
        <f>Source!U144</f>
        <v>748.80027990515998</v>
      </c>
      <c r="G166" s="4" t="s">
        <v>130</v>
      </c>
      <c r="H166" s="4" t="s">
        <v>131</v>
      </c>
      <c r="I166" s="4"/>
      <c r="J166" s="4"/>
      <c r="K166" s="4">
        <v>207</v>
      </c>
      <c r="L166" s="4">
        <v>21</v>
      </c>
      <c r="M166" s="4">
        <v>3</v>
      </c>
      <c r="N166" s="4" t="s">
        <v>3</v>
      </c>
      <c r="O166" s="4">
        <v>-1</v>
      </c>
      <c r="P166" s="4"/>
      <c r="Q166" s="4"/>
      <c r="R166" s="4"/>
      <c r="S166" s="4"/>
      <c r="T166" s="4"/>
      <c r="U166" s="4"/>
      <c r="V166" s="4"/>
      <c r="W166" s="4">
        <v>748.80027990515998</v>
      </c>
      <c r="X166" s="4">
        <v>1</v>
      </c>
      <c r="Y166" s="4">
        <v>748.80027990515998</v>
      </c>
      <c r="Z166" s="4"/>
      <c r="AA166" s="4"/>
      <c r="AB166" s="4"/>
    </row>
    <row r="167" spans="1:206" x14ac:dyDescent="0.2">
      <c r="A167" s="4">
        <v>50</v>
      </c>
      <c r="B167" s="4">
        <v>0</v>
      </c>
      <c r="C167" s="4">
        <v>0</v>
      </c>
      <c r="D167" s="4">
        <v>1</v>
      </c>
      <c r="E167" s="4">
        <v>208</v>
      </c>
      <c r="F167" s="4">
        <f>Source!V144</f>
        <v>0</v>
      </c>
      <c r="G167" s="4" t="s">
        <v>132</v>
      </c>
      <c r="H167" s="4" t="s">
        <v>133</v>
      </c>
      <c r="I167" s="4"/>
      <c r="J167" s="4"/>
      <c r="K167" s="4">
        <v>208</v>
      </c>
      <c r="L167" s="4">
        <v>22</v>
      </c>
      <c r="M167" s="4">
        <v>3</v>
      </c>
      <c r="N167" s="4" t="s">
        <v>3</v>
      </c>
      <c r="O167" s="4">
        <v>-1</v>
      </c>
      <c r="P167" s="4"/>
      <c r="Q167" s="4"/>
      <c r="R167" s="4"/>
      <c r="S167" s="4"/>
      <c r="T167" s="4"/>
      <c r="U167" s="4"/>
      <c r="V167" s="4"/>
      <c r="W167" s="4">
        <v>0</v>
      </c>
      <c r="X167" s="4">
        <v>1</v>
      </c>
      <c r="Y167" s="4">
        <v>0</v>
      </c>
      <c r="Z167" s="4"/>
      <c r="AA167" s="4"/>
      <c r="AB167" s="4"/>
    </row>
    <row r="168" spans="1:206" x14ac:dyDescent="0.2">
      <c r="A168" s="4">
        <v>50</v>
      </c>
      <c r="B168" s="4">
        <v>0</v>
      </c>
      <c r="C168" s="4">
        <v>0</v>
      </c>
      <c r="D168" s="4">
        <v>1</v>
      </c>
      <c r="E168" s="4">
        <v>209</v>
      </c>
      <c r="F168" s="4">
        <f>ROUND(Source!W144,O168)</f>
        <v>0</v>
      </c>
      <c r="G168" s="4" t="s">
        <v>134</v>
      </c>
      <c r="H168" s="4" t="s">
        <v>135</v>
      </c>
      <c r="I168" s="4"/>
      <c r="J168" s="4"/>
      <c r="K168" s="4">
        <v>209</v>
      </c>
      <c r="L168" s="4">
        <v>23</v>
      </c>
      <c r="M168" s="4">
        <v>3</v>
      </c>
      <c r="N168" s="4" t="s">
        <v>3</v>
      </c>
      <c r="O168" s="4">
        <v>2</v>
      </c>
      <c r="P168" s="4"/>
      <c r="Q168" s="4"/>
      <c r="R168" s="4"/>
      <c r="S168" s="4"/>
      <c r="T168" s="4"/>
      <c r="U168" s="4"/>
      <c r="V168" s="4"/>
      <c r="W168" s="4">
        <v>0</v>
      </c>
      <c r="X168" s="4">
        <v>1</v>
      </c>
      <c r="Y168" s="4">
        <v>0</v>
      </c>
      <c r="Z168" s="4"/>
      <c r="AA168" s="4"/>
      <c r="AB168" s="4"/>
    </row>
    <row r="169" spans="1:206" x14ac:dyDescent="0.2">
      <c r="A169" s="4">
        <v>50</v>
      </c>
      <c r="B169" s="4">
        <v>0</v>
      </c>
      <c r="C169" s="4">
        <v>0</v>
      </c>
      <c r="D169" s="4">
        <v>1</v>
      </c>
      <c r="E169" s="4">
        <v>233</v>
      </c>
      <c r="F169" s="4">
        <f>ROUND(Source!BD144,O169)</f>
        <v>0</v>
      </c>
      <c r="G169" s="4" t="s">
        <v>136</v>
      </c>
      <c r="H169" s="4" t="s">
        <v>137</v>
      </c>
      <c r="I169" s="4"/>
      <c r="J169" s="4"/>
      <c r="K169" s="4">
        <v>233</v>
      </c>
      <c r="L169" s="4">
        <v>24</v>
      </c>
      <c r="M169" s="4">
        <v>3</v>
      </c>
      <c r="N169" s="4" t="s">
        <v>3</v>
      </c>
      <c r="O169" s="4">
        <v>2</v>
      </c>
      <c r="P169" s="4"/>
      <c r="Q169" s="4"/>
      <c r="R169" s="4"/>
      <c r="S169" s="4"/>
      <c r="T169" s="4"/>
      <c r="U169" s="4"/>
      <c r="V169" s="4"/>
      <c r="W169" s="4">
        <v>0</v>
      </c>
      <c r="X169" s="4">
        <v>1</v>
      </c>
      <c r="Y169" s="4">
        <v>0</v>
      </c>
      <c r="Z169" s="4"/>
      <c r="AA169" s="4"/>
      <c r="AB169" s="4"/>
    </row>
    <row r="170" spans="1:206" x14ac:dyDescent="0.2">
      <c r="A170" s="4">
        <v>50</v>
      </c>
      <c r="B170" s="4">
        <v>0</v>
      </c>
      <c r="C170" s="4">
        <v>0</v>
      </c>
      <c r="D170" s="4">
        <v>1</v>
      </c>
      <c r="E170" s="4">
        <v>210</v>
      </c>
      <c r="F170" s="4">
        <f>ROUND(Source!X144,O170)</f>
        <v>376229.32</v>
      </c>
      <c r="G170" s="4" t="s">
        <v>138</v>
      </c>
      <c r="H170" s="4" t="s">
        <v>139</v>
      </c>
      <c r="I170" s="4"/>
      <c r="J170" s="4"/>
      <c r="K170" s="4">
        <v>210</v>
      </c>
      <c r="L170" s="4">
        <v>25</v>
      </c>
      <c r="M170" s="4">
        <v>3</v>
      </c>
      <c r="N170" s="4" t="s">
        <v>3</v>
      </c>
      <c r="O170" s="4">
        <v>2</v>
      </c>
      <c r="P170" s="4"/>
      <c r="Q170" s="4"/>
      <c r="R170" s="4"/>
      <c r="S170" s="4"/>
      <c r="T170" s="4"/>
      <c r="U170" s="4"/>
      <c r="V170" s="4"/>
      <c r="W170" s="4">
        <v>376229.32</v>
      </c>
      <c r="X170" s="4">
        <v>1</v>
      </c>
      <c r="Y170" s="4">
        <v>376229.32</v>
      </c>
      <c r="Z170" s="4"/>
      <c r="AA170" s="4"/>
      <c r="AB170" s="4"/>
    </row>
    <row r="171" spans="1:206" x14ac:dyDescent="0.2">
      <c r="A171" s="4">
        <v>50</v>
      </c>
      <c r="B171" s="4">
        <v>0</v>
      </c>
      <c r="C171" s="4">
        <v>0</v>
      </c>
      <c r="D171" s="4">
        <v>1</v>
      </c>
      <c r="E171" s="4">
        <v>211</v>
      </c>
      <c r="F171" s="4">
        <f>ROUND(Source!Y144,O171)</f>
        <v>177500.14</v>
      </c>
      <c r="G171" s="4" t="s">
        <v>140</v>
      </c>
      <c r="H171" s="4" t="s">
        <v>141</v>
      </c>
      <c r="I171" s="4"/>
      <c r="J171" s="4"/>
      <c r="K171" s="4">
        <v>211</v>
      </c>
      <c r="L171" s="4">
        <v>26</v>
      </c>
      <c r="M171" s="4">
        <v>3</v>
      </c>
      <c r="N171" s="4" t="s">
        <v>3</v>
      </c>
      <c r="O171" s="4">
        <v>2</v>
      </c>
      <c r="P171" s="4"/>
      <c r="Q171" s="4"/>
      <c r="R171" s="4"/>
      <c r="S171" s="4"/>
      <c r="T171" s="4"/>
      <c r="U171" s="4"/>
      <c r="V171" s="4"/>
      <c r="W171" s="4">
        <v>177500.14</v>
      </c>
      <c r="X171" s="4">
        <v>1</v>
      </c>
      <c r="Y171" s="4">
        <v>177500.14</v>
      </c>
      <c r="Z171" s="4"/>
      <c r="AA171" s="4"/>
      <c r="AB171" s="4"/>
    </row>
    <row r="172" spans="1:206" x14ac:dyDescent="0.2">
      <c r="A172" s="4">
        <v>50</v>
      </c>
      <c r="B172" s="4">
        <v>0</v>
      </c>
      <c r="C172" s="4">
        <v>0</v>
      </c>
      <c r="D172" s="4">
        <v>1</v>
      </c>
      <c r="E172" s="4">
        <v>224</v>
      </c>
      <c r="F172" s="4">
        <f>ROUND(Source!AR144,O172)</f>
        <v>8742931.8200000003</v>
      </c>
      <c r="G172" s="4" t="s">
        <v>142</v>
      </c>
      <c r="H172" s="4" t="s">
        <v>143</v>
      </c>
      <c r="I172" s="4"/>
      <c r="J172" s="4"/>
      <c r="K172" s="4">
        <v>224</v>
      </c>
      <c r="L172" s="4">
        <v>27</v>
      </c>
      <c r="M172" s="4">
        <v>3</v>
      </c>
      <c r="N172" s="4" t="s">
        <v>3</v>
      </c>
      <c r="O172" s="4">
        <v>2</v>
      </c>
      <c r="P172" s="4"/>
      <c r="Q172" s="4"/>
      <c r="R172" s="4"/>
      <c r="S172" s="4"/>
      <c r="T172" s="4"/>
      <c r="U172" s="4"/>
      <c r="V172" s="4"/>
      <c r="W172" s="4">
        <v>8742931.8200000003</v>
      </c>
      <c r="X172" s="4">
        <v>1</v>
      </c>
      <c r="Y172" s="4">
        <v>8742931.8200000003</v>
      </c>
      <c r="Z172" s="4"/>
      <c r="AA172" s="4"/>
      <c r="AB172" s="4"/>
    </row>
    <row r="174" spans="1:206" x14ac:dyDescent="0.2">
      <c r="A174" s="2">
        <v>51</v>
      </c>
      <c r="B174" s="2">
        <f>B12</f>
        <v>210</v>
      </c>
      <c r="C174" s="2">
        <f>A12</f>
        <v>1</v>
      </c>
      <c r="D174" s="2">
        <f>ROW(A12)</f>
        <v>12</v>
      </c>
      <c r="E174" s="2"/>
      <c r="F174" s="2" t="str">
        <f>IF(F12&lt;&gt;"",F12,"")</f>
        <v>02-01-08  Закрытый переход_(2 этап)</v>
      </c>
      <c r="G174" s="2" t="str">
        <f>IF(G12&lt;&gt;"",G12,"")</f>
        <v>02-01-08  Закрытый переход</v>
      </c>
      <c r="H174" s="2">
        <v>0</v>
      </c>
      <c r="I174" s="2"/>
      <c r="J174" s="2"/>
      <c r="K174" s="2"/>
      <c r="L174" s="2"/>
      <c r="M174" s="2"/>
      <c r="N174" s="2"/>
      <c r="O174" s="2">
        <f t="shared" ref="O174:T174" si="86">ROUND(O144,2)</f>
        <v>7532850.3200000003</v>
      </c>
      <c r="P174" s="2">
        <f t="shared" si="86"/>
        <v>3626728.98</v>
      </c>
      <c r="Q174" s="2">
        <f t="shared" si="86"/>
        <v>3562517</v>
      </c>
      <c r="R174" s="2">
        <f t="shared" si="86"/>
        <v>410220.03</v>
      </c>
      <c r="S174" s="2">
        <f t="shared" si="86"/>
        <v>343604.34</v>
      </c>
      <c r="T174" s="2">
        <f t="shared" si="86"/>
        <v>0</v>
      </c>
      <c r="U174" s="2">
        <f>U144</f>
        <v>748.80027990515998</v>
      </c>
      <c r="V174" s="2">
        <f>V144</f>
        <v>0</v>
      </c>
      <c r="W174" s="2">
        <f>ROUND(W144,2)</f>
        <v>0</v>
      </c>
      <c r="X174" s="2">
        <f>ROUND(X144,2)</f>
        <v>376229.32</v>
      </c>
      <c r="Y174" s="2">
        <f>ROUND(Y144,2)</f>
        <v>177500.14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>
        <f t="shared" ref="AO174:BD174" si="87">ROUND(AO144,2)</f>
        <v>0</v>
      </c>
      <c r="AP174" s="2">
        <f t="shared" si="87"/>
        <v>0</v>
      </c>
      <c r="AQ174" s="2">
        <f t="shared" si="87"/>
        <v>0</v>
      </c>
      <c r="AR174" s="2">
        <f t="shared" si="87"/>
        <v>8742931.8200000003</v>
      </c>
      <c r="AS174" s="2">
        <f t="shared" si="87"/>
        <v>7591866.5700000003</v>
      </c>
      <c r="AT174" s="2">
        <f t="shared" si="87"/>
        <v>1151065.25</v>
      </c>
      <c r="AU174" s="2">
        <f t="shared" si="87"/>
        <v>0</v>
      </c>
      <c r="AV174" s="2">
        <f t="shared" si="87"/>
        <v>3626728.98</v>
      </c>
      <c r="AW174" s="2">
        <f t="shared" si="87"/>
        <v>3626728.98</v>
      </c>
      <c r="AX174" s="2">
        <f t="shared" si="87"/>
        <v>0</v>
      </c>
      <c r="AY174" s="2">
        <f t="shared" si="87"/>
        <v>3626728.98</v>
      </c>
      <c r="AZ174" s="2">
        <f t="shared" si="87"/>
        <v>0</v>
      </c>
      <c r="BA174" s="2">
        <f t="shared" si="87"/>
        <v>0</v>
      </c>
      <c r="BB174" s="2">
        <f t="shared" si="87"/>
        <v>0</v>
      </c>
      <c r="BC174" s="2">
        <f t="shared" si="87"/>
        <v>0</v>
      </c>
      <c r="BD174" s="2">
        <f t="shared" si="87"/>
        <v>0</v>
      </c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>
        <v>0</v>
      </c>
    </row>
    <row r="176" spans="1:206" x14ac:dyDescent="0.2">
      <c r="A176" s="4">
        <v>50</v>
      </c>
      <c r="B176" s="4">
        <v>0</v>
      </c>
      <c r="C176" s="4">
        <v>0</v>
      </c>
      <c r="D176" s="4">
        <v>1</v>
      </c>
      <c r="E176" s="4">
        <v>201</v>
      </c>
      <c r="F176" s="4">
        <f>ROUND(Source!O174,O176)</f>
        <v>7532850.3200000003</v>
      </c>
      <c r="G176" s="4" t="s">
        <v>90</v>
      </c>
      <c r="H176" s="4" t="s">
        <v>91</v>
      </c>
      <c r="I176" s="4"/>
      <c r="J176" s="4"/>
      <c r="K176" s="4">
        <v>201</v>
      </c>
      <c r="L176" s="4">
        <v>1</v>
      </c>
      <c r="M176" s="4">
        <v>3</v>
      </c>
      <c r="N176" s="4" t="s">
        <v>3</v>
      </c>
      <c r="O176" s="4">
        <v>2</v>
      </c>
      <c r="P176" s="4"/>
      <c r="Q176" s="4"/>
      <c r="R176" s="4"/>
      <c r="S176" s="4"/>
      <c r="T176" s="4"/>
      <c r="U176" s="4"/>
      <c r="V176" s="4"/>
      <c r="W176" s="4">
        <v>7532850.3200000003</v>
      </c>
      <c r="X176" s="4">
        <v>1</v>
      </c>
      <c r="Y176" s="4">
        <v>7532850.3200000003</v>
      </c>
      <c r="Z176" s="4"/>
      <c r="AA176" s="4"/>
      <c r="AB176" s="4"/>
    </row>
    <row r="177" spans="1:28" x14ac:dyDescent="0.2">
      <c r="A177" s="4">
        <v>50</v>
      </c>
      <c r="B177" s="4">
        <v>0</v>
      </c>
      <c r="C177" s="4">
        <v>0</v>
      </c>
      <c r="D177" s="4">
        <v>1</v>
      </c>
      <c r="E177" s="4">
        <v>202</v>
      </c>
      <c r="F177" s="4">
        <f>ROUND(Source!P174,O177)</f>
        <v>3626728.98</v>
      </c>
      <c r="G177" s="4" t="s">
        <v>92</v>
      </c>
      <c r="H177" s="4" t="s">
        <v>93</v>
      </c>
      <c r="I177" s="4"/>
      <c r="J177" s="4"/>
      <c r="K177" s="4">
        <v>202</v>
      </c>
      <c r="L177" s="4">
        <v>2</v>
      </c>
      <c r="M177" s="4">
        <v>3</v>
      </c>
      <c r="N177" s="4" t="s">
        <v>3</v>
      </c>
      <c r="O177" s="4">
        <v>2</v>
      </c>
      <c r="P177" s="4"/>
      <c r="Q177" s="4"/>
      <c r="R177" s="4"/>
      <c r="S177" s="4"/>
      <c r="T177" s="4"/>
      <c r="U177" s="4"/>
      <c r="V177" s="4"/>
      <c r="W177" s="4">
        <v>3626728.98</v>
      </c>
      <c r="X177" s="4">
        <v>1</v>
      </c>
      <c r="Y177" s="4">
        <v>3626728.98</v>
      </c>
      <c r="Z177" s="4"/>
      <c r="AA177" s="4"/>
      <c r="AB177" s="4"/>
    </row>
    <row r="178" spans="1:28" x14ac:dyDescent="0.2">
      <c r="A178" s="4">
        <v>50</v>
      </c>
      <c r="B178" s="4">
        <v>0</v>
      </c>
      <c r="C178" s="4">
        <v>0</v>
      </c>
      <c r="D178" s="4">
        <v>1</v>
      </c>
      <c r="E178" s="4">
        <v>222</v>
      </c>
      <c r="F178" s="4">
        <f>ROUND(Source!AO174,O178)</f>
        <v>0</v>
      </c>
      <c r="G178" s="4" t="s">
        <v>94</v>
      </c>
      <c r="H178" s="4" t="s">
        <v>95</v>
      </c>
      <c r="I178" s="4"/>
      <c r="J178" s="4"/>
      <c r="K178" s="4">
        <v>222</v>
      </c>
      <c r="L178" s="4">
        <v>3</v>
      </c>
      <c r="M178" s="4">
        <v>3</v>
      </c>
      <c r="N178" s="4" t="s">
        <v>3</v>
      </c>
      <c r="O178" s="4">
        <v>2</v>
      </c>
      <c r="P178" s="4"/>
      <c r="Q178" s="4"/>
      <c r="R178" s="4"/>
      <c r="S178" s="4"/>
      <c r="T178" s="4"/>
      <c r="U178" s="4"/>
      <c r="V178" s="4"/>
      <c r="W178" s="4">
        <v>0</v>
      </c>
      <c r="X178" s="4">
        <v>1</v>
      </c>
      <c r="Y178" s="4">
        <v>0</v>
      </c>
      <c r="Z178" s="4"/>
      <c r="AA178" s="4"/>
      <c r="AB178" s="4"/>
    </row>
    <row r="179" spans="1:28" x14ac:dyDescent="0.2">
      <c r="A179" s="4">
        <v>50</v>
      </c>
      <c r="B179" s="4">
        <v>0</v>
      </c>
      <c r="C179" s="4">
        <v>0</v>
      </c>
      <c r="D179" s="4">
        <v>1</v>
      </c>
      <c r="E179" s="4">
        <v>225</v>
      </c>
      <c r="F179" s="4">
        <f>ROUND(Source!AV174,O179)</f>
        <v>3626728.98</v>
      </c>
      <c r="G179" s="4" t="s">
        <v>96</v>
      </c>
      <c r="H179" s="4" t="s">
        <v>97</v>
      </c>
      <c r="I179" s="4"/>
      <c r="J179" s="4"/>
      <c r="K179" s="4">
        <v>225</v>
      </c>
      <c r="L179" s="4">
        <v>4</v>
      </c>
      <c r="M179" s="4">
        <v>3</v>
      </c>
      <c r="N179" s="4" t="s">
        <v>3</v>
      </c>
      <c r="O179" s="4">
        <v>2</v>
      </c>
      <c r="P179" s="4"/>
      <c r="Q179" s="4"/>
      <c r="R179" s="4"/>
      <c r="S179" s="4"/>
      <c r="T179" s="4"/>
      <c r="U179" s="4"/>
      <c r="V179" s="4"/>
      <c r="W179" s="4">
        <v>3626728.98</v>
      </c>
      <c r="X179" s="4">
        <v>1</v>
      </c>
      <c r="Y179" s="4">
        <v>3626728.98</v>
      </c>
      <c r="Z179" s="4"/>
      <c r="AA179" s="4"/>
      <c r="AB179" s="4"/>
    </row>
    <row r="180" spans="1:28" x14ac:dyDescent="0.2">
      <c r="A180" s="4">
        <v>50</v>
      </c>
      <c r="B180" s="4">
        <v>0</v>
      </c>
      <c r="C180" s="4">
        <v>0</v>
      </c>
      <c r="D180" s="4">
        <v>1</v>
      </c>
      <c r="E180" s="4">
        <v>226</v>
      </c>
      <c r="F180" s="4">
        <f>ROUND(Source!AW174,O180)</f>
        <v>3626728.98</v>
      </c>
      <c r="G180" s="4" t="s">
        <v>98</v>
      </c>
      <c r="H180" s="4" t="s">
        <v>99</v>
      </c>
      <c r="I180" s="4"/>
      <c r="J180" s="4"/>
      <c r="K180" s="4">
        <v>226</v>
      </c>
      <c r="L180" s="4">
        <v>5</v>
      </c>
      <c r="M180" s="4">
        <v>3</v>
      </c>
      <c r="N180" s="4" t="s">
        <v>3</v>
      </c>
      <c r="O180" s="4">
        <v>2</v>
      </c>
      <c r="P180" s="4"/>
      <c r="Q180" s="4"/>
      <c r="R180" s="4"/>
      <c r="S180" s="4"/>
      <c r="T180" s="4"/>
      <c r="U180" s="4"/>
      <c r="V180" s="4"/>
      <c r="W180" s="4">
        <v>3626728.98</v>
      </c>
      <c r="X180" s="4">
        <v>1</v>
      </c>
      <c r="Y180" s="4">
        <v>3626728.98</v>
      </c>
      <c r="Z180" s="4"/>
      <c r="AA180" s="4"/>
      <c r="AB180" s="4"/>
    </row>
    <row r="181" spans="1:28" x14ac:dyDescent="0.2">
      <c r="A181" s="4">
        <v>50</v>
      </c>
      <c r="B181" s="4">
        <v>0</v>
      </c>
      <c r="C181" s="4">
        <v>0</v>
      </c>
      <c r="D181" s="4">
        <v>1</v>
      </c>
      <c r="E181" s="4">
        <v>227</v>
      </c>
      <c r="F181" s="4">
        <f>ROUND(Source!AX174,O181)</f>
        <v>0</v>
      </c>
      <c r="G181" s="4" t="s">
        <v>100</v>
      </c>
      <c r="H181" s="4" t="s">
        <v>101</v>
      </c>
      <c r="I181" s="4"/>
      <c r="J181" s="4"/>
      <c r="K181" s="4">
        <v>227</v>
      </c>
      <c r="L181" s="4">
        <v>6</v>
      </c>
      <c r="M181" s="4">
        <v>3</v>
      </c>
      <c r="N181" s="4" t="s">
        <v>3</v>
      </c>
      <c r="O181" s="4">
        <v>2</v>
      </c>
      <c r="P181" s="4"/>
      <c r="Q181" s="4"/>
      <c r="R181" s="4"/>
      <c r="S181" s="4"/>
      <c r="T181" s="4"/>
      <c r="U181" s="4"/>
      <c r="V181" s="4"/>
      <c r="W181" s="4">
        <v>0</v>
      </c>
      <c r="X181" s="4">
        <v>1</v>
      </c>
      <c r="Y181" s="4">
        <v>0</v>
      </c>
      <c r="Z181" s="4"/>
      <c r="AA181" s="4"/>
      <c r="AB181" s="4"/>
    </row>
    <row r="182" spans="1:28" x14ac:dyDescent="0.2">
      <c r="A182" s="4">
        <v>50</v>
      </c>
      <c r="B182" s="4">
        <v>0</v>
      </c>
      <c r="C182" s="4">
        <v>0</v>
      </c>
      <c r="D182" s="4">
        <v>1</v>
      </c>
      <c r="E182" s="4">
        <v>228</v>
      </c>
      <c r="F182" s="4">
        <f>ROUND(Source!AY174,O182)</f>
        <v>3626728.98</v>
      </c>
      <c r="G182" s="4" t="s">
        <v>102</v>
      </c>
      <c r="H182" s="4" t="s">
        <v>103</v>
      </c>
      <c r="I182" s="4"/>
      <c r="J182" s="4"/>
      <c r="K182" s="4">
        <v>228</v>
      </c>
      <c r="L182" s="4">
        <v>7</v>
      </c>
      <c r="M182" s="4">
        <v>3</v>
      </c>
      <c r="N182" s="4" t="s">
        <v>3</v>
      </c>
      <c r="O182" s="4">
        <v>2</v>
      </c>
      <c r="P182" s="4"/>
      <c r="Q182" s="4"/>
      <c r="R182" s="4"/>
      <c r="S182" s="4"/>
      <c r="T182" s="4"/>
      <c r="U182" s="4"/>
      <c r="V182" s="4"/>
      <c r="W182" s="4">
        <v>3626728.98</v>
      </c>
      <c r="X182" s="4">
        <v>1</v>
      </c>
      <c r="Y182" s="4">
        <v>3626728.98</v>
      </c>
      <c r="Z182" s="4"/>
      <c r="AA182" s="4"/>
      <c r="AB182" s="4"/>
    </row>
    <row r="183" spans="1:28" x14ac:dyDescent="0.2">
      <c r="A183" s="4">
        <v>50</v>
      </c>
      <c r="B183" s="4">
        <v>0</v>
      </c>
      <c r="C183" s="4">
        <v>0</v>
      </c>
      <c r="D183" s="4">
        <v>1</v>
      </c>
      <c r="E183" s="4">
        <v>216</v>
      </c>
      <c r="F183" s="4">
        <f>ROUND(Source!AP174,O183)</f>
        <v>0</v>
      </c>
      <c r="G183" s="4" t="s">
        <v>104</v>
      </c>
      <c r="H183" s="4" t="s">
        <v>105</v>
      </c>
      <c r="I183" s="4"/>
      <c r="J183" s="4"/>
      <c r="K183" s="4">
        <v>216</v>
      </c>
      <c r="L183" s="4">
        <v>8</v>
      </c>
      <c r="M183" s="4">
        <v>3</v>
      </c>
      <c r="N183" s="4" t="s">
        <v>3</v>
      </c>
      <c r="O183" s="4">
        <v>2</v>
      </c>
      <c r="P183" s="4"/>
      <c r="Q183" s="4"/>
      <c r="R183" s="4"/>
      <c r="S183" s="4"/>
      <c r="T183" s="4"/>
      <c r="U183" s="4"/>
      <c r="V183" s="4"/>
      <c r="W183" s="4">
        <v>0</v>
      </c>
      <c r="X183" s="4">
        <v>1</v>
      </c>
      <c r="Y183" s="4">
        <v>0</v>
      </c>
      <c r="Z183" s="4"/>
      <c r="AA183" s="4"/>
      <c r="AB183" s="4"/>
    </row>
    <row r="184" spans="1:28" x14ac:dyDescent="0.2">
      <c r="A184" s="4">
        <v>50</v>
      </c>
      <c r="B184" s="4">
        <v>0</v>
      </c>
      <c r="C184" s="4">
        <v>0</v>
      </c>
      <c r="D184" s="4">
        <v>1</v>
      </c>
      <c r="E184" s="4">
        <v>223</v>
      </c>
      <c r="F184" s="4">
        <f>ROUND(Source!AQ174,O184)</f>
        <v>0</v>
      </c>
      <c r="G184" s="4" t="s">
        <v>106</v>
      </c>
      <c r="H184" s="4" t="s">
        <v>107</v>
      </c>
      <c r="I184" s="4"/>
      <c r="J184" s="4"/>
      <c r="K184" s="4">
        <v>223</v>
      </c>
      <c r="L184" s="4">
        <v>9</v>
      </c>
      <c r="M184" s="4">
        <v>3</v>
      </c>
      <c r="N184" s="4" t="s">
        <v>3</v>
      </c>
      <c r="O184" s="4">
        <v>2</v>
      </c>
      <c r="P184" s="4"/>
      <c r="Q184" s="4"/>
      <c r="R184" s="4"/>
      <c r="S184" s="4"/>
      <c r="T184" s="4"/>
      <c r="U184" s="4"/>
      <c r="V184" s="4"/>
      <c r="W184" s="4">
        <v>0</v>
      </c>
      <c r="X184" s="4">
        <v>1</v>
      </c>
      <c r="Y184" s="4">
        <v>0</v>
      </c>
      <c r="Z184" s="4"/>
      <c r="AA184" s="4"/>
      <c r="AB184" s="4"/>
    </row>
    <row r="185" spans="1:28" x14ac:dyDescent="0.2">
      <c r="A185" s="4">
        <v>50</v>
      </c>
      <c r="B185" s="4">
        <v>0</v>
      </c>
      <c r="C185" s="4">
        <v>0</v>
      </c>
      <c r="D185" s="4">
        <v>1</v>
      </c>
      <c r="E185" s="4">
        <v>229</v>
      </c>
      <c r="F185" s="4">
        <f>ROUND(Source!AZ174,O185)</f>
        <v>0</v>
      </c>
      <c r="G185" s="4" t="s">
        <v>108</v>
      </c>
      <c r="H185" s="4" t="s">
        <v>109</v>
      </c>
      <c r="I185" s="4"/>
      <c r="J185" s="4"/>
      <c r="K185" s="4">
        <v>229</v>
      </c>
      <c r="L185" s="4">
        <v>10</v>
      </c>
      <c r="M185" s="4">
        <v>3</v>
      </c>
      <c r="N185" s="4" t="s">
        <v>3</v>
      </c>
      <c r="O185" s="4">
        <v>2</v>
      </c>
      <c r="P185" s="4"/>
      <c r="Q185" s="4"/>
      <c r="R185" s="4"/>
      <c r="S185" s="4"/>
      <c r="T185" s="4"/>
      <c r="U185" s="4"/>
      <c r="V185" s="4"/>
      <c r="W185" s="4">
        <v>0</v>
      </c>
      <c r="X185" s="4">
        <v>1</v>
      </c>
      <c r="Y185" s="4">
        <v>0</v>
      </c>
      <c r="Z185" s="4"/>
      <c r="AA185" s="4"/>
      <c r="AB185" s="4"/>
    </row>
    <row r="186" spans="1:28" x14ac:dyDescent="0.2">
      <c r="A186" s="4">
        <v>50</v>
      </c>
      <c r="B186" s="4">
        <v>0</v>
      </c>
      <c r="C186" s="4">
        <v>0</v>
      </c>
      <c r="D186" s="4">
        <v>1</v>
      </c>
      <c r="E186" s="4">
        <v>203</v>
      </c>
      <c r="F186" s="4">
        <f>ROUND(Source!Q174,O186)</f>
        <v>3562517</v>
      </c>
      <c r="G186" s="4" t="s">
        <v>110</v>
      </c>
      <c r="H186" s="4" t="s">
        <v>111</v>
      </c>
      <c r="I186" s="4"/>
      <c r="J186" s="4"/>
      <c r="K186" s="4">
        <v>203</v>
      </c>
      <c r="L186" s="4">
        <v>11</v>
      </c>
      <c r="M186" s="4">
        <v>3</v>
      </c>
      <c r="N186" s="4" t="s">
        <v>3</v>
      </c>
      <c r="O186" s="4">
        <v>2</v>
      </c>
      <c r="P186" s="4"/>
      <c r="Q186" s="4"/>
      <c r="R186" s="4"/>
      <c r="S186" s="4"/>
      <c r="T186" s="4"/>
      <c r="U186" s="4"/>
      <c r="V186" s="4"/>
      <c r="W186" s="4">
        <v>3562517</v>
      </c>
      <c r="X186" s="4">
        <v>1</v>
      </c>
      <c r="Y186" s="4">
        <v>3562517</v>
      </c>
      <c r="Z186" s="4"/>
      <c r="AA186" s="4"/>
      <c r="AB186" s="4"/>
    </row>
    <row r="187" spans="1:28" x14ac:dyDescent="0.2">
      <c r="A187" s="4">
        <v>50</v>
      </c>
      <c r="B187" s="4">
        <v>0</v>
      </c>
      <c r="C187" s="4">
        <v>0</v>
      </c>
      <c r="D187" s="4">
        <v>1</v>
      </c>
      <c r="E187" s="4">
        <v>231</v>
      </c>
      <c r="F187" s="4">
        <f>ROUND(Source!BB174,O187)</f>
        <v>0</v>
      </c>
      <c r="G187" s="4" t="s">
        <v>112</v>
      </c>
      <c r="H187" s="4" t="s">
        <v>113</v>
      </c>
      <c r="I187" s="4"/>
      <c r="J187" s="4"/>
      <c r="K187" s="4">
        <v>231</v>
      </c>
      <c r="L187" s="4">
        <v>12</v>
      </c>
      <c r="M187" s="4">
        <v>3</v>
      </c>
      <c r="N187" s="4" t="s">
        <v>3</v>
      </c>
      <c r="O187" s="4">
        <v>2</v>
      </c>
      <c r="P187" s="4"/>
      <c r="Q187" s="4"/>
      <c r="R187" s="4"/>
      <c r="S187" s="4"/>
      <c r="T187" s="4"/>
      <c r="U187" s="4"/>
      <c r="V187" s="4"/>
      <c r="W187" s="4">
        <v>0</v>
      </c>
      <c r="X187" s="4">
        <v>1</v>
      </c>
      <c r="Y187" s="4">
        <v>0</v>
      </c>
      <c r="Z187" s="4"/>
      <c r="AA187" s="4"/>
      <c r="AB187" s="4"/>
    </row>
    <row r="188" spans="1:28" x14ac:dyDescent="0.2">
      <c r="A188" s="4">
        <v>50</v>
      </c>
      <c r="B188" s="4">
        <v>0</v>
      </c>
      <c r="C188" s="4">
        <v>0</v>
      </c>
      <c r="D188" s="4">
        <v>1</v>
      </c>
      <c r="E188" s="4">
        <v>204</v>
      </c>
      <c r="F188" s="4">
        <f>ROUND(Source!R174,O188)</f>
        <v>410220.03</v>
      </c>
      <c r="G188" s="4" t="s">
        <v>114</v>
      </c>
      <c r="H188" s="4" t="s">
        <v>115</v>
      </c>
      <c r="I188" s="4"/>
      <c r="J188" s="4"/>
      <c r="K188" s="4">
        <v>204</v>
      </c>
      <c r="L188" s="4">
        <v>13</v>
      </c>
      <c r="M188" s="4">
        <v>3</v>
      </c>
      <c r="N188" s="4" t="s">
        <v>3</v>
      </c>
      <c r="O188" s="4">
        <v>2</v>
      </c>
      <c r="P188" s="4"/>
      <c r="Q188" s="4"/>
      <c r="R188" s="4"/>
      <c r="S188" s="4"/>
      <c r="T188" s="4"/>
      <c r="U188" s="4"/>
      <c r="V188" s="4"/>
      <c r="W188" s="4">
        <v>410220.03</v>
      </c>
      <c r="X188" s="4">
        <v>1</v>
      </c>
      <c r="Y188" s="4">
        <v>410220.03</v>
      </c>
      <c r="Z188" s="4"/>
      <c r="AA188" s="4"/>
      <c r="AB188" s="4"/>
    </row>
    <row r="189" spans="1:28" x14ac:dyDescent="0.2">
      <c r="A189" s="4">
        <v>50</v>
      </c>
      <c r="B189" s="4">
        <v>0</v>
      </c>
      <c r="C189" s="4">
        <v>0</v>
      </c>
      <c r="D189" s="4">
        <v>1</v>
      </c>
      <c r="E189" s="4">
        <v>205</v>
      </c>
      <c r="F189" s="4">
        <f>ROUND(Source!S174,O189)</f>
        <v>343604.34</v>
      </c>
      <c r="G189" s="4" t="s">
        <v>116</v>
      </c>
      <c r="H189" s="4" t="s">
        <v>117</v>
      </c>
      <c r="I189" s="4"/>
      <c r="J189" s="4"/>
      <c r="K189" s="4">
        <v>205</v>
      </c>
      <c r="L189" s="4">
        <v>14</v>
      </c>
      <c r="M189" s="4">
        <v>3</v>
      </c>
      <c r="N189" s="4" t="s">
        <v>3</v>
      </c>
      <c r="O189" s="4">
        <v>2</v>
      </c>
      <c r="P189" s="4"/>
      <c r="Q189" s="4"/>
      <c r="R189" s="4"/>
      <c r="S189" s="4"/>
      <c r="T189" s="4"/>
      <c r="U189" s="4"/>
      <c r="V189" s="4"/>
      <c r="W189" s="4">
        <v>343604.34</v>
      </c>
      <c r="X189" s="4">
        <v>1</v>
      </c>
      <c r="Y189" s="4">
        <v>343604.34</v>
      </c>
      <c r="Z189" s="4"/>
      <c r="AA189" s="4"/>
      <c r="AB189" s="4"/>
    </row>
    <row r="190" spans="1:28" x14ac:dyDescent="0.2">
      <c r="A190" s="4">
        <v>50</v>
      </c>
      <c r="B190" s="4">
        <v>0</v>
      </c>
      <c r="C190" s="4">
        <v>0</v>
      </c>
      <c r="D190" s="4">
        <v>1</v>
      </c>
      <c r="E190" s="4">
        <v>232</v>
      </c>
      <c r="F190" s="4">
        <f>ROUND(Source!BC174,O190)</f>
        <v>0</v>
      </c>
      <c r="G190" s="4" t="s">
        <v>118</v>
      </c>
      <c r="H190" s="4" t="s">
        <v>119</v>
      </c>
      <c r="I190" s="4"/>
      <c r="J190" s="4"/>
      <c r="K190" s="4">
        <v>232</v>
      </c>
      <c r="L190" s="4">
        <v>15</v>
      </c>
      <c r="M190" s="4">
        <v>3</v>
      </c>
      <c r="N190" s="4" t="s">
        <v>3</v>
      </c>
      <c r="O190" s="4">
        <v>2</v>
      </c>
      <c r="P190" s="4"/>
      <c r="Q190" s="4"/>
      <c r="R190" s="4"/>
      <c r="S190" s="4"/>
      <c r="T190" s="4"/>
      <c r="U190" s="4"/>
      <c r="V190" s="4"/>
      <c r="W190" s="4">
        <v>0</v>
      </c>
      <c r="X190" s="4">
        <v>1</v>
      </c>
      <c r="Y190" s="4">
        <v>0</v>
      </c>
      <c r="Z190" s="4"/>
      <c r="AA190" s="4"/>
      <c r="AB190" s="4"/>
    </row>
    <row r="191" spans="1:28" x14ac:dyDescent="0.2">
      <c r="A191" s="4">
        <v>50</v>
      </c>
      <c r="B191" s="4">
        <v>0</v>
      </c>
      <c r="C191" s="4">
        <v>0</v>
      </c>
      <c r="D191" s="4">
        <v>1</v>
      </c>
      <c r="E191" s="4">
        <v>214</v>
      </c>
      <c r="F191" s="4">
        <f>ROUND(Source!AS174,O191)</f>
        <v>7591866.5700000003</v>
      </c>
      <c r="G191" s="4" t="s">
        <v>120</v>
      </c>
      <c r="H191" s="4" t="s">
        <v>121</v>
      </c>
      <c r="I191" s="4"/>
      <c r="J191" s="4"/>
      <c r="K191" s="4">
        <v>214</v>
      </c>
      <c r="L191" s="4">
        <v>16</v>
      </c>
      <c r="M191" s="4">
        <v>3</v>
      </c>
      <c r="N191" s="4" t="s">
        <v>3</v>
      </c>
      <c r="O191" s="4">
        <v>2</v>
      </c>
      <c r="P191" s="4"/>
      <c r="Q191" s="4"/>
      <c r="R191" s="4"/>
      <c r="S191" s="4"/>
      <c r="T191" s="4"/>
      <c r="U191" s="4"/>
      <c r="V191" s="4"/>
      <c r="W191" s="4">
        <v>7591866.5700000003</v>
      </c>
      <c r="X191" s="4">
        <v>1</v>
      </c>
      <c r="Y191" s="4">
        <v>7591866.5700000003</v>
      </c>
      <c r="Z191" s="4"/>
      <c r="AA191" s="4"/>
      <c r="AB191" s="4"/>
    </row>
    <row r="192" spans="1:28" x14ac:dyDescent="0.2">
      <c r="A192" s="4">
        <v>50</v>
      </c>
      <c r="B192" s="4">
        <v>0</v>
      </c>
      <c r="C192" s="4">
        <v>0</v>
      </c>
      <c r="D192" s="4">
        <v>1</v>
      </c>
      <c r="E192" s="4">
        <v>215</v>
      </c>
      <c r="F192" s="4">
        <f>ROUND(Source!AT174,O192)</f>
        <v>1151065.25</v>
      </c>
      <c r="G192" s="4" t="s">
        <v>122</v>
      </c>
      <c r="H192" s="4" t="s">
        <v>123</v>
      </c>
      <c r="I192" s="4"/>
      <c r="J192" s="4"/>
      <c r="K192" s="4">
        <v>215</v>
      </c>
      <c r="L192" s="4">
        <v>17</v>
      </c>
      <c r="M192" s="4">
        <v>3</v>
      </c>
      <c r="N192" s="4" t="s">
        <v>3</v>
      </c>
      <c r="O192" s="4">
        <v>2</v>
      </c>
      <c r="P192" s="4"/>
      <c r="Q192" s="4"/>
      <c r="R192" s="4"/>
      <c r="S192" s="4"/>
      <c r="T192" s="4"/>
      <c r="U192" s="4"/>
      <c r="V192" s="4"/>
      <c r="W192" s="4">
        <v>1151065.25</v>
      </c>
      <c r="X192" s="4">
        <v>1</v>
      </c>
      <c r="Y192" s="4">
        <v>1151065.25</v>
      </c>
      <c r="Z192" s="4"/>
      <c r="AA192" s="4"/>
      <c r="AB192" s="4"/>
    </row>
    <row r="193" spans="1:28" x14ac:dyDescent="0.2">
      <c r="A193" s="4">
        <v>50</v>
      </c>
      <c r="B193" s="4">
        <v>0</v>
      </c>
      <c r="C193" s="4">
        <v>0</v>
      </c>
      <c r="D193" s="4">
        <v>1</v>
      </c>
      <c r="E193" s="4">
        <v>217</v>
      </c>
      <c r="F193" s="4">
        <f>ROUND(Source!AU174,O193)</f>
        <v>0</v>
      </c>
      <c r="G193" s="4" t="s">
        <v>124</v>
      </c>
      <c r="H193" s="4" t="s">
        <v>125</v>
      </c>
      <c r="I193" s="4"/>
      <c r="J193" s="4"/>
      <c r="K193" s="4">
        <v>217</v>
      </c>
      <c r="L193" s="4">
        <v>18</v>
      </c>
      <c r="M193" s="4">
        <v>3</v>
      </c>
      <c r="N193" s="4" t="s">
        <v>3</v>
      </c>
      <c r="O193" s="4">
        <v>2</v>
      </c>
      <c r="P193" s="4"/>
      <c r="Q193" s="4"/>
      <c r="R193" s="4"/>
      <c r="S193" s="4"/>
      <c r="T193" s="4"/>
      <c r="U193" s="4"/>
      <c r="V193" s="4"/>
      <c r="W193" s="4">
        <v>0</v>
      </c>
      <c r="X193" s="4">
        <v>1</v>
      </c>
      <c r="Y193" s="4">
        <v>0</v>
      </c>
      <c r="Z193" s="4"/>
      <c r="AA193" s="4"/>
      <c r="AB193" s="4"/>
    </row>
    <row r="194" spans="1:28" x14ac:dyDescent="0.2">
      <c r="A194" s="4">
        <v>50</v>
      </c>
      <c r="B194" s="4">
        <v>0</v>
      </c>
      <c r="C194" s="4">
        <v>0</v>
      </c>
      <c r="D194" s="4">
        <v>1</v>
      </c>
      <c r="E194" s="4">
        <v>230</v>
      </c>
      <c r="F194" s="4">
        <f>ROUND(Source!BA174,O194)</f>
        <v>0</v>
      </c>
      <c r="G194" s="4" t="s">
        <v>126</v>
      </c>
      <c r="H194" s="4" t="s">
        <v>127</v>
      </c>
      <c r="I194" s="4"/>
      <c r="J194" s="4"/>
      <c r="K194" s="4">
        <v>230</v>
      </c>
      <c r="L194" s="4">
        <v>19</v>
      </c>
      <c r="M194" s="4">
        <v>3</v>
      </c>
      <c r="N194" s="4" t="s">
        <v>3</v>
      </c>
      <c r="O194" s="4">
        <v>2</v>
      </c>
      <c r="P194" s="4"/>
      <c r="Q194" s="4"/>
      <c r="R194" s="4"/>
      <c r="S194" s="4"/>
      <c r="T194" s="4"/>
      <c r="U194" s="4"/>
      <c r="V194" s="4"/>
      <c r="W194" s="4">
        <v>0</v>
      </c>
      <c r="X194" s="4">
        <v>1</v>
      </c>
      <c r="Y194" s="4">
        <v>0</v>
      </c>
      <c r="Z194" s="4"/>
      <c r="AA194" s="4"/>
      <c r="AB194" s="4"/>
    </row>
    <row r="195" spans="1:28" x14ac:dyDescent="0.2">
      <c r="A195" s="4">
        <v>50</v>
      </c>
      <c r="B195" s="4">
        <v>0</v>
      </c>
      <c r="C195" s="4">
        <v>0</v>
      </c>
      <c r="D195" s="4">
        <v>1</v>
      </c>
      <c r="E195" s="4">
        <v>206</v>
      </c>
      <c r="F195" s="4">
        <f>ROUND(Source!T174,O195)</f>
        <v>0</v>
      </c>
      <c r="G195" s="4" t="s">
        <v>128</v>
      </c>
      <c r="H195" s="4" t="s">
        <v>129</v>
      </c>
      <c r="I195" s="4"/>
      <c r="J195" s="4"/>
      <c r="K195" s="4">
        <v>206</v>
      </c>
      <c r="L195" s="4">
        <v>20</v>
      </c>
      <c r="M195" s="4">
        <v>3</v>
      </c>
      <c r="N195" s="4" t="s">
        <v>3</v>
      </c>
      <c r="O195" s="4">
        <v>2</v>
      </c>
      <c r="P195" s="4"/>
      <c r="Q195" s="4"/>
      <c r="R195" s="4"/>
      <c r="S195" s="4"/>
      <c r="T195" s="4"/>
      <c r="U195" s="4"/>
      <c r="V195" s="4"/>
      <c r="W195" s="4">
        <v>0</v>
      </c>
      <c r="X195" s="4">
        <v>1</v>
      </c>
      <c r="Y195" s="4">
        <v>0</v>
      </c>
      <c r="Z195" s="4"/>
      <c r="AA195" s="4"/>
      <c r="AB195" s="4"/>
    </row>
    <row r="196" spans="1:28" x14ac:dyDescent="0.2">
      <c r="A196" s="4">
        <v>50</v>
      </c>
      <c r="B196" s="4">
        <v>0</v>
      </c>
      <c r="C196" s="4">
        <v>0</v>
      </c>
      <c r="D196" s="4">
        <v>1</v>
      </c>
      <c r="E196" s="4">
        <v>207</v>
      </c>
      <c r="F196" s="4">
        <f>Source!U174</f>
        <v>748.80027990515998</v>
      </c>
      <c r="G196" s="4" t="s">
        <v>130</v>
      </c>
      <c r="H196" s="4" t="s">
        <v>131</v>
      </c>
      <c r="I196" s="4"/>
      <c r="J196" s="4"/>
      <c r="K196" s="4">
        <v>207</v>
      </c>
      <c r="L196" s="4">
        <v>21</v>
      </c>
      <c r="M196" s="4">
        <v>3</v>
      </c>
      <c r="N196" s="4" t="s">
        <v>3</v>
      </c>
      <c r="O196" s="4">
        <v>-1</v>
      </c>
      <c r="P196" s="4"/>
      <c r="Q196" s="4"/>
      <c r="R196" s="4"/>
      <c r="S196" s="4"/>
      <c r="T196" s="4"/>
      <c r="U196" s="4"/>
      <c r="V196" s="4"/>
      <c r="W196" s="4">
        <v>748.80027990515998</v>
      </c>
      <c r="X196" s="4">
        <v>1</v>
      </c>
      <c r="Y196" s="4">
        <v>748.80027990515998</v>
      </c>
      <c r="Z196" s="4"/>
      <c r="AA196" s="4"/>
      <c r="AB196" s="4"/>
    </row>
    <row r="197" spans="1:28" x14ac:dyDescent="0.2">
      <c r="A197" s="4">
        <v>50</v>
      </c>
      <c r="B197" s="4">
        <v>0</v>
      </c>
      <c r="C197" s="4">
        <v>0</v>
      </c>
      <c r="D197" s="4">
        <v>1</v>
      </c>
      <c r="E197" s="4">
        <v>208</v>
      </c>
      <c r="F197" s="4">
        <f>Source!V174</f>
        <v>0</v>
      </c>
      <c r="G197" s="4" t="s">
        <v>132</v>
      </c>
      <c r="H197" s="4" t="s">
        <v>133</v>
      </c>
      <c r="I197" s="4"/>
      <c r="J197" s="4"/>
      <c r="K197" s="4">
        <v>208</v>
      </c>
      <c r="L197" s="4">
        <v>22</v>
      </c>
      <c r="M197" s="4">
        <v>3</v>
      </c>
      <c r="N197" s="4" t="s">
        <v>3</v>
      </c>
      <c r="O197" s="4">
        <v>-1</v>
      </c>
      <c r="P197" s="4"/>
      <c r="Q197" s="4"/>
      <c r="R197" s="4"/>
      <c r="S197" s="4"/>
      <c r="T197" s="4"/>
      <c r="U197" s="4"/>
      <c r="V197" s="4"/>
      <c r="W197" s="4">
        <v>0</v>
      </c>
      <c r="X197" s="4">
        <v>1</v>
      </c>
      <c r="Y197" s="4">
        <v>0</v>
      </c>
      <c r="Z197" s="4"/>
      <c r="AA197" s="4"/>
      <c r="AB197" s="4"/>
    </row>
    <row r="198" spans="1:28" x14ac:dyDescent="0.2">
      <c r="A198" s="4">
        <v>50</v>
      </c>
      <c r="B198" s="4">
        <v>0</v>
      </c>
      <c r="C198" s="4">
        <v>0</v>
      </c>
      <c r="D198" s="4">
        <v>1</v>
      </c>
      <c r="E198" s="4">
        <v>209</v>
      </c>
      <c r="F198" s="4">
        <f>ROUND(Source!W174,O198)</f>
        <v>0</v>
      </c>
      <c r="G198" s="4" t="s">
        <v>134</v>
      </c>
      <c r="H198" s="4" t="s">
        <v>135</v>
      </c>
      <c r="I198" s="4"/>
      <c r="J198" s="4"/>
      <c r="K198" s="4">
        <v>209</v>
      </c>
      <c r="L198" s="4">
        <v>23</v>
      </c>
      <c r="M198" s="4">
        <v>3</v>
      </c>
      <c r="N198" s="4" t="s">
        <v>3</v>
      </c>
      <c r="O198" s="4">
        <v>2</v>
      </c>
      <c r="P198" s="4"/>
      <c r="Q198" s="4"/>
      <c r="R198" s="4"/>
      <c r="S198" s="4"/>
      <c r="T198" s="4"/>
      <c r="U198" s="4"/>
      <c r="V198" s="4"/>
      <c r="W198" s="4">
        <v>0</v>
      </c>
      <c r="X198" s="4">
        <v>1</v>
      </c>
      <c r="Y198" s="4">
        <v>0</v>
      </c>
      <c r="Z198" s="4"/>
      <c r="AA198" s="4"/>
      <c r="AB198" s="4"/>
    </row>
    <row r="199" spans="1:28" x14ac:dyDescent="0.2">
      <c r="A199" s="4">
        <v>50</v>
      </c>
      <c r="B199" s="4">
        <v>0</v>
      </c>
      <c r="C199" s="4">
        <v>0</v>
      </c>
      <c r="D199" s="4">
        <v>1</v>
      </c>
      <c r="E199" s="4">
        <v>233</v>
      </c>
      <c r="F199" s="4">
        <f>ROUND(Source!BD174,O199)</f>
        <v>0</v>
      </c>
      <c r="G199" s="4" t="s">
        <v>136</v>
      </c>
      <c r="H199" s="4" t="s">
        <v>137</v>
      </c>
      <c r="I199" s="4"/>
      <c r="J199" s="4"/>
      <c r="K199" s="4">
        <v>233</v>
      </c>
      <c r="L199" s="4">
        <v>24</v>
      </c>
      <c r="M199" s="4">
        <v>3</v>
      </c>
      <c r="N199" s="4" t="s">
        <v>3</v>
      </c>
      <c r="O199" s="4">
        <v>2</v>
      </c>
      <c r="P199" s="4"/>
      <c r="Q199" s="4"/>
      <c r="R199" s="4"/>
      <c r="S199" s="4"/>
      <c r="T199" s="4"/>
      <c r="U199" s="4"/>
      <c r="V199" s="4"/>
      <c r="W199" s="4">
        <v>0</v>
      </c>
      <c r="X199" s="4">
        <v>1</v>
      </c>
      <c r="Y199" s="4">
        <v>0</v>
      </c>
      <c r="Z199" s="4"/>
      <c r="AA199" s="4"/>
      <c r="AB199" s="4"/>
    </row>
    <row r="200" spans="1:28" x14ac:dyDescent="0.2">
      <c r="A200" s="4">
        <v>50</v>
      </c>
      <c r="B200" s="4">
        <v>0</v>
      </c>
      <c r="C200" s="4">
        <v>0</v>
      </c>
      <c r="D200" s="4">
        <v>1</v>
      </c>
      <c r="E200" s="4">
        <v>210</v>
      </c>
      <c r="F200" s="4">
        <f>ROUND(Source!X174,O200)</f>
        <v>376229.32</v>
      </c>
      <c r="G200" s="4" t="s">
        <v>138</v>
      </c>
      <c r="H200" s="4" t="s">
        <v>139</v>
      </c>
      <c r="I200" s="4"/>
      <c r="J200" s="4"/>
      <c r="K200" s="4">
        <v>210</v>
      </c>
      <c r="L200" s="4">
        <v>25</v>
      </c>
      <c r="M200" s="4">
        <v>3</v>
      </c>
      <c r="N200" s="4" t="s">
        <v>3</v>
      </c>
      <c r="O200" s="4">
        <v>2</v>
      </c>
      <c r="P200" s="4"/>
      <c r="Q200" s="4"/>
      <c r="R200" s="4"/>
      <c r="S200" s="4"/>
      <c r="T200" s="4"/>
      <c r="U200" s="4"/>
      <c r="V200" s="4"/>
      <c r="W200" s="4">
        <v>376229.32</v>
      </c>
      <c r="X200" s="4">
        <v>1</v>
      </c>
      <c r="Y200" s="4">
        <v>376229.32</v>
      </c>
      <c r="Z200" s="4"/>
      <c r="AA200" s="4"/>
      <c r="AB200" s="4"/>
    </row>
    <row r="201" spans="1:28" x14ac:dyDescent="0.2">
      <c r="A201" s="4">
        <v>50</v>
      </c>
      <c r="B201" s="4">
        <v>0</v>
      </c>
      <c r="C201" s="4">
        <v>0</v>
      </c>
      <c r="D201" s="4">
        <v>1</v>
      </c>
      <c r="E201" s="4">
        <v>211</v>
      </c>
      <c r="F201" s="4">
        <f>ROUND(Source!Y174,O201)</f>
        <v>177500.14</v>
      </c>
      <c r="G201" s="4" t="s">
        <v>140</v>
      </c>
      <c r="H201" s="4" t="s">
        <v>141</v>
      </c>
      <c r="I201" s="4"/>
      <c r="J201" s="4"/>
      <c r="K201" s="4">
        <v>211</v>
      </c>
      <c r="L201" s="4">
        <v>26</v>
      </c>
      <c r="M201" s="4">
        <v>3</v>
      </c>
      <c r="N201" s="4" t="s">
        <v>3</v>
      </c>
      <c r="O201" s="4">
        <v>2</v>
      </c>
      <c r="P201" s="4"/>
      <c r="Q201" s="4"/>
      <c r="R201" s="4"/>
      <c r="S201" s="4"/>
      <c r="T201" s="4"/>
      <c r="U201" s="4"/>
      <c r="V201" s="4"/>
      <c r="W201" s="4">
        <v>177500.14</v>
      </c>
      <c r="X201" s="4">
        <v>1</v>
      </c>
      <c r="Y201" s="4">
        <v>177500.14</v>
      </c>
      <c r="Z201" s="4"/>
      <c r="AA201" s="4"/>
      <c r="AB201" s="4"/>
    </row>
    <row r="202" spans="1:28" x14ac:dyDescent="0.2">
      <c r="A202" s="4">
        <v>50</v>
      </c>
      <c r="B202" s="4">
        <v>0</v>
      </c>
      <c r="C202" s="4">
        <v>0</v>
      </c>
      <c r="D202" s="4">
        <v>1</v>
      </c>
      <c r="E202" s="4">
        <v>224</v>
      </c>
      <c r="F202" s="4">
        <f>ROUND(Source!AR174,O202)</f>
        <v>8742931.8200000003</v>
      </c>
      <c r="G202" s="4" t="s">
        <v>142</v>
      </c>
      <c r="H202" s="4" t="s">
        <v>143</v>
      </c>
      <c r="I202" s="4"/>
      <c r="J202" s="4"/>
      <c r="K202" s="4">
        <v>224</v>
      </c>
      <c r="L202" s="4">
        <v>27</v>
      </c>
      <c r="M202" s="4">
        <v>3</v>
      </c>
      <c r="N202" s="4" t="s">
        <v>3</v>
      </c>
      <c r="O202" s="4">
        <v>2</v>
      </c>
      <c r="P202" s="4"/>
      <c r="Q202" s="4"/>
      <c r="R202" s="4"/>
      <c r="S202" s="4"/>
      <c r="T202" s="4"/>
      <c r="U202" s="4"/>
      <c r="V202" s="4"/>
      <c r="W202" s="4">
        <v>8742931.8200000003</v>
      </c>
      <c r="X202" s="4">
        <v>1</v>
      </c>
      <c r="Y202" s="4">
        <v>8742931.8200000003</v>
      </c>
      <c r="Z202" s="4"/>
      <c r="AA202" s="4"/>
      <c r="AB202" s="4"/>
    </row>
    <row r="203" spans="1:28" x14ac:dyDescent="0.2">
      <c r="A203" s="4">
        <v>50</v>
      </c>
      <c r="B203" s="4">
        <v>1</v>
      </c>
      <c r="C203" s="4">
        <v>0</v>
      </c>
      <c r="D203" s="4">
        <v>2</v>
      </c>
      <c r="E203" s="4">
        <v>0</v>
      </c>
      <c r="F203" s="4">
        <f>ROUND(F202,O203)</f>
        <v>8742931.8200000003</v>
      </c>
      <c r="G203" s="4" t="s">
        <v>173</v>
      </c>
      <c r="H203" s="4" t="s">
        <v>174</v>
      </c>
      <c r="I203" s="4"/>
      <c r="J203" s="4"/>
      <c r="K203" s="4">
        <v>212</v>
      </c>
      <c r="L203" s="4">
        <v>28</v>
      </c>
      <c r="M203" s="4">
        <v>0</v>
      </c>
      <c r="N203" s="4" t="s">
        <v>3</v>
      </c>
      <c r="O203" s="4">
        <v>2</v>
      </c>
      <c r="P203" s="4"/>
      <c r="Q203" s="4"/>
      <c r="R203" s="4"/>
      <c r="S203" s="4"/>
      <c r="T203" s="4"/>
      <c r="U203" s="4"/>
      <c r="V203" s="4"/>
      <c r="W203" s="4">
        <v>8742931.8200000003</v>
      </c>
      <c r="X203" s="4">
        <v>1</v>
      </c>
      <c r="Y203" s="4">
        <v>8742931.8200000003</v>
      </c>
      <c r="Z203" s="4"/>
      <c r="AA203" s="4"/>
      <c r="AB203" s="4"/>
    </row>
    <row r="206" spans="1:28" x14ac:dyDescent="0.2">
      <c r="A206">
        <v>70</v>
      </c>
      <c r="B206">
        <v>1</v>
      </c>
      <c r="D206">
        <v>1</v>
      </c>
      <c r="E206" t="s">
        <v>175</v>
      </c>
      <c r="F206" t="s">
        <v>176</v>
      </c>
      <c r="G206">
        <v>0</v>
      </c>
      <c r="H206">
        <v>0</v>
      </c>
      <c r="I206" t="s">
        <v>3</v>
      </c>
      <c r="J206">
        <v>0</v>
      </c>
      <c r="K206">
        <v>0</v>
      </c>
      <c r="L206" t="s">
        <v>3</v>
      </c>
      <c r="M206" t="s">
        <v>3</v>
      </c>
      <c r="N206">
        <v>0</v>
      </c>
      <c r="P206" t="s">
        <v>3</v>
      </c>
    </row>
    <row r="208" spans="1:28" x14ac:dyDescent="0.2">
      <c r="A208">
        <v>-1</v>
      </c>
    </row>
    <row r="210" spans="1:50" x14ac:dyDescent="0.2">
      <c r="A210" s="3">
        <v>75</v>
      </c>
      <c r="B210" s="3" t="s">
        <v>177</v>
      </c>
      <c r="C210" s="3">
        <v>2024</v>
      </c>
      <c r="D210" s="3">
        <v>0</v>
      </c>
      <c r="E210" s="3">
        <v>4</v>
      </c>
      <c r="F210" s="3"/>
      <c r="G210" s="3">
        <v>0</v>
      </c>
      <c r="H210" s="3">
        <v>2</v>
      </c>
      <c r="I210" s="3">
        <v>1</v>
      </c>
      <c r="J210" s="3">
        <v>1</v>
      </c>
      <c r="K210" s="3">
        <v>95</v>
      </c>
      <c r="L210" s="3">
        <v>65</v>
      </c>
      <c r="M210" s="3">
        <v>0</v>
      </c>
      <c r="N210" s="3">
        <v>57737055</v>
      </c>
      <c r="O210" s="3">
        <v>1</v>
      </c>
    </row>
    <row r="211" spans="1:50" x14ac:dyDescent="0.2">
      <c r="A211" s="5">
        <v>1</v>
      </c>
      <c r="B211" s="5" t="s">
        <v>178</v>
      </c>
      <c r="C211" s="5" t="s">
        <v>179</v>
      </c>
      <c r="D211" s="5">
        <v>2024</v>
      </c>
      <c r="E211" s="5">
        <v>7</v>
      </c>
      <c r="F211" s="5">
        <v>1</v>
      </c>
      <c r="G211" s="5">
        <v>1</v>
      </c>
      <c r="H211" s="5">
        <v>0</v>
      </c>
      <c r="I211" s="5">
        <v>2</v>
      </c>
      <c r="J211" s="5">
        <v>1</v>
      </c>
      <c r="K211" s="5">
        <v>1</v>
      </c>
      <c r="L211" s="5">
        <v>1</v>
      </c>
      <c r="M211" s="5">
        <v>1</v>
      </c>
      <c r="N211" s="5">
        <v>1</v>
      </c>
      <c r="O211" s="5">
        <v>1</v>
      </c>
      <c r="P211" s="5">
        <v>1</v>
      </c>
      <c r="Q211" s="5">
        <v>1</v>
      </c>
      <c r="R211" s="5" t="s">
        <v>3</v>
      </c>
      <c r="S211" s="5" t="s">
        <v>3</v>
      </c>
      <c r="T211" s="5" t="s">
        <v>3</v>
      </c>
      <c r="U211" s="5" t="s">
        <v>3</v>
      </c>
      <c r="V211" s="5" t="s">
        <v>3</v>
      </c>
      <c r="W211" s="5" t="s">
        <v>3</v>
      </c>
      <c r="X211" s="5" t="s">
        <v>3</v>
      </c>
      <c r="Y211" s="5" t="s">
        <v>3</v>
      </c>
      <c r="Z211" s="5" t="s">
        <v>3</v>
      </c>
      <c r="AA211" s="5" t="s">
        <v>180</v>
      </c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>
        <v>57737056</v>
      </c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5" spans="1:50" x14ac:dyDescent="0.2">
      <c r="A215">
        <v>65</v>
      </c>
      <c r="C215">
        <v>1</v>
      </c>
      <c r="D215">
        <v>0</v>
      </c>
      <c r="E21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9564-6224-42A6-A2C1-CAB6073E8CD2}">
  <dimension ref="A1:EC5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181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52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57737055</v>
      </c>
      <c r="E14" s="1">
        <v>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1</v>
      </c>
      <c r="C16" s="6" t="s">
        <v>13</v>
      </c>
      <c r="D16" s="6" t="s">
        <v>14</v>
      </c>
      <c r="E16" s="7">
        <f>ROUND((Source!F161)/1000,2)</f>
        <v>7591.87</v>
      </c>
      <c r="F16" s="7">
        <f>ROUND((Source!F162)/1000,2)</f>
        <v>1151.07</v>
      </c>
      <c r="G16" s="7">
        <f>ROUND((Source!F153)/1000,2)</f>
        <v>0</v>
      </c>
      <c r="H16" s="7">
        <f>ROUND((Source!F163)/1000+(Source!F164)/1000,2)</f>
        <v>0</v>
      </c>
      <c r="I16" s="7">
        <f>E16+F16+G16+H16</f>
        <v>8742.94</v>
      </c>
      <c r="J16" s="7">
        <f>ROUND((Source!F159+Source!F158)/1000,2)</f>
        <v>753.82</v>
      </c>
      <c r="K16" s="7">
        <v>11159.58</v>
      </c>
      <c r="L16" s="7">
        <v>0</v>
      </c>
      <c r="M16" s="7">
        <v>0</v>
      </c>
      <c r="N16" s="7">
        <f>I16+L16+M16</f>
        <v>8742.94</v>
      </c>
      <c r="AI16" s="6">
        <v>0</v>
      </c>
      <c r="AJ16" s="6">
        <v>-1</v>
      </c>
      <c r="AK16" s="6" t="s">
        <v>3</v>
      </c>
      <c r="AL16" s="6" t="s">
        <v>3</v>
      </c>
      <c r="AM16" s="6" t="s">
        <v>3</v>
      </c>
      <c r="AN16" s="6">
        <v>0</v>
      </c>
      <c r="AO16" s="6" t="s">
        <v>3</v>
      </c>
      <c r="AP16" s="6" t="s">
        <v>3</v>
      </c>
      <c r="AT16" s="7">
        <v>7532850.3200000003</v>
      </c>
      <c r="AU16" s="7">
        <v>3626728.98</v>
      </c>
      <c r="AV16" s="7">
        <v>0</v>
      </c>
      <c r="AW16" s="7">
        <v>0</v>
      </c>
      <c r="AX16" s="7">
        <v>0</v>
      </c>
      <c r="AY16" s="7">
        <v>3562517</v>
      </c>
      <c r="AZ16" s="7">
        <v>410220.03</v>
      </c>
      <c r="BA16" s="7">
        <v>343604.34</v>
      </c>
      <c r="BB16" s="7">
        <v>7591866.5700000003</v>
      </c>
      <c r="BC16" s="7">
        <v>1151065.25</v>
      </c>
      <c r="BD16" s="7">
        <v>0</v>
      </c>
      <c r="BE16" s="7">
        <v>0</v>
      </c>
      <c r="BF16" s="7">
        <v>748.80027990515998</v>
      </c>
      <c r="BG16" s="7">
        <v>0</v>
      </c>
      <c r="BH16" s="7">
        <v>0</v>
      </c>
      <c r="BI16" s="7">
        <v>376229.32</v>
      </c>
      <c r="BJ16" s="7">
        <v>177500.14</v>
      </c>
      <c r="BK16" s="7">
        <v>8742931.8200000003</v>
      </c>
    </row>
    <row r="18" spans="1:16" x14ac:dyDescent="0.2">
      <c r="A18">
        <v>51</v>
      </c>
      <c r="E18">
        <v>7591.87</v>
      </c>
      <c r="F18">
        <v>1151.07</v>
      </c>
      <c r="G18">
        <v>0</v>
      </c>
      <c r="H18">
        <v>0</v>
      </c>
      <c r="I18">
        <v>8742.94</v>
      </c>
      <c r="J18">
        <v>753.82</v>
      </c>
      <c r="K18">
        <v>11159.58</v>
      </c>
      <c r="L18">
        <v>0</v>
      </c>
      <c r="M18">
        <v>0</v>
      </c>
      <c r="N18">
        <v>8742.94</v>
      </c>
    </row>
    <row r="20" spans="1:16" x14ac:dyDescent="0.2">
      <c r="A20" s="4">
        <v>50</v>
      </c>
      <c r="B20" s="4">
        <v>0</v>
      </c>
      <c r="C20" s="4">
        <v>0</v>
      </c>
      <c r="D20" s="4">
        <v>1</v>
      </c>
      <c r="E20" s="4">
        <v>201</v>
      </c>
      <c r="F20" s="4">
        <v>7532850.3200000003</v>
      </c>
      <c r="G20" s="4" t="s">
        <v>90</v>
      </c>
      <c r="H20" s="4" t="s">
        <v>91</v>
      </c>
      <c r="I20" s="4"/>
      <c r="J20" s="4"/>
      <c r="K20" s="4">
        <v>201</v>
      </c>
      <c r="L20" s="4">
        <v>1</v>
      </c>
      <c r="M20" s="4">
        <v>3</v>
      </c>
      <c r="N20" s="4" t="s">
        <v>3</v>
      </c>
      <c r="O20" s="4">
        <v>2</v>
      </c>
      <c r="P20" s="4"/>
    </row>
    <row r="21" spans="1:16" x14ac:dyDescent="0.2">
      <c r="A21" s="4">
        <v>50</v>
      </c>
      <c r="B21" s="4">
        <v>0</v>
      </c>
      <c r="C21" s="4">
        <v>0</v>
      </c>
      <c r="D21" s="4">
        <v>1</v>
      </c>
      <c r="E21" s="4">
        <v>202</v>
      </c>
      <c r="F21" s="4">
        <v>3626728.98</v>
      </c>
      <c r="G21" s="4" t="s">
        <v>92</v>
      </c>
      <c r="H21" s="4" t="s">
        <v>93</v>
      </c>
      <c r="I21" s="4"/>
      <c r="J21" s="4"/>
      <c r="K21" s="4">
        <v>202</v>
      </c>
      <c r="L21" s="4">
        <v>2</v>
      </c>
      <c r="M21" s="4">
        <v>3</v>
      </c>
      <c r="N21" s="4" t="s">
        <v>3</v>
      </c>
      <c r="O21" s="4">
        <v>2</v>
      </c>
      <c r="P21" s="4"/>
    </row>
    <row r="22" spans="1:16" x14ac:dyDescent="0.2">
      <c r="A22" s="4">
        <v>50</v>
      </c>
      <c r="B22" s="4">
        <v>0</v>
      </c>
      <c r="C22" s="4">
        <v>0</v>
      </c>
      <c r="D22" s="4">
        <v>1</v>
      </c>
      <c r="E22" s="4">
        <v>222</v>
      </c>
      <c r="F22" s="4">
        <v>0</v>
      </c>
      <c r="G22" s="4" t="s">
        <v>94</v>
      </c>
      <c r="H22" s="4" t="s">
        <v>95</v>
      </c>
      <c r="I22" s="4"/>
      <c r="J22" s="4"/>
      <c r="K22" s="4">
        <v>222</v>
      </c>
      <c r="L22" s="4">
        <v>3</v>
      </c>
      <c r="M22" s="4">
        <v>3</v>
      </c>
      <c r="N22" s="4" t="s">
        <v>3</v>
      </c>
      <c r="O22" s="4">
        <v>2</v>
      </c>
      <c r="P22" s="4"/>
    </row>
    <row r="23" spans="1:16" x14ac:dyDescent="0.2">
      <c r="A23" s="4">
        <v>50</v>
      </c>
      <c r="B23" s="4">
        <v>0</v>
      </c>
      <c r="C23" s="4">
        <v>0</v>
      </c>
      <c r="D23" s="4">
        <v>1</v>
      </c>
      <c r="E23" s="4">
        <v>225</v>
      </c>
      <c r="F23" s="4">
        <v>3626728.98</v>
      </c>
      <c r="G23" s="4" t="s">
        <v>96</v>
      </c>
      <c r="H23" s="4" t="s">
        <v>97</v>
      </c>
      <c r="I23" s="4"/>
      <c r="J23" s="4"/>
      <c r="K23" s="4">
        <v>225</v>
      </c>
      <c r="L23" s="4">
        <v>4</v>
      </c>
      <c r="M23" s="4">
        <v>3</v>
      </c>
      <c r="N23" s="4" t="s">
        <v>3</v>
      </c>
      <c r="O23" s="4">
        <v>2</v>
      </c>
      <c r="P23" s="4"/>
    </row>
    <row r="24" spans="1:16" x14ac:dyDescent="0.2">
      <c r="A24" s="4">
        <v>50</v>
      </c>
      <c r="B24" s="4">
        <v>0</v>
      </c>
      <c r="C24" s="4">
        <v>0</v>
      </c>
      <c r="D24" s="4">
        <v>1</v>
      </c>
      <c r="E24" s="4">
        <v>226</v>
      </c>
      <c r="F24" s="4">
        <v>3626728.98</v>
      </c>
      <c r="G24" s="4" t="s">
        <v>98</v>
      </c>
      <c r="H24" s="4" t="s">
        <v>99</v>
      </c>
      <c r="I24" s="4"/>
      <c r="J24" s="4"/>
      <c r="K24" s="4">
        <v>226</v>
      </c>
      <c r="L24" s="4">
        <v>5</v>
      </c>
      <c r="M24" s="4">
        <v>3</v>
      </c>
      <c r="N24" s="4" t="s">
        <v>3</v>
      </c>
      <c r="O24" s="4">
        <v>2</v>
      </c>
      <c r="P24" s="4"/>
    </row>
    <row r="25" spans="1:16" x14ac:dyDescent="0.2">
      <c r="A25" s="4">
        <v>50</v>
      </c>
      <c r="B25" s="4">
        <v>0</v>
      </c>
      <c r="C25" s="4">
        <v>0</v>
      </c>
      <c r="D25" s="4">
        <v>1</v>
      </c>
      <c r="E25" s="4">
        <v>227</v>
      </c>
      <c r="F25" s="4">
        <v>0</v>
      </c>
      <c r="G25" s="4" t="s">
        <v>100</v>
      </c>
      <c r="H25" s="4" t="s">
        <v>101</v>
      </c>
      <c r="I25" s="4"/>
      <c r="J25" s="4"/>
      <c r="K25" s="4">
        <v>227</v>
      </c>
      <c r="L25" s="4">
        <v>6</v>
      </c>
      <c r="M25" s="4">
        <v>3</v>
      </c>
      <c r="N25" s="4" t="s">
        <v>3</v>
      </c>
      <c r="O25" s="4">
        <v>2</v>
      </c>
      <c r="P25" s="4"/>
    </row>
    <row r="26" spans="1:16" x14ac:dyDescent="0.2">
      <c r="A26" s="4">
        <v>50</v>
      </c>
      <c r="B26" s="4">
        <v>0</v>
      </c>
      <c r="C26" s="4">
        <v>0</v>
      </c>
      <c r="D26" s="4">
        <v>1</v>
      </c>
      <c r="E26" s="4">
        <v>228</v>
      </c>
      <c r="F26" s="4">
        <v>3626728.98</v>
      </c>
      <c r="G26" s="4" t="s">
        <v>102</v>
      </c>
      <c r="H26" s="4" t="s">
        <v>103</v>
      </c>
      <c r="I26" s="4"/>
      <c r="J26" s="4"/>
      <c r="K26" s="4">
        <v>228</v>
      </c>
      <c r="L26" s="4">
        <v>7</v>
      </c>
      <c r="M26" s="4">
        <v>3</v>
      </c>
      <c r="N26" s="4" t="s">
        <v>3</v>
      </c>
      <c r="O26" s="4">
        <v>2</v>
      </c>
      <c r="P26" s="4"/>
    </row>
    <row r="27" spans="1:16" x14ac:dyDescent="0.2">
      <c r="A27" s="4">
        <v>50</v>
      </c>
      <c r="B27" s="4">
        <v>0</v>
      </c>
      <c r="C27" s="4">
        <v>0</v>
      </c>
      <c r="D27" s="4">
        <v>1</v>
      </c>
      <c r="E27" s="4">
        <v>216</v>
      </c>
      <c r="F27" s="4">
        <v>0</v>
      </c>
      <c r="G27" s="4" t="s">
        <v>104</v>
      </c>
      <c r="H27" s="4" t="s">
        <v>105</v>
      </c>
      <c r="I27" s="4"/>
      <c r="J27" s="4"/>
      <c r="K27" s="4">
        <v>216</v>
      </c>
      <c r="L27" s="4">
        <v>8</v>
      </c>
      <c r="M27" s="4">
        <v>3</v>
      </c>
      <c r="N27" s="4" t="s">
        <v>3</v>
      </c>
      <c r="O27" s="4">
        <v>2</v>
      </c>
      <c r="P27" s="4"/>
    </row>
    <row r="28" spans="1:16" x14ac:dyDescent="0.2">
      <c r="A28" s="4">
        <v>50</v>
      </c>
      <c r="B28" s="4">
        <v>0</v>
      </c>
      <c r="C28" s="4">
        <v>0</v>
      </c>
      <c r="D28" s="4">
        <v>1</v>
      </c>
      <c r="E28" s="4">
        <v>223</v>
      </c>
      <c r="F28" s="4">
        <v>0</v>
      </c>
      <c r="G28" s="4" t="s">
        <v>106</v>
      </c>
      <c r="H28" s="4" t="s">
        <v>107</v>
      </c>
      <c r="I28" s="4"/>
      <c r="J28" s="4"/>
      <c r="K28" s="4">
        <v>223</v>
      </c>
      <c r="L28" s="4">
        <v>9</v>
      </c>
      <c r="M28" s="4">
        <v>3</v>
      </c>
      <c r="N28" s="4" t="s">
        <v>3</v>
      </c>
      <c r="O28" s="4">
        <v>2</v>
      </c>
      <c r="P28" s="4"/>
    </row>
    <row r="29" spans="1:16" x14ac:dyDescent="0.2">
      <c r="A29" s="4">
        <v>50</v>
      </c>
      <c r="B29" s="4">
        <v>0</v>
      </c>
      <c r="C29" s="4">
        <v>0</v>
      </c>
      <c r="D29" s="4">
        <v>1</v>
      </c>
      <c r="E29" s="4">
        <v>229</v>
      </c>
      <c r="F29" s="4">
        <v>0</v>
      </c>
      <c r="G29" s="4" t="s">
        <v>108</v>
      </c>
      <c r="H29" s="4" t="s">
        <v>109</v>
      </c>
      <c r="I29" s="4"/>
      <c r="J29" s="4"/>
      <c r="K29" s="4">
        <v>229</v>
      </c>
      <c r="L29" s="4">
        <v>10</v>
      </c>
      <c r="M29" s="4">
        <v>3</v>
      </c>
      <c r="N29" s="4" t="s">
        <v>3</v>
      </c>
      <c r="O29" s="4">
        <v>2</v>
      </c>
      <c r="P29" s="4"/>
    </row>
    <row r="30" spans="1:16" x14ac:dyDescent="0.2">
      <c r="A30" s="4">
        <v>50</v>
      </c>
      <c r="B30" s="4">
        <v>0</v>
      </c>
      <c r="C30" s="4">
        <v>0</v>
      </c>
      <c r="D30" s="4">
        <v>1</v>
      </c>
      <c r="E30" s="4">
        <v>203</v>
      </c>
      <c r="F30" s="4">
        <v>3562517</v>
      </c>
      <c r="G30" s="4" t="s">
        <v>110</v>
      </c>
      <c r="H30" s="4" t="s">
        <v>111</v>
      </c>
      <c r="I30" s="4"/>
      <c r="J30" s="4"/>
      <c r="K30" s="4">
        <v>203</v>
      </c>
      <c r="L30" s="4">
        <v>11</v>
      </c>
      <c r="M30" s="4">
        <v>3</v>
      </c>
      <c r="N30" s="4" t="s">
        <v>3</v>
      </c>
      <c r="O30" s="4">
        <v>2</v>
      </c>
      <c r="P30" s="4"/>
    </row>
    <row r="31" spans="1:16" x14ac:dyDescent="0.2">
      <c r="A31" s="4">
        <v>50</v>
      </c>
      <c r="B31" s="4">
        <v>0</v>
      </c>
      <c r="C31" s="4">
        <v>0</v>
      </c>
      <c r="D31" s="4">
        <v>1</v>
      </c>
      <c r="E31" s="4">
        <v>231</v>
      </c>
      <c r="F31" s="4">
        <v>0</v>
      </c>
      <c r="G31" s="4" t="s">
        <v>112</v>
      </c>
      <c r="H31" s="4" t="s">
        <v>113</v>
      </c>
      <c r="I31" s="4"/>
      <c r="J31" s="4"/>
      <c r="K31" s="4">
        <v>231</v>
      </c>
      <c r="L31" s="4">
        <v>12</v>
      </c>
      <c r="M31" s="4">
        <v>3</v>
      </c>
      <c r="N31" s="4" t="s">
        <v>3</v>
      </c>
      <c r="O31" s="4">
        <v>2</v>
      </c>
      <c r="P31" s="4"/>
    </row>
    <row r="32" spans="1:16" x14ac:dyDescent="0.2">
      <c r="A32" s="4">
        <v>50</v>
      </c>
      <c r="B32" s="4">
        <v>0</v>
      </c>
      <c r="C32" s="4">
        <v>0</v>
      </c>
      <c r="D32" s="4">
        <v>1</v>
      </c>
      <c r="E32" s="4">
        <v>204</v>
      </c>
      <c r="F32" s="4">
        <v>410220.03</v>
      </c>
      <c r="G32" s="4" t="s">
        <v>114</v>
      </c>
      <c r="H32" s="4" t="s">
        <v>115</v>
      </c>
      <c r="I32" s="4"/>
      <c r="J32" s="4"/>
      <c r="K32" s="4">
        <v>204</v>
      </c>
      <c r="L32" s="4">
        <v>13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205</v>
      </c>
      <c r="F33" s="4">
        <v>343604.34</v>
      </c>
      <c r="G33" s="4" t="s">
        <v>116</v>
      </c>
      <c r="H33" s="4" t="s">
        <v>117</v>
      </c>
      <c r="I33" s="4"/>
      <c r="J33" s="4"/>
      <c r="K33" s="4">
        <v>205</v>
      </c>
      <c r="L33" s="4">
        <v>14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232</v>
      </c>
      <c r="F34" s="4">
        <v>0</v>
      </c>
      <c r="G34" s="4" t="s">
        <v>118</v>
      </c>
      <c r="H34" s="4" t="s">
        <v>119</v>
      </c>
      <c r="I34" s="4"/>
      <c r="J34" s="4"/>
      <c r="K34" s="4">
        <v>232</v>
      </c>
      <c r="L34" s="4">
        <v>15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214</v>
      </c>
      <c r="F35" s="4">
        <v>7591866.5700000003</v>
      </c>
      <c r="G35" s="4" t="s">
        <v>120</v>
      </c>
      <c r="H35" s="4" t="s">
        <v>121</v>
      </c>
      <c r="I35" s="4"/>
      <c r="J35" s="4"/>
      <c r="K35" s="4">
        <v>214</v>
      </c>
      <c r="L35" s="4">
        <v>16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215</v>
      </c>
      <c r="F36" s="4">
        <v>1151065.25</v>
      </c>
      <c r="G36" s="4" t="s">
        <v>122</v>
      </c>
      <c r="H36" s="4" t="s">
        <v>123</v>
      </c>
      <c r="I36" s="4"/>
      <c r="J36" s="4"/>
      <c r="K36" s="4">
        <v>215</v>
      </c>
      <c r="L36" s="4">
        <v>17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217</v>
      </c>
      <c r="F37" s="4">
        <v>0</v>
      </c>
      <c r="G37" s="4" t="s">
        <v>124</v>
      </c>
      <c r="H37" s="4" t="s">
        <v>125</v>
      </c>
      <c r="I37" s="4"/>
      <c r="J37" s="4"/>
      <c r="K37" s="4">
        <v>217</v>
      </c>
      <c r="L37" s="4">
        <v>18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230</v>
      </c>
      <c r="F38" s="4">
        <v>0</v>
      </c>
      <c r="G38" s="4" t="s">
        <v>126</v>
      </c>
      <c r="H38" s="4" t="s">
        <v>127</v>
      </c>
      <c r="I38" s="4"/>
      <c r="J38" s="4"/>
      <c r="K38" s="4">
        <v>230</v>
      </c>
      <c r="L38" s="4">
        <v>19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206</v>
      </c>
      <c r="F39" s="4">
        <v>0</v>
      </c>
      <c r="G39" s="4" t="s">
        <v>128</v>
      </c>
      <c r="H39" s="4" t="s">
        <v>129</v>
      </c>
      <c r="I39" s="4"/>
      <c r="J39" s="4"/>
      <c r="K39" s="4">
        <v>206</v>
      </c>
      <c r="L39" s="4">
        <v>20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207</v>
      </c>
      <c r="F40" s="4">
        <v>748.80027990515998</v>
      </c>
      <c r="G40" s="4" t="s">
        <v>130</v>
      </c>
      <c r="H40" s="4" t="s">
        <v>131</v>
      </c>
      <c r="I40" s="4"/>
      <c r="J40" s="4"/>
      <c r="K40" s="4">
        <v>207</v>
      </c>
      <c r="L40" s="4">
        <v>21</v>
      </c>
      <c r="M40" s="4">
        <v>3</v>
      </c>
      <c r="N40" s="4" t="s">
        <v>3</v>
      </c>
      <c r="O40" s="4">
        <v>-1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208</v>
      </c>
      <c r="F41" s="4">
        <v>0</v>
      </c>
      <c r="G41" s="4" t="s">
        <v>132</v>
      </c>
      <c r="H41" s="4" t="s">
        <v>133</v>
      </c>
      <c r="I41" s="4"/>
      <c r="J41" s="4"/>
      <c r="K41" s="4">
        <v>208</v>
      </c>
      <c r="L41" s="4">
        <v>22</v>
      </c>
      <c r="M41" s="4">
        <v>3</v>
      </c>
      <c r="N41" s="4" t="s">
        <v>3</v>
      </c>
      <c r="O41" s="4">
        <v>-1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209</v>
      </c>
      <c r="F42" s="4">
        <v>0</v>
      </c>
      <c r="G42" s="4" t="s">
        <v>134</v>
      </c>
      <c r="H42" s="4" t="s">
        <v>135</v>
      </c>
      <c r="I42" s="4"/>
      <c r="J42" s="4"/>
      <c r="K42" s="4">
        <v>209</v>
      </c>
      <c r="L42" s="4">
        <v>23</v>
      </c>
      <c r="M42" s="4">
        <v>3</v>
      </c>
      <c r="N42" s="4" t="s">
        <v>3</v>
      </c>
      <c r="O42" s="4">
        <v>2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233</v>
      </c>
      <c r="F43" s="4">
        <v>0</v>
      </c>
      <c r="G43" s="4" t="s">
        <v>136</v>
      </c>
      <c r="H43" s="4" t="s">
        <v>137</v>
      </c>
      <c r="I43" s="4"/>
      <c r="J43" s="4"/>
      <c r="K43" s="4">
        <v>233</v>
      </c>
      <c r="L43" s="4">
        <v>24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210</v>
      </c>
      <c r="F44" s="4">
        <v>376229.32</v>
      </c>
      <c r="G44" s="4" t="s">
        <v>138</v>
      </c>
      <c r="H44" s="4" t="s">
        <v>139</v>
      </c>
      <c r="I44" s="4"/>
      <c r="J44" s="4"/>
      <c r="K44" s="4">
        <v>210</v>
      </c>
      <c r="L44" s="4">
        <v>25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211</v>
      </c>
      <c r="F45" s="4">
        <v>177500.14</v>
      </c>
      <c r="G45" s="4" t="s">
        <v>140</v>
      </c>
      <c r="H45" s="4" t="s">
        <v>141</v>
      </c>
      <c r="I45" s="4"/>
      <c r="J45" s="4"/>
      <c r="K45" s="4">
        <v>211</v>
      </c>
      <c r="L45" s="4">
        <v>26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224</v>
      </c>
      <c r="F46" s="4">
        <v>8742931.8200000003</v>
      </c>
      <c r="G46" s="4" t="s">
        <v>142</v>
      </c>
      <c r="H46" s="4" t="s">
        <v>143</v>
      </c>
      <c r="I46" s="4"/>
      <c r="J46" s="4"/>
      <c r="K46" s="4">
        <v>224</v>
      </c>
      <c r="L46" s="4">
        <v>27</v>
      </c>
      <c r="M46" s="4">
        <v>3</v>
      </c>
      <c r="N46" s="4" t="s">
        <v>3</v>
      </c>
      <c r="O46" s="4">
        <v>2</v>
      </c>
      <c r="P46" s="4"/>
    </row>
    <row r="47" spans="1:16" x14ac:dyDescent="0.2">
      <c r="A47" s="4">
        <v>50</v>
      </c>
      <c r="B47" s="4">
        <v>1</v>
      </c>
      <c r="C47" s="4">
        <v>0</v>
      </c>
      <c r="D47" s="4">
        <v>2</v>
      </c>
      <c r="E47" s="4">
        <v>0</v>
      </c>
      <c r="F47" s="4">
        <v>8742931.8200000003</v>
      </c>
      <c r="G47" s="4" t="s">
        <v>173</v>
      </c>
      <c r="H47" s="4" t="s">
        <v>174</v>
      </c>
      <c r="I47" s="4"/>
      <c r="J47" s="4"/>
      <c r="K47" s="4">
        <v>212</v>
      </c>
      <c r="L47" s="4">
        <v>28</v>
      </c>
      <c r="M47" s="4">
        <v>0</v>
      </c>
      <c r="N47" s="4" t="s">
        <v>3</v>
      </c>
      <c r="O47" s="4">
        <v>2</v>
      </c>
      <c r="P47" s="4"/>
    </row>
    <row r="49" spans="1:50" x14ac:dyDescent="0.2">
      <c r="A49">
        <v>-1</v>
      </c>
    </row>
    <row r="52" spans="1:50" x14ac:dyDescent="0.2">
      <c r="A52" s="3">
        <v>75</v>
      </c>
      <c r="B52" s="3" t="s">
        <v>177</v>
      </c>
      <c r="C52" s="3">
        <v>2024</v>
      </c>
      <c r="D52" s="3">
        <v>0</v>
      </c>
      <c r="E52" s="3">
        <v>4</v>
      </c>
      <c r="F52" s="3"/>
      <c r="G52" s="3">
        <v>0</v>
      </c>
      <c r="H52" s="3">
        <v>2</v>
      </c>
      <c r="I52" s="3">
        <v>1</v>
      </c>
      <c r="J52" s="3">
        <v>1</v>
      </c>
      <c r="K52" s="3">
        <v>95</v>
      </c>
      <c r="L52" s="3">
        <v>65</v>
      </c>
      <c r="M52" s="3">
        <v>0</v>
      </c>
      <c r="N52" s="3">
        <v>57737055</v>
      </c>
      <c r="O52" s="3">
        <v>1</v>
      </c>
    </row>
    <row r="53" spans="1:50" x14ac:dyDescent="0.2">
      <c r="A53" s="5">
        <v>1</v>
      </c>
      <c r="B53" s="5" t="s">
        <v>178</v>
      </c>
      <c r="C53" s="5" t="s">
        <v>179</v>
      </c>
      <c r="D53" s="5">
        <v>2024</v>
      </c>
      <c r="E53" s="5">
        <v>7</v>
      </c>
      <c r="F53" s="5">
        <v>1</v>
      </c>
      <c r="G53" s="5">
        <v>1</v>
      </c>
      <c r="H53" s="5">
        <v>0</v>
      </c>
      <c r="I53" s="5">
        <v>2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180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57737056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EBC7-689F-4DF9-BDC0-2EC8B09A9879}">
  <dimension ref="A1:DO37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ROW(Source!A32)</f>
        <v>32</v>
      </c>
      <c r="B1">
        <v>57737055</v>
      </c>
      <c r="C1">
        <v>57737291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182</v>
      </c>
      <c r="J1" t="s">
        <v>3</v>
      </c>
      <c r="K1" t="s">
        <v>183</v>
      </c>
      <c r="L1">
        <v>1191</v>
      </c>
      <c r="N1">
        <v>1013</v>
      </c>
      <c r="O1" t="s">
        <v>184</v>
      </c>
      <c r="P1" t="s">
        <v>184</v>
      </c>
      <c r="Q1">
        <v>1</v>
      </c>
      <c r="W1">
        <v>0</v>
      </c>
      <c r="X1">
        <v>476480486</v>
      </c>
      <c r="Y1">
        <f t="shared" ref="Y1:Y10" si="0">(AT1*1.05)</f>
        <v>202.33500000000001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192.7</v>
      </c>
      <c r="AU1" t="s">
        <v>24</v>
      </c>
      <c r="AV1">
        <v>1</v>
      </c>
      <c r="AW1">
        <v>2</v>
      </c>
      <c r="AX1">
        <v>57737293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ROUND(AT1*Source!I32*AH1*AL1,2)</f>
        <v>0</v>
      </c>
      <c r="CV1">
        <f>ROUND(Y1*Source!I32,9)</f>
        <v>3.8757269249999999</v>
      </c>
      <c r="CW1">
        <v>0</v>
      </c>
      <c r="CX1">
        <f>ROUND(Y1*Source!I32,9)</f>
        <v>3.8757269249999999</v>
      </c>
      <c r="CY1">
        <f>AD1</f>
        <v>0</v>
      </c>
      <c r="CZ1">
        <f>AH1</f>
        <v>0</v>
      </c>
      <c r="DA1">
        <f>AL1</f>
        <v>1</v>
      </c>
      <c r="DB1">
        <f t="shared" ref="DB1:DB10" si="1">ROUND((ROUND(AT1*CZ1,2)*1.05),6)</f>
        <v>0</v>
      </c>
      <c r="DC1">
        <f t="shared" ref="DC1:DC10" si="2">ROUND((ROUND(AT1*AG1,2)*1.05),6)</f>
        <v>0</v>
      </c>
      <c r="DD1" t="s">
        <v>3</v>
      </c>
      <c r="DE1" t="s">
        <v>3</v>
      </c>
      <c r="DF1">
        <f t="shared" ref="DF1:DF10" si="3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37" si="4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ROW(Source!A33)</f>
        <v>33</v>
      </c>
      <c r="B2">
        <v>57737055</v>
      </c>
      <c r="C2">
        <v>57737294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182</v>
      </c>
      <c r="J2" t="s">
        <v>3</v>
      </c>
      <c r="K2" t="s">
        <v>183</v>
      </c>
      <c r="L2">
        <v>1191</v>
      </c>
      <c r="N2">
        <v>1013</v>
      </c>
      <c r="O2" t="s">
        <v>184</v>
      </c>
      <c r="P2" t="s">
        <v>184</v>
      </c>
      <c r="Q2">
        <v>1</v>
      </c>
      <c r="W2">
        <v>0</v>
      </c>
      <c r="X2">
        <v>476480486</v>
      </c>
      <c r="Y2">
        <f t="shared" si="0"/>
        <v>112.39200000000001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107.04</v>
      </c>
      <c r="AU2" t="s">
        <v>24</v>
      </c>
      <c r="AV2">
        <v>1</v>
      </c>
      <c r="AW2">
        <v>2</v>
      </c>
      <c r="AX2">
        <v>57737296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ROUND(AT2*Source!I33*AH2*AL2,2)</f>
        <v>0</v>
      </c>
      <c r="CV2">
        <f>ROUND(Y2*Source!I33,9)</f>
        <v>5.0981011199999999</v>
      </c>
      <c r="CW2">
        <v>0</v>
      </c>
      <c r="CX2">
        <f>ROUND(Y2*Source!I33,9)</f>
        <v>5.0981011199999999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>ROUND(ROUND(AF2,2)*CX2,2)</f>
        <v>0</v>
      </c>
      <c r="DH2">
        <f>ROUND(ROUND(AG2,2)*CX2,2)</f>
        <v>0</v>
      </c>
      <c r="DI2">
        <f t="shared" si="4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ROW(Source!A34)</f>
        <v>34</v>
      </c>
      <c r="B3">
        <v>57737055</v>
      </c>
      <c r="C3">
        <v>57737297</v>
      </c>
      <c r="D3">
        <v>47634407</v>
      </c>
      <c r="E3">
        <v>27786564</v>
      </c>
      <c r="F3">
        <v>1</v>
      </c>
      <c r="G3">
        <v>27786564</v>
      </c>
      <c r="H3">
        <v>1</v>
      </c>
      <c r="I3" t="s">
        <v>182</v>
      </c>
      <c r="J3" t="s">
        <v>3</v>
      </c>
      <c r="K3" t="s">
        <v>183</v>
      </c>
      <c r="L3">
        <v>1191</v>
      </c>
      <c r="N3">
        <v>1013</v>
      </c>
      <c r="O3" t="s">
        <v>184</v>
      </c>
      <c r="P3" t="s">
        <v>184</v>
      </c>
      <c r="Q3">
        <v>1</v>
      </c>
      <c r="W3">
        <v>0</v>
      </c>
      <c r="X3">
        <v>476480486</v>
      </c>
      <c r="Y3">
        <f t="shared" si="0"/>
        <v>2.1840000000000002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2.08</v>
      </c>
      <c r="AU3" t="s">
        <v>24</v>
      </c>
      <c r="AV3">
        <v>1</v>
      </c>
      <c r="AW3">
        <v>2</v>
      </c>
      <c r="AX3">
        <v>57737311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ROUND(AT3*Source!I34*AH3*AL3,2)</f>
        <v>0</v>
      </c>
      <c r="CV3">
        <f>ROUND(Y3*Source!I34,9)</f>
        <v>406.66079999999999</v>
      </c>
      <c r="CW3">
        <v>0</v>
      </c>
      <c r="CX3">
        <f>ROUND(Y3*Source!I34,9)</f>
        <v>406.66079999999999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>ROUND(ROUND(AF3,2)*CX3,2)</f>
        <v>0</v>
      </c>
      <c r="DH3">
        <f>ROUND(ROUND(AG3,2)*CX3,2)</f>
        <v>0</v>
      </c>
      <c r="DI3">
        <f t="shared" si="4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ROW(Source!A34)</f>
        <v>34</v>
      </c>
      <c r="B4">
        <v>57737055</v>
      </c>
      <c r="C4">
        <v>57737297</v>
      </c>
      <c r="D4">
        <v>47766829</v>
      </c>
      <c r="E4">
        <v>1</v>
      </c>
      <c r="F4">
        <v>1</v>
      </c>
      <c r="G4">
        <v>27786564</v>
      </c>
      <c r="H4">
        <v>2</v>
      </c>
      <c r="I4" t="s">
        <v>185</v>
      </c>
      <c r="J4" t="s">
        <v>186</v>
      </c>
      <c r="K4" t="s">
        <v>187</v>
      </c>
      <c r="L4">
        <v>1368</v>
      </c>
      <c r="N4">
        <v>1011</v>
      </c>
      <c r="O4" t="s">
        <v>188</v>
      </c>
      <c r="P4" t="s">
        <v>188</v>
      </c>
      <c r="Q4">
        <v>1</v>
      </c>
      <c r="W4">
        <v>0</v>
      </c>
      <c r="X4">
        <v>476320882</v>
      </c>
      <c r="Y4">
        <f t="shared" si="0"/>
        <v>0.126</v>
      </c>
      <c r="AA4">
        <v>0</v>
      </c>
      <c r="AB4">
        <v>231.57</v>
      </c>
      <c r="AC4">
        <v>121.76</v>
      </c>
      <c r="AD4">
        <v>0</v>
      </c>
      <c r="AE4">
        <v>0</v>
      </c>
      <c r="AF4">
        <v>12.98</v>
      </c>
      <c r="AG4">
        <v>3.37</v>
      </c>
      <c r="AH4">
        <v>0</v>
      </c>
      <c r="AI4">
        <v>1</v>
      </c>
      <c r="AJ4">
        <v>17.04</v>
      </c>
      <c r="AK4">
        <v>34.51</v>
      </c>
      <c r="AL4">
        <v>1</v>
      </c>
      <c r="AM4">
        <v>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0.12</v>
      </c>
      <c r="AU4" t="s">
        <v>24</v>
      </c>
      <c r="AV4">
        <v>0</v>
      </c>
      <c r="AW4">
        <v>2</v>
      </c>
      <c r="AX4">
        <v>57737312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ROUND(Y4*Source!I34*DO4,9)</f>
        <v>0</v>
      </c>
      <c r="CX4">
        <f>ROUND(Y4*Source!I34,9)</f>
        <v>23.461200000000002</v>
      </c>
      <c r="CY4">
        <f t="shared" ref="CY4:CY10" si="5">AB4</f>
        <v>231.57</v>
      </c>
      <c r="CZ4">
        <f t="shared" ref="CZ4:CZ10" si="6">AF4</f>
        <v>12.98</v>
      </c>
      <c r="DA4">
        <f t="shared" ref="DA4:DA10" si="7">AJ4</f>
        <v>17.04</v>
      </c>
      <c r="DB4">
        <f t="shared" si="1"/>
        <v>1.6379999999999999</v>
      </c>
      <c r="DC4">
        <f t="shared" si="2"/>
        <v>0.42</v>
      </c>
      <c r="DD4" t="s">
        <v>3</v>
      </c>
      <c r="DE4" t="s">
        <v>3</v>
      </c>
      <c r="DF4">
        <f t="shared" si="3"/>
        <v>0</v>
      </c>
      <c r="DG4">
        <f t="shared" ref="DG4:DG10" si="8">ROUND(ROUND(AF4*AJ4,2)*CX4,2)</f>
        <v>5189.1499999999996</v>
      </c>
      <c r="DH4">
        <f t="shared" ref="DH4:DH10" si="9">ROUND(ROUND(AG4*AK4,2)*CX4,2)</f>
        <v>2728.54</v>
      </c>
      <c r="DI4">
        <f t="shared" si="4"/>
        <v>0</v>
      </c>
      <c r="DJ4">
        <f t="shared" ref="DJ4:DJ10" si="10">DG4</f>
        <v>5189.1499999999996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ROW(Source!A34)</f>
        <v>34</v>
      </c>
      <c r="B5">
        <v>57737055</v>
      </c>
      <c r="C5">
        <v>57737297</v>
      </c>
      <c r="D5">
        <v>47767072</v>
      </c>
      <c r="E5">
        <v>1</v>
      </c>
      <c r="F5">
        <v>1</v>
      </c>
      <c r="G5">
        <v>27786564</v>
      </c>
      <c r="H5">
        <v>2</v>
      </c>
      <c r="I5" t="s">
        <v>189</v>
      </c>
      <c r="J5" t="s">
        <v>190</v>
      </c>
      <c r="K5" t="s">
        <v>191</v>
      </c>
      <c r="L5">
        <v>1368</v>
      </c>
      <c r="N5">
        <v>1011</v>
      </c>
      <c r="O5" t="s">
        <v>188</v>
      </c>
      <c r="P5" t="s">
        <v>188</v>
      </c>
      <c r="Q5">
        <v>1</v>
      </c>
      <c r="W5">
        <v>0</v>
      </c>
      <c r="X5">
        <v>-491204050</v>
      </c>
      <c r="Y5">
        <f t="shared" si="0"/>
        <v>0.92400000000000004</v>
      </c>
      <c r="AA5">
        <v>0</v>
      </c>
      <c r="AB5">
        <v>18064.39</v>
      </c>
      <c r="AC5">
        <v>1406.98</v>
      </c>
      <c r="AD5">
        <v>0</v>
      </c>
      <c r="AE5">
        <v>0</v>
      </c>
      <c r="AF5">
        <v>1843.32</v>
      </c>
      <c r="AG5">
        <v>38.94</v>
      </c>
      <c r="AH5">
        <v>0</v>
      </c>
      <c r="AI5">
        <v>1</v>
      </c>
      <c r="AJ5">
        <v>9.36</v>
      </c>
      <c r="AK5">
        <v>34.51</v>
      </c>
      <c r="AL5">
        <v>1</v>
      </c>
      <c r="AM5">
        <v>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0.88</v>
      </c>
      <c r="AU5" t="s">
        <v>24</v>
      </c>
      <c r="AV5">
        <v>0</v>
      </c>
      <c r="AW5">
        <v>2</v>
      </c>
      <c r="AX5">
        <v>57737313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ROUND(Y5*Source!I34*DO5,9)</f>
        <v>0</v>
      </c>
      <c r="CX5">
        <f>ROUND(Y5*Source!I34,9)</f>
        <v>172.0488</v>
      </c>
      <c r="CY5">
        <f t="shared" si="5"/>
        <v>18064.39</v>
      </c>
      <c r="CZ5">
        <f t="shared" si="6"/>
        <v>1843.32</v>
      </c>
      <c r="DA5">
        <f t="shared" si="7"/>
        <v>9.36</v>
      </c>
      <c r="DB5">
        <f t="shared" si="1"/>
        <v>1703.2260000000001</v>
      </c>
      <c r="DC5">
        <f t="shared" si="2"/>
        <v>35.983499999999999</v>
      </c>
      <c r="DD5" t="s">
        <v>3</v>
      </c>
      <c r="DE5" t="s">
        <v>3</v>
      </c>
      <c r="DF5">
        <f t="shared" si="3"/>
        <v>0</v>
      </c>
      <c r="DG5">
        <f t="shared" si="8"/>
        <v>2968440.53</v>
      </c>
      <c r="DH5">
        <f t="shared" si="9"/>
        <v>231202.62</v>
      </c>
      <c r="DI5">
        <f t="shared" si="4"/>
        <v>0</v>
      </c>
      <c r="DJ5">
        <f t="shared" si="10"/>
        <v>2968440.53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ROW(Source!A34)</f>
        <v>34</v>
      </c>
      <c r="B6">
        <v>57737055</v>
      </c>
      <c r="C6">
        <v>57737297</v>
      </c>
      <c r="D6">
        <v>47766980</v>
      </c>
      <c r="E6">
        <v>1</v>
      </c>
      <c r="F6">
        <v>1</v>
      </c>
      <c r="G6">
        <v>27786564</v>
      </c>
      <c r="H6">
        <v>2</v>
      </c>
      <c r="I6" t="s">
        <v>192</v>
      </c>
      <c r="J6" t="s">
        <v>193</v>
      </c>
      <c r="K6" t="s">
        <v>194</v>
      </c>
      <c r="L6">
        <v>1368</v>
      </c>
      <c r="N6">
        <v>1011</v>
      </c>
      <c r="O6" t="s">
        <v>188</v>
      </c>
      <c r="P6" t="s">
        <v>188</v>
      </c>
      <c r="Q6">
        <v>1</v>
      </c>
      <c r="W6">
        <v>0</v>
      </c>
      <c r="X6">
        <v>1811835874</v>
      </c>
      <c r="Y6">
        <f t="shared" si="0"/>
        <v>0.11550000000000001</v>
      </c>
      <c r="AA6">
        <v>0</v>
      </c>
      <c r="AB6">
        <v>2140.69</v>
      </c>
      <c r="AC6">
        <v>525.36</v>
      </c>
      <c r="AD6">
        <v>0</v>
      </c>
      <c r="AE6">
        <v>0</v>
      </c>
      <c r="AF6">
        <v>181.58</v>
      </c>
      <c r="AG6">
        <v>14.54</v>
      </c>
      <c r="AH6">
        <v>0</v>
      </c>
      <c r="AI6">
        <v>1</v>
      </c>
      <c r="AJ6">
        <v>11.26</v>
      </c>
      <c r="AK6">
        <v>34.51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0.11</v>
      </c>
      <c r="AU6" t="s">
        <v>24</v>
      </c>
      <c r="AV6">
        <v>0</v>
      </c>
      <c r="AW6">
        <v>2</v>
      </c>
      <c r="AX6">
        <v>57737314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ROUND(Y6*Source!I34*DO6,9)</f>
        <v>0</v>
      </c>
      <c r="CX6">
        <f>ROUND(Y6*Source!I34,9)</f>
        <v>21.5061</v>
      </c>
      <c r="CY6">
        <f t="shared" si="5"/>
        <v>2140.69</v>
      </c>
      <c r="CZ6">
        <f t="shared" si="6"/>
        <v>181.58</v>
      </c>
      <c r="DA6">
        <f t="shared" si="7"/>
        <v>11.26</v>
      </c>
      <c r="DB6">
        <f t="shared" si="1"/>
        <v>20.968499999999999</v>
      </c>
      <c r="DC6">
        <f t="shared" si="2"/>
        <v>1.68</v>
      </c>
      <c r="DD6" t="s">
        <v>3</v>
      </c>
      <c r="DE6" t="s">
        <v>3</v>
      </c>
      <c r="DF6">
        <f t="shared" si="3"/>
        <v>0</v>
      </c>
      <c r="DG6">
        <f t="shared" si="8"/>
        <v>43971.16</v>
      </c>
      <c r="DH6">
        <f t="shared" si="9"/>
        <v>10791.33</v>
      </c>
      <c r="DI6">
        <f t="shared" si="4"/>
        <v>0</v>
      </c>
      <c r="DJ6">
        <f t="shared" si="10"/>
        <v>43971.16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ROW(Source!A34)</f>
        <v>34</v>
      </c>
      <c r="B7">
        <v>57737055</v>
      </c>
      <c r="C7">
        <v>57737297</v>
      </c>
      <c r="D7">
        <v>47767117</v>
      </c>
      <c r="E7">
        <v>1</v>
      </c>
      <c r="F7">
        <v>1</v>
      </c>
      <c r="G7">
        <v>27786564</v>
      </c>
      <c r="H7">
        <v>2</v>
      </c>
      <c r="I7" t="s">
        <v>195</v>
      </c>
      <c r="J7" t="s">
        <v>196</v>
      </c>
      <c r="K7" t="s">
        <v>197</v>
      </c>
      <c r="L7">
        <v>1368</v>
      </c>
      <c r="N7">
        <v>1011</v>
      </c>
      <c r="O7" t="s">
        <v>188</v>
      </c>
      <c r="P7" t="s">
        <v>188</v>
      </c>
      <c r="Q7">
        <v>1</v>
      </c>
      <c r="W7">
        <v>0</v>
      </c>
      <c r="X7">
        <v>2005480434</v>
      </c>
      <c r="Y7">
        <f t="shared" si="0"/>
        <v>2.1000000000000001E-2</v>
      </c>
      <c r="AA7">
        <v>0</v>
      </c>
      <c r="AB7">
        <v>1529.33</v>
      </c>
      <c r="AC7">
        <v>455.99</v>
      </c>
      <c r="AD7">
        <v>0</v>
      </c>
      <c r="AE7">
        <v>0</v>
      </c>
      <c r="AF7">
        <v>125.38</v>
      </c>
      <c r="AG7">
        <v>12.62</v>
      </c>
      <c r="AH7">
        <v>0</v>
      </c>
      <c r="AI7">
        <v>1</v>
      </c>
      <c r="AJ7">
        <v>11.65</v>
      </c>
      <c r="AK7">
        <v>34.51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0.02</v>
      </c>
      <c r="AU7" t="s">
        <v>24</v>
      </c>
      <c r="AV7">
        <v>0</v>
      </c>
      <c r="AW7">
        <v>2</v>
      </c>
      <c r="AX7">
        <v>57737315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ROUND(Y7*Source!I34*DO7,9)</f>
        <v>0</v>
      </c>
      <c r="CX7">
        <f>ROUND(Y7*Source!I34,9)</f>
        <v>3.9102000000000001</v>
      </c>
      <c r="CY7">
        <f t="shared" si="5"/>
        <v>1529.33</v>
      </c>
      <c r="CZ7">
        <f t="shared" si="6"/>
        <v>125.38</v>
      </c>
      <c r="DA7">
        <f t="shared" si="7"/>
        <v>11.65</v>
      </c>
      <c r="DB7">
        <f t="shared" si="1"/>
        <v>2.6355</v>
      </c>
      <c r="DC7">
        <f t="shared" si="2"/>
        <v>0.26250000000000001</v>
      </c>
      <c r="DD7" t="s">
        <v>3</v>
      </c>
      <c r="DE7" t="s">
        <v>3</v>
      </c>
      <c r="DF7">
        <f t="shared" si="3"/>
        <v>0</v>
      </c>
      <c r="DG7">
        <f t="shared" si="8"/>
        <v>5711.55</v>
      </c>
      <c r="DH7">
        <f t="shared" si="9"/>
        <v>1702.97</v>
      </c>
      <c r="DI7">
        <f t="shared" si="4"/>
        <v>0</v>
      </c>
      <c r="DJ7">
        <f t="shared" si="10"/>
        <v>5711.55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ROW(Source!A34)</f>
        <v>34</v>
      </c>
      <c r="B8">
        <v>57737055</v>
      </c>
      <c r="C8">
        <v>57737297</v>
      </c>
      <c r="D8">
        <v>47766471</v>
      </c>
      <c r="E8">
        <v>1</v>
      </c>
      <c r="F8">
        <v>1</v>
      </c>
      <c r="G8">
        <v>27786564</v>
      </c>
      <c r="H8">
        <v>2</v>
      </c>
      <c r="I8" t="s">
        <v>198</v>
      </c>
      <c r="J8" t="s">
        <v>199</v>
      </c>
      <c r="K8" t="s">
        <v>200</v>
      </c>
      <c r="L8">
        <v>1368</v>
      </c>
      <c r="N8">
        <v>1011</v>
      </c>
      <c r="O8" t="s">
        <v>188</v>
      </c>
      <c r="P8" t="s">
        <v>188</v>
      </c>
      <c r="Q8">
        <v>1</v>
      </c>
      <c r="W8">
        <v>0</v>
      </c>
      <c r="X8">
        <v>-2113632580</v>
      </c>
      <c r="Y8">
        <f t="shared" si="0"/>
        <v>0.315</v>
      </c>
      <c r="AA8">
        <v>0</v>
      </c>
      <c r="AB8">
        <v>1754.44</v>
      </c>
      <c r="AC8">
        <v>525.36</v>
      </c>
      <c r="AD8">
        <v>0</v>
      </c>
      <c r="AE8">
        <v>0</v>
      </c>
      <c r="AF8">
        <v>139.99</v>
      </c>
      <c r="AG8">
        <v>14.54</v>
      </c>
      <c r="AH8">
        <v>0</v>
      </c>
      <c r="AI8">
        <v>1</v>
      </c>
      <c r="AJ8">
        <v>11.97</v>
      </c>
      <c r="AK8">
        <v>34.51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0.3</v>
      </c>
      <c r="AU8" t="s">
        <v>24</v>
      </c>
      <c r="AV8">
        <v>0</v>
      </c>
      <c r="AW8">
        <v>2</v>
      </c>
      <c r="AX8">
        <v>57737316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ROUND(Y8*Source!I34*DO8,9)</f>
        <v>0</v>
      </c>
      <c r="CX8">
        <f>ROUND(Y8*Source!I34,9)</f>
        <v>58.652999999999999</v>
      </c>
      <c r="CY8">
        <f t="shared" si="5"/>
        <v>1754.44</v>
      </c>
      <c r="CZ8">
        <f t="shared" si="6"/>
        <v>139.99</v>
      </c>
      <c r="DA8">
        <f t="shared" si="7"/>
        <v>11.97</v>
      </c>
      <c r="DB8">
        <f t="shared" si="1"/>
        <v>44.1</v>
      </c>
      <c r="DC8">
        <f t="shared" si="2"/>
        <v>4.5780000000000003</v>
      </c>
      <c r="DD8" t="s">
        <v>3</v>
      </c>
      <c r="DE8" t="s">
        <v>3</v>
      </c>
      <c r="DF8">
        <f t="shared" si="3"/>
        <v>0</v>
      </c>
      <c r="DG8">
        <f t="shared" si="8"/>
        <v>98283.66</v>
      </c>
      <c r="DH8">
        <f t="shared" si="9"/>
        <v>29430.9</v>
      </c>
      <c r="DI8">
        <f t="shared" si="4"/>
        <v>0</v>
      </c>
      <c r="DJ8">
        <f t="shared" si="10"/>
        <v>98283.66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ROW(Source!A34)</f>
        <v>34</v>
      </c>
      <c r="B9">
        <v>57737055</v>
      </c>
      <c r="C9">
        <v>57737297</v>
      </c>
      <c r="D9">
        <v>47766605</v>
      </c>
      <c r="E9">
        <v>1</v>
      </c>
      <c r="F9">
        <v>1</v>
      </c>
      <c r="G9">
        <v>27786564</v>
      </c>
      <c r="H9">
        <v>2</v>
      </c>
      <c r="I9" t="s">
        <v>201</v>
      </c>
      <c r="J9" t="s">
        <v>202</v>
      </c>
      <c r="K9" t="s">
        <v>203</v>
      </c>
      <c r="L9">
        <v>1368</v>
      </c>
      <c r="N9">
        <v>1011</v>
      </c>
      <c r="O9" t="s">
        <v>188</v>
      </c>
      <c r="P9" t="s">
        <v>188</v>
      </c>
      <c r="Q9">
        <v>1</v>
      </c>
      <c r="W9">
        <v>0</v>
      </c>
      <c r="X9">
        <v>1034498840</v>
      </c>
      <c r="Y9">
        <f t="shared" si="0"/>
        <v>0.126</v>
      </c>
      <c r="AA9">
        <v>0</v>
      </c>
      <c r="AB9">
        <v>1700.53</v>
      </c>
      <c r="AC9">
        <v>455.99</v>
      </c>
      <c r="AD9">
        <v>0</v>
      </c>
      <c r="AE9">
        <v>0</v>
      </c>
      <c r="AF9">
        <v>140.38</v>
      </c>
      <c r="AG9">
        <v>12.62</v>
      </c>
      <c r="AH9">
        <v>0</v>
      </c>
      <c r="AI9">
        <v>1</v>
      </c>
      <c r="AJ9">
        <v>11.57</v>
      </c>
      <c r="AK9">
        <v>34.51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0.12</v>
      </c>
      <c r="AU9" t="s">
        <v>24</v>
      </c>
      <c r="AV9">
        <v>0</v>
      </c>
      <c r="AW9">
        <v>2</v>
      </c>
      <c r="AX9">
        <v>57737317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ROUND(Y9*Source!I34*DO9,9)</f>
        <v>0</v>
      </c>
      <c r="CX9">
        <f>ROUND(Y9*Source!I34,9)</f>
        <v>23.461200000000002</v>
      </c>
      <c r="CY9">
        <f t="shared" si="5"/>
        <v>1700.53</v>
      </c>
      <c r="CZ9">
        <f t="shared" si="6"/>
        <v>140.38</v>
      </c>
      <c r="DA9">
        <f t="shared" si="7"/>
        <v>11.57</v>
      </c>
      <c r="DB9">
        <f t="shared" si="1"/>
        <v>17.692499999999999</v>
      </c>
      <c r="DC9">
        <f t="shared" si="2"/>
        <v>1.5854999999999999</v>
      </c>
      <c r="DD9" t="s">
        <v>3</v>
      </c>
      <c r="DE9" t="s">
        <v>3</v>
      </c>
      <c r="DF9">
        <f t="shared" si="3"/>
        <v>0</v>
      </c>
      <c r="DG9">
        <f t="shared" si="8"/>
        <v>38105.68</v>
      </c>
      <c r="DH9">
        <f t="shared" si="9"/>
        <v>10217.82</v>
      </c>
      <c r="DI9">
        <f t="shared" si="4"/>
        <v>0</v>
      </c>
      <c r="DJ9">
        <f t="shared" si="10"/>
        <v>38105.68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ROW(Source!A34)</f>
        <v>34</v>
      </c>
      <c r="B10">
        <v>57737055</v>
      </c>
      <c r="C10">
        <v>57737297</v>
      </c>
      <c r="D10">
        <v>47766703</v>
      </c>
      <c r="E10">
        <v>1</v>
      </c>
      <c r="F10">
        <v>1</v>
      </c>
      <c r="G10">
        <v>27786564</v>
      </c>
      <c r="H10">
        <v>2</v>
      </c>
      <c r="I10" t="s">
        <v>204</v>
      </c>
      <c r="J10" t="s">
        <v>205</v>
      </c>
      <c r="K10" t="s">
        <v>206</v>
      </c>
      <c r="L10">
        <v>1368</v>
      </c>
      <c r="N10">
        <v>1011</v>
      </c>
      <c r="O10" t="s">
        <v>188</v>
      </c>
      <c r="P10" t="s">
        <v>188</v>
      </c>
      <c r="Q10">
        <v>1</v>
      </c>
      <c r="W10">
        <v>0</v>
      </c>
      <c r="X10">
        <v>-1720189102</v>
      </c>
      <c r="Y10">
        <f t="shared" si="0"/>
        <v>0.92400000000000004</v>
      </c>
      <c r="AA10">
        <v>0</v>
      </c>
      <c r="AB10">
        <v>1282.93</v>
      </c>
      <c r="AC10">
        <v>611.71</v>
      </c>
      <c r="AD10">
        <v>0</v>
      </c>
      <c r="AE10">
        <v>0</v>
      </c>
      <c r="AF10">
        <v>80.14</v>
      </c>
      <c r="AG10">
        <v>16.93</v>
      </c>
      <c r="AH10">
        <v>0</v>
      </c>
      <c r="AI10">
        <v>1</v>
      </c>
      <c r="AJ10">
        <v>15.29</v>
      </c>
      <c r="AK10">
        <v>34.51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0.88</v>
      </c>
      <c r="AU10" t="s">
        <v>24</v>
      </c>
      <c r="AV10">
        <v>0</v>
      </c>
      <c r="AW10">
        <v>2</v>
      </c>
      <c r="AX10">
        <v>57737318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ROUND(Y10*Source!I34*DO10,9)</f>
        <v>0</v>
      </c>
      <c r="CX10">
        <f>ROUND(Y10*Source!I34,9)</f>
        <v>172.0488</v>
      </c>
      <c r="CY10">
        <f t="shared" si="5"/>
        <v>1282.93</v>
      </c>
      <c r="CZ10">
        <f t="shared" si="6"/>
        <v>80.14</v>
      </c>
      <c r="DA10">
        <f t="shared" si="7"/>
        <v>15.29</v>
      </c>
      <c r="DB10">
        <f t="shared" si="1"/>
        <v>74.046000000000006</v>
      </c>
      <c r="DC10">
        <f t="shared" si="2"/>
        <v>15.645</v>
      </c>
      <c r="DD10" t="s">
        <v>3</v>
      </c>
      <c r="DE10" t="s">
        <v>3</v>
      </c>
      <c r="DF10">
        <f t="shared" si="3"/>
        <v>0</v>
      </c>
      <c r="DG10">
        <f t="shared" si="8"/>
        <v>210818.28</v>
      </c>
      <c r="DH10">
        <f t="shared" si="9"/>
        <v>100519.51</v>
      </c>
      <c r="DI10">
        <f t="shared" si="4"/>
        <v>0</v>
      </c>
      <c r="DJ10">
        <f t="shared" si="10"/>
        <v>210818.28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ROW(Source!A34)</f>
        <v>34</v>
      </c>
      <c r="B11">
        <v>57737055</v>
      </c>
      <c r="C11">
        <v>57737297</v>
      </c>
      <c r="D11">
        <v>46723741</v>
      </c>
      <c r="E11">
        <v>1</v>
      </c>
      <c r="F11">
        <v>1</v>
      </c>
      <c r="G11">
        <v>27786564</v>
      </c>
      <c r="H11">
        <v>3</v>
      </c>
      <c r="I11" t="s">
        <v>207</v>
      </c>
      <c r="J11" t="s">
        <v>208</v>
      </c>
      <c r="K11" t="s">
        <v>209</v>
      </c>
      <c r="L11">
        <v>1348</v>
      </c>
      <c r="N11">
        <v>1009</v>
      </c>
      <c r="O11" t="s">
        <v>210</v>
      </c>
      <c r="P11" t="s">
        <v>210</v>
      </c>
      <c r="Q11">
        <v>1000</v>
      </c>
      <c r="W11">
        <v>0</v>
      </c>
      <c r="X11">
        <v>-301894024</v>
      </c>
      <c r="Y11">
        <f>AT11</f>
        <v>1.505E-3</v>
      </c>
      <c r="AA11">
        <v>24939.14</v>
      </c>
      <c r="AB11">
        <v>0</v>
      </c>
      <c r="AC11">
        <v>0</v>
      </c>
      <c r="AD11">
        <v>0</v>
      </c>
      <c r="AE11">
        <v>5778.3</v>
      </c>
      <c r="AF11">
        <v>0</v>
      </c>
      <c r="AG11">
        <v>0</v>
      </c>
      <c r="AH11">
        <v>0</v>
      </c>
      <c r="AI11">
        <v>4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1.505E-3</v>
      </c>
      <c r="AU11" t="s">
        <v>3</v>
      </c>
      <c r="AV11">
        <v>0</v>
      </c>
      <c r="AW11">
        <v>2</v>
      </c>
      <c r="AX11">
        <v>57737319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ROUND(Y11*Source!I34,9)</f>
        <v>0.28023100000000001</v>
      </c>
      <c r="CY11">
        <f>AA11</f>
        <v>24939.14</v>
      </c>
      <c r="CZ11">
        <f>AE11</f>
        <v>5778.3</v>
      </c>
      <c r="DA11">
        <f>AI11</f>
        <v>4</v>
      </c>
      <c r="DB11">
        <f>ROUND(ROUND(AT11*CZ11,2),6)</f>
        <v>8.6999999999999993</v>
      </c>
      <c r="DC11">
        <f>ROUND(ROUND(AT11*AG11,2),6)</f>
        <v>0</v>
      </c>
      <c r="DD11" t="s">
        <v>3</v>
      </c>
      <c r="DE11" t="s">
        <v>3</v>
      </c>
      <c r="DF11">
        <f>ROUND(ROUND(AE11*AI11,2)*CX11,2)</f>
        <v>6477.04</v>
      </c>
      <c r="DG11">
        <f t="shared" ref="DG11:DG16" si="11">ROUND(ROUND(AF11,2)*CX11,2)</f>
        <v>0</v>
      </c>
      <c r="DH11">
        <f t="shared" ref="DH11:DH16" si="12">ROUND(ROUND(AG11,2)*CX11,2)</f>
        <v>0</v>
      </c>
      <c r="DI11">
        <f t="shared" si="4"/>
        <v>0</v>
      </c>
      <c r="DJ11">
        <f>DF11</f>
        <v>6477.04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ROW(Source!A34)</f>
        <v>34</v>
      </c>
      <c r="B12">
        <v>57737055</v>
      </c>
      <c r="C12">
        <v>57737297</v>
      </c>
      <c r="D12">
        <v>30390465</v>
      </c>
      <c r="E12">
        <v>1</v>
      </c>
      <c r="F12">
        <v>1</v>
      </c>
      <c r="G12">
        <v>27786564</v>
      </c>
      <c r="H12">
        <v>3</v>
      </c>
      <c r="I12" t="s">
        <v>211</v>
      </c>
      <c r="J12" t="s">
        <v>212</v>
      </c>
      <c r="K12" t="s">
        <v>213</v>
      </c>
      <c r="L12">
        <v>1339</v>
      </c>
      <c r="N12">
        <v>1007</v>
      </c>
      <c r="O12" t="s">
        <v>214</v>
      </c>
      <c r="P12" t="s">
        <v>214</v>
      </c>
      <c r="Q12">
        <v>1</v>
      </c>
      <c r="W12">
        <v>0</v>
      </c>
      <c r="X12">
        <v>1942501623</v>
      </c>
      <c r="Y12">
        <f>AT12</f>
        <v>1.9</v>
      </c>
      <c r="AA12">
        <v>53.78</v>
      </c>
      <c r="AB12">
        <v>0</v>
      </c>
      <c r="AC12">
        <v>0</v>
      </c>
      <c r="AD12">
        <v>0</v>
      </c>
      <c r="AE12">
        <v>7.07</v>
      </c>
      <c r="AF12">
        <v>0</v>
      </c>
      <c r="AG12">
        <v>0</v>
      </c>
      <c r="AH12">
        <v>0</v>
      </c>
      <c r="AI12">
        <v>7.05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1.9</v>
      </c>
      <c r="AU12" t="s">
        <v>3</v>
      </c>
      <c r="AV12">
        <v>0</v>
      </c>
      <c r="AW12">
        <v>2</v>
      </c>
      <c r="AX12">
        <v>57737320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ROUND(Y12*Source!I34,9)</f>
        <v>353.78</v>
      </c>
      <c r="CY12">
        <f>AA12</f>
        <v>53.78</v>
      </c>
      <c r="CZ12">
        <f>AE12</f>
        <v>7.07</v>
      </c>
      <c r="DA12">
        <f>AI12</f>
        <v>7.05</v>
      </c>
      <c r="DB12">
        <f>ROUND(ROUND(AT12*CZ12,2),6)</f>
        <v>13.43</v>
      </c>
      <c r="DC12">
        <f>ROUND(ROUND(AT12*AG12,2),6)</f>
        <v>0</v>
      </c>
      <c r="DD12" t="s">
        <v>3</v>
      </c>
      <c r="DE12" t="s">
        <v>3</v>
      </c>
      <c r="DF12">
        <f>ROUND(ROUND(AE12*AI12,2)*CX12,2)</f>
        <v>17632.400000000001</v>
      </c>
      <c r="DG12">
        <f t="shared" si="11"/>
        <v>0</v>
      </c>
      <c r="DH12">
        <f t="shared" si="12"/>
        <v>0</v>
      </c>
      <c r="DI12">
        <f t="shared" si="4"/>
        <v>0</v>
      </c>
      <c r="DJ12">
        <f>DF12</f>
        <v>17632.400000000001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ROW(Source!A34)</f>
        <v>34</v>
      </c>
      <c r="B13">
        <v>57737055</v>
      </c>
      <c r="C13">
        <v>57737297</v>
      </c>
      <c r="D13">
        <v>32918763</v>
      </c>
      <c r="E13">
        <v>1</v>
      </c>
      <c r="F13">
        <v>1</v>
      </c>
      <c r="G13">
        <v>27786564</v>
      </c>
      <c r="H13">
        <v>3</v>
      </c>
      <c r="I13" t="s">
        <v>40</v>
      </c>
      <c r="J13" t="s">
        <v>43</v>
      </c>
      <c r="K13" t="s">
        <v>41</v>
      </c>
      <c r="L13">
        <v>1346</v>
      </c>
      <c r="N13">
        <v>1009</v>
      </c>
      <c r="O13" t="s">
        <v>42</v>
      </c>
      <c r="P13" t="s">
        <v>42</v>
      </c>
      <c r="Q13">
        <v>1</v>
      </c>
      <c r="W13">
        <v>0</v>
      </c>
      <c r="X13">
        <v>-936542528</v>
      </c>
      <c r="Y13">
        <f>AT13</f>
        <v>116.8</v>
      </c>
      <c r="AA13">
        <v>55.72</v>
      </c>
      <c r="AB13">
        <v>0</v>
      </c>
      <c r="AC13">
        <v>0</v>
      </c>
      <c r="AD13">
        <v>0</v>
      </c>
      <c r="AE13">
        <v>11.3</v>
      </c>
      <c r="AF13">
        <v>0</v>
      </c>
      <c r="AG13">
        <v>0</v>
      </c>
      <c r="AH13">
        <v>0</v>
      </c>
      <c r="AI13">
        <v>4.57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116.8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ROUND(Y13*Source!I34,9)</f>
        <v>21748.16</v>
      </c>
      <c r="CY13">
        <f>AA13</f>
        <v>55.72</v>
      </c>
      <c r="CZ13">
        <f>AE13</f>
        <v>11.3</v>
      </c>
      <c r="DA13">
        <f>AI13</f>
        <v>4.57</v>
      </c>
      <c r="DB13">
        <f>ROUND(ROUND(AT13*CZ13,2),6)</f>
        <v>1319.84</v>
      </c>
      <c r="DC13">
        <f>ROUND(ROUND(AT13*AG13,2),6)</f>
        <v>0</v>
      </c>
      <c r="DD13" t="s">
        <v>3</v>
      </c>
      <c r="DE13" t="s">
        <v>3</v>
      </c>
      <c r="DF13">
        <f>ROUND(ROUND(AE13*AI13,2)*CX13,2)</f>
        <v>1123074.98</v>
      </c>
      <c r="DG13">
        <f t="shared" si="11"/>
        <v>0</v>
      </c>
      <c r="DH13">
        <f t="shared" si="12"/>
        <v>0</v>
      </c>
      <c r="DI13">
        <f t="shared" si="4"/>
        <v>0</v>
      </c>
      <c r="DJ13">
        <f>DF13</f>
        <v>1123074.98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ROW(Source!A34)</f>
        <v>34</v>
      </c>
      <c r="B14">
        <v>57737055</v>
      </c>
      <c r="C14">
        <v>57737297</v>
      </c>
      <c r="D14">
        <v>47765707</v>
      </c>
      <c r="E14">
        <v>1</v>
      </c>
      <c r="F14">
        <v>1</v>
      </c>
      <c r="G14">
        <v>27786564</v>
      </c>
      <c r="H14">
        <v>3</v>
      </c>
      <c r="I14" t="s">
        <v>215</v>
      </c>
      <c r="J14" t="s">
        <v>216</v>
      </c>
      <c r="K14" t="s">
        <v>217</v>
      </c>
      <c r="L14">
        <v>1346</v>
      </c>
      <c r="N14">
        <v>1009</v>
      </c>
      <c r="O14" t="s">
        <v>42</v>
      </c>
      <c r="P14" t="s">
        <v>42</v>
      </c>
      <c r="Q14">
        <v>1</v>
      </c>
      <c r="W14">
        <v>0</v>
      </c>
      <c r="X14">
        <v>-1961732728</v>
      </c>
      <c r="Y14">
        <f>AT14</f>
        <v>4.3200000000000002E-2</v>
      </c>
      <c r="AA14">
        <v>86.84</v>
      </c>
      <c r="AB14">
        <v>0</v>
      </c>
      <c r="AC14">
        <v>0</v>
      </c>
      <c r="AD14">
        <v>0</v>
      </c>
      <c r="AE14">
        <v>7.48</v>
      </c>
      <c r="AF14">
        <v>0</v>
      </c>
      <c r="AG14">
        <v>0</v>
      </c>
      <c r="AH14">
        <v>0</v>
      </c>
      <c r="AI14">
        <v>10.76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4.3200000000000002E-2</v>
      </c>
      <c r="AU14" t="s">
        <v>3</v>
      </c>
      <c r="AV14">
        <v>0</v>
      </c>
      <c r="AW14">
        <v>2</v>
      </c>
      <c r="AX14">
        <v>57737321</v>
      </c>
      <c r="AY14">
        <v>1</v>
      </c>
      <c r="AZ14">
        <v>0</v>
      </c>
      <c r="BA14">
        <v>13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ROUND(Y14*Source!I34,9)</f>
        <v>8.0438399999999994</v>
      </c>
      <c r="CY14">
        <f>AA14</f>
        <v>86.84</v>
      </c>
      <c r="CZ14">
        <f>AE14</f>
        <v>7.48</v>
      </c>
      <c r="DA14">
        <f>AI14</f>
        <v>10.76</v>
      </c>
      <c r="DB14">
        <f>ROUND(ROUND(AT14*CZ14,2),6)</f>
        <v>0.32</v>
      </c>
      <c r="DC14">
        <f>ROUND(ROUND(AT14*AG14,2),6)</f>
        <v>0</v>
      </c>
      <c r="DD14" t="s">
        <v>3</v>
      </c>
      <c r="DE14" t="s">
        <v>3</v>
      </c>
      <c r="DF14">
        <f>ROUND(ROUND(AE14*AI14,2)*CX14,2)</f>
        <v>647.37</v>
      </c>
      <c r="DG14">
        <f t="shared" si="11"/>
        <v>0</v>
      </c>
      <c r="DH14">
        <f t="shared" si="12"/>
        <v>0</v>
      </c>
      <c r="DI14">
        <f t="shared" si="4"/>
        <v>0</v>
      </c>
      <c r="DJ14">
        <f>DF14</f>
        <v>647.37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ROW(Source!A34)</f>
        <v>34</v>
      </c>
      <c r="B15">
        <v>57737055</v>
      </c>
      <c r="C15">
        <v>57737297</v>
      </c>
      <c r="D15">
        <v>46724841</v>
      </c>
      <c r="E15">
        <v>1</v>
      </c>
      <c r="F15">
        <v>1</v>
      </c>
      <c r="G15">
        <v>27786564</v>
      </c>
      <c r="H15">
        <v>3</v>
      </c>
      <c r="I15" t="s">
        <v>45</v>
      </c>
      <c r="J15" t="s">
        <v>47</v>
      </c>
      <c r="K15" t="s">
        <v>296</v>
      </c>
      <c r="L15">
        <v>1296</v>
      </c>
      <c r="N15">
        <v>1013</v>
      </c>
      <c r="O15" t="s">
        <v>46</v>
      </c>
      <c r="P15" t="s">
        <v>46</v>
      </c>
      <c r="Q15">
        <v>1</v>
      </c>
      <c r="W15">
        <v>0</v>
      </c>
      <c r="X15">
        <v>1548396739</v>
      </c>
      <c r="Y15">
        <f>AT15</f>
        <v>5.9279999999999999</v>
      </c>
      <c r="AA15">
        <v>872.63</v>
      </c>
      <c r="AB15">
        <v>0</v>
      </c>
      <c r="AC15">
        <v>0</v>
      </c>
      <c r="AD15">
        <v>0</v>
      </c>
      <c r="AE15">
        <v>95.37</v>
      </c>
      <c r="AF15">
        <v>0</v>
      </c>
      <c r="AG15">
        <v>0</v>
      </c>
      <c r="AH15">
        <v>0</v>
      </c>
      <c r="AI15">
        <v>8.48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 t="s">
        <v>3</v>
      </c>
      <c r="AT15">
        <v>5.9279999999999999</v>
      </c>
      <c r="AU15" t="s">
        <v>3</v>
      </c>
      <c r="AV15">
        <v>0</v>
      </c>
      <c r="AW15">
        <v>1</v>
      </c>
      <c r="AX15">
        <v>-1</v>
      </c>
      <c r="AY15">
        <v>0</v>
      </c>
      <c r="AZ15">
        <v>0</v>
      </c>
      <c r="BA15" t="s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ROUND(Y15*Source!I34,9)</f>
        <v>1103.7936</v>
      </c>
      <c r="CY15">
        <f>AA15</f>
        <v>872.63</v>
      </c>
      <c r="CZ15">
        <f>AE15</f>
        <v>95.37</v>
      </c>
      <c r="DA15">
        <f>AI15</f>
        <v>8.48</v>
      </c>
      <c r="DB15">
        <f>ROUND(ROUND(AT15*CZ15,2),6)</f>
        <v>565.35</v>
      </c>
      <c r="DC15">
        <f>ROUND(ROUND(AT15*AG15,2),6)</f>
        <v>0</v>
      </c>
      <c r="DD15" t="s">
        <v>3</v>
      </c>
      <c r="DE15" t="s">
        <v>3</v>
      </c>
      <c r="DF15">
        <f>ROUND(ROUND(AE15*AI15,2)*CX15,2)</f>
        <v>892682.04</v>
      </c>
      <c r="DG15">
        <f t="shared" si="11"/>
        <v>0</v>
      </c>
      <c r="DH15">
        <f t="shared" si="12"/>
        <v>0</v>
      </c>
      <c r="DI15">
        <f t="shared" si="4"/>
        <v>0</v>
      </c>
      <c r="DJ15">
        <f>DF15</f>
        <v>892682.04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ROW(Source!A38)</f>
        <v>38</v>
      </c>
      <c r="B16">
        <v>57737055</v>
      </c>
      <c r="C16">
        <v>57737328</v>
      </c>
      <c r="D16">
        <v>47634407</v>
      </c>
      <c r="E16">
        <v>27786564</v>
      </c>
      <c r="F16">
        <v>1</v>
      </c>
      <c r="G16">
        <v>27786564</v>
      </c>
      <c r="H16">
        <v>1</v>
      </c>
      <c r="I16" t="s">
        <v>182</v>
      </c>
      <c r="J16" t="s">
        <v>3</v>
      </c>
      <c r="K16" t="s">
        <v>183</v>
      </c>
      <c r="L16">
        <v>1191</v>
      </c>
      <c r="N16">
        <v>1013</v>
      </c>
      <c r="O16" t="s">
        <v>184</v>
      </c>
      <c r="P16" t="s">
        <v>184</v>
      </c>
      <c r="Q16">
        <v>1</v>
      </c>
      <c r="W16">
        <v>0</v>
      </c>
      <c r="X16">
        <v>476480486</v>
      </c>
      <c r="Y16">
        <f t="shared" ref="Y16:Y22" si="13">(AT16*1.05)</f>
        <v>0.63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0.6</v>
      </c>
      <c r="AU16" t="s">
        <v>24</v>
      </c>
      <c r="AV16">
        <v>1</v>
      </c>
      <c r="AW16">
        <v>2</v>
      </c>
      <c r="AX16">
        <v>57737332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ROUND(AT16*Source!I38*AH16*AL16,2)</f>
        <v>0</v>
      </c>
      <c r="CV16">
        <f>ROUND(Y16*Source!I38,9)</f>
        <v>0.63</v>
      </c>
      <c r="CW16">
        <v>0</v>
      </c>
      <c r="CX16">
        <f>ROUND(Y16*Source!I38,9)</f>
        <v>0.63</v>
      </c>
      <c r="CY16">
        <f>AD16</f>
        <v>0</v>
      </c>
      <c r="CZ16">
        <f>AH16</f>
        <v>0</v>
      </c>
      <c r="DA16">
        <f>AL16</f>
        <v>1</v>
      </c>
      <c r="DB16">
        <f t="shared" ref="DB16:DB22" si="14">ROUND((ROUND(AT16*CZ16,2)*1.05),6)</f>
        <v>0</v>
      </c>
      <c r="DC16">
        <f t="shared" ref="DC16:DC22" si="15">ROUND((ROUND(AT16*AG16,2)*1.05),6)</f>
        <v>0</v>
      </c>
      <c r="DD16" t="s">
        <v>3</v>
      </c>
      <c r="DE16" t="s">
        <v>3</v>
      </c>
      <c r="DF16">
        <f t="shared" ref="DF16:DF22" si="16">ROUND(ROUND(AE16,2)*CX16,2)</f>
        <v>0</v>
      </c>
      <c r="DG16">
        <f t="shared" si="11"/>
        <v>0</v>
      </c>
      <c r="DH16">
        <f t="shared" si="12"/>
        <v>0</v>
      </c>
      <c r="DI16">
        <f t="shared" si="4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ROW(Source!A38)</f>
        <v>38</v>
      </c>
      <c r="B17">
        <v>57737055</v>
      </c>
      <c r="C17">
        <v>57737328</v>
      </c>
      <c r="D17">
        <v>47767072</v>
      </c>
      <c r="E17">
        <v>1</v>
      </c>
      <c r="F17">
        <v>1</v>
      </c>
      <c r="G17">
        <v>27786564</v>
      </c>
      <c r="H17">
        <v>2</v>
      </c>
      <c r="I17" t="s">
        <v>189</v>
      </c>
      <c r="J17" t="s">
        <v>190</v>
      </c>
      <c r="K17" t="s">
        <v>191</v>
      </c>
      <c r="L17">
        <v>1368</v>
      </c>
      <c r="N17">
        <v>1011</v>
      </c>
      <c r="O17" t="s">
        <v>188</v>
      </c>
      <c r="P17" t="s">
        <v>188</v>
      </c>
      <c r="Q17">
        <v>1</v>
      </c>
      <c r="W17">
        <v>0</v>
      </c>
      <c r="X17">
        <v>-491204050</v>
      </c>
      <c r="Y17">
        <f t="shared" si="13"/>
        <v>0.63</v>
      </c>
      <c r="AA17">
        <v>0</v>
      </c>
      <c r="AB17">
        <v>18064.39</v>
      </c>
      <c r="AC17">
        <v>1406.98</v>
      </c>
      <c r="AD17">
        <v>0</v>
      </c>
      <c r="AE17">
        <v>0</v>
      </c>
      <c r="AF17">
        <v>1843.32</v>
      </c>
      <c r="AG17">
        <v>38.94</v>
      </c>
      <c r="AH17">
        <v>0</v>
      </c>
      <c r="AI17">
        <v>1</v>
      </c>
      <c r="AJ17">
        <v>9.36</v>
      </c>
      <c r="AK17">
        <v>34.51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0.6</v>
      </c>
      <c r="AU17" t="s">
        <v>24</v>
      </c>
      <c r="AV17">
        <v>0</v>
      </c>
      <c r="AW17">
        <v>2</v>
      </c>
      <c r="AX17">
        <v>57737333</v>
      </c>
      <c r="AY17">
        <v>1</v>
      </c>
      <c r="AZ17">
        <v>0</v>
      </c>
      <c r="BA17">
        <v>18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ROUND(Y17*Source!I38*DO17,9)</f>
        <v>0</v>
      </c>
      <c r="CX17">
        <f>ROUND(Y17*Source!I38,9)</f>
        <v>0.63</v>
      </c>
      <c r="CY17">
        <f>AB17</f>
        <v>18064.39</v>
      </c>
      <c r="CZ17">
        <f>AF17</f>
        <v>1843.32</v>
      </c>
      <c r="DA17">
        <f>AJ17</f>
        <v>9.36</v>
      </c>
      <c r="DB17">
        <f t="shared" si="14"/>
        <v>1161.2895000000001</v>
      </c>
      <c r="DC17">
        <f t="shared" si="15"/>
        <v>24.527999999999999</v>
      </c>
      <c r="DD17" t="s">
        <v>3</v>
      </c>
      <c r="DE17" t="s">
        <v>3</v>
      </c>
      <c r="DF17">
        <f t="shared" si="16"/>
        <v>0</v>
      </c>
      <c r="DG17">
        <f>ROUND(ROUND(AF17*AJ17,2)*CX17,2)</f>
        <v>10869.69</v>
      </c>
      <c r="DH17">
        <f>ROUND(ROUND(AG17*AK17,2)*CX17,2)</f>
        <v>846.61</v>
      </c>
      <c r="DI17">
        <f t="shared" si="4"/>
        <v>0</v>
      </c>
      <c r="DJ17">
        <f>DG17</f>
        <v>10869.69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ROW(Source!A38)</f>
        <v>38</v>
      </c>
      <c r="B18">
        <v>57737055</v>
      </c>
      <c r="C18">
        <v>57737328</v>
      </c>
      <c r="D18">
        <v>47766748</v>
      </c>
      <c r="E18">
        <v>1</v>
      </c>
      <c r="F18">
        <v>1</v>
      </c>
      <c r="G18">
        <v>27786564</v>
      </c>
      <c r="H18">
        <v>2</v>
      </c>
      <c r="I18" t="s">
        <v>218</v>
      </c>
      <c r="J18" t="s">
        <v>219</v>
      </c>
      <c r="K18" t="s">
        <v>220</v>
      </c>
      <c r="L18">
        <v>1368</v>
      </c>
      <c r="N18">
        <v>1011</v>
      </c>
      <c r="O18" t="s">
        <v>188</v>
      </c>
      <c r="P18" t="s">
        <v>188</v>
      </c>
      <c r="Q18">
        <v>1</v>
      </c>
      <c r="W18">
        <v>0</v>
      </c>
      <c r="X18">
        <v>2120447496</v>
      </c>
      <c r="Y18">
        <f t="shared" si="13"/>
        <v>0.60899999999999999</v>
      </c>
      <c r="AA18">
        <v>0</v>
      </c>
      <c r="AB18">
        <v>2072.6</v>
      </c>
      <c r="AC18">
        <v>525.36</v>
      </c>
      <c r="AD18">
        <v>0</v>
      </c>
      <c r="AE18">
        <v>0</v>
      </c>
      <c r="AF18">
        <v>166.63</v>
      </c>
      <c r="AG18">
        <v>14.54</v>
      </c>
      <c r="AH18">
        <v>0</v>
      </c>
      <c r="AI18">
        <v>1</v>
      </c>
      <c r="AJ18">
        <v>11.88</v>
      </c>
      <c r="AK18">
        <v>34.51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0.57999999999999996</v>
      </c>
      <c r="AU18" t="s">
        <v>24</v>
      </c>
      <c r="AV18">
        <v>0</v>
      </c>
      <c r="AW18">
        <v>2</v>
      </c>
      <c r="AX18">
        <v>57737334</v>
      </c>
      <c r="AY18">
        <v>1</v>
      </c>
      <c r="AZ18">
        <v>0</v>
      </c>
      <c r="BA18">
        <v>19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ROUND(Y18*Source!I38*DO18,9)</f>
        <v>0</v>
      </c>
      <c r="CX18">
        <f>ROUND(Y18*Source!I38,9)</f>
        <v>0.60899999999999999</v>
      </c>
      <c r="CY18">
        <f>AB18</f>
        <v>2072.6</v>
      </c>
      <c r="CZ18">
        <f>AF18</f>
        <v>166.63</v>
      </c>
      <c r="DA18">
        <f>AJ18</f>
        <v>11.88</v>
      </c>
      <c r="DB18">
        <f t="shared" si="14"/>
        <v>101.4825</v>
      </c>
      <c r="DC18">
        <f t="shared" si="15"/>
        <v>8.8514999999999997</v>
      </c>
      <c r="DD18" t="s">
        <v>3</v>
      </c>
      <c r="DE18" t="s">
        <v>3</v>
      </c>
      <c r="DF18">
        <f t="shared" si="16"/>
        <v>0</v>
      </c>
      <c r="DG18">
        <f>ROUND(ROUND(AF18*AJ18,2)*CX18,2)</f>
        <v>1205.55</v>
      </c>
      <c r="DH18">
        <f>ROUND(ROUND(AG18*AK18,2)*CX18,2)</f>
        <v>305.58</v>
      </c>
      <c r="DI18">
        <f t="shared" si="4"/>
        <v>0</v>
      </c>
      <c r="DJ18">
        <f>DG18</f>
        <v>1205.55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ROW(Source!A39)</f>
        <v>39</v>
      </c>
      <c r="B19">
        <v>57737055</v>
      </c>
      <c r="C19">
        <v>57737335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182</v>
      </c>
      <c r="J19" t="s">
        <v>3</v>
      </c>
      <c r="K19" t="s">
        <v>183</v>
      </c>
      <c r="L19">
        <v>1191</v>
      </c>
      <c r="N19">
        <v>1013</v>
      </c>
      <c r="O19" t="s">
        <v>184</v>
      </c>
      <c r="P19" t="s">
        <v>184</v>
      </c>
      <c r="Q19">
        <v>1</v>
      </c>
      <c r="W19">
        <v>0</v>
      </c>
      <c r="X19">
        <v>476480486</v>
      </c>
      <c r="Y19">
        <f t="shared" si="13"/>
        <v>0.27300000000000002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0.26</v>
      </c>
      <c r="AU19" t="s">
        <v>24</v>
      </c>
      <c r="AV19">
        <v>1</v>
      </c>
      <c r="AW19">
        <v>2</v>
      </c>
      <c r="AX19">
        <v>57737338</v>
      </c>
      <c r="AY19">
        <v>1</v>
      </c>
      <c r="AZ19">
        <v>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ROUND(AT19*Source!I39*AH19*AL19,2)</f>
        <v>0</v>
      </c>
      <c r="CV19">
        <f>ROUND(Y19*Source!I39,9)</f>
        <v>0.54600000000000004</v>
      </c>
      <c r="CW19">
        <v>0</v>
      </c>
      <c r="CX19">
        <f>ROUND(Y19*Source!I39,9)</f>
        <v>0.54600000000000004</v>
      </c>
      <c r="CY19">
        <f>AD19</f>
        <v>0</v>
      </c>
      <c r="CZ19">
        <f>AH19</f>
        <v>0</v>
      </c>
      <c r="DA19">
        <f>AL19</f>
        <v>1</v>
      </c>
      <c r="DB19">
        <f t="shared" si="14"/>
        <v>0</v>
      </c>
      <c r="DC19">
        <f t="shared" si="15"/>
        <v>0</v>
      </c>
      <c r="DD19" t="s">
        <v>3</v>
      </c>
      <c r="DE19" t="s">
        <v>3</v>
      </c>
      <c r="DF19">
        <f t="shared" si="16"/>
        <v>0</v>
      </c>
      <c r="DG19">
        <f>ROUND(ROUND(AF19,2)*CX19,2)</f>
        <v>0</v>
      </c>
      <c r="DH19">
        <f>ROUND(ROUND(AG19,2)*CX19,2)</f>
        <v>0</v>
      </c>
      <c r="DI19">
        <f t="shared" si="4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ROW(Source!A39)</f>
        <v>39</v>
      </c>
      <c r="B20">
        <v>57737055</v>
      </c>
      <c r="C20">
        <v>57737335</v>
      </c>
      <c r="D20">
        <v>47767072</v>
      </c>
      <c r="E20">
        <v>1</v>
      </c>
      <c r="F20">
        <v>1</v>
      </c>
      <c r="G20">
        <v>27786564</v>
      </c>
      <c r="H20">
        <v>2</v>
      </c>
      <c r="I20" t="s">
        <v>189</v>
      </c>
      <c r="J20" t="s">
        <v>190</v>
      </c>
      <c r="K20" t="s">
        <v>191</v>
      </c>
      <c r="L20">
        <v>1368</v>
      </c>
      <c r="N20">
        <v>1011</v>
      </c>
      <c r="O20" t="s">
        <v>188</v>
      </c>
      <c r="P20" t="s">
        <v>188</v>
      </c>
      <c r="Q20">
        <v>1</v>
      </c>
      <c r="W20">
        <v>0</v>
      </c>
      <c r="X20">
        <v>-491204050</v>
      </c>
      <c r="Y20">
        <f t="shared" si="13"/>
        <v>0.27300000000000002</v>
      </c>
      <c r="AA20">
        <v>0</v>
      </c>
      <c r="AB20">
        <v>18064.39</v>
      </c>
      <c r="AC20">
        <v>1406.98</v>
      </c>
      <c r="AD20">
        <v>0</v>
      </c>
      <c r="AE20">
        <v>0</v>
      </c>
      <c r="AF20">
        <v>1843.32</v>
      </c>
      <c r="AG20">
        <v>38.94</v>
      </c>
      <c r="AH20">
        <v>0</v>
      </c>
      <c r="AI20">
        <v>1</v>
      </c>
      <c r="AJ20">
        <v>9.36</v>
      </c>
      <c r="AK20">
        <v>34.51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0.26</v>
      </c>
      <c r="AU20" t="s">
        <v>24</v>
      </c>
      <c r="AV20">
        <v>0</v>
      </c>
      <c r="AW20">
        <v>2</v>
      </c>
      <c r="AX20">
        <v>57737339</v>
      </c>
      <c r="AY20">
        <v>1</v>
      </c>
      <c r="AZ20">
        <v>0</v>
      </c>
      <c r="BA20">
        <v>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ROUND(Y20*Source!I39*DO20,9)</f>
        <v>0</v>
      </c>
      <c r="CX20">
        <f>ROUND(Y20*Source!I39,9)</f>
        <v>0.54600000000000004</v>
      </c>
      <c r="CY20">
        <f>AB20</f>
        <v>18064.39</v>
      </c>
      <c r="CZ20">
        <f>AF20</f>
        <v>1843.32</v>
      </c>
      <c r="DA20">
        <f>AJ20</f>
        <v>9.36</v>
      </c>
      <c r="DB20">
        <f t="shared" si="14"/>
        <v>503.22300000000001</v>
      </c>
      <c r="DC20">
        <f t="shared" si="15"/>
        <v>10.625999999999999</v>
      </c>
      <c r="DD20" t="s">
        <v>3</v>
      </c>
      <c r="DE20" t="s">
        <v>3</v>
      </c>
      <c r="DF20">
        <f t="shared" si="16"/>
        <v>0</v>
      </c>
      <c r="DG20">
        <f>ROUND(ROUND(AF20*AJ20,2)*CX20,2)</f>
        <v>9420.4</v>
      </c>
      <c r="DH20">
        <f>ROUND(ROUND(AG20*AK20,2)*CX20,2)</f>
        <v>733.73</v>
      </c>
      <c r="DI20">
        <f t="shared" si="4"/>
        <v>0</v>
      </c>
      <c r="DJ20">
        <f>DG20</f>
        <v>9420.4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ROW(Source!A40)</f>
        <v>40</v>
      </c>
      <c r="B21">
        <v>57737055</v>
      </c>
      <c r="C21">
        <v>57737340</v>
      </c>
      <c r="D21">
        <v>47634407</v>
      </c>
      <c r="E21">
        <v>27786564</v>
      </c>
      <c r="F21">
        <v>1</v>
      </c>
      <c r="G21">
        <v>27786564</v>
      </c>
      <c r="H21">
        <v>1</v>
      </c>
      <c r="I21" t="s">
        <v>182</v>
      </c>
      <c r="J21" t="s">
        <v>3</v>
      </c>
      <c r="K21" t="s">
        <v>183</v>
      </c>
      <c r="L21">
        <v>1191</v>
      </c>
      <c r="N21">
        <v>1013</v>
      </c>
      <c r="O21" t="s">
        <v>184</v>
      </c>
      <c r="P21" t="s">
        <v>184</v>
      </c>
      <c r="Q21">
        <v>1</v>
      </c>
      <c r="W21">
        <v>0</v>
      </c>
      <c r="X21">
        <v>476480486</v>
      </c>
      <c r="Y21">
        <f t="shared" si="13"/>
        <v>1.2075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1.1499999999999999</v>
      </c>
      <c r="AU21" t="s">
        <v>24</v>
      </c>
      <c r="AV21">
        <v>1</v>
      </c>
      <c r="AW21">
        <v>2</v>
      </c>
      <c r="AX21">
        <v>57737345</v>
      </c>
      <c r="AY21">
        <v>1</v>
      </c>
      <c r="AZ21">
        <v>0</v>
      </c>
      <c r="BA21">
        <v>22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ROUND(AT21*Source!I40*AH21*AL21,2)</f>
        <v>0</v>
      </c>
      <c r="CV21">
        <f>ROUND(Y21*Source!I40,9)</f>
        <v>59.167499999999997</v>
      </c>
      <c r="CW21">
        <v>0</v>
      </c>
      <c r="CX21">
        <f>ROUND(Y21*Source!I40,9)</f>
        <v>59.167499999999997</v>
      </c>
      <c r="CY21">
        <f>AD21</f>
        <v>0</v>
      </c>
      <c r="CZ21">
        <f>AH21</f>
        <v>0</v>
      </c>
      <c r="DA21">
        <f>AL21</f>
        <v>1</v>
      </c>
      <c r="DB21">
        <f t="shared" si="14"/>
        <v>0</v>
      </c>
      <c r="DC21">
        <f t="shared" si="15"/>
        <v>0</v>
      </c>
      <c r="DD21" t="s">
        <v>3</v>
      </c>
      <c r="DE21" t="s">
        <v>3</v>
      </c>
      <c r="DF21">
        <f t="shared" si="16"/>
        <v>0</v>
      </c>
      <c r="DG21">
        <f>ROUND(ROUND(AF21,2)*CX21,2)</f>
        <v>0</v>
      </c>
      <c r="DH21">
        <f>ROUND(ROUND(AG21,2)*CX21,2)</f>
        <v>0</v>
      </c>
      <c r="DI21">
        <f t="shared" si="4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ROW(Source!A40)</f>
        <v>40</v>
      </c>
      <c r="B22">
        <v>57737055</v>
      </c>
      <c r="C22">
        <v>57737340</v>
      </c>
      <c r="D22">
        <v>47766881</v>
      </c>
      <c r="E22">
        <v>1</v>
      </c>
      <c r="F22">
        <v>1</v>
      </c>
      <c r="G22">
        <v>27786564</v>
      </c>
      <c r="H22">
        <v>2</v>
      </c>
      <c r="I22" t="s">
        <v>221</v>
      </c>
      <c r="J22" t="s">
        <v>222</v>
      </c>
      <c r="K22" t="s">
        <v>223</v>
      </c>
      <c r="L22">
        <v>1368</v>
      </c>
      <c r="N22">
        <v>1011</v>
      </c>
      <c r="O22" t="s">
        <v>188</v>
      </c>
      <c r="P22" t="s">
        <v>188</v>
      </c>
      <c r="Q22">
        <v>1</v>
      </c>
      <c r="W22">
        <v>0</v>
      </c>
      <c r="X22">
        <v>1322430240</v>
      </c>
      <c r="Y22">
        <f t="shared" si="13"/>
        <v>0.58800000000000008</v>
      </c>
      <c r="AA22">
        <v>0</v>
      </c>
      <c r="AB22">
        <v>37.950000000000003</v>
      </c>
      <c r="AC22">
        <v>0</v>
      </c>
      <c r="AD22">
        <v>0</v>
      </c>
      <c r="AE22">
        <v>0</v>
      </c>
      <c r="AF22">
        <v>4.01</v>
      </c>
      <c r="AG22">
        <v>0</v>
      </c>
      <c r="AH22">
        <v>0</v>
      </c>
      <c r="AI22">
        <v>1</v>
      </c>
      <c r="AJ22">
        <v>8.8699999999999992</v>
      </c>
      <c r="AK22">
        <v>34.51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0.56000000000000005</v>
      </c>
      <c r="AU22" t="s">
        <v>24</v>
      </c>
      <c r="AV22">
        <v>0</v>
      </c>
      <c r="AW22">
        <v>2</v>
      </c>
      <c r="AX22">
        <v>57737346</v>
      </c>
      <c r="AY22">
        <v>1</v>
      </c>
      <c r="AZ22">
        <v>0</v>
      </c>
      <c r="BA22">
        <v>23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ROUND(Y22*Source!I40*DO22,9)</f>
        <v>0</v>
      </c>
      <c r="CX22">
        <f>ROUND(Y22*Source!I40,9)</f>
        <v>28.812000000000001</v>
      </c>
      <c r="CY22">
        <f>AB22</f>
        <v>37.950000000000003</v>
      </c>
      <c r="CZ22">
        <f>AF22</f>
        <v>4.01</v>
      </c>
      <c r="DA22">
        <f>AJ22</f>
        <v>8.8699999999999992</v>
      </c>
      <c r="DB22">
        <f t="shared" si="14"/>
        <v>2.3624999999999998</v>
      </c>
      <c r="DC22">
        <f t="shared" si="15"/>
        <v>0</v>
      </c>
      <c r="DD22" t="s">
        <v>3</v>
      </c>
      <c r="DE22" t="s">
        <v>3</v>
      </c>
      <c r="DF22">
        <f t="shared" si="16"/>
        <v>0</v>
      </c>
      <c r="DG22">
        <f>ROUND(ROUND(AF22*AJ22,2)*CX22,2)</f>
        <v>1024.8399999999999</v>
      </c>
      <c r="DH22">
        <f>ROUND(ROUND(AG22*AK22,2)*CX22,2)</f>
        <v>0</v>
      </c>
      <c r="DI22">
        <f t="shared" si="4"/>
        <v>0</v>
      </c>
      <c r="DJ22">
        <f>DG22</f>
        <v>1024.8399999999999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ROW(Source!A40)</f>
        <v>40</v>
      </c>
      <c r="B23">
        <v>57737055</v>
      </c>
      <c r="C23">
        <v>57737340</v>
      </c>
      <c r="D23">
        <v>44217275</v>
      </c>
      <c r="E23">
        <v>1</v>
      </c>
      <c r="F23">
        <v>1</v>
      </c>
      <c r="G23">
        <v>27786564</v>
      </c>
      <c r="H23">
        <v>3</v>
      </c>
      <c r="I23" t="s">
        <v>224</v>
      </c>
      <c r="J23" t="s">
        <v>225</v>
      </c>
      <c r="K23" t="s">
        <v>226</v>
      </c>
      <c r="L23">
        <v>1346</v>
      </c>
      <c r="N23">
        <v>1009</v>
      </c>
      <c r="O23" t="s">
        <v>42</v>
      </c>
      <c r="P23" t="s">
        <v>42</v>
      </c>
      <c r="Q23">
        <v>1</v>
      </c>
      <c r="W23">
        <v>0</v>
      </c>
      <c r="X23">
        <v>404283604</v>
      </c>
      <c r="Y23">
        <f>AT23</f>
        <v>6.6699999999999995E-2</v>
      </c>
      <c r="AA23">
        <v>1359.47</v>
      </c>
      <c r="AB23">
        <v>0</v>
      </c>
      <c r="AC23">
        <v>0</v>
      </c>
      <c r="AD23">
        <v>0</v>
      </c>
      <c r="AE23">
        <v>11.25</v>
      </c>
      <c r="AF23">
        <v>0</v>
      </c>
      <c r="AG23">
        <v>0</v>
      </c>
      <c r="AH23">
        <v>0</v>
      </c>
      <c r="AI23">
        <v>120.48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6.6699999999999995E-2</v>
      </c>
      <c r="AU23" t="s">
        <v>3</v>
      </c>
      <c r="AV23">
        <v>0</v>
      </c>
      <c r="AW23">
        <v>2</v>
      </c>
      <c r="AX23">
        <v>57737347</v>
      </c>
      <c r="AY23">
        <v>1</v>
      </c>
      <c r="AZ23">
        <v>0</v>
      </c>
      <c r="BA23">
        <v>24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ROUND(Y23*Source!I40,9)</f>
        <v>3.2683</v>
      </c>
      <c r="CY23">
        <f>AA23</f>
        <v>1359.47</v>
      </c>
      <c r="CZ23">
        <f>AE23</f>
        <v>11.25</v>
      </c>
      <c r="DA23">
        <f>AI23</f>
        <v>120.48</v>
      </c>
      <c r="DB23">
        <f>ROUND(ROUND(AT23*CZ23,2),6)</f>
        <v>0.75</v>
      </c>
      <c r="DC23">
        <f>ROUND(ROUND(AT23*AG23,2),6)</f>
        <v>0</v>
      </c>
      <c r="DD23" t="s">
        <v>3</v>
      </c>
      <c r="DE23" t="s">
        <v>3</v>
      </c>
      <c r="DF23">
        <f>ROUND(ROUND(AE23*AI23,2)*CX23,2)</f>
        <v>4429.8500000000004</v>
      </c>
      <c r="DG23">
        <f>ROUND(ROUND(AF23,2)*CX23,2)</f>
        <v>0</v>
      </c>
      <c r="DH23">
        <f>ROUND(ROUND(AG23,2)*CX23,2)</f>
        <v>0</v>
      </c>
      <c r="DI23">
        <f t="shared" si="4"/>
        <v>0</v>
      </c>
      <c r="DJ23">
        <f>DF23</f>
        <v>4429.8500000000004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ROW(Source!A40)</f>
        <v>40</v>
      </c>
      <c r="B24">
        <v>57737055</v>
      </c>
      <c r="C24">
        <v>57737340</v>
      </c>
      <c r="D24">
        <v>30390462</v>
      </c>
      <c r="E24">
        <v>1</v>
      </c>
      <c r="F24">
        <v>1</v>
      </c>
      <c r="G24">
        <v>27786564</v>
      </c>
      <c r="H24">
        <v>3</v>
      </c>
      <c r="I24" t="s">
        <v>227</v>
      </c>
      <c r="J24" t="s">
        <v>228</v>
      </c>
      <c r="K24" t="s">
        <v>229</v>
      </c>
      <c r="L24">
        <v>1346</v>
      </c>
      <c r="N24">
        <v>1009</v>
      </c>
      <c r="O24" t="s">
        <v>42</v>
      </c>
      <c r="P24" t="s">
        <v>42</v>
      </c>
      <c r="Q24">
        <v>1</v>
      </c>
      <c r="W24">
        <v>0</v>
      </c>
      <c r="X24">
        <v>-1299596119</v>
      </c>
      <c r="Y24">
        <f>AT24</f>
        <v>0.1</v>
      </c>
      <c r="AA24">
        <v>53.77</v>
      </c>
      <c r="AB24">
        <v>0</v>
      </c>
      <c r="AC24">
        <v>0</v>
      </c>
      <c r="AD24">
        <v>0</v>
      </c>
      <c r="AE24">
        <v>1.61</v>
      </c>
      <c r="AF24">
        <v>0</v>
      </c>
      <c r="AG24">
        <v>0</v>
      </c>
      <c r="AH24">
        <v>0</v>
      </c>
      <c r="AI24">
        <v>33.299999999999997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0.1</v>
      </c>
      <c r="AU24" t="s">
        <v>3</v>
      </c>
      <c r="AV24">
        <v>0</v>
      </c>
      <c r="AW24">
        <v>2</v>
      </c>
      <c r="AX24">
        <v>57737348</v>
      </c>
      <c r="AY24">
        <v>1</v>
      </c>
      <c r="AZ24">
        <v>0</v>
      </c>
      <c r="BA24">
        <v>25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ROUND(Y24*Source!I40,9)</f>
        <v>4.9000000000000004</v>
      </c>
      <c r="CY24">
        <f>AA24</f>
        <v>53.77</v>
      </c>
      <c r="CZ24">
        <f>AE24</f>
        <v>1.61</v>
      </c>
      <c r="DA24">
        <f>AI24</f>
        <v>33.299999999999997</v>
      </c>
      <c r="DB24">
        <f>ROUND(ROUND(AT24*CZ24,2),6)</f>
        <v>0.16</v>
      </c>
      <c r="DC24">
        <f>ROUND(ROUND(AT24*AG24,2),6)</f>
        <v>0</v>
      </c>
      <c r="DD24" t="s">
        <v>3</v>
      </c>
      <c r="DE24" t="s">
        <v>3</v>
      </c>
      <c r="DF24">
        <f>ROUND(ROUND(AE24*AI24,2)*CX24,2)</f>
        <v>262.69</v>
      </c>
      <c r="DG24">
        <f>ROUND(ROUND(AF24,2)*CX24,2)</f>
        <v>0</v>
      </c>
      <c r="DH24">
        <f>ROUND(ROUND(AG24,2)*CX24,2)</f>
        <v>0</v>
      </c>
      <c r="DI24">
        <f t="shared" si="4"/>
        <v>0</v>
      </c>
      <c r="DJ24">
        <f>DF24</f>
        <v>262.69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ROW(Source!A41)</f>
        <v>41</v>
      </c>
      <c r="B25">
        <v>57737055</v>
      </c>
      <c r="C25">
        <v>57737349</v>
      </c>
      <c r="D25">
        <v>47634407</v>
      </c>
      <c r="E25">
        <v>27786564</v>
      </c>
      <c r="F25">
        <v>1</v>
      </c>
      <c r="G25">
        <v>27786564</v>
      </c>
      <c r="H25">
        <v>1</v>
      </c>
      <c r="I25" t="s">
        <v>182</v>
      </c>
      <c r="J25" t="s">
        <v>3</v>
      </c>
      <c r="K25" t="s">
        <v>183</v>
      </c>
      <c r="L25">
        <v>1191</v>
      </c>
      <c r="N25">
        <v>1013</v>
      </c>
      <c r="O25" t="s">
        <v>184</v>
      </c>
      <c r="P25" t="s">
        <v>184</v>
      </c>
      <c r="Q25">
        <v>1</v>
      </c>
      <c r="W25">
        <v>0</v>
      </c>
      <c r="X25">
        <v>476480486</v>
      </c>
      <c r="Y25">
        <f>(AT25*1.05)</f>
        <v>0.10500000000000001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0.1</v>
      </c>
      <c r="AU25" t="s">
        <v>24</v>
      </c>
      <c r="AV25">
        <v>1</v>
      </c>
      <c r="AW25">
        <v>2</v>
      </c>
      <c r="AX25">
        <v>57737351</v>
      </c>
      <c r="AY25">
        <v>1</v>
      </c>
      <c r="AZ25">
        <v>0</v>
      </c>
      <c r="BA25">
        <v>26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ROUND(AT25*Source!I41*AH25*AL25,2)</f>
        <v>0</v>
      </c>
      <c r="CV25">
        <f>ROUND(Y25*Source!I41,9)</f>
        <v>0.42</v>
      </c>
      <c r="CW25">
        <v>0</v>
      </c>
      <c r="CX25">
        <f>ROUND(Y25*Source!I41,9)</f>
        <v>0.42</v>
      </c>
      <c r="CY25">
        <f>AD25</f>
        <v>0</v>
      </c>
      <c r="CZ25">
        <f>AH25</f>
        <v>0</v>
      </c>
      <c r="DA25">
        <f>AL25</f>
        <v>1</v>
      </c>
      <c r="DB25">
        <f>ROUND((ROUND(AT25*CZ25,2)*1.05),6)</f>
        <v>0</v>
      </c>
      <c r="DC25">
        <f>ROUND((ROUND(AT25*AG25,2)*1.05),6)</f>
        <v>0</v>
      </c>
      <c r="DD25" t="s">
        <v>3</v>
      </c>
      <c r="DE25" t="s">
        <v>3</v>
      </c>
      <c r="DF25">
        <f>ROUND(ROUND(AE25,2)*CX25,2)</f>
        <v>0</v>
      </c>
      <c r="DG25">
        <f>ROUND(ROUND(AF25,2)*CX25,2)</f>
        <v>0</v>
      </c>
      <c r="DH25">
        <f>ROUND(ROUND(AG25,2)*CX25,2)</f>
        <v>0</v>
      </c>
      <c r="DI25">
        <f t="shared" si="4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ROW(Source!A78)</f>
        <v>78</v>
      </c>
      <c r="B26">
        <v>57737055</v>
      </c>
      <c r="C26">
        <v>57737353</v>
      </c>
      <c r="D26">
        <v>47634407</v>
      </c>
      <c r="E26">
        <v>27786564</v>
      </c>
      <c r="F26">
        <v>1</v>
      </c>
      <c r="G26">
        <v>27786564</v>
      </c>
      <c r="H26">
        <v>1</v>
      </c>
      <c r="I26" t="s">
        <v>182</v>
      </c>
      <c r="J26" t="s">
        <v>3</v>
      </c>
      <c r="K26" t="s">
        <v>183</v>
      </c>
      <c r="L26">
        <v>1191</v>
      </c>
      <c r="N26">
        <v>1013</v>
      </c>
      <c r="O26" t="s">
        <v>184</v>
      </c>
      <c r="P26" t="s">
        <v>184</v>
      </c>
      <c r="Q26">
        <v>1</v>
      </c>
      <c r="W26">
        <v>0</v>
      </c>
      <c r="X26">
        <v>476480486</v>
      </c>
      <c r="Y26">
        <f>(AT26*1.05)</f>
        <v>16.59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15.8</v>
      </c>
      <c r="AU26" t="s">
        <v>24</v>
      </c>
      <c r="AV26">
        <v>1</v>
      </c>
      <c r="AW26">
        <v>2</v>
      </c>
      <c r="AX26">
        <v>57737366</v>
      </c>
      <c r="AY26">
        <v>1</v>
      </c>
      <c r="AZ26">
        <v>0</v>
      </c>
      <c r="BA26">
        <v>27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ROUND(AT26*Source!I78*AH26*AL26,2)</f>
        <v>0</v>
      </c>
      <c r="CV26">
        <f>ROUND(Y26*Source!I78,9)</f>
        <v>218.66449499999999</v>
      </c>
      <c r="CW26">
        <v>0</v>
      </c>
      <c r="CX26">
        <f>ROUND(Y26*Source!I78,9)</f>
        <v>218.66449499999999</v>
      </c>
      <c r="CY26">
        <f>AD26</f>
        <v>0</v>
      </c>
      <c r="CZ26">
        <f>AH26</f>
        <v>0</v>
      </c>
      <c r="DA26">
        <f>AL26</f>
        <v>1</v>
      </c>
      <c r="DB26">
        <f>ROUND((ROUND(AT26*CZ26,2)*1.05),6)</f>
        <v>0</v>
      </c>
      <c r="DC26">
        <f>ROUND((ROUND(AT26*AG26,2)*1.05),6)</f>
        <v>0</v>
      </c>
      <c r="DD26" t="s">
        <v>3</v>
      </c>
      <c r="DE26" t="s">
        <v>3</v>
      </c>
      <c r="DF26">
        <f>ROUND(ROUND(AE26,2)*CX26,2)</f>
        <v>0</v>
      </c>
      <c r="DG26">
        <f>ROUND(ROUND(AF26,2)*CX26,2)</f>
        <v>0</v>
      </c>
      <c r="DH26">
        <f>ROUND(ROUND(AG26,2)*CX26,2)</f>
        <v>0</v>
      </c>
      <c r="DI26">
        <f t="shared" si="4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ROW(Source!A78)</f>
        <v>78</v>
      </c>
      <c r="B27">
        <v>57737055</v>
      </c>
      <c r="C27">
        <v>57737353</v>
      </c>
      <c r="D27">
        <v>47767106</v>
      </c>
      <c r="E27">
        <v>1</v>
      </c>
      <c r="F27">
        <v>1</v>
      </c>
      <c r="G27">
        <v>27786564</v>
      </c>
      <c r="H27">
        <v>2</v>
      </c>
      <c r="I27" t="s">
        <v>230</v>
      </c>
      <c r="J27" t="s">
        <v>231</v>
      </c>
      <c r="K27" t="s">
        <v>232</v>
      </c>
      <c r="L27">
        <v>1368</v>
      </c>
      <c r="N27">
        <v>1011</v>
      </c>
      <c r="O27" t="s">
        <v>188</v>
      </c>
      <c r="P27" t="s">
        <v>188</v>
      </c>
      <c r="Q27">
        <v>1</v>
      </c>
      <c r="W27">
        <v>0</v>
      </c>
      <c r="X27">
        <v>-7781208</v>
      </c>
      <c r="Y27">
        <f>(AT27*1.05)</f>
        <v>0.53550000000000009</v>
      </c>
      <c r="AA27">
        <v>0</v>
      </c>
      <c r="AB27">
        <v>1140.27</v>
      </c>
      <c r="AC27">
        <v>464.7</v>
      </c>
      <c r="AD27">
        <v>0</v>
      </c>
      <c r="AE27">
        <v>0</v>
      </c>
      <c r="AF27">
        <v>83.1</v>
      </c>
      <c r="AG27">
        <v>12.62</v>
      </c>
      <c r="AH27">
        <v>0</v>
      </c>
      <c r="AI27">
        <v>1</v>
      </c>
      <c r="AJ27">
        <v>12.86</v>
      </c>
      <c r="AK27">
        <v>34.51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0.51</v>
      </c>
      <c r="AU27" t="s">
        <v>24</v>
      </c>
      <c r="AV27">
        <v>0</v>
      </c>
      <c r="AW27">
        <v>2</v>
      </c>
      <c r="AX27">
        <v>57737367</v>
      </c>
      <c r="AY27">
        <v>1</v>
      </c>
      <c r="AZ27">
        <v>0</v>
      </c>
      <c r="BA27">
        <v>28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ROUND(Y27*Source!I78*DO27,9)</f>
        <v>0</v>
      </c>
      <c r="CX27">
        <f>ROUND(Y27*Source!I78,9)</f>
        <v>7.0581577500000003</v>
      </c>
      <c r="CY27">
        <f>AB27</f>
        <v>1140.27</v>
      </c>
      <c r="CZ27">
        <f>AF27</f>
        <v>83.1</v>
      </c>
      <c r="DA27">
        <f>AJ27</f>
        <v>12.86</v>
      </c>
      <c r="DB27">
        <f>ROUND((ROUND(AT27*CZ27,2)*1.05),6)</f>
        <v>44.499000000000002</v>
      </c>
      <c r="DC27">
        <f>ROUND((ROUND(AT27*AG27,2)*1.05),6)</f>
        <v>6.7619999999999996</v>
      </c>
      <c r="DD27" t="s">
        <v>3</v>
      </c>
      <c r="DE27" t="s">
        <v>3</v>
      </c>
      <c r="DF27">
        <f>ROUND(ROUND(AE27,2)*CX27,2)</f>
        <v>0</v>
      </c>
      <c r="DG27">
        <f>ROUND(ROUND(AF27*AJ27,2)*CX27,2)</f>
        <v>7542.84</v>
      </c>
      <c r="DH27">
        <f>ROUND(ROUND(AG27*AK27,2)*CX27,2)</f>
        <v>3073.97</v>
      </c>
      <c r="DI27">
        <f t="shared" si="4"/>
        <v>0</v>
      </c>
      <c r="DJ27">
        <f>DG27</f>
        <v>7542.84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ROW(Source!A78)</f>
        <v>78</v>
      </c>
      <c r="B28">
        <v>57737055</v>
      </c>
      <c r="C28">
        <v>57737353</v>
      </c>
      <c r="D28">
        <v>47766535</v>
      </c>
      <c r="E28">
        <v>1</v>
      </c>
      <c r="F28">
        <v>1</v>
      </c>
      <c r="G28">
        <v>27786564</v>
      </c>
      <c r="H28">
        <v>2</v>
      </c>
      <c r="I28" t="s">
        <v>233</v>
      </c>
      <c r="J28" t="s">
        <v>234</v>
      </c>
      <c r="K28" t="s">
        <v>235</v>
      </c>
      <c r="L28">
        <v>1368</v>
      </c>
      <c r="N28">
        <v>1011</v>
      </c>
      <c r="O28" t="s">
        <v>188</v>
      </c>
      <c r="P28" t="s">
        <v>188</v>
      </c>
      <c r="Q28">
        <v>1</v>
      </c>
      <c r="W28">
        <v>0</v>
      </c>
      <c r="X28">
        <v>-1386352920</v>
      </c>
      <c r="Y28">
        <f>(AT28*1.05)</f>
        <v>3.5805000000000002</v>
      </c>
      <c r="AA28">
        <v>0</v>
      </c>
      <c r="AB28">
        <v>21.34</v>
      </c>
      <c r="AC28">
        <v>0</v>
      </c>
      <c r="AD28">
        <v>0</v>
      </c>
      <c r="AE28">
        <v>0</v>
      </c>
      <c r="AF28">
        <v>2.27</v>
      </c>
      <c r="AG28">
        <v>0</v>
      </c>
      <c r="AH28">
        <v>0</v>
      </c>
      <c r="AI28">
        <v>1</v>
      </c>
      <c r="AJ28">
        <v>8.81</v>
      </c>
      <c r="AK28">
        <v>34.51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3.41</v>
      </c>
      <c r="AU28" t="s">
        <v>24</v>
      </c>
      <c r="AV28">
        <v>0</v>
      </c>
      <c r="AW28">
        <v>2</v>
      </c>
      <c r="AX28">
        <v>57737368</v>
      </c>
      <c r="AY28">
        <v>1</v>
      </c>
      <c r="AZ28">
        <v>0</v>
      </c>
      <c r="BA28">
        <v>29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ROUND(Y28*Source!I78*DO28,9)</f>
        <v>0</v>
      </c>
      <c r="CX28">
        <f>ROUND(Y28*Source!I78,9)</f>
        <v>47.192780249999998</v>
      </c>
      <c r="CY28">
        <f>AB28</f>
        <v>21.34</v>
      </c>
      <c r="CZ28">
        <f>AF28</f>
        <v>2.27</v>
      </c>
      <c r="DA28">
        <f>AJ28</f>
        <v>8.81</v>
      </c>
      <c r="DB28">
        <f>ROUND((ROUND(AT28*CZ28,2)*1.05),6)</f>
        <v>8.1270000000000007</v>
      </c>
      <c r="DC28">
        <f>ROUND((ROUND(AT28*AG28,2)*1.05),6)</f>
        <v>0</v>
      </c>
      <c r="DD28" t="s">
        <v>3</v>
      </c>
      <c r="DE28" t="s">
        <v>3</v>
      </c>
      <c r="DF28">
        <f>ROUND(ROUND(AE28,2)*CX28,2)</f>
        <v>0</v>
      </c>
      <c r="DG28">
        <f>ROUND(ROUND(AF28*AJ28,2)*CX28,2)</f>
        <v>943.86</v>
      </c>
      <c r="DH28">
        <f>ROUND(ROUND(AG28*AK28,2)*CX28,2)</f>
        <v>0</v>
      </c>
      <c r="DI28">
        <f t="shared" si="4"/>
        <v>0</v>
      </c>
      <c r="DJ28">
        <f>DG28</f>
        <v>943.86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ROW(Source!A78)</f>
        <v>78</v>
      </c>
      <c r="B29">
        <v>57737055</v>
      </c>
      <c r="C29">
        <v>57737353</v>
      </c>
      <c r="D29">
        <v>47766545</v>
      </c>
      <c r="E29">
        <v>1</v>
      </c>
      <c r="F29">
        <v>1</v>
      </c>
      <c r="G29">
        <v>27786564</v>
      </c>
      <c r="H29">
        <v>2</v>
      </c>
      <c r="I29" t="s">
        <v>236</v>
      </c>
      <c r="J29" t="s">
        <v>237</v>
      </c>
      <c r="K29" t="s">
        <v>238</v>
      </c>
      <c r="L29">
        <v>1368</v>
      </c>
      <c r="N29">
        <v>1011</v>
      </c>
      <c r="O29" t="s">
        <v>188</v>
      </c>
      <c r="P29" t="s">
        <v>188</v>
      </c>
      <c r="Q29">
        <v>1</v>
      </c>
      <c r="W29">
        <v>0</v>
      </c>
      <c r="X29">
        <v>1766156404</v>
      </c>
      <c r="Y29">
        <f>(AT29*1.05)</f>
        <v>3.8534999999999999</v>
      </c>
      <c r="AA29">
        <v>0</v>
      </c>
      <c r="AB29">
        <v>6.51</v>
      </c>
      <c r="AC29">
        <v>0</v>
      </c>
      <c r="AD29">
        <v>0</v>
      </c>
      <c r="AE29">
        <v>0</v>
      </c>
      <c r="AF29">
        <v>0.73</v>
      </c>
      <c r="AG29">
        <v>0</v>
      </c>
      <c r="AH29">
        <v>0</v>
      </c>
      <c r="AI29">
        <v>1</v>
      </c>
      <c r="AJ29">
        <v>8.36</v>
      </c>
      <c r="AK29">
        <v>34.51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3.67</v>
      </c>
      <c r="AU29" t="s">
        <v>24</v>
      </c>
      <c r="AV29">
        <v>0</v>
      </c>
      <c r="AW29">
        <v>2</v>
      </c>
      <c r="AX29">
        <v>57737369</v>
      </c>
      <c r="AY29">
        <v>1</v>
      </c>
      <c r="AZ29">
        <v>0</v>
      </c>
      <c r="BA29">
        <v>30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f>ROUND(Y29*Source!I78*DO29,9)</f>
        <v>0</v>
      </c>
      <c r="CX29">
        <f>ROUND(Y29*Source!I78,9)</f>
        <v>50.791056750000003</v>
      </c>
      <c r="CY29">
        <f>AB29</f>
        <v>6.51</v>
      </c>
      <c r="CZ29">
        <f>AF29</f>
        <v>0.73</v>
      </c>
      <c r="DA29">
        <f>AJ29</f>
        <v>8.36</v>
      </c>
      <c r="DB29">
        <f>ROUND((ROUND(AT29*CZ29,2)*1.05),6)</f>
        <v>2.8140000000000001</v>
      </c>
      <c r="DC29">
        <f>ROUND((ROUND(AT29*AG29,2)*1.05),6)</f>
        <v>0</v>
      </c>
      <c r="DD29" t="s">
        <v>3</v>
      </c>
      <c r="DE29" t="s">
        <v>3</v>
      </c>
      <c r="DF29">
        <f>ROUND(ROUND(AE29,2)*CX29,2)</f>
        <v>0</v>
      </c>
      <c r="DG29">
        <f>ROUND(ROUND(AF29*AJ29,2)*CX29,2)</f>
        <v>309.83</v>
      </c>
      <c r="DH29">
        <f>ROUND(ROUND(AG29*AK29,2)*CX29,2)</f>
        <v>0</v>
      </c>
      <c r="DI29">
        <f t="shared" si="4"/>
        <v>0</v>
      </c>
      <c r="DJ29">
        <f>DG29</f>
        <v>309.83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ROW(Source!A78)</f>
        <v>78</v>
      </c>
      <c r="B30">
        <v>57737055</v>
      </c>
      <c r="C30">
        <v>57737353</v>
      </c>
      <c r="D30">
        <v>46723498</v>
      </c>
      <c r="E30">
        <v>1</v>
      </c>
      <c r="F30">
        <v>1</v>
      </c>
      <c r="G30">
        <v>27786564</v>
      </c>
      <c r="H30">
        <v>3</v>
      </c>
      <c r="I30" t="s">
        <v>239</v>
      </c>
      <c r="J30" t="s">
        <v>240</v>
      </c>
      <c r="K30" t="s">
        <v>241</v>
      </c>
      <c r="L30">
        <v>1348</v>
      </c>
      <c r="N30">
        <v>1009</v>
      </c>
      <c r="O30" t="s">
        <v>210</v>
      </c>
      <c r="P30" t="s">
        <v>210</v>
      </c>
      <c r="Q30">
        <v>1000</v>
      </c>
      <c r="W30">
        <v>0</v>
      </c>
      <c r="X30">
        <v>975641442</v>
      </c>
      <c r="Y30">
        <f t="shared" ref="Y30:Y37" si="17">AT30</f>
        <v>6.0000000000000002E-5</v>
      </c>
      <c r="AA30">
        <v>83856.09</v>
      </c>
      <c r="AB30">
        <v>0</v>
      </c>
      <c r="AC30">
        <v>0</v>
      </c>
      <c r="AD30">
        <v>0</v>
      </c>
      <c r="AE30">
        <v>11242.42</v>
      </c>
      <c r="AF30">
        <v>0</v>
      </c>
      <c r="AG30">
        <v>0</v>
      </c>
      <c r="AH30">
        <v>0</v>
      </c>
      <c r="AI30">
        <v>6.9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6.0000000000000002E-5</v>
      </c>
      <c r="AU30" t="s">
        <v>3</v>
      </c>
      <c r="AV30">
        <v>0</v>
      </c>
      <c r="AW30">
        <v>2</v>
      </c>
      <c r="AX30">
        <v>57737370</v>
      </c>
      <c r="AY30">
        <v>1</v>
      </c>
      <c r="AZ30">
        <v>0</v>
      </c>
      <c r="BA30">
        <v>31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ROUND(Y30*Source!I78,9)</f>
        <v>7.9082999999999996E-4</v>
      </c>
      <c r="CY30">
        <f t="shared" ref="CY30:CY37" si="18">AA30</f>
        <v>83856.09</v>
      </c>
      <c r="CZ30">
        <f t="shared" ref="CZ30:CZ37" si="19">AE30</f>
        <v>11242.42</v>
      </c>
      <c r="DA30">
        <f t="shared" ref="DA30:DA37" si="20">AI30</f>
        <v>6.9</v>
      </c>
      <c r="DB30">
        <f t="shared" ref="DB30:DB37" si="21">ROUND(ROUND(AT30*CZ30,2),6)</f>
        <v>0.67</v>
      </c>
      <c r="DC30">
        <f t="shared" ref="DC30:DC37" si="22">ROUND(ROUND(AT30*AG30,2),6)</f>
        <v>0</v>
      </c>
      <c r="DD30" t="s">
        <v>3</v>
      </c>
      <c r="DE30" t="s">
        <v>3</v>
      </c>
      <c r="DF30">
        <f t="shared" ref="DF30:DF37" si="23">ROUND(ROUND(AE30*AI30,2)*CX30,2)</f>
        <v>61.35</v>
      </c>
      <c r="DG30">
        <f t="shared" ref="DG30:DG37" si="24">ROUND(ROUND(AF30,2)*CX30,2)</f>
        <v>0</v>
      </c>
      <c r="DH30">
        <f t="shared" ref="DH30:DH37" si="25">ROUND(ROUND(AG30,2)*CX30,2)</f>
        <v>0</v>
      </c>
      <c r="DI30">
        <f t="shared" si="4"/>
        <v>0</v>
      </c>
      <c r="DJ30">
        <f t="shared" ref="DJ30:DJ37" si="26">DF30</f>
        <v>61.35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ROW(Source!A78)</f>
        <v>78</v>
      </c>
      <c r="B31">
        <v>57737055</v>
      </c>
      <c r="C31">
        <v>57737353</v>
      </c>
      <c r="D31">
        <v>45796980</v>
      </c>
      <c r="E31">
        <v>1</v>
      </c>
      <c r="F31">
        <v>1</v>
      </c>
      <c r="G31">
        <v>27786564</v>
      </c>
      <c r="H31">
        <v>3</v>
      </c>
      <c r="I31" t="s">
        <v>242</v>
      </c>
      <c r="J31" t="s">
        <v>243</v>
      </c>
      <c r="K31" t="s">
        <v>244</v>
      </c>
      <c r="L31">
        <v>1346</v>
      </c>
      <c r="N31">
        <v>1009</v>
      </c>
      <c r="O31" t="s">
        <v>42</v>
      </c>
      <c r="P31" t="s">
        <v>42</v>
      </c>
      <c r="Q31">
        <v>1</v>
      </c>
      <c r="W31">
        <v>0</v>
      </c>
      <c r="X31">
        <v>1533725368</v>
      </c>
      <c r="Y31">
        <f t="shared" si="17"/>
        <v>0.8</v>
      </c>
      <c r="AA31">
        <v>211.96</v>
      </c>
      <c r="AB31">
        <v>0</v>
      </c>
      <c r="AC31">
        <v>0</v>
      </c>
      <c r="AD31">
        <v>0</v>
      </c>
      <c r="AE31">
        <v>25.8</v>
      </c>
      <c r="AF31">
        <v>0</v>
      </c>
      <c r="AG31">
        <v>0</v>
      </c>
      <c r="AH31">
        <v>0</v>
      </c>
      <c r="AI31">
        <v>7.6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0.8</v>
      </c>
      <c r="AU31" t="s">
        <v>3</v>
      </c>
      <c r="AV31">
        <v>0</v>
      </c>
      <c r="AW31">
        <v>2</v>
      </c>
      <c r="AX31">
        <v>57737371</v>
      </c>
      <c r="AY31">
        <v>1</v>
      </c>
      <c r="AZ31">
        <v>0</v>
      </c>
      <c r="BA31">
        <v>32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ROUND(Y31*Source!I78,9)</f>
        <v>10.5444</v>
      </c>
      <c r="CY31">
        <f t="shared" si="18"/>
        <v>211.96</v>
      </c>
      <c r="CZ31">
        <f t="shared" si="19"/>
        <v>25.8</v>
      </c>
      <c r="DA31">
        <f t="shared" si="20"/>
        <v>7.6</v>
      </c>
      <c r="DB31">
        <f t="shared" si="21"/>
        <v>20.64</v>
      </c>
      <c r="DC31">
        <f t="shared" si="22"/>
        <v>0</v>
      </c>
      <c r="DD31" t="s">
        <v>3</v>
      </c>
      <c r="DE31" t="s">
        <v>3</v>
      </c>
      <c r="DF31">
        <f t="shared" si="23"/>
        <v>2067.5500000000002</v>
      </c>
      <c r="DG31">
        <f t="shared" si="24"/>
        <v>0</v>
      </c>
      <c r="DH31">
        <f t="shared" si="25"/>
        <v>0</v>
      </c>
      <c r="DI31">
        <f t="shared" si="4"/>
        <v>0</v>
      </c>
      <c r="DJ31">
        <f t="shared" si="26"/>
        <v>2067.5500000000002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ROW(Source!A78)</f>
        <v>78</v>
      </c>
      <c r="B32">
        <v>57737055</v>
      </c>
      <c r="C32">
        <v>57737353</v>
      </c>
      <c r="D32">
        <v>46723689</v>
      </c>
      <c r="E32">
        <v>1</v>
      </c>
      <c r="F32">
        <v>1</v>
      </c>
      <c r="G32">
        <v>27786564</v>
      </c>
      <c r="H32">
        <v>3</v>
      </c>
      <c r="I32" t="s">
        <v>245</v>
      </c>
      <c r="J32" t="s">
        <v>246</v>
      </c>
      <c r="K32" t="s">
        <v>247</v>
      </c>
      <c r="L32">
        <v>1348</v>
      </c>
      <c r="N32">
        <v>1009</v>
      </c>
      <c r="O32" t="s">
        <v>210</v>
      </c>
      <c r="P32" t="s">
        <v>210</v>
      </c>
      <c r="Q32">
        <v>1000</v>
      </c>
      <c r="W32">
        <v>0</v>
      </c>
      <c r="X32">
        <v>-1817633629</v>
      </c>
      <c r="Y32">
        <f t="shared" si="17"/>
        <v>5.0000000000000001E-4</v>
      </c>
      <c r="AA32">
        <v>1617949.24</v>
      </c>
      <c r="AB32">
        <v>0</v>
      </c>
      <c r="AC32">
        <v>0</v>
      </c>
      <c r="AD32">
        <v>0</v>
      </c>
      <c r="AE32">
        <v>60966</v>
      </c>
      <c r="AF32">
        <v>0</v>
      </c>
      <c r="AG32">
        <v>0</v>
      </c>
      <c r="AH32">
        <v>0</v>
      </c>
      <c r="AI32">
        <v>24.55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5.0000000000000001E-4</v>
      </c>
      <c r="AU32" t="s">
        <v>3</v>
      </c>
      <c r="AV32">
        <v>0</v>
      </c>
      <c r="AW32">
        <v>2</v>
      </c>
      <c r="AX32">
        <v>57737372</v>
      </c>
      <c r="AY32">
        <v>1</v>
      </c>
      <c r="AZ32">
        <v>0</v>
      </c>
      <c r="BA32">
        <v>33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ROUND(Y32*Source!I78,9)</f>
        <v>6.5902499999999998E-3</v>
      </c>
      <c r="CY32">
        <f t="shared" si="18"/>
        <v>1617949.24</v>
      </c>
      <c r="CZ32">
        <f t="shared" si="19"/>
        <v>60966</v>
      </c>
      <c r="DA32">
        <f t="shared" si="20"/>
        <v>24.55</v>
      </c>
      <c r="DB32">
        <f t="shared" si="21"/>
        <v>30.48</v>
      </c>
      <c r="DC32">
        <f t="shared" si="22"/>
        <v>0</v>
      </c>
      <c r="DD32" t="s">
        <v>3</v>
      </c>
      <c r="DE32" t="s">
        <v>3</v>
      </c>
      <c r="DF32">
        <f t="shared" si="23"/>
        <v>9863.73</v>
      </c>
      <c r="DG32">
        <f t="shared" si="24"/>
        <v>0</v>
      </c>
      <c r="DH32">
        <f t="shared" si="25"/>
        <v>0</v>
      </c>
      <c r="DI32">
        <f t="shared" si="4"/>
        <v>0</v>
      </c>
      <c r="DJ32">
        <f t="shared" si="26"/>
        <v>9863.73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ROW(Source!A78)</f>
        <v>78</v>
      </c>
      <c r="B33">
        <v>57737055</v>
      </c>
      <c r="C33">
        <v>57737353</v>
      </c>
      <c r="D33">
        <v>46723704</v>
      </c>
      <c r="E33">
        <v>1</v>
      </c>
      <c r="F33">
        <v>1</v>
      </c>
      <c r="G33">
        <v>27786564</v>
      </c>
      <c r="H33">
        <v>3</v>
      </c>
      <c r="I33" t="s">
        <v>248</v>
      </c>
      <c r="J33" t="s">
        <v>249</v>
      </c>
      <c r="K33" t="s">
        <v>250</v>
      </c>
      <c r="L33">
        <v>1348</v>
      </c>
      <c r="N33">
        <v>1009</v>
      </c>
      <c r="O33" t="s">
        <v>210</v>
      </c>
      <c r="P33" t="s">
        <v>210</v>
      </c>
      <c r="Q33">
        <v>1000</v>
      </c>
      <c r="W33">
        <v>0</v>
      </c>
      <c r="X33">
        <v>1862018911</v>
      </c>
      <c r="Y33">
        <f t="shared" si="17"/>
        <v>4.0000000000000003E-5</v>
      </c>
      <c r="AA33">
        <v>94661.04</v>
      </c>
      <c r="AB33">
        <v>0</v>
      </c>
      <c r="AC33">
        <v>0</v>
      </c>
      <c r="AD33">
        <v>0</v>
      </c>
      <c r="AE33">
        <v>7982.5</v>
      </c>
      <c r="AF33">
        <v>0</v>
      </c>
      <c r="AG33">
        <v>0</v>
      </c>
      <c r="AH33">
        <v>0</v>
      </c>
      <c r="AI33">
        <v>10.97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4.0000000000000003E-5</v>
      </c>
      <c r="AU33" t="s">
        <v>3</v>
      </c>
      <c r="AV33">
        <v>0</v>
      </c>
      <c r="AW33">
        <v>2</v>
      </c>
      <c r="AX33">
        <v>57737373</v>
      </c>
      <c r="AY33">
        <v>1</v>
      </c>
      <c r="AZ33">
        <v>0</v>
      </c>
      <c r="BA33">
        <v>34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ROUND(Y33*Source!I78,9)</f>
        <v>5.2722000000000001E-4</v>
      </c>
      <c r="CY33">
        <f t="shared" si="18"/>
        <v>94661.04</v>
      </c>
      <c r="CZ33">
        <f t="shared" si="19"/>
        <v>7982.5</v>
      </c>
      <c r="DA33">
        <f t="shared" si="20"/>
        <v>10.97</v>
      </c>
      <c r="DB33">
        <f t="shared" si="21"/>
        <v>0.32</v>
      </c>
      <c r="DC33">
        <f t="shared" si="22"/>
        <v>0</v>
      </c>
      <c r="DD33" t="s">
        <v>3</v>
      </c>
      <c r="DE33" t="s">
        <v>3</v>
      </c>
      <c r="DF33">
        <f t="shared" si="23"/>
        <v>46.17</v>
      </c>
      <c r="DG33">
        <f t="shared" si="24"/>
        <v>0</v>
      </c>
      <c r="DH33">
        <f t="shared" si="25"/>
        <v>0</v>
      </c>
      <c r="DI33">
        <f t="shared" si="4"/>
        <v>0</v>
      </c>
      <c r="DJ33">
        <f t="shared" si="26"/>
        <v>46.17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ROW(Source!A78)</f>
        <v>78</v>
      </c>
      <c r="B34">
        <v>57737055</v>
      </c>
      <c r="C34">
        <v>57737353</v>
      </c>
      <c r="D34">
        <v>52048144</v>
      </c>
      <c r="E34">
        <v>1</v>
      </c>
      <c r="F34">
        <v>1</v>
      </c>
      <c r="G34">
        <v>27786564</v>
      </c>
      <c r="H34">
        <v>3</v>
      </c>
      <c r="I34" t="s">
        <v>251</v>
      </c>
      <c r="J34" t="s">
        <v>252</v>
      </c>
      <c r="K34" t="s">
        <v>253</v>
      </c>
      <c r="L34">
        <v>1356</v>
      </c>
      <c r="N34">
        <v>1010</v>
      </c>
      <c r="O34" t="s">
        <v>254</v>
      </c>
      <c r="P34" t="s">
        <v>254</v>
      </c>
      <c r="Q34">
        <v>1000</v>
      </c>
      <c r="W34">
        <v>0</v>
      </c>
      <c r="X34">
        <v>1183006993</v>
      </c>
      <c r="Y34">
        <f t="shared" si="17"/>
        <v>4.0999999999999999E-4</v>
      </c>
      <c r="AA34">
        <v>1470.25</v>
      </c>
      <c r="AB34">
        <v>0</v>
      </c>
      <c r="AC34">
        <v>0</v>
      </c>
      <c r="AD34">
        <v>0</v>
      </c>
      <c r="AE34">
        <v>226.68</v>
      </c>
      <c r="AF34">
        <v>0</v>
      </c>
      <c r="AG34">
        <v>0</v>
      </c>
      <c r="AH34">
        <v>0</v>
      </c>
      <c r="AI34">
        <v>6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4.0999999999999999E-4</v>
      </c>
      <c r="AU34" t="s">
        <v>3</v>
      </c>
      <c r="AV34">
        <v>0</v>
      </c>
      <c r="AW34">
        <v>2</v>
      </c>
      <c r="AX34">
        <v>57737374</v>
      </c>
      <c r="AY34">
        <v>1</v>
      </c>
      <c r="AZ34">
        <v>0</v>
      </c>
      <c r="BA34">
        <v>35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ROUND(Y34*Source!I78,9)</f>
        <v>5.4040049999999999E-3</v>
      </c>
      <c r="CY34">
        <f t="shared" si="18"/>
        <v>1470.25</v>
      </c>
      <c r="CZ34">
        <f t="shared" si="19"/>
        <v>226.68</v>
      </c>
      <c r="DA34">
        <f t="shared" si="20"/>
        <v>6</v>
      </c>
      <c r="DB34">
        <f t="shared" si="21"/>
        <v>0.09</v>
      </c>
      <c r="DC34">
        <f t="shared" si="22"/>
        <v>0</v>
      </c>
      <c r="DD34" t="s">
        <v>3</v>
      </c>
      <c r="DE34" t="s">
        <v>3</v>
      </c>
      <c r="DF34">
        <f t="shared" si="23"/>
        <v>7.35</v>
      </c>
      <c r="DG34">
        <f t="shared" si="24"/>
        <v>0</v>
      </c>
      <c r="DH34">
        <f t="shared" si="25"/>
        <v>0</v>
      </c>
      <c r="DI34">
        <f t="shared" si="4"/>
        <v>0</v>
      </c>
      <c r="DJ34">
        <f t="shared" si="26"/>
        <v>7.35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ROW(Source!A78)</f>
        <v>78</v>
      </c>
      <c r="B35">
        <v>57737055</v>
      </c>
      <c r="C35">
        <v>57737353</v>
      </c>
      <c r="D35">
        <v>46735506</v>
      </c>
      <c r="E35">
        <v>1</v>
      </c>
      <c r="F35">
        <v>1</v>
      </c>
      <c r="G35">
        <v>27786564</v>
      </c>
      <c r="H35">
        <v>3</v>
      </c>
      <c r="I35" t="s">
        <v>255</v>
      </c>
      <c r="J35" t="s">
        <v>256</v>
      </c>
      <c r="K35" t="s">
        <v>257</v>
      </c>
      <c r="L35">
        <v>1301</v>
      </c>
      <c r="N35">
        <v>1003</v>
      </c>
      <c r="O35" t="s">
        <v>51</v>
      </c>
      <c r="P35" t="s">
        <v>51</v>
      </c>
      <c r="Q35">
        <v>1</v>
      </c>
      <c r="W35">
        <v>0</v>
      </c>
      <c r="X35">
        <v>1159735927</v>
      </c>
      <c r="Y35">
        <f t="shared" si="17"/>
        <v>0.96</v>
      </c>
      <c r="AA35">
        <v>5.0999999999999996</v>
      </c>
      <c r="AB35">
        <v>0</v>
      </c>
      <c r="AC35">
        <v>0</v>
      </c>
      <c r="AD35">
        <v>0</v>
      </c>
      <c r="AE35">
        <v>0.7</v>
      </c>
      <c r="AF35">
        <v>0</v>
      </c>
      <c r="AG35">
        <v>0</v>
      </c>
      <c r="AH35">
        <v>0</v>
      </c>
      <c r="AI35">
        <v>6.74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0.96</v>
      </c>
      <c r="AU35" t="s">
        <v>3</v>
      </c>
      <c r="AV35">
        <v>0</v>
      </c>
      <c r="AW35">
        <v>2</v>
      </c>
      <c r="AX35">
        <v>57737375</v>
      </c>
      <c r="AY35">
        <v>1</v>
      </c>
      <c r="AZ35">
        <v>0</v>
      </c>
      <c r="BA35">
        <v>36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ROUND(Y35*Source!I78,9)</f>
        <v>12.653280000000001</v>
      </c>
      <c r="CY35">
        <f t="shared" si="18"/>
        <v>5.0999999999999996</v>
      </c>
      <c r="CZ35">
        <f t="shared" si="19"/>
        <v>0.7</v>
      </c>
      <c r="DA35">
        <f t="shared" si="20"/>
        <v>6.74</v>
      </c>
      <c r="DB35">
        <f t="shared" si="21"/>
        <v>0.67</v>
      </c>
      <c r="DC35">
        <f t="shared" si="22"/>
        <v>0</v>
      </c>
      <c r="DD35" t="s">
        <v>3</v>
      </c>
      <c r="DE35" t="s">
        <v>3</v>
      </c>
      <c r="DF35">
        <f t="shared" si="23"/>
        <v>59.72</v>
      </c>
      <c r="DG35">
        <f t="shared" si="24"/>
        <v>0</v>
      </c>
      <c r="DH35">
        <f t="shared" si="25"/>
        <v>0</v>
      </c>
      <c r="DI35">
        <f t="shared" si="4"/>
        <v>0</v>
      </c>
      <c r="DJ35">
        <f t="shared" si="26"/>
        <v>59.72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ROW(Source!A78)</f>
        <v>78</v>
      </c>
      <c r="B36">
        <v>57737055</v>
      </c>
      <c r="C36">
        <v>57737353</v>
      </c>
      <c r="D36">
        <v>46735508</v>
      </c>
      <c r="E36">
        <v>1</v>
      </c>
      <c r="F36">
        <v>1</v>
      </c>
      <c r="G36">
        <v>27786564</v>
      </c>
      <c r="H36">
        <v>3</v>
      </c>
      <c r="I36" t="s">
        <v>258</v>
      </c>
      <c r="J36" t="s">
        <v>259</v>
      </c>
      <c r="K36" t="s">
        <v>260</v>
      </c>
      <c r="L36">
        <v>1356</v>
      </c>
      <c r="N36">
        <v>1010</v>
      </c>
      <c r="O36" t="s">
        <v>254</v>
      </c>
      <c r="P36" t="s">
        <v>254</v>
      </c>
      <c r="Q36">
        <v>1000</v>
      </c>
      <c r="W36">
        <v>0</v>
      </c>
      <c r="X36">
        <v>1674776227</v>
      </c>
      <c r="Y36">
        <f t="shared" si="17"/>
        <v>8.3199999999999993E-3</v>
      </c>
      <c r="AA36">
        <v>229.8</v>
      </c>
      <c r="AB36">
        <v>0</v>
      </c>
      <c r="AC36">
        <v>0</v>
      </c>
      <c r="AD36">
        <v>0</v>
      </c>
      <c r="AE36">
        <v>6.44</v>
      </c>
      <c r="AF36">
        <v>0</v>
      </c>
      <c r="AG36">
        <v>0</v>
      </c>
      <c r="AH36">
        <v>0</v>
      </c>
      <c r="AI36">
        <v>33.01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8.3199999999999993E-3</v>
      </c>
      <c r="AU36" t="s">
        <v>3</v>
      </c>
      <c r="AV36">
        <v>0</v>
      </c>
      <c r="AW36">
        <v>2</v>
      </c>
      <c r="AX36">
        <v>57737376</v>
      </c>
      <c r="AY36">
        <v>1</v>
      </c>
      <c r="AZ36">
        <v>0</v>
      </c>
      <c r="BA36">
        <v>37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ROUND(Y36*Source!I78,9)</f>
        <v>0.10966176</v>
      </c>
      <c r="CY36">
        <f t="shared" si="18"/>
        <v>229.8</v>
      </c>
      <c r="CZ36">
        <f t="shared" si="19"/>
        <v>6.44</v>
      </c>
      <c r="DA36">
        <f t="shared" si="20"/>
        <v>33.01</v>
      </c>
      <c r="DB36">
        <f t="shared" si="21"/>
        <v>0.05</v>
      </c>
      <c r="DC36">
        <f t="shared" si="22"/>
        <v>0</v>
      </c>
      <c r="DD36" t="s">
        <v>3</v>
      </c>
      <c r="DE36" t="s">
        <v>3</v>
      </c>
      <c r="DF36">
        <f t="shared" si="23"/>
        <v>23.31</v>
      </c>
      <c r="DG36">
        <f t="shared" si="24"/>
        <v>0</v>
      </c>
      <c r="DH36">
        <f t="shared" si="25"/>
        <v>0</v>
      </c>
      <c r="DI36">
        <f t="shared" si="4"/>
        <v>0</v>
      </c>
      <c r="DJ36">
        <f t="shared" si="26"/>
        <v>23.31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ROW(Source!A78)</f>
        <v>78</v>
      </c>
      <c r="B37">
        <v>57737055</v>
      </c>
      <c r="C37">
        <v>57737353</v>
      </c>
      <c r="D37">
        <v>52049651</v>
      </c>
      <c r="E37">
        <v>1</v>
      </c>
      <c r="F37">
        <v>1</v>
      </c>
      <c r="G37">
        <v>27786564</v>
      </c>
      <c r="H37">
        <v>3</v>
      </c>
      <c r="I37" t="s">
        <v>153</v>
      </c>
      <c r="J37" t="s">
        <v>156</v>
      </c>
      <c r="K37" t="s">
        <v>154</v>
      </c>
      <c r="L37">
        <v>1303</v>
      </c>
      <c r="N37">
        <v>1003</v>
      </c>
      <c r="O37" t="s">
        <v>155</v>
      </c>
      <c r="P37" t="s">
        <v>155</v>
      </c>
      <c r="Q37">
        <v>1000</v>
      </c>
      <c r="W37">
        <v>0</v>
      </c>
      <c r="X37">
        <v>61579043</v>
      </c>
      <c r="Y37">
        <f t="shared" si="17"/>
        <v>0.10199999999999999</v>
      </c>
      <c r="AA37">
        <v>647382.9</v>
      </c>
      <c r="AB37">
        <v>0</v>
      </c>
      <c r="AC37">
        <v>0</v>
      </c>
      <c r="AD37">
        <v>0</v>
      </c>
      <c r="AE37">
        <v>81534.37</v>
      </c>
      <c r="AF37">
        <v>0</v>
      </c>
      <c r="AG37">
        <v>0</v>
      </c>
      <c r="AH37">
        <v>0</v>
      </c>
      <c r="AI37">
        <v>7.94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3</v>
      </c>
      <c r="AT37">
        <v>0.10199999999999999</v>
      </c>
      <c r="AU37" t="s">
        <v>3</v>
      </c>
      <c r="AV37">
        <v>0</v>
      </c>
      <c r="AW37">
        <v>1</v>
      </c>
      <c r="AX37">
        <v>-1</v>
      </c>
      <c r="AY37">
        <v>0</v>
      </c>
      <c r="AZ37">
        <v>0</v>
      </c>
      <c r="BA37" t="s">
        <v>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ROUND(Y37*Source!I78,9)</f>
        <v>1.344411</v>
      </c>
      <c r="CY37">
        <f t="shared" si="18"/>
        <v>647382.9</v>
      </c>
      <c r="CZ37">
        <f t="shared" si="19"/>
        <v>81534.37</v>
      </c>
      <c r="DA37">
        <f t="shared" si="20"/>
        <v>7.94</v>
      </c>
      <c r="DB37">
        <f t="shared" si="21"/>
        <v>8316.51</v>
      </c>
      <c r="DC37">
        <f t="shared" si="22"/>
        <v>0</v>
      </c>
      <c r="DD37" t="s">
        <v>3</v>
      </c>
      <c r="DE37" t="s">
        <v>3</v>
      </c>
      <c r="DF37">
        <f t="shared" si="23"/>
        <v>870348.69</v>
      </c>
      <c r="DG37">
        <f t="shared" si="24"/>
        <v>0</v>
      </c>
      <c r="DH37">
        <f t="shared" si="25"/>
        <v>0</v>
      </c>
      <c r="DI37">
        <f t="shared" si="4"/>
        <v>0</v>
      </c>
      <c r="DJ37">
        <f t="shared" si="26"/>
        <v>870348.69</v>
      </c>
      <c r="DK37">
        <v>0</v>
      </c>
      <c r="DL37" t="s">
        <v>3</v>
      </c>
      <c r="DM37">
        <v>0</v>
      </c>
      <c r="DN37" t="s">
        <v>3</v>
      </c>
      <c r="DO37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CED6-BB01-4C3E-BF0E-6C7917E34CBF}">
  <dimension ref="A1:AR4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ROW(Source!A32)</f>
        <v>32</v>
      </c>
      <c r="B1">
        <v>57737293</v>
      </c>
      <c r="C1">
        <v>57737291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182</v>
      </c>
      <c r="J1" t="s">
        <v>3</v>
      </c>
      <c r="K1" t="s">
        <v>183</v>
      </c>
      <c r="L1">
        <v>1191</v>
      </c>
      <c r="N1">
        <v>1013</v>
      </c>
      <c r="O1" t="s">
        <v>184</v>
      </c>
      <c r="P1" t="s">
        <v>184</v>
      </c>
      <c r="Q1">
        <v>1</v>
      </c>
      <c r="X1">
        <v>192.7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202.33500000000001</v>
      </c>
      <c r="AH1">
        <v>2</v>
      </c>
      <c r="AI1">
        <v>57737292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ROW(Source!A33)</f>
        <v>33</v>
      </c>
      <c r="B2">
        <v>57737296</v>
      </c>
      <c r="C2">
        <v>57737294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182</v>
      </c>
      <c r="J2" t="s">
        <v>3</v>
      </c>
      <c r="K2" t="s">
        <v>183</v>
      </c>
      <c r="L2">
        <v>1191</v>
      </c>
      <c r="N2">
        <v>1013</v>
      </c>
      <c r="O2" t="s">
        <v>184</v>
      </c>
      <c r="P2" t="s">
        <v>184</v>
      </c>
      <c r="Q2">
        <v>1</v>
      </c>
      <c r="X2">
        <v>107.04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24</v>
      </c>
      <c r="AG2">
        <v>112.39200000000001</v>
      </c>
      <c r="AH2">
        <v>2</v>
      </c>
      <c r="AI2">
        <v>57737295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ROW(Source!A34)</f>
        <v>34</v>
      </c>
      <c r="B3">
        <v>57737311</v>
      </c>
      <c r="C3">
        <v>57737297</v>
      </c>
      <c r="D3">
        <v>47634407</v>
      </c>
      <c r="E3">
        <v>27786564</v>
      </c>
      <c r="F3">
        <v>1</v>
      </c>
      <c r="G3">
        <v>27786564</v>
      </c>
      <c r="H3">
        <v>1</v>
      </c>
      <c r="I3" t="s">
        <v>182</v>
      </c>
      <c r="J3" t="s">
        <v>3</v>
      </c>
      <c r="K3" t="s">
        <v>183</v>
      </c>
      <c r="L3">
        <v>1191</v>
      </c>
      <c r="N3">
        <v>1013</v>
      </c>
      <c r="O3" t="s">
        <v>184</v>
      </c>
      <c r="P3" t="s">
        <v>184</v>
      </c>
      <c r="Q3">
        <v>1</v>
      </c>
      <c r="X3">
        <v>2.08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24</v>
      </c>
      <c r="AG3">
        <v>2.1840000000000002</v>
      </c>
      <c r="AH3">
        <v>2</v>
      </c>
      <c r="AI3">
        <v>57737310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ROW(Source!A34)</f>
        <v>34</v>
      </c>
      <c r="B4">
        <v>57737312</v>
      </c>
      <c r="C4">
        <v>57737297</v>
      </c>
      <c r="D4">
        <v>47766829</v>
      </c>
      <c r="E4">
        <v>1</v>
      </c>
      <c r="F4">
        <v>1</v>
      </c>
      <c r="G4">
        <v>27786564</v>
      </c>
      <c r="H4">
        <v>2</v>
      </c>
      <c r="I4" t="s">
        <v>185</v>
      </c>
      <c r="J4" t="s">
        <v>186</v>
      </c>
      <c r="K4" t="s">
        <v>187</v>
      </c>
      <c r="L4">
        <v>1368</v>
      </c>
      <c r="N4">
        <v>1011</v>
      </c>
      <c r="O4" t="s">
        <v>188</v>
      </c>
      <c r="P4" t="s">
        <v>188</v>
      </c>
      <c r="Q4">
        <v>1</v>
      </c>
      <c r="X4">
        <v>0.12</v>
      </c>
      <c r="Y4">
        <v>0</v>
      </c>
      <c r="Z4">
        <v>12.98</v>
      </c>
      <c r="AA4">
        <v>3.37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0.126</v>
      </c>
      <c r="AH4">
        <v>2</v>
      </c>
      <c r="AI4">
        <v>57737298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ROW(Source!A34)</f>
        <v>34</v>
      </c>
      <c r="B5">
        <v>57737313</v>
      </c>
      <c r="C5">
        <v>57737297</v>
      </c>
      <c r="D5">
        <v>47767072</v>
      </c>
      <c r="E5">
        <v>1</v>
      </c>
      <c r="F5">
        <v>1</v>
      </c>
      <c r="G5">
        <v>27786564</v>
      </c>
      <c r="H5">
        <v>2</v>
      </c>
      <c r="I5" t="s">
        <v>189</v>
      </c>
      <c r="J5" t="s">
        <v>190</v>
      </c>
      <c r="K5" t="s">
        <v>191</v>
      </c>
      <c r="L5">
        <v>1368</v>
      </c>
      <c r="N5">
        <v>1011</v>
      </c>
      <c r="O5" t="s">
        <v>188</v>
      </c>
      <c r="P5" t="s">
        <v>188</v>
      </c>
      <c r="Q5">
        <v>1</v>
      </c>
      <c r="X5">
        <v>0.88</v>
      </c>
      <c r="Y5">
        <v>0</v>
      </c>
      <c r="Z5">
        <v>1843.32</v>
      </c>
      <c r="AA5">
        <v>38.94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0.92400000000000004</v>
      </c>
      <c r="AH5">
        <v>2</v>
      </c>
      <c r="AI5">
        <v>57737299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ROW(Source!A34)</f>
        <v>34</v>
      </c>
      <c r="B6">
        <v>57737314</v>
      </c>
      <c r="C6">
        <v>57737297</v>
      </c>
      <c r="D6">
        <v>47766980</v>
      </c>
      <c r="E6">
        <v>1</v>
      </c>
      <c r="F6">
        <v>1</v>
      </c>
      <c r="G6">
        <v>27786564</v>
      </c>
      <c r="H6">
        <v>2</v>
      </c>
      <c r="I6" t="s">
        <v>192</v>
      </c>
      <c r="J6" t="s">
        <v>193</v>
      </c>
      <c r="K6" t="s">
        <v>194</v>
      </c>
      <c r="L6">
        <v>1368</v>
      </c>
      <c r="N6">
        <v>1011</v>
      </c>
      <c r="O6" t="s">
        <v>188</v>
      </c>
      <c r="P6" t="s">
        <v>188</v>
      </c>
      <c r="Q6">
        <v>1</v>
      </c>
      <c r="X6">
        <v>0.11</v>
      </c>
      <c r="Y6">
        <v>0</v>
      </c>
      <c r="Z6">
        <v>181.58</v>
      </c>
      <c r="AA6">
        <v>14.54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0.11550000000000001</v>
      </c>
      <c r="AH6">
        <v>2</v>
      </c>
      <c r="AI6">
        <v>57737300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ROW(Source!A34)</f>
        <v>34</v>
      </c>
      <c r="B7">
        <v>57737315</v>
      </c>
      <c r="C7">
        <v>57737297</v>
      </c>
      <c r="D7">
        <v>47767117</v>
      </c>
      <c r="E7">
        <v>1</v>
      </c>
      <c r="F7">
        <v>1</v>
      </c>
      <c r="G7">
        <v>27786564</v>
      </c>
      <c r="H7">
        <v>2</v>
      </c>
      <c r="I7" t="s">
        <v>195</v>
      </c>
      <c r="J7" t="s">
        <v>196</v>
      </c>
      <c r="K7" t="s">
        <v>197</v>
      </c>
      <c r="L7">
        <v>1368</v>
      </c>
      <c r="N7">
        <v>1011</v>
      </c>
      <c r="O7" t="s">
        <v>188</v>
      </c>
      <c r="P7" t="s">
        <v>188</v>
      </c>
      <c r="Q7">
        <v>1</v>
      </c>
      <c r="X7">
        <v>0.02</v>
      </c>
      <c r="Y7">
        <v>0</v>
      </c>
      <c r="Z7">
        <v>125.38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24</v>
      </c>
      <c r="AG7">
        <v>2.1000000000000001E-2</v>
      </c>
      <c r="AH7">
        <v>2</v>
      </c>
      <c r="AI7">
        <v>57737301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ROW(Source!A34)</f>
        <v>34</v>
      </c>
      <c r="B8">
        <v>57737316</v>
      </c>
      <c r="C8">
        <v>57737297</v>
      </c>
      <c r="D8">
        <v>47766471</v>
      </c>
      <c r="E8">
        <v>1</v>
      </c>
      <c r="F8">
        <v>1</v>
      </c>
      <c r="G8">
        <v>27786564</v>
      </c>
      <c r="H8">
        <v>2</v>
      </c>
      <c r="I8" t="s">
        <v>198</v>
      </c>
      <c r="J8" t="s">
        <v>199</v>
      </c>
      <c r="K8" t="s">
        <v>200</v>
      </c>
      <c r="L8">
        <v>1368</v>
      </c>
      <c r="N8">
        <v>1011</v>
      </c>
      <c r="O8" t="s">
        <v>188</v>
      </c>
      <c r="P8" t="s">
        <v>188</v>
      </c>
      <c r="Q8">
        <v>1</v>
      </c>
      <c r="X8">
        <v>0.3</v>
      </c>
      <c r="Y8">
        <v>0</v>
      </c>
      <c r="Z8">
        <v>139.99</v>
      </c>
      <c r="AA8">
        <v>14.54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0.315</v>
      </c>
      <c r="AH8">
        <v>2</v>
      </c>
      <c r="AI8">
        <v>57737302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ROW(Source!A34)</f>
        <v>34</v>
      </c>
      <c r="B9">
        <v>57737317</v>
      </c>
      <c r="C9">
        <v>57737297</v>
      </c>
      <c r="D9">
        <v>47766605</v>
      </c>
      <c r="E9">
        <v>1</v>
      </c>
      <c r="F9">
        <v>1</v>
      </c>
      <c r="G9">
        <v>27786564</v>
      </c>
      <c r="H9">
        <v>2</v>
      </c>
      <c r="I9" t="s">
        <v>201</v>
      </c>
      <c r="J9" t="s">
        <v>202</v>
      </c>
      <c r="K9" t="s">
        <v>203</v>
      </c>
      <c r="L9">
        <v>1368</v>
      </c>
      <c r="N9">
        <v>1011</v>
      </c>
      <c r="O9" t="s">
        <v>188</v>
      </c>
      <c r="P9" t="s">
        <v>188</v>
      </c>
      <c r="Q9">
        <v>1</v>
      </c>
      <c r="X9">
        <v>0.12</v>
      </c>
      <c r="Y9">
        <v>0</v>
      </c>
      <c r="Z9">
        <v>140.38</v>
      </c>
      <c r="AA9">
        <v>12.62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0.126</v>
      </c>
      <c r="AH9">
        <v>2</v>
      </c>
      <c r="AI9">
        <v>57737303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ROW(Source!A34)</f>
        <v>34</v>
      </c>
      <c r="B10">
        <v>57737318</v>
      </c>
      <c r="C10">
        <v>57737297</v>
      </c>
      <c r="D10">
        <v>47766703</v>
      </c>
      <c r="E10">
        <v>1</v>
      </c>
      <c r="F10">
        <v>1</v>
      </c>
      <c r="G10">
        <v>27786564</v>
      </c>
      <c r="H10">
        <v>2</v>
      </c>
      <c r="I10" t="s">
        <v>204</v>
      </c>
      <c r="J10" t="s">
        <v>205</v>
      </c>
      <c r="K10" t="s">
        <v>206</v>
      </c>
      <c r="L10">
        <v>1368</v>
      </c>
      <c r="N10">
        <v>1011</v>
      </c>
      <c r="O10" t="s">
        <v>188</v>
      </c>
      <c r="P10" t="s">
        <v>188</v>
      </c>
      <c r="Q10">
        <v>1</v>
      </c>
      <c r="X10">
        <v>0.88</v>
      </c>
      <c r="Y10">
        <v>0</v>
      </c>
      <c r="Z10">
        <v>80.14</v>
      </c>
      <c r="AA10">
        <v>16.93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0.92400000000000004</v>
      </c>
      <c r="AH10">
        <v>2</v>
      </c>
      <c r="AI10">
        <v>57737304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ROW(Source!A34)</f>
        <v>34</v>
      </c>
      <c r="B11">
        <v>57737319</v>
      </c>
      <c r="C11">
        <v>57737297</v>
      </c>
      <c r="D11">
        <v>46723741</v>
      </c>
      <c r="E11">
        <v>1</v>
      </c>
      <c r="F11">
        <v>1</v>
      </c>
      <c r="G11">
        <v>27786564</v>
      </c>
      <c r="H11">
        <v>3</v>
      </c>
      <c r="I11" t="s">
        <v>207</v>
      </c>
      <c r="J11" t="s">
        <v>208</v>
      </c>
      <c r="K11" t="s">
        <v>209</v>
      </c>
      <c r="L11">
        <v>1348</v>
      </c>
      <c r="N11">
        <v>1009</v>
      </c>
      <c r="O11" t="s">
        <v>210</v>
      </c>
      <c r="P11" t="s">
        <v>210</v>
      </c>
      <c r="Q11">
        <v>1000</v>
      </c>
      <c r="X11">
        <v>1.505E-3</v>
      </c>
      <c r="Y11">
        <v>5778.3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1.505E-3</v>
      </c>
      <c r="AH11">
        <v>2</v>
      </c>
      <c r="AI11">
        <v>57737305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ROW(Source!A34)</f>
        <v>34</v>
      </c>
      <c r="B12">
        <v>57737320</v>
      </c>
      <c r="C12">
        <v>57737297</v>
      </c>
      <c r="D12">
        <v>30390465</v>
      </c>
      <c r="E12">
        <v>1</v>
      </c>
      <c r="F12">
        <v>1</v>
      </c>
      <c r="G12">
        <v>27786564</v>
      </c>
      <c r="H12">
        <v>3</v>
      </c>
      <c r="I12" t="s">
        <v>211</v>
      </c>
      <c r="J12" t="s">
        <v>212</v>
      </c>
      <c r="K12" t="s">
        <v>213</v>
      </c>
      <c r="L12">
        <v>1339</v>
      </c>
      <c r="N12">
        <v>1007</v>
      </c>
      <c r="O12" t="s">
        <v>214</v>
      </c>
      <c r="P12" t="s">
        <v>214</v>
      </c>
      <c r="Q12">
        <v>1</v>
      </c>
      <c r="X12">
        <v>1.9</v>
      </c>
      <c r="Y12">
        <v>7.07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</v>
      </c>
      <c r="AG12">
        <v>1.9</v>
      </c>
      <c r="AH12">
        <v>2</v>
      </c>
      <c r="AI12">
        <v>57737306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ROW(Source!A34)</f>
        <v>34</v>
      </c>
      <c r="B13">
        <v>57737321</v>
      </c>
      <c r="C13">
        <v>57737297</v>
      </c>
      <c r="D13">
        <v>47765707</v>
      </c>
      <c r="E13">
        <v>1</v>
      </c>
      <c r="F13">
        <v>1</v>
      </c>
      <c r="G13">
        <v>27786564</v>
      </c>
      <c r="H13">
        <v>3</v>
      </c>
      <c r="I13" t="s">
        <v>215</v>
      </c>
      <c r="J13" t="s">
        <v>216</v>
      </c>
      <c r="K13" t="s">
        <v>217</v>
      </c>
      <c r="L13">
        <v>1346</v>
      </c>
      <c r="N13">
        <v>1009</v>
      </c>
      <c r="O13" t="s">
        <v>42</v>
      </c>
      <c r="P13" t="s">
        <v>42</v>
      </c>
      <c r="Q13">
        <v>1</v>
      </c>
      <c r="X13">
        <v>4.3200000000000002E-2</v>
      </c>
      <c r="Y13">
        <v>7.48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4.3200000000000002E-2</v>
      </c>
      <c r="AH13">
        <v>2</v>
      </c>
      <c r="AI13">
        <v>57737307</v>
      </c>
      <c r="AJ13">
        <v>14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ROW(Source!A34)</f>
        <v>34</v>
      </c>
      <c r="B14">
        <v>57737322</v>
      </c>
      <c r="C14">
        <v>57737297</v>
      </c>
      <c r="D14">
        <v>32158535</v>
      </c>
      <c r="E14">
        <v>27786564</v>
      </c>
      <c r="F14">
        <v>1</v>
      </c>
      <c r="G14">
        <v>27786564</v>
      </c>
      <c r="H14">
        <v>3</v>
      </c>
      <c r="I14" t="s">
        <v>261</v>
      </c>
      <c r="J14" t="s">
        <v>3</v>
      </c>
      <c r="K14" t="s">
        <v>262</v>
      </c>
      <c r="L14">
        <v>1346</v>
      </c>
      <c r="N14">
        <v>1009</v>
      </c>
      <c r="O14" t="s">
        <v>42</v>
      </c>
      <c r="P14" t="s">
        <v>42</v>
      </c>
      <c r="Q14">
        <v>1</v>
      </c>
      <c r="X14">
        <v>116.8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</v>
      </c>
      <c r="AG14">
        <v>116.8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ROW(Source!A34)</f>
        <v>34</v>
      </c>
      <c r="B15">
        <v>57737323</v>
      </c>
      <c r="C15">
        <v>57737297</v>
      </c>
      <c r="D15">
        <v>30365725</v>
      </c>
      <c r="E15">
        <v>27786564</v>
      </c>
      <c r="F15">
        <v>1</v>
      </c>
      <c r="G15">
        <v>27786564</v>
      </c>
      <c r="H15">
        <v>3</v>
      </c>
      <c r="I15" t="s">
        <v>263</v>
      </c>
      <c r="J15" t="s">
        <v>3</v>
      </c>
      <c r="K15" t="s">
        <v>264</v>
      </c>
      <c r="L15">
        <v>1301</v>
      </c>
      <c r="N15">
        <v>1003</v>
      </c>
      <c r="O15" t="s">
        <v>51</v>
      </c>
      <c r="P15" t="s">
        <v>51</v>
      </c>
      <c r="Q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</v>
      </c>
      <c r="AG15">
        <v>0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ROW(Source!A34)</f>
        <v>34</v>
      </c>
      <c r="B16">
        <v>57737324</v>
      </c>
      <c r="C16">
        <v>57737297</v>
      </c>
      <c r="D16">
        <v>32158874</v>
      </c>
      <c r="E16">
        <v>27786564</v>
      </c>
      <c r="F16">
        <v>1</v>
      </c>
      <c r="G16">
        <v>27786564</v>
      </c>
      <c r="H16">
        <v>3</v>
      </c>
      <c r="I16" t="s">
        <v>265</v>
      </c>
      <c r="J16" t="s">
        <v>3</v>
      </c>
      <c r="K16" t="s">
        <v>266</v>
      </c>
      <c r="L16">
        <v>1296</v>
      </c>
      <c r="N16">
        <v>1013</v>
      </c>
      <c r="O16" t="s">
        <v>46</v>
      </c>
      <c r="P16" t="s">
        <v>46</v>
      </c>
      <c r="Q16">
        <v>1</v>
      </c>
      <c r="X16">
        <v>5.9279999999999999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</v>
      </c>
      <c r="AG16">
        <v>5.9279999999999999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ROW(Source!A38)</f>
        <v>38</v>
      </c>
      <c r="B17">
        <v>57737332</v>
      </c>
      <c r="C17">
        <v>57737328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182</v>
      </c>
      <c r="J17" t="s">
        <v>3</v>
      </c>
      <c r="K17" t="s">
        <v>183</v>
      </c>
      <c r="L17">
        <v>1191</v>
      </c>
      <c r="N17">
        <v>1013</v>
      </c>
      <c r="O17" t="s">
        <v>184</v>
      </c>
      <c r="P17" t="s">
        <v>184</v>
      </c>
      <c r="Q17">
        <v>1</v>
      </c>
      <c r="X17">
        <v>0.6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24</v>
      </c>
      <c r="AG17">
        <v>0.63</v>
      </c>
      <c r="AH17">
        <v>2</v>
      </c>
      <c r="AI17">
        <v>57737329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ROW(Source!A38)</f>
        <v>38</v>
      </c>
      <c r="B18">
        <v>57737333</v>
      </c>
      <c r="C18">
        <v>57737328</v>
      </c>
      <c r="D18">
        <v>47767072</v>
      </c>
      <c r="E18">
        <v>1</v>
      </c>
      <c r="F18">
        <v>1</v>
      </c>
      <c r="G18">
        <v>27786564</v>
      </c>
      <c r="H18">
        <v>2</v>
      </c>
      <c r="I18" t="s">
        <v>189</v>
      </c>
      <c r="J18" t="s">
        <v>190</v>
      </c>
      <c r="K18" t="s">
        <v>191</v>
      </c>
      <c r="L18">
        <v>1368</v>
      </c>
      <c r="N18">
        <v>1011</v>
      </c>
      <c r="O18" t="s">
        <v>188</v>
      </c>
      <c r="P18" t="s">
        <v>188</v>
      </c>
      <c r="Q18">
        <v>1</v>
      </c>
      <c r="X18">
        <v>0.6</v>
      </c>
      <c r="Y18">
        <v>0</v>
      </c>
      <c r="Z18">
        <v>1843.32</v>
      </c>
      <c r="AA18">
        <v>38.94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0.63</v>
      </c>
      <c r="AH18">
        <v>2</v>
      </c>
      <c r="AI18">
        <v>57737330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57737334</v>
      </c>
      <c r="C19">
        <v>57737328</v>
      </c>
      <c r="D19">
        <v>47766748</v>
      </c>
      <c r="E19">
        <v>1</v>
      </c>
      <c r="F19">
        <v>1</v>
      </c>
      <c r="G19">
        <v>27786564</v>
      </c>
      <c r="H19">
        <v>2</v>
      </c>
      <c r="I19" t="s">
        <v>218</v>
      </c>
      <c r="J19" t="s">
        <v>219</v>
      </c>
      <c r="K19" t="s">
        <v>220</v>
      </c>
      <c r="L19">
        <v>1368</v>
      </c>
      <c r="N19">
        <v>1011</v>
      </c>
      <c r="O19" t="s">
        <v>188</v>
      </c>
      <c r="P19" t="s">
        <v>188</v>
      </c>
      <c r="Q19">
        <v>1</v>
      </c>
      <c r="X19">
        <v>0.57999999999999996</v>
      </c>
      <c r="Y19">
        <v>0</v>
      </c>
      <c r="Z19">
        <v>166.63</v>
      </c>
      <c r="AA19">
        <v>14.54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0.60899999999999999</v>
      </c>
      <c r="AH19">
        <v>2</v>
      </c>
      <c r="AI19">
        <v>57737331</v>
      </c>
      <c r="AJ19">
        <v>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ROW(Source!A39)</f>
        <v>39</v>
      </c>
      <c r="B20">
        <v>57737338</v>
      </c>
      <c r="C20">
        <v>57737335</v>
      </c>
      <c r="D20">
        <v>47634407</v>
      </c>
      <c r="E20">
        <v>27786564</v>
      </c>
      <c r="F20">
        <v>1</v>
      </c>
      <c r="G20">
        <v>27786564</v>
      </c>
      <c r="H20">
        <v>1</v>
      </c>
      <c r="I20" t="s">
        <v>182</v>
      </c>
      <c r="J20" t="s">
        <v>3</v>
      </c>
      <c r="K20" t="s">
        <v>183</v>
      </c>
      <c r="L20">
        <v>1191</v>
      </c>
      <c r="N20">
        <v>1013</v>
      </c>
      <c r="O20" t="s">
        <v>184</v>
      </c>
      <c r="P20" t="s">
        <v>184</v>
      </c>
      <c r="Q20">
        <v>1</v>
      </c>
      <c r="X20">
        <v>0.26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24</v>
      </c>
      <c r="AG20">
        <v>0.27300000000000002</v>
      </c>
      <c r="AH20">
        <v>2</v>
      </c>
      <c r="AI20">
        <v>57737336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ROW(Source!A39)</f>
        <v>39</v>
      </c>
      <c r="B21">
        <v>57737339</v>
      </c>
      <c r="C21">
        <v>57737335</v>
      </c>
      <c r="D21">
        <v>47767072</v>
      </c>
      <c r="E21">
        <v>1</v>
      </c>
      <c r="F21">
        <v>1</v>
      </c>
      <c r="G21">
        <v>27786564</v>
      </c>
      <c r="H21">
        <v>2</v>
      </c>
      <c r="I21" t="s">
        <v>189</v>
      </c>
      <c r="J21" t="s">
        <v>190</v>
      </c>
      <c r="K21" t="s">
        <v>191</v>
      </c>
      <c r="L21">
        <v>1368</v>
      </c>
      <c r="N21">
        <v>1011</v>
      </c>
      <c r="O21" t="s">
        <v>188</v>
      </c>
      <c r="P21" t="s">
        <v>188</v>
      </c>
      <c r="Q21">
        <v>1</v>
      </c>
      <c r="X21">
        <v>0.26</v>
      </c>
      <c r="Y21">
        <v>0</v>
      </c>
      <c r="Z21">
        <v>1843.32</v>
      </c>
      <c r="AA21">
        <v>38.94</v>
      </c>
      <c r="AB21">
        <v>0</v>
      </c>
      <c r="AC21">
        <v>0</v>
      </c>
      <c r="AD21">
        <v>1</v>
      </c>
      <c r="AE21">
        <v>0</v>
      </c>
      <c r="AF21" t="s">
        <v>24</v>
      </c>
      <c r="AG21">
        <v>0.27300000000000002</v>
      </c>
      <c r="AH21">
        <v>2</v>
      </c>
      <c r="AI21">
        <v>57737337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ROW(Source!A40)</f>
        <v>40</v>
      </c>
      <c r="B22">
        <v>57737345</v>
      </c>
      <c r="C22">
        <v>57737340</v>
      </c>
      <c r="D22">
        <v>47634407</v>
      </c>
      <c r="E22">
        <v>27786564</v>
      </c>
      <c r="F22">
        <v>1</v>
      </c>
      <c r="G22">
        <v>27786564</v>
      </c>
      <c r="H22">
        <v>1</v>
      </c>
      <c r="I22" t="s">
        <v>182</v>
      </c>
      <c r="J22" t="s">
        <v>3</v>
      </c>
      <c r="K22" t="s">
        <v>183</v>
      </c>
      <c r="L22">
        <v>1191</v>
      </c>
      <c r="N22">
        <v>1013</v>
      </c>
      <c r="O22" t="s">
        <v>184</v>
      </c>
      <c r="P22" t="s">
        <v>184</v>
      </c>
      <c r="Q22">
        <v>1</v>
      </c>
      <c r="X22">
        <v>1.1499999999999999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24</v>
      </c>
      <c r="AG22">
        <v>1.2075</v>
      </c>
      <c r="AH22">
        <v>2</v>
      </c>
      <c r="AI22">
        <v>57737341</v>
      </c>
      <c r="AJ22">
        <v>21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ROW(Source!A40)</f>
        <v>40</v>
      </c>
      <c r="B23">
        <v>57737346</v>
      </c>
      <c r="C23">
        <v>57737340</v>
      </c>
      <c r="D23">
        <v>47766881</v>
      </c>
      <c r="E23">
        <v>1</v>
      </c>
      <c r="F23">
        <v>1</v>
      </c>
      <c r="G23">
        <v>27786564</v>
      </c>
      <c r="H23">
        <v>2</v>
      </c>
      <c r="I23" t="s">
        <v>221</v>
      </c>
      <c r="J23" t="s">
        <v>222</v>
      </c>
      <c r="K23" t="s">
        <v>223</v>
      </c>
      <c r="L23">
        <v>1368</v>
      </c>
      <c r="N23">
        <v>1011</v>
      </c>
      <c r="O23" t="s">
        <v>188</v>
      </c>
      <c r="P23" t="s">
        <v>188</v>
      </c>
      <c r="Q23">
        <v>1</v>
      </c>
      <c r="X23">
        <v>0.56000000000000005</v>
      </c>
      <c r="Y23">
        <v>0</v>
      </c>
      <c r="Z23">
        <v>4.01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0.58800000000000008</v>
      </c>
      <c r="AH23">
        <v>2</v>
      </c>
      <c r="AI23">
        <v>57737342</v>
      </c>
      <c r="AJ23">
        <v>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ROW(Source!A40)</f>
        <v>40</v>
      </c>
      <c r="B24">
        <v>57737347</v>
      </c>
      <c r="C24">
        <v>57737340</v>
      </c>
      <c r="D24">
        <v>44217275</v>
      </c>
      <c r="E24">
        <v>1</v>
      </c>
      <c r="F24">
        <v>1</v>
      </c>
      <c r="G24">
        <v>27786564</v>
      </c>
      <c r="H24">
        <v>3</v>
      </c>
      <c r="I24" t="s">
        <v>224</v>
      </c>
      <c r="J24" t="s">
        <v>225</v>
      </c>
      <c r="K24" t="s">
        <v>226</v>
      </c>
      <c r="L24">
        <v>1346</v>
      </c>
      <c r="N24">
        <v>1009</v>
      </c>
      <c r="O24" t="s">
        <v>42</v>
      </c>
      <c r="P24" t="s">
        <v>42</v>
      </c>
      <c r="Q24">
        <v>1</v>
      </c>
      <c r="X24">
        <v>6.6699999999999995E-2</v>
      </c>
      <c r="Y24">
        <v>11.25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6.6699999999999995E-2</v>
      </c>
      <c r="AH24">
        <v>2</v>
      </c>
      <c r="AI24">
        <v>57737343</v>
      </c>
      <c r="AJ24">
        <v>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ROW(Source!A40)</f>
        <v>40</v>
      </c>
      <c r="B25">
        <v>57737348</v>
      </c>
      <c r="C25">
        <v>57737340</v>
      </c>
      <c r="D25">
        <v>30390462</v>
      </c>
      <c r="E25">
        <v>1</v>
      </c>
      <c r="F25">
        <v>1</v>
      </c>
      <c r="G25">
        <v>27786564</v>
      </c>
      <c r="H25">
        <v>3</v>
      </c>
      <c r="I25" t="s">
        <v>227</v>
      </c>
      <c r="J25" t="s">
        <v>228</v>
      </c>
      <c r="K25" t="s">
        <v>229</v>
      </c>
      <c r="L25">
        <v>1346</v>
      </c>
      <c r="N25">
        <v>1009</v>
      </c>
      <c r="O25" t="s">
        <v>42</v>
      </c>
      <c r="P25" t="s">
        <v>42</v>
      </c>
      <c r="Q25">
        <v>1</v>
      </c>
      <c r="X25">
        <v>0.1</v>
      </c>
      <c r="Y25">
        <v>1.61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0.1</v>
      </c>
      <c r="AH25">
        <v>2</v>
      </c>
      <c r="AI25">
        <v>57737344</v>
      </c>
      <c r="AJ25">
        <v>24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ROW(Source!A41)</f>
        <v>41</v>
      </c>
      <c r="B26">
        <v>57737351</v>
      </c>
      <c r="C26">
        <v>57737349</v>
      </c>
      <c r="D26">
        <v>47634407</v>
      </c>
      <c r="E26">
        <v>27786564</v>
      </c>
      <c r="F26">
        <v>1</v>
      </c>
      <c r="G26">
        <v>27786564</v>
      </c>
      <c r="H26">
        <v>1</v>
      </c>
      <c r="I26" t="s">
        <v>182</v>
      </c>
      <c r="J26" t="s">
        <v>3</v>
      </c>
      <c r="K26" t="s">
        <v>183</v>
      </c>
      <c r="L26">
        <v>1191</v>
      </c>
      <c r="N26">
        <v>1013</v>
      </c>
      <c r="O26" t="s">
        <v>184</v>
      </c>
      <c r="P26" t="s">
        <v>184</v>
      </c>
      <c r="Q26">
        <v>1</v>
      </c>
      <c r="X26">
        <v>0.1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24</v>
      </c>
      <c r="AG26">
        <v>0.10500000000000001</v>
      </c>
      <c r="AH26">
        <v>2</v>
      </c>
      <c r="AI26">
        <v>57737350</v>
      </c>
      <c r="AJ26">
        <v>25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ROW(Source!A78)</f>
        <v>78</v>
      </c>
      <c r="B27">
        <v>57737366</v>
      </c>
      <c r="C27">
        <v>57737353</v>
      </c>
      <c r="D27">
        <v>47634407</v>
      </c>
      <c r="E27">
        <v>27786564</v>
      </c>
      <c r="F27">
        <v>1</v>
      </c>
      <c r="G27">
        <v>27786564</v>
      </c>
      <c r="H27">
        <v>1</v>
      </c>
      <c r="I27" t="s">
        <v>182</v>
      </c>
      <c r="J27" t="s">
        <v>3</v>
      </c>
      <c r="K27" t="s">
        <v>183</v>
      </c>
      <c r="L27">
        <v>1191</v>
      </c>
      <c r="N27">
        <v>1013</v>
      </c>
      <c r="O27" t="s">
        <v>184</v>
      </c>
      <c r="P27" t="s">
        <v>184</v>
      </c>
      <c r="Q27">
        <v>1</v>
      </c>
      <c r="X27">
        <v>15.8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24</v>
      </c>
      <c r="AG27">
        <v>16.59</v>
      </c>
      <c r="AH27">
        <v>2</v>
      </c>
      <c r="AI27">
        <v>57737354</v>
      </c>
      <c r="AJ27">
        <v>26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ROW(Source!A78)</f>
        <v>78</v>
      </c>
      <c r="B28">
        <v>57737367</v>
      </c>
      <c r="C28">
        <v>57737353</v>
      </c>
      <c r="D28">
        <v>47767106</v>
      </c>
      <c r="E28">
        <v>1</v>
      </c>
      <c r="F28">
        <v>1</v>
      </c>
      <c r="G28">
        <v>27786564</v>
      </c>
      <c r="H28">
        <v>2</v>
      </c>
      <c r="I28" t="s">
        <v>230</v>
      </c>
      <c r="J28" t="s">
        <v>231</v>
      </c>
      <c r="K28" t="s">
        <v>232</v>
      </c>
      <c r="L28">
        <v>1368</v>
      </c>
      <c r="N28">
        <v>1011</v>
      </c>
      <c r="O28" t="s">
        <v>188</v>
      </c>
      <c r="P28" t="s">
        <v>188</v>
      </c>
      <c r="Q28">
        <v>1</v>
      </c>
      <c r="X28">
        <v>0.51</v>
      </c>
      <c r="Y28">
        <v>0</v>
      </c>
      <c r="Z28">
        <v>83.1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0.53550000000000009</v>
      </c>
      <c r="AH28">
        <v>2</v>
      </c>
      <c r="AI28">
        <v>57737355</v>
      </c>
      <c r="AJ28">
        <v>27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ROW(Source!A78)</f>
        <v>78</v>
      </c>
      <c r="B29">
        <v>57737368</v>
      </c>
      <c r="C29">
        <v>57737353</v>
      </c>
      <c r="D29">
        <v>47766535</v>
      </c>
      <c r="E29">
        <v>1</v>
      </c>
      <c r="F29">
        <v>1</v>
      </c>
      <c r="G29">
        <v>27786564</v>
      </c>
      <c r="H29">
        <v>2</v>
      </c>
      <c r="I29" t="s">
        <v>233</v>
      </c>
      <c r="J29" t="s">
        <v>234</v>
      </c>
      <c r="K29" t="s">
        <v>235</v>
      </c>
      <c r="L29">
        <v>1368</v>
      </c>
      <c r="N29">
        <v>1011</v>
      </c>
      <c r="O29" t="s">
        <v>188</v>
      </c>
      <c r="P29" t="s">
        <v>188</v>
      </c>
      <c r="Q29">
        <v>1</v>
      </c>
      <c r="X29">
        <v>3.41</v>
      </c>
      <c r="Y29">
        <v>0</v>
      </c>
      <c r="Z29">
        <v>2.27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24</v>
      </c>
      <c r="AG29">
        <v>3.5805000000000002</v>
      </c>
      <c r="AH29">
        <v>2</v>
      </c>
      <c r="AI29">
        <v>57737356</v>
      </c>
      <c r="AJ29">
        <v>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ROW(Source!A78)</f>
        <v>78</v>
      </c>
      <c r="B30">
        <v>57737369</v>
      </c>
      <c r="C30">
        <v>57737353</v>
      </c>
      <c r="D30">
        <v>47766545</v>
      </c>
      <c r="E30">
        <v>1</v>
      </c>
      <c r="F30">
        <v>1</v>
      </c>
      <c r="G30">
        <v>27786564</v>
      </c>
      <c r="H30">
        <v>2</v>
      </c>
      <c r="I30" t="s">
        <v>236</v>
      </c>
      <c r="J30" t="s">
        <v>237</v>
      </c>
      <c r="K30" t="s">
        <v>238</v>
      </c>
      <c r="L30">
        <v>1368</v>
      </c>
      <c r="N30">
        <v>1011</v>
      </c>
      <c r="O30" t="s">
        <v>188</v>
      </c>
      <c r="P30" t="s">
        <v>188</v>
      </c>
      <c r="Q30">
        <v>1</v>
      </c>
      <c r="X30">
        <v>3.67</v>
      </c>
      <c r="Y30">
        <v>0</v>
      </c>
      <c r="Z30">
        <v>0.73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3.8534999999999999</v>
      </c>
      <c r="AH30">
        <v>2</v>
      </c>
      <c r="AI30">
        <v>57737357</v>
      </c>
      <c r="AJ30">
        <v>29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ROW(Source!A78)</f>
        <v>78</v>
      </c>
      <c r="B31">
        <v>57737370</v>
      </c>
      <c r="C31">
        <v>57737353</v>
      </c>
      <c r="D31">
        <v>46723498</v>
      </c>
      <c r="E31">
        <v>1</v>
      </c>
      <c r="F31">
        <v>1</v>
      </c>
      <c r="G31">
        <v>27786564</v>
      </c>
      <c r="H31">
        <v>3</v>
      </c>
      <c r="I31" t="s">
        <v>239</v>
      </c>
      <c r="J31" t="s">
        <v>240</v>
      </c>
      <c r="K31" t="s">
        <v>241</v>
      </c>
      <c r="L31">
        <v>1348</v>
      </c>
      <c r="N31">
        <v>1009</v>
      </c>
      <c r="O31" t="s">
        <v>210</v>
      </c>
      <c r="P31" t="s">
        <v>210</v>
      </c>
      <c r="Q31">
        <v>1000</v>
      </c>
      <c r="X31">
        <v>6.0000000000000002E-5</v>
      </c>
      <c r="Y31">
        <v>11242.42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6.0000000000000002E-5</v>
      </c>
      <c r="AH31">
        <v>2</v>
      </c>
      <c r="AI31">
        <v>57737358</v>
      </c>
      <c r="AJ31">
        <v>30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ROW(Source!A78)</f>
        <v>78</v>
      </c>
      <c r="B32">
        <v>57737371</v>
      </c>
      <c r="C32">
        <v>57737353</v>
      </c>
      <c r="D32">
        <v>45796980</v>
      </c>
      <c r="E32">
        <v>1</v>
      </c>
      <c r="F32">
        <v>1</v>
      </c>
      <c r="G32">
        <v>27786564</v>
      </c>
      <c r="H32">
        <v>3</v>
      </c>
      <c r="I32" t="s">
        <v>242</v>
      </c>
      <c r="J32" t="s">
        <v>243</v>
      </c>
      <c r="K32" t="s">
        <v>244</v>
      </c>
      <c r="L32">
        <v>1346</v>
      </c>
      <c r="N32">
        <v>1009</v>
      </c>
      <c r="O32" t="s">
        <v>42</v>
      </c>
      <c r="P32" t="s">
        <v>42</v>
      </c>
      <c r="Q32">
        <v>1</v>
      </c>
      <c r="X32">
        <v>0.8</v>
      </c>
      <c r="Y32">
        <v>25.8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0.8</v>
      </c>
      <c r="AH32">
        <v>2</v>
      </c>
      <c r="AI32">
        <v>57737359</v>
      </c>
      <c r="AJ32">
        <v>31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ROW(Source!A78)</f>
        <v>78</v>
      </c>
      <c r="B33">
        <v>57737372</v>
      </c>
      <c r="C33">
        <v>57737353</v>
      </c>
      <c r="D33">
        <v>46723689</v>
      </c>
      <c r="E33">
        <v>1</v>
      </c>
      <c r="F33">
        <v>1</v>
      </c>
      <c r="G33">
        <v>27786564</v>
      </c>
      <c r="H33">
        <v>3</v>
      </c>
      <c r="I33" t="s">
        <v>245</v>
      </c>
      <c r="J33" t="s">
        <v>246</v>
      </c>
      <c r="K33" t="s">
        <v>247</v>
      </c>
      <c r="L33">
        <v>1348</v>
      </c>
      <c r="N33">
        <v>1009</v>
      </c>
      <c r="O33" t="s">
        <v>210</v>
      </c>
      <c r="P33" t="s">
        <v>210</v>
      </c>
      <c r="Q33">
        <v>1000</v>
      </c>
      <c r="X33">
        <v>5.0000000000000001E-4</v>
      </c>
      <c r="Y33">
        <v>60966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3</v>
      </c>
      <c r="AG33">
        <v>5.0000000000000001E-4</v>
      </c>
      <c r="AH33">
        <v>2</v>
      </c>
      <c r="AI33">
        <v>57737360</v>
      </c>
      <c r="AJ33">
        <v>32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ROW(Source!A78)</f>
        <v>78</v>
      </c>
      <c r="B34">
        <v>57737373</v>
      </c>
      <c r="C34">
        <v>57737353</v>
      </c>
      <c r="D34">
        <v>46723704</v>
      </c>
      <c r="E34">
        <v>1</v>
      </c>
      <c r="F34">
        <v>1</v>
      </c>
      <c r="G34">
        <v>27786564</v>
      </c>
      <c r="H34">
        <v>3</v>
      </c>
      <c r="I34" t="s">
        <v>248</v>
      </c>
      <c r="J34" t="s">
        <v>249</v>
      </c>
      <c r="K34" t="s">
        <v>250</v>
      </c>
      <c r="L34">
        <v>1348</v>
      </c>
      <c r="N34">
        <v>1009</v>
      </c>
      <c r="O34" t="s">
        <v>210</v>
      </c>
      <c r="P34" t="s">
        <v>210</v>
      </c>
      <c r="Q34">
        <v>1000</v>
      </c>
      <c r="X34">
        <v>4.0000000000000003E-5</v>
      </c>
      <c r="Y34">
        <v>7982.5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</v>
      </c>
      <c r="AG34">
        <v>4.0000000000000003E-5</v>
      </c>
      <c r="AH34">
        <v>2</v>
      </c>
      <c r="AI34">
        <v>57737361</v>
      </c>
      <c r="AJ34">
        <v>33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ROW(Source!A78)</f>
        <v>78</v>
      </c>
      <c r="B35">
        <v>57737374</v>
      </c>
      <c r="C35">
        <v>57737353</v>
      </c>
      <c r="D35">
        <v>46735845</v>
      </c>
      <c r="E35">
        <v>1</v>
      </c>
      <c r="F35">
        <v>1</v>
      </c>
      <c r="G35">
        <v>27786564</v>
      </c>
      <c r="H35">
        <v>3</v>
      </c>
      <c r="I35" t="s">
        <v>251</v>
      </c>
      <c r="J35" t="s">
        <v>267</v>
      </c>
      <c r="K35" t="s">
        <v>253</v>
      </c>
      <c r="L35">
        <v>1356</v>
      </c>
      <c r="N35">
        <v>1010</v>
      </c>
      <c r="O35" t="s">
        <v>254</v>
      </c>
      <c r="P35" t="s">
        <v>254</v>
      </c>
      <c r="Q35">
        <v>1000</v>
      </c>
      <c r="X35">
        <v>4.0999999999999999E-4</v>
      </c>
      <c r="Y35">
        <v>226.68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4.0999999999999999E-4</v>
      </c>
      <c r="AH35">
        <v>2</v>
      </c>
      <c r="AI35">
        <v>57737362</v>
      </c>
      <c r="AJ35">
        <v>34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ROW(Source!A78)</f>
        <v>78</v>
      </c>
      <c r="B36">
        <v>57737375</v>
      </c>
      <c r="C36">
        <v>57737353</v>
      </c>
      <c r="D36">
        <v>46735506</v>
      </c>
      <c r="E36">
        <v>1</v>
      </c>
      <c r="F36">
        <v>1</v>
      </c>
      <c r="G36">
        <v>27786564</v>
      </c>
      <c r="H36">
        <v>3</v>
      </c>
      <c r="I36" t="s">
        <v>255</v>
      </c>
      <c r="J36" t="s">
        <v>256</v>
      </c>
      <c r="K36" t="s">
        <v>257</v>
      </c>
      <c r="L36">
        <v>1301</v>
      </c>
      <c r="N36">
        <v>1003</v>
      </c>
      <c r="O36" t="s">
        <v>51</v>
      </c>
      <c r="P36" t="s">
        <v>51</v>
      </c>
      <c r="Q36">
        <v>1</v>
      </c>
      <c r="X36">
        <v>0.96</v>
      </c>
      <c r="Y36">
        <v>0.7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0.96</v>
      </c>
      <c r="AH36">
        <v>2</v>
      </c>
      <c r="AI36">
        <v>57737363</v>
      </c>
      <c r="AJ36">
        <v>35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ROW(Source!A78)</f>
        <v>78</v>
      </c>
      <c r="B37">
        <v>57737376</v>
      </c>
      <c r="C37">
        <v>57737353</v>
      </c>
      <c r="D37">
        <v>46735508</v>
      </c>
      <c r="E37">
        <v>1</v>
      </c>
      <c r="F37">
        <v>1</v>
      </c>
      <c r="G37">
        <v>27786564</v>
      </c>
      <c r="H37">
        <v>3</v>
      </c>
      <c r="I37" t="s">
        <v>258</v>
      </c>
      <c r="J37" t="s">
        <v>259</v>
      </c>
      <c r="K37" t="s">
        <v>260</v>
      </c>
      <c r="L37">
        <v>1356</v>
      </c>
      <c r="N37">
        <v>1010</v>
      </c>
      <c r="O37" t="s">
        <v>254</v>
      </c>
      <c r="P37" t="s">
        <v>254</v>
      </c>
      <c r="Q37">
        <v>1000</v>
      </c>
      <c r="X37">
        <v>8.3199999999999993E-3</v>
      </c>
      <c r="Y37">
        <v>6.44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8.3199999999999993E-3</v>
      </c>
      <c r="AH37">
        <v>2</v>
      </c>
      <c r="AI37">
        <v>57737364</v>
      </c>
      <c r="AJ37">
        <v>36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ROW(Source!A78)</f>
        <v>78</v>
      </c>
      <c r="B38">
        <v>57737377</v>
      </c>
      <c r="C38">
        <v>57737353</v>
      </c>
      <c r="D38">
        <v>49717618</v>
      </c>
      <c r="E38">
        <v>27786564</v>
      </c>
      <c r="F38">
        <v>1</v>
      </c>
      <c r="G38">
        <v>27786564</v>
      </c>
      <c r="H38">
        <v>3</v>
      </c>
      <c r="I38" t="s">
        <v>268</v>
      </c>
      <c r="J38" t="s">
        <v>3</v>
      </c>
      <c r="K38" t="s">
        <v>269</v>
      </c>
      <c r="L38">
        <v>1303</v>
      </c>
      <c r="N38">
        <v>1003</v>
      </c>
      <c r="O38" t="s">
        <v>155</v>
      </c>
      <c r="P38" t="s">
        <v>155</v>
      </c>
      <c r="Q38">
        <v>1000</v>
      </c>
      <c r="X38">
        <v>0.10199999999999999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</v>
      </c>
      <c r="AG38">
        <v>0.10199999999999999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ROW(Source!A78)</f>
        <v>78</v>
      </c>
      <c r="B39">
        <v>57737378</v>
      </c>
      <c r="C39">
        <v>57737353</v>
      </c>
      <c r="D39">
        <v>46556476</v>
      </c>
      <c r="E39">
        <v>27786564</v>
      </c>
      <c r="F39">
        <v>1</v>
      </c>
      <c r="G39">
        <v>27786564</v>
      </c>
      <c r="H39">
        <v>3</v>
      </c>
      <c r="I39" t="s">
        <v>270</v>
      </c>
      <c r="J39" t="s">
        <v>3</v>
      </c>
      <c r="K39" t="s">
        <v>271</v>
      </c>
      <c r="L39">
        <v>1354</v>
      </c>
      <c r="N39">
        <v>1010</v>
      </c>
      <c r="O39" t="s">
        <v>85</v>
      </c>
      <c r="P39" t="s">
        <v>85</v>
      </c>
      <c r="Q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ROW(Source!A81)</f>
        <v>81</v>
      </c>
      <c r="B40">
        <v>57737382</v>
      </c>
      <c r="C40">
        <v>57737381</v>
      </c>
      <c r="D40">
        <v>47634407</v>
      </c>
      <c r="E40">
        <v>27786564</v>
      </c>
      <c r="F40">
        <v>1</v>
      </c>
      <c r="G40">
        <v>27786564</v>
      </c>
      <c r="H40">
        <v>1</v>
      </c>
      <c r="I40" t="s">
        <v>182</v>
      </c>
      <c r="J40" t="s">
        <v>3</v>
      </c>
      <c r="K40" t="s">
        <v>183</v>
      </c>
      <c r="L40">
        <v>1191</v>
      </c>
      <c r="N40">
        <v>1013</v>
      </c>
      <c r="O40" t="s">
        <v>184</v>
      </c>
      <c r="P40" t="s">
        <v>184</v>
      </c>
      <c r="Q40">
        <v>1</v>
      </c>
      <c r="X40">
        <v>155.88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24</v>
      </c>
      <c r="AG40">
        <v>163.67400000000001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ROW(Source!A81)</f>
        <v>81</v>
      </c>
      <c r="B41">
        <v>57737383</v>
      </c>
      <c r="C41">
        <v>57737381</v>
      </c>
      <c r="D41">
        <v>30415180</v>
      </c>
      <c r="E41">
        <v>1</v>
      </c>
      <c r="F41">
        <v>1</v>
      </c>
      <c r="G41">
        <v>27786564</v>
      </c>
      <c r="H41">
        <v>2</v>
      </c>
      <c r="I41" t="s">
        <v>272</v>
      </c>
      <c r="J41" t="s">
        <v>273</v>
      </c>
      <c r="K41" t="s">
        <v>274</v>
      </c>
      <c r="L41">
        <v>1367</v>
      </c>
      <c r="N41">
        <v>1011</v>
      </c>
      <c r="O41" t="s">
        <v>275</v>
      </c>
      <c r="P41" t="s">
        <v>275</v>
      </c>
      <c r="Q41">
        <v>1</v>
      </c>
      <c r="X41">
        <v>19.72</v>
      </c>
      <c r="Y41">
        <v>0</v>
      </c>
      <c r="Z41">
        <v>36.08</v>
      </c>
      <c r="AA41">
        <v>3.1</v>
      </c>
      <c r="AB41">
        <v>0</v>
      </c>
      <c r="AC41">
        <v>0</v>
      </c>
      <c r="AD41">
        <v>1</v>
      </c>
      <c r="AE41">
        <v>0</v>
      </c>
      <c r="AF41" t="s">
        <v>24</v>
      </c>
      <c r="AG41">
        <v>20.706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ROW(Source!A81)</f>
        <v>81</v>
      </c>
      <c r="B42">
        <v>57737384</v>
      </c>
      <c r="C42">
        <v>57737381</v>
      </c>
      <c r="D42">
        <v>47767106</v>
      </c>
      <c r="E42">
        <v>1</v>
      </c>
      <c r="F42">
        <v>1</v>
      </c>
      <c r="G42">
        <v>27786564</v>
      </c>
      <c r="H42">
        <v>2</v>
      </c>
      <c r="I42" t="s">
        <v>230</v>
      </c>
      <c r="J42" t="s">
        <v>231</v>
      </c>
      <c r="K42" t="s">
        <v>232</v>
      </c>
      <c r="L42">
        <v>1368</v>
      </c>
      <c r="N42">
        <v>1011</v>
      </c>
      <c r="O42" t="s">
        <v>188</v>
      </c>
      <c r="P42" t="s">
        <v>188</v>
      </c>
      <c r="Q42">
        <v>1</v>
      </c>
      <c r="X42">
        <v>0.05</v>
      </c>
      <c r="Y42">
        <v>0</v>
      </c>
      <c r="Z42">
        <v>83.1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24</v>
      </c>
      <c r="AG42">
        <v>5.2500000000000005E-2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ROW(Source!A81)</f>
        <v>81</v>
      </c>
      <c r="B43">
        <v>57737385</v>
      </c>
      <c r="C43">
        <v>57737381</v>
      </c>
      <c r="D43">
        <v>30390462</v>
      </c>
      <c r="E43">
        <v>1</v>
      </c>
      <c r="F43">
        <v>1</v>
      </c>
      <c r="G43">
        <v>27786564</v>
      </c>
      <c r="H43">
        <v>3</v>
      </c>
      <c r="I43" t="s">
        <v>227</v>
      </c>
      <c r="J43" t="s">
        <v>228</v>
      </c>
      <c r="K43" t="s">
        <v>229</v>
      </c>
      <c r="L43">
        <v>1346</v>
      </c>
      <c r="N43">
        <v>1009</v>
      </c>
      <c r="O43" t="s">
        <v>42</v>
      </c>
      <c r="P43" t="s">
        <v>42</v>
      </c>
      <c r="Q43">
        <v>1</v>
      </c>
      <c r="X43">
        <v>10</v>
      </c>
      <c r="Y43">
        <v>1.61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</v>
      </c>
      <c r="AG43">
        <v>10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ROW(Source!A81)</f>
        <v>81</v>
      </c>
      <c r="B44">
        <v>57737386</v>
      </c>
      <c r="C44">
        <v>57737381</v>
      </c>
      <c r="D44">
        <v>46724002</v>
      </c>
      <c r="E44">
        <v>1</v>
      </c>
      <c r="F44">
        <v>1</v>
      </c>
      <c r="G44">
        <v>27786564</v>
      </c>
      <c r="H44">
        <v>3</v>
      </c>
      <c r="I44" t="s">
        <v>276</v>
      </c>
      <c r="J44" t="s">
        <v>277</v>
      </c>
      <c r="K44" t="s">
        <v>278</v>
      </c>
      <c r="L44">
        <v>1327</v>
      </c>
      <c r="N44">
        <v>1005</v>
      </c>
      <c r="O44" t="s">
        <v>279</v>
      </c>
      <c r="P44" t="s">
        <v>279</v>
      </c>
      <c r="Q44">
        <v>1</v>
      </c>
      <c r="X44">
        <v>1</v>
      </c>
      <c r="Y44">
        <v>127.33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3</v>
      </c>
      <c r="AG44">
        <v>1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ROW(Source!A81)</f>
        <v>81</v>
      </c>
      <c r="B45">
        <v>57737387</v>
      </c>
      <c r="C45">
        <v>57737381</v>
      </c>
      <c r="D45">
        <v>37620224</v>
      </c>
      <c r="E45">
        <v>1</v>
      </c>
      <c r="F45">
        <v>1</v>
      </c>
      <c r="G45">
        <v>27786564</v>
      </c>
      <c r="H45">
        <v>3</v>
      </c>
      <c r="I45" t="s">
        <v>280</v>
      </c>
      <c r="J45" t="s">
        <v>281</v>
      </c>
      <c r="K45" t="s">
        <v>282</v>
      </c>
      <c r="L45">
        <v>1346</v>
      </c>
      <c r="N45">
        <v>1009</v>
      </c>
      <c r="O45" t="s">
        <v>42</v>
      </c>
      <c r="P45" t="s">
        <v>42</v>
      </c>
      <c r="Q45">
        <v>1</v>
      </c>
      <c r="X45">
        <v>30.6</v>
      </c>
      <c r="Y45">
        <v>6.27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3</v>
      </c>
      <c r="AG45">
        <v>30.6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ROW(Source!A81)</f>
        <v>81</v>
      </c>
      <c r="B46">
        <v>57737388</v>
      </c>
      <c r="C46">
        <v>57737381</v>
      </c>
      <c r="D46">
        <v>30394098</v>
      </c>
      <c r="E46">
        <v>1</v>
      </c>
      <c r="F46">
        <v>1</v>
      </c>
      <c r="G46">
        <v>27786564</v>
      </c>
      <c r="H46">
        <v>3</v>
      </c>
      <c r="I46" t="s">
        <v>283</v>
      </c>
      <c r="J46" t="s">
        <v>284</v>
      </c>
      <c r="K46" t="s">
        <v>285</v>
      </c>
      <c r="L46">
        <v>1296</v>
      </c>
      <c r="N46">
        <v>1013</v>
      </c>
      <c r="O46" t="s">
        <v>46</v>
      </c>
      <c r="P46" t="s">
        <v>46</v>
      </c>
      <c r="Q46">
        <v>1</v>
      </c>
      <c r="X46">
        <v>5</v>
      </c>
      <c r="Y46">
        <v>16.260000000000002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3</v>
      </c>
      <c r="AG46">
        <v>5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ROW(Source!A81)</f>
        <v>81</v>
      </c>
      <c r="B47">
        <v>57737389</v>
      </c>
      <c r="C47">
        <v>57737381</v>
      </c>
      <c r="D47">
        <v>46735801</v>
      </c>
      <c r="E47">
        <v>1</v>
      </c>
      <c r="F47">
        <v>1</v>
      </c>
      <c r="G47">
        <v>27786564</v>
      </c>
      <c r="H47">
        <v>3</v>
      </c>
      <c r="I47" t="s">
        <v>286</v>
      </c>
      <c r="J47" t="s">
        <v>287</v>
      </c>
      <c r="K47" t="s">
        <v>288</v>
      </c>
      <c r="L47">
        <v>1355</v>
      </c>
      <c r="N47">
        <v>1010</v>
      </c>
      <c r="O47" t="s">
        <v>289</v>
      </c>
      <c r="P47" t="s">
        <v>289</v>
      </c>
      <c r="Q47">
        <v>100</v>
      </c>
      <c r="X47">
        <v>2</v>
      </c>
      <c r="Y47">
        <v>59.47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2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ROW(Source!A81)</f>
        <v>81</v>
      </c>
      <c r="B48">
        <v>57737390</v>
      </c>
      <c r="C48">
        <v>57737381</v>
      </c>
      <c r="D48">
        <v>30382931</v>
      </c>
      <c r="E48">
        <v>27786564</v>
      </c>
      <c r="F48">
        <v>1</v>
      </c>
      <c r="G48">
        <v>27786564</v>
      </c>
      <c r="H48">
        <v>3</v>
      </c>
      <c r="I48" t="s">
        <v>290</v>
      </c>
      <c r="J48" t="s">
        <v>3</v>
      </c>
      <c r="K48" t="s">
        <v>291</v>
      </c>
      <c r="L48">
        <v>1391</v>
      </c>
      <c r="N48">
        <v>1013</v>
      </c>
      <c r="O48" t="s">
        <v>171</v>
      </c>
      <c r="P48" t="s">
        <v>171</v>
      </c>
      <c r="Q48">
        <v>1</v>
      </c>
      <c r="X48">
        <v>100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</v>
      </c>
      <c r="AG48">
        <v>100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6D55-8C0D-4A3F-AB68-B7A07B877B7F}">
  <dimension ref="A1:U1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32</v>
      </c>
      <c r="B1">
        <v>1</v>
      </c>
      <c r="C1" t="s">
        <v>3</v>
      </c>
      <c r="D1" t="s">
        <v>3</v>
      </c>
      <c r="E1" t="s">
        <v>24</v>
      </c>
      <c r="F1" t="s">
        <v>24</v>
      </c>
      <c r="G1" t="s">
        <v>24</v>
      </c>
      <c r="H1" t="s">
        <v>3</v>
      </c>
      <c r="I1" t="s">
        <v>24</v>
      </c>
      <c r="J1" t="s">
        <v>24</v>
      </c>
      <c r="K1" t="s">
        <v>3</v>
      </c>
      <c r="L1" t="s">
        <v>3</v>
      </c>
      <c r="M1" t="s">
        <v>3</v>
      </c>
      <c r="N1" t="s">
        <v>3</v>
      </c>
      <c r="O1" t="s">
        <v>24</v>
      </c>
      <c r="P1" t="s">
        <v>3</v>
      </c>
      <c r="Q1" t="s">
        <v>3</v>
      </c>
      <c r="R1" t="s">
        <v>3</v>
      </c>
      <c r="S1" t="s">
        <v>292</v>
      </c>
      <c r="T1" t="s">
        <v>294</v>
      </c>
      <c r="U1" t="s">
        <v>293</v>
      </c>
    </row>
    <row r="2" spans="1:21" x14ac:dyDescent="0.2">
      <c r="A2">
        <v>33</v>
      </c>
      <c r="B2">
        <v>1</v>
      </c>
      <c r="C2" t="s">
        <v>3</v>
      </c>
      <c r="D2" t="s">
        <v>3</v>
      </c>
      <c r="E2" t="s">
        <v>24</v>
      </c>
      <c r="F2" t="s">
        <v>24</v>
      </c>
      <c r="G2" t="s">
        <v>24</v>
      </c>
      <c r="H2" t="s">
        <v>3</v>
      </c>
      <c r="I2" t="s">
        <v>24</v>
      </c>
      <c r="J2" t="s">
        <v>24</v>
      </c>
      <c r="K2" t="s">
        <v>3</v>
      </c>
      <c r="L2" t="s">
        <v>3</v>
      </c>
      <c r="M2" t="s">
        <v>3</v>
      </c>
      <c r="N2" t="s">
        <v>3</v>
      </c>
      <c r="O2" t="s">
        <v>24</v>
      </c>
      <c r="P2" t="s">
        <v>3</v>
      </c>
      <c r="Q2" t="s">
        <v>3</v>
      </c>
      <c r="R2" t="s">
        <v>3</v>
      </c>
      <c r="S2" t="s">
        <v>292</v>
      </c>
      <c r="T2" t="s">
        <v>294</v>
      </c>
      <c r="U2" t="s">
        <v>293</v>
      </c>
    </row>
    <row r="3" spans="1:21" x14ac:dyDescent="0.2">
      <c r="A3">
        <v>34</v>
      </c>
      <c r="B3">
        <v>1</v>
      </c>
      <c r="C3" t="s">
        <v>3</v>
      </c>
      <c r="D3" t="s">
        <v>3</v>
      </c>
      <c r="E3" t="s">
        <v>24</v>
      </c>
      <c r="F3" t="s">
        <v>24</v>
      </c>
      <c r="G3" t="s">
        <v>24</v>
      </c>
      <c r="H3" t="s">
        <v>3</v>
      </c>
      <c r="I3" t="s">
        <v>24</v>
      </c>
      <c r="J3" t="s">
        <v>24</v>
      </c>
      <c r="K3" t="s">
        <v>3</v>
      </c>
      <c r="L3" t="s">
        <v>3</v>
      </c>
      <c r="M3" t="s">
        <v>3</v>
      </c>
      <c r="N3" t="s">
        <v>3</v>
      </c>
      <c r="O3" t="s">
        <v>24</v>
      </c>
      <c r="P3" t="s">
        <v>3</v>
      </c>
      <c r="Q3" t="s">
        <v>3</v>
      </c>
      <c r="R3" t="s">
        <v>3</v>
      </c>
      <c r="S3" t="s">
        <v>292</v>
      </c>
      <c r="T3" t="s">
        <v>294</v>
      </c>
      <c r="U3" t="s">
        <v>293</v>
      </c>
    </row>
    <row r="4" spans="1:21" x14ac:dyDescent="0.2">
      <c r="A4">
        <v>37</v>
      </c>
      <c r="B4">
        <v>1</v>
      </c>
      <c r="C4" t="s">
        <v>3</v>
      </c>
      <c r="D4" t="s">
        <v>3</v>
      </c>
      <c r="E4" t="s">
        <v>24</v>
      </c>
      <c r="F4" t="s">
        <v>24</v>
      </c>
      <c r="G4" t="s">
        <v>24</v>
      </c>
      <c r="H4" t="s">
        <v>3</v>
      </c>
      <c r="I4" t="s">
        <v>24</v>
      </c>
      <c r="J4" t="s">
        <v>24</v>
      </c>
      <c r="K4" t="s">
        <v>3</v>
      </c>
      <c r="L4" t="s">
        <v>3</v>
      </c>
      <c r="M4" t="s">
        <v>3</v>
      </c>
      <c r="N4" t="s">
        <v>3</v>
      </c>
      <c r="O4" t="s">
        <v>24</v>
      </c>
      <c r="P4" t="s">
        <v>3</v>
      </c>
      <c r="Q4" t="s">
        <v>3</v>
      </c>
      <c r="R4" t="s">
        <v>3</v>
      </c>
      <c r="S4" t="s">
        <v>292</v>
      </c>
      <c r="T4" t="s">
        <v>294</v>
      </c>
      <c r="U4" t="s">
        <v>293</v>
      </c>
    </row>
    <row r="5" spans="1:21" x14ac:dyDescent="0.2">
      <c r="A5">
        <v>38</v>
      </c>
      <c r="B5">
        <v>1</v>
      </c>
      <c r="C5" t="s">
        <v>3</v>
      </c>
      <c r="D5" t="s">
        <v>3</v>
      </c>
      <c r="E5" t="s">
        <v>24</v>
      </c>
      <c r="F5" t="s">
        <v>24</v>
      </c>
      <c r="G5" t="s">
        <v>24</v>
      </c>
      <c r="H5" t="s">
        <v>3</v>
      </c>
      <c r="I5" t="s">
        <v>24</v>
      </c>
      <c r="J5" t="s">
        <v>24</v>
      </c>
      <c r="K5" t="s">
        <v>3</v>
      </c>
      <c r="L5" t="s">
        <v>3</v>
      </c>
      <c r="M5" t="s">
        <v>3</v>
      </c>
      <c r="N5" t="s">
        <v>3</v>
      </c>
      <c r="O5" t="s">
        <v>24</v>
      </c>
      <c r="P5" t="s">
        <v>3</v>
      </c>
      <c r="Q5" t="s">
        <v>3</v>
      </c>
      <c r="R5" t="s">
        <v>3</v>
      </c>
      <c r="S5" t="s">
        <v>292</v>
      </c>
      <c r="T5" t="s">
        <v>294</v>
      </c>
      <c r="U5" t="s">
        <v>293</v>
      </c>
    </row>
    <row r="6" spans="1:21" x14ac:dyDescent="0.2">
      <c r="A6">
        <v>39</v>
      </c>
      <c r="B6">
        <v>1</v>
      </c>
      <c r="C6" t="s">
        <v>3</v>
      </c>
      <c r="D6" t="s">
        <v>3</v>
      </c>
      <c r="E6" t="s">
        <v>24</v>
      </c>
      <c r="F6" t="s">
        <v>24</v>
      </c>
      <c r="G6" t="s">
        <v>24</v>
      </c>
      <c r="H6" t="s">
        <v>3</v>
      </c>
      <c r="I6" t="s">
        <v>24</v>
      </c>
      <c r="J6" t="s">
        <v>24</v>
      </c>
      <c r="K6" t="s">
        <v>3</v>
      </c>
      <c r="L6" t="s">
        <v>3</v>
      </c>
      <c r="M6" t="s">
        <v>3</v>
      </c>
      <c r="N6" t="s">
        <v>3</v>
      </c>
      <c r="O6" t="s">
        <v>24</v>
      </c>
      <c r="P6" t="s">
        <v>3</v>
      </c>
      <c r="Q6" t="s">
        <v>3</v>
      </c>
      <c r="R6" t="s">
        <v>3</v>
      </c>
      <c r="S6" t="s">
        <v>292</v>
      </c>
      <c r="T6" t="s">
        <v>294</v>
      </c>
      <c r="U6" t="s">
        <v>293</v>
      </c>
    </row>
    <row r="7" spans="1:21" x14ac:dyDescent="0.2">
      <c r="A7">
        <v>40</v>
      </c>
      <c r="B7">
        <v>1</v>
      </c>
      <c r="C7" t="s">
        <v>3</v>
      </c>
      <c r="D7" t="s">
        <v>3</v>
      </c>
      <c r="E7" t="s">
        <v>24</v>
      </c>
      <c r="F7" t="s">
        <v>24</v>
      </c>
      <c r="G7" t="s">
        <v>24</v>
      </c>
      <c r="H7" t="s">
        <v>3</v>
      </c>
      <c r="I7" t="s">
        <v>24</v>
      </c>
      <c r="J7" t="s">
        <v>24</v>
      </c>
      <c r="K7" t="s">
        <v>3</v>
      </c>
      <c r="L7" t="s">
        <v>3</v>
      </c>
      <c r="M7" t="s">
        <v>3</v>
      </c>
      <c r="N7" t="s">
        <v>3</v>
      </c>
      <c r="O7" t="s">
        <v>24</v>
      </c>
      <c r="P7" t="s">
        <v>3</v>
      </c>
      <c r="Q7" t="s">
        <v>3</v>
      </c>
      <c r="R7" t="s">
        <v>3</v>
      </c>
      <c r="S7" t="s">
        <v>292</v>
      </c>
      <c r="T7" t="s">
        <v>294</v>
      </c>
      <c r="U7" t="s">
        <v>293</v>
      </c>
    </row>
    <row r="8" spans="1:21" x14ac:dyDescent="0.2">
      <c r="A8">
        <v>41</v>
      </c>
      <c r="B8">
        <v>1</v>
      </c>
      <c r="C8" t="s">
        <v>3</v>
      </c>
      <c r="D8" t="s">
        <v>3</v>
      </c>
      <c r="E8" t="s">
        <v>24</v>
      </c>
      <c r="F8" t="s">
        <v>24</v>
      </c>
      <c r="G8" t="s">
        <v>24</v>
      </c>
      <c r="H8" t="s">
        <v>3</v>
      </c>
      <c r="I8" t="s">
        <v>24</v>
      </c>
      <c r="J8" t="s">
        <v>24</v>
      </c>
      <c r="K8" t="s">
        <v>3</v>
      </c>
      <c r="L8" t="s">
        <v>3</v>
      </c>
      <c r="M8" t="s">
        <v>3</v>
      </c>
      <c r="N8" t="s">
        <v>3</v>
      </c>
      <c r="O8" t="s">
        <v>24</v>
      </c>
      <c r="P8" t="s">
        <v>3</v>
      </c>
      <c r="Q8" t="s">
        <v>3</v>
      </c>
      <c r="R8" t="s">
        <v>3</v>
      </c>
      <c r="S8" t="s">
        <v>292</v>
      </c>
      <c r="T8" t="s">
        <v>294</v>
      </c>
      <c r="U8" t="s">
        <v>293</v>
      </c>
    </row>
    <row r="9" spans="1:21" x14ac:dyDescent="0.2">
      <c r="A9">
        <v>42</v>
      </c>
      <c r="B9">
        <v>1</v>
      </c>
      <c r="C9" t="s">
        <v>3</v>
      </c>
      <c r="D9" t="s">
        <v>3</v>
      </c>
      <c r="E9" t="s">
        <v>24</v>
      </c>
      <c r="F9" t="s">
        <v>24</v>
      </c>
      <c r="G9" t="s">
        <v>24</v>
      </c>
      <c r="H9" t="s">
        <v>3</v>
      </c>
      <c r="I9" t="s">
        <v>24</v>
      </c>
      <c r="J9" t="s">
        <v>24</v>
      </c>
      <c r="K9" t="s">
        <v>3</v>
      </c>
      <c r="L9" t="s">
        <v>3</v>
      </c>
      <c r="M9" t="s">
        <v>3</v>
      </c>
      <c r="N9" t="s">
        <v>3</v>
      </c>
      <c r="O9" t="s">
        <v>24</v>
      </c>
      <c r="P9" t="s">
        <v>3</v>
      </c>
      <c r="Q9" t="s">
        <v>3</v>
      </c>
      <c r="R9" t="s">
        <v>3</v>
      </c>
      <c r="S9" t="s">
        <v>292</v>
      </c>
      <c r="T9" t="s">
        <v>294</v>
      </c>
      <c r="U9" t="s">
        <v>293</v>
      </c>
    </row>
    <row r="10" spans="1:21" x14ac:dyDescent="0.2">
      <c r="A10">
        <v>78</v>
      </c>
      <c r="B10">
        <v>1</v>
      </c>
      <c r="C10" t="s">
        <v>3</v>
      </c>
      <c r="D10" t="s">
        <v>3</v>
      </c>
      <c r="E10" t="s">
        <v>24</v>
      </c>
      <c r="F10" t="s">
        <v>24</v>
      </c>
      <c r="G10" t="s">
        <v>24</v>
      </c>
      <c r="H10" t="s">
        <v>3</v>
      </c>
      <c r="I10" t="s">
        <v>24</v>
      </c>
      <c r="J10" t="s">
        <v>24</v>
      </c>
      <c r="K10" t="s">
        <v>3</v>
      </c>
      <c r="L10" t="s">
        <v>3</v>
      </c>
      <c r="M10" t="s">
        <v>3</v>
      </c>
      <c r="N10" t="s">
        <v>3</v>
      </c>
      <c r="O10" t="s">
        <v>24</v>
      </c>
      <c r="P10" t="s">
        <v>3</v>
      </c>
      <c r="Q10" t="s">
        <v>3</v>
      </c>
      <c r="R10" t="s">
        <v>3</v>
      </c>
      <c r="S10" t="s">
        <v>292</v>
      </c>
      <c r="T10" t="s">
        <v>294</v>
      </c>
      <c r="U10" t="s">
        <v>293</v>
      </c>
    </row>
    <row r="11" spans="1:21" x14ac:dyDescent="0.2">
      <c r="A11">
        <v>80</v>
      </c>
      <c r="B11">
        <v>1</v>
      </c>
      <c r="C11" t="s">
        <v>3</v>
      </c>
      <c r="D11" t="s">
        <v>3</v>
      </c>
      <c r="E11" t="s">
        <v>24</v>
      </c>
      <c r="F11" t="s">
        <v>24</v>
      </c>
      <c r="G11" t="s">
        <v>24</v>
      </c>
      <c r="H11" t="s">
        <v>3</v>
      </c>
      <c r="I11" t="s">
        <v>24</v>
      </c>
      <c r="J11" t="s">
        <v>24</v>
      </c>
      <c r="K11" t="s">
        <v>3</v>
      </c>
      <c r="L11" t="s">
        <v>3</v>
      </c>
      <c r="M11" t="s">
        <v>3</v>
      </c>
      <c r="N11" t="s">
        <v>3</v>
      </c>
      <c r="O11" t="s">
        <v>24</v>
      </c>
      <c r="P11" t="s">
        <v>3</v>
      </c>
      <c r="Q11" t="s">
        <v>3</v>
      </c>
      <c r="R11" t="s">
        <v>3</v>
      </c>
      <c r="S11" t="s">
        <v>292</v>
      </c>
      <c r="T11" t="s">
        <v>294</v>
      </c>
      <c r="U11" t="s">
        <v>293</v>
      </c>
    </row>
    <row r="12" spans="1:21" x14ac:dyDescent="0.2">
      <c r="A12">
        <v>81</v>
      </c>
      <c r="B12">
        <v>1</v>
      </c>
      <c r="C12" t="s">
        <v>3</v>
      </c>
      <c r="D12" t="s">
        <v>3</v>
      </c>
      <c r="E12" t="s">
        <v>24</v>
      </c>
      <c r="F12" t="s">
        <v>24</v>
      </c>
      <c r="G12" t="s">
        <v>24</v>
      </c>
      <c r="H12" t="s">
        <v>3</v>
      </c>
      <c r="I12" t="s">
        <v>24</v>
      </c>
      <c r="J12" t="s">
        <v>24</v>
      </c>
      <c r="K12" t="s">
        <v>3</v>
      </c>
      <c r="L12" t="s">
        <v>3</v>
      </c>
      <c r="M12" t="s">
        <v>3</v>
      </c>
      <c r="N12" t="s">
        <v>3</v>
      </c>
      <c r="O12" t="s">
        <v>24</v>
      </c>
      <c r="P12" t="s">
        <v>3</v>
      </c>
      <c r="Q12" t="s">
        <v>3</v>
      </c>
      <c r="R12" t="s">
        <v>3</v>
      </c>
      <c r="S12" t="s">
        <v>292</v>
      </c>
      <c r="T12" t="s">
        <v>294</v>
      </c>
      <c r="U12" t="s">
        <v>293</v>
      </c>
    </row>
    <row r="13" spans="1:21" x14ac:dyDescent="0.2">
      <c r="A13">
        <v>82</v>
      </c>
      <c r="B13">
        <v>1</v>
      </c>
      <c r="C13" t="s">
        <v>3</v>
      </c>
      <c r="D13" t="s">
        <v>3</v>
      </c>
      <c r="E13" t="s">
        <v>24</v>
      </c>
      <c r="F13" t="s">
        <v>24</v>
      </c>
      <c r="G13" t="s">
        <v>24</v>
      </c>
      <c r="H13" t="s">
        <v>3</v>
      </c>
      <c r="I13" t="s">
        <v>24</v>
      </c>
      <c r="J13" t="s">
        <v>24</v>
      </c>
      <c r="K13" t="s">
        <v>3</v>
      </c>
      <c r="L13" t="s">
        <v>3</v>
      </c>
      <c r="M13" t="s">
        <v>3</v>
      </c>
      <c r="N13" t="s">
        <v>3</v>
      </c>
      <c r="O13" t="s">
        <v>24</v>
      </c>
      <c r="P13" t="s">
        <v>3</v>
      </c>
      <c r="Q13" t="s">
        <v>3</v>
      </c>
      <c r="R13" t="s">
        <v>3</v>
      </c>
      <c r="S13" t="s">
        <v>292</v>
      </c>
      <c r="T13" t="s">
        <v>294</v>
      </c>
      <c r="U13" t="s">
        <v>293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5211-8354-4601-882B-A726A6F7EE8C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03" x14ac:dyDescent="0.2">
      <c r="F12" t="str">
        <f>Source!F12</f>
        <v>02-01-08  Закрытый переход_(2 этап)</v>
      </c>
      <c r="G12" t="str">
        <f>Source!G12</f>
        <v>02-01-08  Закрытый переход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2025-11-24T06:49:21Z</dcterms:created>
  <dcterms:modified xsi:type="dcterms:W3CDTF">2025-11-24T07:04:04Z</dcterms:modified>
</cp:coreProperties>
</file>